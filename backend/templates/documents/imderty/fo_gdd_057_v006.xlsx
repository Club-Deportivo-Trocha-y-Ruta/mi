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'1.0' encoding='UTF-8' standalone='yes'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30513"/>
  <workbookPr/>
  <bookViews>
    <workbookView xWindow="-120" yWindow="-120" windowWidth="24240" windowHeight="13020" activeTab="0"/>
  </bookViews>
  <sheets>
    <sheet name="ENERO" sheetId="1" r:id="rId1"/>
    <sheet name="FEBRERO" sheetId="2" r:id="rId2"/>
    <sheet name="MARZO" sheetId="3" r:id="rId3"/>
    <sheet name="ABRIL" sheetId="4" r:id="rId4"/>
    <sheet name="MAYO" sheetId="5" r:id="rId5"/>
    <sheet name="JUNIO" sheetId="6" r:id="rId6"/>
    <sheet name="JULIO" sheetId="7" r:id="rId7"/>
    <sheet name="AGOSTO" sheetId="8" r:id="rId8"/>
    <sheet name="SEPTIEMBRE" sheetId="9" r:id="rId9"/>
    <sheet name="OCTUBRE" sheetId="10" r:id="rId10"/>
    <sheet name="NOVIEMBRE" sheetId="11" r:id="rId11"/>
    <sheet name="DICIEMBRE" sheetId="12" r:id="rId12"/>
    <sheet name="SECTOR" sheetId="13" r:id="rId13"/>
  </sheets>
  <calcPr calcId="191028" fullCalcOnLoad="1"/>
</workbook>
</file>

<file path=xl/sharedStrings.xml><?xml version="1.0" encoding="utf-8"?>
<sst xmlns="http://schemas.openxmlformats.org/spreadsheetml/2006/main" count="267" uniqueCount="232">
  <si>
    <t>INSTITUTO MUNICIPAL DE DEPORTE Y RECREACIÓN DE YUMBO</t>
  </si>
  <si>
    <t>PROCESO: GESTIÓN DEL DEPORTE Y LA RECREACIÓN</t>
  </si>
  <si>
    <t>CÓDIGO</t>
  </si>
  <si>
    <t>FO-GDD-057</t>
  </si>
  <si>
    <t>FORMATO</t>
  </si>
  <si>
    <t>VERSIÓN</t>
  </si>
  <si>
    <t>006</t>
  </si>
  <si>
    <t xml:space="preserve">PLANILLA ASISTENCIA   </t>
  </si>
  <si>
    <t>FECHA</t>
  </si>
  <si>
    <t>CONTRATISTA</t>
  </si>
  <si>
    <t>LUGAR DE ENTRENO:</t>
  </si>
  <si>
    <t>TIPO DE DISCAPACIDAD</t>
  </si>
  <si>
    <t>ORIENTACIÓN SEXUAL</t>
  </si>
  <si>
    <t>ETNIA</t>
  </si>
  <si>
    <t>COMUNAS - CORREGIMIENTOS</t>
  </si>
  <si>
    <t>DÍAS:</t>
  </si>
  <si>
    <t>OLFATIVA Y TACTO</t>
  </si>
  <si>
    <t>HETEROSEXUAL</t>
  </si>
  <si>
    <t>AFROCOLOMBIANO</t>
  </si>
  <si>
    <t>HORA:</t>
  </si>
  <si>
    <t xml:space="preserve">MENTAL </t>
  </si>
  <si>
    <t>LESBIANA</t>
  </si>
  <si>
    <t>INDÍGENA</t>
  </si>
  <si>
    <t>MOVILIDAD</t>
  </si>
  <si>
    <t>ASEXUAL</t>
  </si>
  <si>
    <t>MESTIZO</t>
  </si>
  <si>
    <t>ZONA SUR</t>
  </si>
  <si>
    <t>ZONA NORTE</t>
  </si>
  <si>
    <t xml:space="preserve">PROGRAMAS </t>
  </si>
  <si>
    <t>MASIFICACIÓN</t>
  </si>
  <si>
    <t>MULTIPLE</t>
  </si>
  <si>
    <t>BISEXUAL</t>
  </si>
  <si>
    <t>MULATO</t>
  </si>
  <si>
    <t>ZONA CENTRO</t>
  </si>
  <si>
    <t>EDUCACIÓN FÍSICA/ DTE ESCOLAR</t>
  </si>
  <si>
    <t>PRIMERA INFANCIA</t>
  </si>
  <si>
    <t>HEVS</t>
  </si>
  <si>
    <t>RECREACIÓN</t>
  </si>
  <si>
    <t>D/TE SOCIAL COMUNITARIO</t>
  </si>
  <si>
    <t>LECYD-CDA</t>
  </si>
  <si>
    <t>CANTIDAD POR EDADES (AÑOS)</t>
  </si>
  <si>
    <t>ORAL</t>
  </si>
  <si>
    <t>GAY</t>
  </si>
  <si>
    <t>NO SABE NO RESPONDE</t>
  </si>
  <si>
    <t>HOMBRE</t>
  </si>
  <si>
    <t>0 A 5</t>
  </si>
  <si>
    <t>PSICOSOCIAL</t>
  </si>
  <si>
    <t>INTERSEXUAL</t>
  </si>
  <si>
    <t>PALENQUERO</t>
  </si>
  <si>
    <t>6 A 10</t>
  </si>
  <si>
    <t>VISUAL</t>
  </si>
  <si>
    <t>NO BINARIO</t>
  </si>
  <si>
    <t>RAIZAL</t>
  </si>
  <si>
    <t xml:space="preserve">COVENCIONES DE INASISTENCIA </t>
  </si>
  <si>
    <t>COMPETENCIA</t>
  </si>
  <si>
    <t>MUJER</t>
  </si>
  <si>
    <t>11 A 14</t>
  </si>
  <si>
    <t>VOZ Y HABLA</t>
  </si>
  <si>
    <t>PANSEXUAL</t>
  </si>
  <si>
    <t>ROM GITANO</t>
  </si>
  <si>
    <t>CONJUNTO</t>
  </si>
  <si>
    <t xml:space="preserve">INDIVIDUAL </t>
  </si>
  <si>
    <t>ADAPTADO</t>
  </si>
  <si>
    <t xml:space="preserve">15 A 19 </t>
  </si>
  <si>
    <t>NO SABE NOMBRARLA</t>
  </si>
  <si>
    <t>QUEER</t>
  </si>
  <si>
    <t>OTRO</t>
  </si>
  <si>
    <t>ASISTE</t>
  </si>
  <si>
    <t>A</t>
  </si>
  <si>
    <t xml:space="preserve">20 A 59 </t>
  </si>
  <si>
    <t>N/A</t>
  </si>
  <si>
    <t>TRANSEXUAL</t>
  </si>
  <si>
    <t xml:space="preserve">FALTA  </t>
  </si>
  <si>
    <t>F</t>
  </si>
  <si>
    <t>VICTIMA DE CONFLICTO ARMADO</t>
  </si>
  <si>
    <t xml:space="preserve">MÁS DE 60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</si>
  <si>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</si>
  <si>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EXCUSA</t>
  </si>
  <si>
    <t>E</t>
  </si>
  <si>
    <t>SI</t>
  </si>
  <si>
    <t>NO</t>
  </si>
  <si>
    <t xml:space="preserve">TOTAL ASISTENCIA </t>
  </si>
  <si>
    <t>No</t>
  </si>
  <si>
    <t>NOMBRE</t>
  </si>
  <si>
    <t>PRIMER APELLIDO</t>
  </si>
  <si>
    <t>SEGUNDO APELLIDO</t>
  </si>
  <si>
    <t>FECHA DE NACIMIENTO</t>
  </si>
  <si>
    <t>EDAD</t>
  </si>
  <si>
    <t>TIPO DOCUMENTO</t>
  </si>
  <si>
    <t xml:space="preserve">DOCUMENTO </t>
  </si>
  <si>
    <t>SEXO</t>
  </si>
  <si>
    <t xml:space="preserve"> I.E - COLEGIO -GRUPO - CLUB </t>
  </si>
  <si>
    <t xml:space="preserve">GRADO </t>
  </si>
  <si>
    <t>TIPO DISCAPACIDAD</t>
  </si>
  <si>
    <t>ORI. SEXUAL</t>
  </si>
  <si>
    <t>VICTIMA CONF. ARMADO</t>
  </si>
  <si>
    <t xml:space="preserve">ETNIA </t>
  </si>
  <si>
    <t>DIRECCIÓN</t>
  </si>
  <si>
    <t>BARRIO</t>
  </si>
  <si>
    <t xml:space="preserve"> COMUNA</t>
  </si>
  <si>
    <t>EPS</t>
  </si>
  <si>
    <t>TELEFONO</t>
  </si>
  <si>
    <t>SA1</t>
  </si>
  <si>
    <t>DO2</t>
  </si>
  <si>
    <t>LU3</t>
  </si>
  <si>
    <t>MA4</t>
  </si>
  <si>
    <t>MI5</t>
  </si>
  <si>
    <t>JU6</t>
  </si>
  <si>
    <t>VI7</t>
  </si>
  <si>
    <t>SA8</t>
  </si>
  <si>
    <t>DO9</t>
  </si>
  <si>
    <t>LU10</t>
  </si>
  <si>
    <t>MA11</t>
  </si>
  <si>
    <t>MI12</t>
  </si>
  <si>
    <t>JU13</t>
  </si>
  <si>
    <t>VI14</t>
  </si>
  <si>
    <t>SA15</t>
  </si>
  <si>
    <t>DO16</t>
  </si>
  <si>
    <t>LU17</t>
  </si>
  <si>
    <t>MA18</t>
  </si>
  <si>
    <t>MI19</t>
  </si>
  <si>
    <t>JU20</t>
  </si>
  <si>
    <t>VI21</t>
  </si>
  <si>
    <t>SA22</t>
  </si>
  <si>
    <t>DO23</t>
  </si>
  <si>
    <t>LU24</t>
  </si>
  <si>
    <t>MA25</t>
  </si>
  <si>
    <t>MI26</t>
  </si>
  <si>
    <t>JU27</t>
  </si>
  <si>
    <t>VI28</t>
  </si>
  <si>
    <t>SA29</t>
  </si>
  <si>
    <t>DO30</t>
  </si>
  <si>
    <t>LU31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</si>
  <si>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</si>
  <si>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</si>
  <si>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</si>
  <si>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</si>
  <si>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</si>
  <si>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</si>
  <si>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</si>
  <si>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</si>
  <si>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</si>
  <si>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</si>
  <si>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</si>
  <si>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</si>
  <si>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BARRRIO/SECTOR</t>
  </si>
  <si>
    <t>COMUNA/ CORREGIMIENTO</t>
  </si>
  <si>
    <t>ALTO DAPA</t>
  </si>
  <si>
    <t>ZONA SUR</t>
  </si>
  <si>
    <t>ALTO SAN JORGE</t>
  </si>
  <si>
    <t>ALTOS DE MENGA</t>
  </si>
  <si>
    <t>ARROYOHONDO</t>
  </si>
  <si>
    <t>ASOPROSAN</t>
  </si>
  <si>
    <t>ZONA NORTE</t>
  </si>
  <si>
    <t>ASOVIVIR LAS COLINAS</t>
  </si>
  <si>
    <t>BELALCAZAR</t>
  </si>
  <si>
    <t>BELLAVISTA</t>
  </si>
  <si>
    <t>BOLIVAR</t>
  </si>
  <si>
    <t>BRISAS DE LA SULTANA</t>
  </si>
  <si>
    <t>BUENOS AIRES</t>
  </si>
  <si>
    <t>CACIQUE JACINTO</t>
  </si>
  <si>
    <t>CAMPESTRE REAL</t>
  </si>
  <si>
    <t>CANGREJO</t>
  </si>
  <si>
    <t>CIUDADELA PORTALES DE COMFANDI</t>
  </si>
  <si>
    <t>COLINAS DEL NORTE</t>
  </si>
  <si>
    <t>CONQUISTADORES</t>
  </si>
  <si>
    <t>CORVIVALLE</t>
  </si>
  <si>
    <t>DAPA</t>
  </si>
  <si>
    <t>DIONISIO HERNÁN CALDERÓN</t>
  </si>
  <si>
    <t>EL CHOCHO</t>
  </si>
  <si>
    <t>ZONA CENTRO</t>
  </si>
  <si>
    <t>EL HIGUERON</t>
  </si>
  <si>
    <t>EL PEDREGAL</t>
  </si>
  <si>
    <t>EL PLACER</t>
  </si>
  <si>
    <t>EL TABLAZO</t>
  </si>
  <si>
    <t>FINLANDIA</t>
  </si>
  <si>
    <t>FLORAL</t>
  </si>
  <si>
    <t>FRAY PEÑA</t>
  </si>
  <si>
    <t>GUABINAS</t>
  </si>
  <si>
    <t>GUACANDA</t>
  </si>
  <si>
    <t>HACIENDA VERDE</t>
  </si>
  <si>
    <t>INVIYUMBO SAN JORGE</t>
  </si>
  <si>
    <t>JORGE ELIECER GAITAN</t>
  </si>
  <si>
    <t>JUAN PABLO II</t>
  </si>
  <si>
    <t>LA BUITRERA</t>
  </si>
  <si>
    <t>LA CEIBA</t>
  </si>
  <si>
    <t>LA ESTANCIA</t>
  </si>
  <si>
    <t>LA NUEVA ESTANCIA</t>
  </si>
  <si>
    <t>LA OLGA</t>
  </si>
  <si>
    <t>LA SULTANA</t>
  </si>
  <si>
    <t>LAGUNA SECA</t>
  </si>
  <si>
    <t>LAS AMÉRICAS</t>
  </si>
  <si>
    <t>LAS CRUCES</t>
  </si>
  <si>
    <t>LAS VEGAS</t>
  </si>
  <si>
    <t>LLERAS</t>
  </si>
  <si>
    <t>MADRIGAL</t>
  </si>
  <si>
    <t>MANGA VIEJA</t>
  </si>
  <si>
    <t>MENGA</t>
  </si>
  <si>
    <t>MIRAVALLE</t>
  </si>
  <si>
    <t>MIRAVALLE DAPA</t>
  </si>
  <si>
    <t>MIRAVALLE NORTE</t>
  </si>
  <si>
    <t>MONTAÑITAS</t>
  </si>
  <si>
    <t>MULALÓ</t>
  </si>
  <si>
    <t>MUNICIPAL</t>
  </si>
  <si>
    <t>NUESTRA SEÑORA DE GUADALUPE</t>
  </si>
  <si>
    <t>NUEVO HORIZONTE</t>
  </si>
  <si>
    <t>PANORAMA</t>
  </si>
  <si>
    <t>PARQUES DEL PINAR</t>
  </si>
  <si>
    <t>PASO DE LA TORRE</t>
  </si>
  <si>
    <t>PASOANCHO</t>
  </si>
  <si>
    <t>PEDREGAL</t>
  </si>
  <si>
    <t>PILAS DAPA</t>
  </si>
  <si>
    <t>PILES</t>
  </si>
  <si>
    <t>PLATANARES</t>
  </si>
  <si>
    <t>PORTALES DE YUMBO</t>
  </si>
  <si>
    <t>PUERTO ISAAC</t>
  </si>
  <si>
    <t>PUERTO RICO</t>
  </si>
  <si>
    <t>RINCÓN DAPA</t>
  </si>
  <si>
    <t>RIVERAS DE YUMBO</t>
  </si>
  <si>
    <t>SALAZAR</t>
  </si>
  <si>
    <t>SAN FERNANDO</t>
  </si>
  <si>
    <t>SAN JORGE</t>
  </si>
  <si>
    <t>SAN JOSÉ</t>
  </si>
  <si>
    <t>SAN MARCOS</t>
  </si>
  <si>
    <t>SANTA INÉS</t>
  </si>
  <si>
    <t>TELECOM</t>
  </si>
  <si>
    <t>TRINIDAD</t>
  </si>
  <si>
    <t>TRINIDAD I</t>
  </si>
  <si>
    <t>URBANIZACIÓN CARLOS PIZARRO</t>
  </si>
  <si>
    <t>URIBE URIBE</t>
  </si>
  <si>
    <t>XIXAOLA</t>
  </si>
  <si>
    <t>YUMBILLO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</si>
</sst>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\ * #,##0.00_-;\-&quot;$&quot;\ * #,##0.00_-;_-&quot;$&quot;\ * &quot;-&quot;??_-;_-@_-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000000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2"/>
      <name val="Calibri"/>
      <family val="2"/>
    </font>
    <font>
      <b/>
      <sz val="12"/>
      <name val="Arial"/>
      <family val="2"/>
    </font>
    <font>
      <b/>
      <sz val="9"/>
      <name val="Arial"/>
      <family val="2"/>
    </font>
    <font>
      <b/>
      <sz val="12"/>
      <color rgb="FF000000"/>
      <name val="Calibri"/>
      <family val="2"/>
      <scheme val="minor"/>
    </font>
    <font>
      <sz val="9"/>
      <name val="Arial"/>
      <family val="2"/>
    </font>
    <font>
      <b/>
      <sz val="8"/>
      <name val="Arial"/>
      <family val="2"/>
    </font>
    <font>
      <b/>
      <sz val="8"/>
      <color rgb="FF000000"/>
      <name val="Calibri"/>
      <family val="2"/>
    </font>
    <font>
      <b/>
      <sz val="9"/>
      <name val="Calibri"/>
      <family val="2"/>
      <scheme val="minor"/>
    </font>
    <font>
      <b/>
      <sz val="9"/>
      <color rgb="FF000000"/>
      <name val="Calibri"/>
      <family val="2"/>
    </font>
    <font>
      <b/>
      <sz val="9"/>
      <color rgb="FF000000"/>
      <name val="Calibri"/>
      <family val="2"/>
      <scheme val="minor"/>
    </font>
    <font>
      <sz val="8"/>
      <name val="Arial"/>
      <family val="2"/>
    </font>
    <font>
      <sz val="9"/>
      <color rgb="FF000000"/>
      <name val="Calibri"/>
      <family val="2"/>
    </font>
    <font>
      <sz val="12"/>
      <color theme="1"/>
      <name val="Calibri"/>
      <family val="2"/>
      <scheme val="minor"/>
    </font>
    <font>
      <sz val="11"/>
      <name val="Arial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</font>
    <font>
      <sz val="11"/>
      <color rgb="FF000000"/>
      <name val="Arial"/>
      <family val="2"/>
    </font>
    <font>
      <sz val="9"/>
      <name val="Calibri"/>
      <family val="2"/>
    </font>
    <font>
      <sz val="8"/>
      <name val="Calibri"/>
      <family val="2"/>
      <scheme val="minor"/>
    </font>
    <font>
      <b/>
      <sz val="12"/>
      <name val="Calibri"/>
      <family val="2"/>
    </font>
    <font>
      <b/>
      <sz val="11"/>
      <name val="Arial"/>
      <family val="2"/>
    </font>
    <font>
      <b/>
      <sz val="8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b/>
      <sz val="10"/>
      <color rgb="FF000000"/>
      <name val="Calibri"/>
      <family val="2"/>
    </font>
    <font>
      <b/>
      <sz val="11"/>
      <color rgb="FF000000"/>
      <name val="Arial"/>
      <family val="2"/>
    </font>
    <font>
      <sz val="12"/>
      <color theme="0"/>
      <name val="Calibri"/>
      <family val="2"/>
    </font>
    <font>
      <b/>
      <sz val="11"/>
      <color rgb="FFFF0000"/>
      <name val="Calibri"/>
      <family val="2"/>
      <scheme val="minor"/>
    </font>
    <font>
      <sz val="12"/>
      <color rgb="FFFF0000"/>
      <name val="Calibri"/>
      <family val="2"/>
    </font>
    <font>
      <sz val="12"/>
      <color theme="0"/>
      <name val="Calibri"/>
      <family val="2"/>
      <scheme val="minor"/>
    </font>
    <font>
      <sz val="13"/>
      <color rgb="FF000000"/>
      <name val="Calibri"/>
      <family val="2"/>
      <scheme val="minor"/>
    </font>
    <font>
      <sz val="13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rgb="FFD8D8D8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D8D8D8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theme="6" tint="0.79998168889431442"/>
      </patternFill>
    </fill>
    <fill>
      <patternFill patternType="solid">
        <fgColor theme="2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</fills>
  <borders count="6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rgb="FF00000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9" fillId="0" borderId="0"/>
  </cellStyleXfs>
  <cellXfs count="259">
    <xf numFmtId="0" fontId="0" fillId="0" borderId="0" xfId="0"/>
    <xf numFmtId="0" fontId="5" fillId="0" borderId="13" xfId="0" applyFont="1" applyBorder="1" applyAlignment="1" applyProtection="1">
      <alignment horizontal="center"/>
      <protection locked="0"/>
    </xf>
    <xf numFmtId="0" fontId="5" fillId="0" borderId="19" xfId="0" applyFont="1" applyBorder="1" applyAlignment="1" applyProtection="1">
      <alignment horizontal="center"/>
      <protection locked="0"/>
    </xf>
    <xf numFmtId="0" fontId="20" fillId="0" borderId="3" xfId="0" applyFont="1" applyBorder="1" applyAlignment="1" applyProtection="1">
      <alignment horizontal="center"/>
      <protection hidden="1"/>
    </xf>
    <xf numFmtId="164" fontId="24" fillId="0" borderId="13" xfId="1" applyFont="1" applyBorder="1" applyAlignment="1" applyProtection="1">
      <alignment horizontal="center" vertical="center"/>
      <protection locked="0"/>
    </xf>
    <xf numFmtId="164" fontId="24" fillId="0" borderId="20" xfId="1" applyFont="1" applyBorder="1" applyAlignment="1" applyProtection="1">
      <alignment horizontal="center" vertical="center"/>
      <protection locked="0"/>
    </xf>
    <xf numFmtId="164" fontId="24" fillId="0" borderId="3" xfId="1" applyFont="1" applyBorder="1" applyAlignment="1" applyProtection="1">
      <alignment horizontal="center" vertical="center"/>
      <protection locked="0"/>
    </xf>
    <xf numFmtId="164" fontId="24" fillId="0" borderId="9" xfId="1" applyFont="1" applyBorder="1" applyAlignment="1" applyProtection="1">
      <alignment horizontal="center" vertical="center"/>
      <protection locked="0"/>
    </xf>
    <xf numFmtId="0" fontId="6" fillId="2" borderId="9" xfId="0" applyFont="1" applyFill="1" applyBorder="1" applyAlignment="1" applyProtection="1">
      <alignment horizontal="center" vertical="center"/>
      <protection locked="0"/>
    </xf>
    <xf numFmtId="0" fontId="6" fillId="2" borderId="10" xfId="0" applyFont="1" applyFill="1" applyBorder="1" applyAlignment="1" applyProtection="1">
      <alignment horizontal="center" vertical="center"/>
      <protection locked="0"/>
    </xf>
    <xf numFmtId="0" fontId="5" fillId="0" borderId="17" xfId="0" applyFont="1" applyBorder="1" applyAlignment="1" applyProtection="1">
      <alignment horizontal="center"/>
      <protection locked="0"/>
    </xf>
    <xf numFmtId="0" fontId="4" fillId="2" borderId="0" xfId="0" applyFont="1" applyFill="1" applyProtection="1">
      <protection locked="0"/>
    </xf>
    <xf numFmtId="0" fontId="7" fillId="0" borderId="0" xfId="0" applyFont="1" applyProtection="1">
      <protection locked="0"/>
    </xf>
    <xf numFmtId="0" fontId="0" fillId="2" borderId="0" xfId="0" applyFill="1" applyProtection="1">
      <protection locked="0"/>
    </xf>
    <xf numFmtId="0" fontId="20" fillId="0" borderId="9" xfId="0" applyFont="1" applyBorder="1" applyAlignment="1" applyProtection="1">
      <alignment horizontal="center"/>
      <protection hidden="1"/>
    </xf>
    <xf numFmtId="0" fontId="0" fillId="0" borderId="0" xfId="0" applyAlignment="1">
      <alignment horizontal="center"/>
    </xf>
    <xf numFmtId="0" fontId="21" fillId="0" borderId="3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0" fillId="14" borderId="34" xfId="0" applyFill="1" applyBorder="1" applyAlignment="1">
      <alignment horizontal="center" vertical="center"/>
    </xf>
    <xf numFmtId="0" fontId="0" fillId="14" borderId="34" xfId="0" applyFill="1" applyBorder="1" applyAlignment="1">
      <alignment horizontal="center" wrapText="1"/>
    </xf>
    <xf numFmtId="0" fontId="0" fillId="0" borderId="34" xfId="0" applyBorder="1"/>
    <xf numFmtId="0" fontId="0" fillId="0" borderId="34" xfId="0" applyBorder="1" applyAlignment="1">
      <alignment horizontal="center"/>
    </xf>
    <xf numFmtId="0" fontId="0" fillId="11" borderId="34" xfId="0" applyFill="1" applyBorder="1"/>
    <xf numFmtId="0" fontId="0" fillId="11" borderId="34" xfId="0" applyFill="1" applyBorder="1" applyAlignment="1">
      <alignment horizontal="center" wrapText="1"/>
    </xf>
    <xf numFmtId="0" fontId="7" fillId="0" borderId="19" xfId="0" applyFont="1" applyBorder="1" applyAlignment="1" applyProtection="1">
      <alignment horizontal="center" vertical="center"/>
      <protection locked="0"/>
    </xf>
    <xf numFmtId="0" fontId="7" fillId="0" borderId="17" xfId="0" applyFont="1" applyBorder="1" applyAlignment="1" applyProtection="1">
      <alignment horizontal="center" vertical="center"/>
      <protection locked="0"/>
    </xf>
    <xf numFmtId="0" fontId="38" fillId="0" borderId="19" xfId="0" applyFont="1" applyBorder="1" applyAlignment="1" applyProtection="1">
      <alignment horizontal="center" vertical="center"/>
      <protection locked="0"/>
    </xf>
    <xf numFmtId="0" fontId="7" fillId="0" borderId="10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>
      <alignment horizontal="center"/>
    </xf>
    <xf numFmtId="0" fontId="21" fillId="0" borderId="9" xfId="0" applyFont="1" applyBorder="1" applyAlignment="1">
      <alignment horizontal="center"/>
    </xf>
    <xf numFmtId="0" fontId="6" fillId="0" borderId="56" xfId="0" applyFont="1" applyBorder="1" applyAlignment="1">
      <alignment horizontal="center"/>
    </xf>
    <xf numFmtId="0" fontId="0" fillId="2" borderId="0" xfId="0" applyFill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37" fillId="0" borderId="3" xfId="0" applyFont="1" applyBorder="1" applyAlignment="1" applyProtection="1">
      <alignment horizontal="left" vertical="center"/>
      <protection locked="0"/>
    </xf>
    <xf numFmtId="49" fontId="37" fillId="0" borderId="3" xfId="0" applyNumberFormat="1" applyFont="1" applyBorder="1" applyAlignment="1" applyProtection="1">
      <alignment horizontal="left" vertical="center"/>
      <protection locked="0"/>
    </xf>
    <xf numFmtId="14" fontId="37" fillId="0" borderId="3" xfId="0" applyNumberFormat="1" applyFont="1" applyBorder="1" applyAlignment="1" applyProtection="1">
      <alignment horizontal="left" vertical="center"/>
      <protection locked="0"/>
    </xf>
    <xf numFmtId="0" fontId="6" fillId="17" borderId="0" xfId="0" applyFont="1" applyFill="1" applyAlignment="1" applyProtection="1">
      <alignment horizontal="center"/>
      <protection locked="0"/>
    </xf>
    <xf numFmtId="15" fontId="5" fillId="10" borderId="3" xfId="0" applyNumberFormat="1" applyFont="1" applyFill="1" applyBorder="1" applyAlignment="1" applyProtection="1">
      <alignment horizontal="center"/>
      <protection locked="0"/>
    </xf>
    <xf numFmtId="0" fontId="5" fillId="2" borderId="0" xfId="0" applyFont="1" applyFill="1" applyProtection="1">
      <protection locked="0"/>
    </xf>
    <xf numFmtId="0" fontId="8" fillId="2" borderId="0" xfId="0" applyFont="1" applyFill="1" applyAlignment="1" applyProtection="1">
      <alignment horizontal="center"/>
      <protection locked="0"/>
    </xf>
    <xf numFmtId="0" fontId="8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0" fillId="10" borderId="0" xfId="0" applyFill="1" applyProtection="1">
      <protection locked="0"/>
    </xf>
    <xf numFmtId="0" fontId="7" fillId="11" borderId="0" xfId="0" applyFont="1" applyFill="1" applyProtection="1">
      <protection locked="0"/>
    </xf>
    <xf numFmtId="0" fontId="32" fillId="11" borderId="3" xfId="0" applyFont="1" applyFill="1" applyBorder="1" applyAlignment="1" applyProtection="1">
      <alignment horizontal="left"/>
      <protection locked="0"/>
    </xf>
    <xf numFmtId="0" fontId="30" fillId="11" borderId="3" xfId="0" applyFont="1" applyFill="1" applyBorder="1" applyAlignment="1" applyProtection="1">
      <alignment horizontal="left"/>
      <protection locked="0"/>
    </xf>
    <xf numFmtId="0" fontId="30" fillId="11" borderId="3" xfId="0" applyFont="1" applyFill="1" applyBorder="1" applyAlignment="1" applyProtection="1">
      <alignment horizontal="left" vertical="center"/>
      <protection locked="0"/>
    </xf>
    <xf numFmtId="0" fontId="24" fillId="11" borderId="0" xfId="0" applyFont="1" applyFill="1" applyProtection="1">
      <protection locked="0"/>
    </xf>
    <xf numFmtId="0" fontId="13" fillId="8" borderId="3" xfId="0" applyFont="1" applyFill="1" applyBorder="1" applyAlignment="1" applyProtection="1">
      <alignment horizontal="center" vertical="center" wrapText="1"/>
      <protection locked="0"/>
    </xf>
    <xf numFmtId="0" fontId="15" fillId="8" borderId="3" xfId="0" applyFont="1" applyFill="1" applyBorder="1" applyAlignment="1" applyProtection="1">
      <alignment horizontal="center" vertical="center" wrapText="1"/>
      <protection locked="0"/>
    </xf>
    <xf numFmtId="0" fontId="16" fillId="7" borderId="3" xfId="0" applyFont="1" applyFill="1" applyBorder="1" applyAlignment="1" applyProtection="1">
      <alignment horizontal="center" vertical="center" wrapText="1"/>
      <protection locked="0"/>
    </xf>
    <xf numFmtId="0" fontId="15" fillId="7" borderId="3" xfId="0" applyFont="1" applyFill="1" applyBorder="1" applyAlignment="1" applyProtection="1">
      <alignment horizontal="center" vertical="center"/>
      <protection locked="0"/>
    </xf>
    <xf numFmtId="0" fontId="39" fillId="11" borderId="0" xfId="0" applyFont="1" applyFill="1" applyAlignment="1" applyProtection="1">
      <alignment horizontal="center"/>
      <protection locked="0"/>
    </xf>
    <xf numFmtId="0" fontId="40" fillId="11" borderId="0" xfId="0" applyFont="1" applyFill="1" applyAlignment="1" applyProtection="1">
      <alignment horizontal="center" vertical="center"/>
      <protection locked="0"/>
    </xf>
    <xf numFmtId="0" fontId="24" fillId="0" borderId="0" xfId="0" applyFont="1" applyProtection="1">
      <protection locked="0"/>
    </xf>
    <xf numFmtId="0" fontId="30" fillId="18" borderId="3" xfId="0" applyFont="1" applyFill="1" applyBorder="1" applyAlignment="1" applyProtection="1">
      <alignment horizontal="left"/>
      <protection locked="0"/>
    </xf>
    <xf numFmtId="0" fontId="9" fillId="13" borderId="0" xfId="0" applyFont="1" applyFill="1" applyAlignment="1" applyProtection="1">
      <alignment vertical="center"/>
      <protection locked="0"/>
    </xf>
    <xf numFmtId="0" fontId="0" fillId="11" borderId="0" xfId="0" applyFill="1" applyAlignment="1" applyProtection="1">
      <alignment vertical="center"/>
      <protection locked="0"/>
    </xf>
    <xf numFmtId="0" fontId="11" fillId="0" borderId="0" xfId="0" applyFont="1" applyProtection="1">
      <protection locked="0"/>
    </xf>
    <xf numFmtId="0" fontId="11" fillId="0" borderId="55" xfId="0" applyFont="1" applyBorder="1" applyProtection="1">
      <protection locked="0"/>
    </xf>
    <xf numFmtId="0" fontId="5" fillId="2" borderId="29" xfId="0" applyFont="1" applyFill="1" applyBorder="1" applyAlignment="1" applyProtection="1">
      <alignment horizont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9" fillId="2" borderId="0" xfId="0" applyFont="1" applyFill="1" applyAlignment="1" applyProtection="1">
      <alignment horizontal="center" vertical="center"/>
      <protection locked="0"/>
    </xf>
    <xf numFmtId="0" fontId="0" fillId="10" borderId="0" xfId="0" applyFill="1" applyAlignment="1" applyProtection="1">
      <alignment horizontal="center"/>
      <protection locked="0"/>
    </xf>
    <xf numFmtId="0" fontId="0" fillId="11" borderId="0" xfId="0" applyFill="1" applyProtection="1">
      <protection locked="0"/>
    </xf>
    <xf numFmtId="0" fontId="17" fillId="0" borderId="0" xfId="0" applyFont="1" applyAlignment="1" applyProtection="1">
      <alignment horizontal="center"/>
      <protection locked="0"/>
    </xf>
    <xf numFmtId="0" fontId="17" fillId="2" borderId="0" xfId="0" applyFont="1" applyFill="1" applyAlignment="1" applyProtection="1">
      <alignment horizontal="center"/>
      <protection locked="0"/>
    </xf>
    <xf numFmtId="0" fontId="5" fillId="2" borderId="48" xfId="0" applyFont="1" applyFill="1" applyBorder="1" applyAlignment="1" applyProtection="1">
      <alignment horizontal="center"/>
      <protection locked="0"/>
    </xf>
    <xf numFmtId="0" fontId="29" fillId="11" borderId="59" xfId="0" applyFont="1" applyFill="1" applyBorder="1" applyAlignment="1" applyProtection="1">
      <alignment horizontal="left"/>
      <protection locked="0"/>
    </xf>
    <xf numFmtId="0" fontId="29" fillId="2" borderId="59" xfId="0" applyFont="1" applyFill="1" applyBorder="1" applyAlignment="1" applyProtection="1">
      <alignment horizontal="left"/>
      <protection locked="0"/>
    </xf>
    <xf numFmtId="0" fontId="7" fillId="0" borderId="12" xfId="0" applyFont="1" applyBorder="1" applyProtection="1">
      <protection locked="0"/>
    </xf>
    <xf numFmtId="0" fontId="0" fillId="2" borderId="54" xfId="0" applyFill="1" applyBorder="1" applyAlignment="1" applyProtection="1">
      <alignment horizontal="center"/>
      <protection locked="0"/>
    </xf>
    <xf numFmtId="0" fontId="9" fillId="12" borderId="24" xfId="0" applyFont="1" applyFill="1" applyBorder="1" applyAlignment="1" applyProtection="1">
      <alignment horizontal="center" vertical="center"/>
      <protection locked="0"/>
    </xf>
    <xf numFmtId="0" fontId="9" fillId="12" borderId="15" xfId="0" applyFont="1" applyFill="1" applyBorder="1" applyAlignment="1" applyProtection="1">
      <alignment horizontal="center" vertical="center"/>
      <protection locked="0"/>
    </xf>
    <xf numFmtId="0" fontId="6" fillId="12" borderId="53" xfId="0" applyFont="1" applyFill="1" applyBorder="1" applyAlignment="1" applyProtection="1">
      <alignment horizontal="center" vertical="center" wrapText="1"/>
      <protection locked="0"/>
    </xf>
    <xf numFmtId="0" fontId="9" fillId="12" borderId="53" xfId="0" applyFont="1" applyFill="1" applyBorder="1" applyAlignment="1" applyProtection="1">
      <alignment horizontal="center" vertical="center" wrapText="1"/>
      <protection locked="0"/>
    </xf>
    <xf numFmtId="0" fontId="12" fillId="12" borderId="58" xfId="0" applyFont="1" applyFill="1" applyBorder="1" applyAlignment="1" applyProtection="1">
      <alignment horizontal="center" vertical="center" wrapText="1"/>
      <protection locked="0"/>
    </xf>
    <xf numFmtId="0" fontId="9" fillId="12" borderId="52" xfId="0" applyFont="1" applyFill="1" applyBorder="1" applyAlignment="1" applyProtection="1">
      <alignment horizontal="center" vertical="center"/>
      <protection locked="0"/>
    </xf>
    <xf numFmtId="0" fontId="6" fillId="12" borderId="3" xfId="0" applyFont="1" applyFill="1" applyBorder="1" applyAlignment="1" applyProtection="1">
      <alignment horizontal="center" vertical="center"/>
      <protection locked="0"/>
    </xf>
    <xf numFmtId="0" fontId="9" fillId="12" borderId="10" xfId="0" applyFont="1" applyFill="1" applyBorder="1" applyAlignment="1" applyProtection="1">
      <alignment horizontal="center" vertical="center"/>
      <protection locked="0"/>
    </xf>
    <xf numFmtId="0" fontId="6" fillId="6" borderId="17" xfId="0" applyFont="1" applyFill="1" applyBorder="1" applyAlignment="1" applyProtection="1">
      <alignment horizontal="center" vertical="center"/>
      <protection locked="0"/>
    </xf>
    <xf numFmtId="0" fontId="6" fillId="6" borderId="20" xfId="0" applyFont="1" applyFill="1" applyBorder="1" applyAlignment="1" applyProtection="1">
      <alignment horizontal="center" vertical="center"/>
      <protection locked="0"/>
    </xf>
    <xf numFmtId="0" fontId="20" fillId="0" borderId="7" xfId="0" applyFont="1" applyBorder="1" applyAlignment="1" applyProtection="1">
      <alignment horizontal="center"/>
      <protection locked="0"/>
    </xf>
    <xf numFmtId="0" fontId="21" fillId="0" borderId="3" xfId="0" applyFont="1" applyBorder="1" applyProtection="1">
      <protection locked="0"/>
    </xf>
    <xf numFmtId="15" fontId="21" fillId="0" borderId="3" xfId="0" applyNumberFormat="1" applyFont="1" applyBorder="1" applyProtection="1">
      <protection locked="0"/>
    </xf>
    <xf numFmtId="0" fontId="21" fillId="0" borderId="3" xfId="0" applyFont="1" applyBorder="1" applyAlignment="1" applyProtection="1">
      <alignment horizontal="center"/>
      <protection locked="0"/>
    </xf>
    <xf numFmtId="0" fontId="21" fillId="0" borderId="3" xfId="0" applyFont="1" applyBorder="1" applyAlignment="1" applyProtection="1">
      <alignment vertical="center" wrapText="1"/>
      <protection locked="0"/>
    </xf>
    <xf numFmtId="0" fontId="23" fillId="0" borderId="3" xfId="0" applyFont="1" applyBorder="1" applyAlignment="1" applyProtection="1">
      <alignment vertical="center" wrapText="1"/>
      <protection locked="0"/>
    </xf>
    <xf numFmtId="0" fontId="23" fillId="0" borderId="3" xfId="0" applyFont="1" applyBorder="1" applyAlignment="1" applyProtection="1">
      <alignment horizontal="center"/>
      <protection locked="0"/>
    </xf>
    <xf numFmtId="0" fontId="21" fillId="0" borderId="9" xfId="0" applyFont="1" applyBorder="1" applyAlignment="1" applyProtection="1">
      <alignment vertical="center" wrapText="1"/>
      <protection locked="0"/>
    </xf>
    <xf numFmtId="15" fontId="21" fillId="0" borderId="9" xfId="0" applyNumberFormat="1" applyFont="1" applyBorder="1" applyAlignment="1" applyProtection="1">
      <alignment vertical="center" wrapText="1"/>
      <protection locked="0"/>
    </xf>
    <xf numFmtId="0" fontId="21" fillId="0" borderId="9" xfId="0" applyFont="1" applyBorder="1" applyAlignment="1" applyProtection="1">
      <alignment horizontal="center" vertical="center" wrapText="1"/>
      <protection locked="0"/>
    </xf>
    <xf numFmtId="0" fontId="21" fillId="0" borderId="3" xfId="0" applyFont="1" applyBorder="1" applyAlignment="1" applyProtection="1">
      <alignment horizontal="justify" vertical="center" wrapText="1"/>
      <protection locked="0"/>
    </xf>
    <xf numFmtId="15" fontId="21" fillId="0" borderId="3" xfId="0" applyNumberFormat="1" applyFont="1" applyBorder="1" applyAlignment="1" applyProtection="1">
      <alignment horizontal="justify" vertical="center" wrapText="1"/>
      <protection locked="0"/>
    </xf>
    <xf numFmtId="0" fontId="21" fillId="0" borderId="3" xfId="0" applyFont="1" applyBorder="1" applyAlignment="1" applyProtection="1">
      <alignment horizontal="center" vertical="center" wrapText="1"/>
      <protection locked="0"/>
    </xf>
    <xf numFmtId="0" fontId="22" fillId="0" borderId="3" xfId="0" applyFont="1" applyBorder="1" applyProtection="1">
      <protection locked="0"/>
    </xf>
    <xf numFmtId="15" fontId="22" fillId="0" borderId="3" xfId="0" applyNumberFormat="1" applyFont="1" applyBorder="1" applyProtection="1">
      <protection locked="0"/>
    </xf>
    <xf numFmtId="0" fontId="22" fillId="0" borderId="3" xfId="0" applyFont="1" applyBorder="1" applyAlignment="1" applyProtection="1">
      <alignment horizontal="center"/>
      <protection locked="0"/>
    </xf>
    <xf numFmtId="0" fontId="20" fillId="0" borderId="56" xfId="0" applyFont="1" applyBorder="1" applyAlignment="1" applyProtection="1">
      <alignment horizontal="center"/>
      <protection locked="0"/>
    </xf>
    <xf numFmtId="0" fontId="21" fillId="0" borderId="9" xfId="0" applyFont="1" applyBorder="1" applyProtection="1">
      <protection locked="0"/>
    </xf>
    <xf numFmtId="15" fontId="21" fillId="0" borderId="9" xfId="0" applyNumberFormat="1" applyFont="1" applyBorder="1" applyProtection="1">
      <protection locked="0"/>
    </xf>
    <xf numFmtId="0" fontId="21" fillId="0" borderId="9" xfId="0" applyFont="1" applyBorder="1" applyAlignment="1" applyProtection="1">
      <alignment horizontal="center"/>
      <protection locked="0"/>
    </xf>
    <xf numFmtId="0" fontId="23" fillId="0" borderId="9" xfId="0" applyFont="1" applyBorder="1" applyAlignment="1" applyProtection="1">
      <alignment vertical="center" wrapText="1"/>
      <protection locked="0"/>
    </xf>
    <xf numFmtId="0" fontId="23" fillId="0" borderId="9" xfId="0" applyFont="1" applyBorder="1" applyAlignment="1" applyProtection="1">
      <alignment horizontal="center"/>
      <protection locked="0"/>
    </xf>
    <xf numFmtId="0" fontId="21" fillId="2" borderId="9" xfId="0" applyFont="1" applyFill="1" applyBorder="1" applyProtection="1">
      <protection locked="0"/>
    </xf>
    <xf numFmtId="0" fontId="21" fillId="2" borderId="3" xfId="0" applyFont="1" applyFill="1" applyBorder="1" applyProtection="1">
      <protection locked="0"/>
    </xf>
    <xf numFmtId="0" fontId="6" fillId="8" borderId="9" xfId="0" applyFont="1" applyFill="1" applyBorder="1" applyAlignment="1" applyProtection="1">
      <alignment horizontal="center" vertical="center" wrapText="1"/>
      <protection locked="0" hidden="1"/>
    </xf>
    <xf numFmtId="0" fontId="6" fillId="8" borderId="9" xfId="0" applyFont="1" applyFill="1" applyBorder="1" applyAlignment="1" applyProtection="1">
      <alignment horizontal="center" vertical="center"/>
      <protection locked="0" hidden="1"/>
    </xf>
    <xf numFmtId="0" fontId="9" fillId="8" borderId="9" xfId="0" applyFont="1" applyFill="1" applyBorder="1" applyAlignment="1" applyProtection="1">
      <alignment horizontal="center" vertical="center" wrapText="1"/>
      <protection locked="0" hidden="1"/>
    </xf>
    <xf numFmtId="0" fontId="6" fillId="8" borderId="3" xfId="0" applyFont="1" applyFill="1" applyBorder="1" applyAlignment="1" applyProtection="1">
      <alignment horizontal="center" vertical="center" wrapText="1"/>
      <protection locked="0" hidden="1"/>
    </xf>
    <xf numFmtId="0" fontId="9" fillId="8" borderId="9" xfId="2" applyFont="1" applyFill="1" applyBorder="1" applyAlignment="1" applyProtection="1">
      <alignment horizontal="center" vertical="center" wrapText="1"/>
      <protection locked="0" hidden="1"/>
    </xf>
    <xf numFmtId="0" fontId="27" fillId="8" borderId="9" xfId="0" applyFont="1" applyFill="1" applyBorder="1" applyAlignment="1" applyProtection="1">
      <alignment horizontal="center" vertical="center"/>
      <protection locked="0" hidden="1"/>
    </xf>
    <xf numFmtId="0" fontId="0" fillId="11" borderId="3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35" fillId="0" borderId="34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0" fontId="6" fillId="0" borderId="57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62" xfId="0" applyFont="1" applyBorder="1" applyAlignment="1">
      <alignment horizontal="center"/>
    </xf>
    <xf numFmtId="0" fontId="3" fillId="0" borderId="19" xfId="0" applyFont="1" applyBorder="1" applyAlignment="1" applyProtection="1">
      <alignment horizontal="center" vertical="center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41" fillId="0" borderId="19" xfId="0" applyFont="1" applyBorder="1" applyAlignment="1" applyProtection="1">
      <alignment horizontal="center" vertical="center"/>
      <protection locked="0"/>
    </xf>
    <xf numFmtId="0" fontId="38" fillId="0" borderId="13" xfId="0" applyFont="1" applyBorder="1" applyAlignment="1" applyProtection="1">
      <alignment horizontal="center" vertical="center"/>
      <protection locked="0"/>
    </xf>
    <xf numFmtId="0" fontId="38" fillId="0" borderId="10" xfId="0" applyFont="1" applyBorder="1" applyAlignment="1" applyProtection="1">
      <alignment horizontal="center" vertical="center"/>
      <protection locked="0"/>
    </xf>
    <xf numFmtId="0" fontId="0" fillId="0" borderId="65" xfId="0" applyBorder="1"/>
    <xf numFmtId="0" fontId="42" fillId="0" borderId="3" xfId="0" applyFont="1" applyBorder="1" applyProtection="1">
      <protection locked="0"/>
    </xf>
    <xf numFmtId="0" fontId="43" fillId="21" borderId="66" xfId="0" applyFont="1" applyFill="1" applyBorder="1" applyAlignment="1" applyProtection="1">
      <alignment horizontal="center" vertical="center" wrapText="1"/>
      <protection locked="0"/>
    </xf>
    <xf numFmtId="0" fontId="43" fillId="21" borderId="67" xfId="0" applyFont="1" applyFill="1" applyBorder="1" applyAlignment="1" applyProtection="1">
      <alignment horizontal="center" vertical="center" wrapText="1"/>
      <protection locked="0"/>
    </xf>
    <xf numFmtId="0" fontId="0" fillId="21" borderId="67" xfId="0" applyFont="1" applyFill="1" applyBorder="1" applyAlignment="1" applyProtection="1">
      <alignment vertical="center" wrapText="1"/>
      <protection locked="0"/>
    </xf>
    <xf numFmtId="0" fontId="43" fillId="21" borderId="66" xfId="0" applyFont="1" applyFill="1" applyBorder="1" applyAlignment="1" applyProtection="1">
      <alignment horizontal="center" wrapText="1"/>
      <protection locked="0"/>
    </xf>
    <xf numFmtId="0" fontId="43" fillId="21" borderId="67" xfId="0" applyFont="1" applyFill="1" applyBorder="1" applyAlignment="1" applyProtection="1">
      <alignment horizontal="center" wrapText="1"/>
      <protection locked="0"/>
    </xf>
    <xf numFmtId="0" fontId="0" fillId="21" borderId="67" xfId="0" applyFont="1" applyFill="1" applyBorder="1" applyAlignment="1" applyProtection="1">
      <alignment horizontal="center" wrapText="1"/>
      <protection locked="0"/>
    </xf>
    <xf numFmtId="0" fontId="8" fillId="16" borderId="42" xfId="0" applyFont="1" applyFill="1" applyBorder="1" applyAlignment="1" applyProtection="1">
      <alignment horizontal="center" vertical="center"/>
      <protection locked="0"/>
    </xf>
    <xf numFmtId="0" fontId="8" fillId="16" borderId="44" xfId="0" applyFont="1" applyFill="1" applyBorder="1" applyAlignment="1" applyProtection="1">
      <alignment horizontal="center" vertical="center"/>
      <protection locked="0"/>
    </xf>
    <xf numFmtId="0" fontId="8" fillId="16" borderId="36" xfId="0" applyFont="1" applyFill="1" applyBorder="1" applyAlignment="1" applyProtection="1">
      <alignment horizontal="center" vertical="center"/>
      <protection locked="0"/>
    </xf>
    <xf numFmtId="0" fontId="8" fillId="16" borderId="41" xfId="0" applyFont="1" applyFill="1" applyBorder="1" applyAlignment="1" applyProtection="1">
      <alignment horizontal="center" vertical="center"/>
      <protection locked="0"/>
    </xf>
    <xf numFmtId="0" fontId="8" fillId="16" borderId="45" xfId="0" applyFont="1" applyFill="1" applyBorder="1" applyAlignment="1" applyProtection="1">
      <alignment horizontal="center" vertical="center"/>
      <protection locked="0"/>
    </xf>
    <xf numFmtId="0" fontId="8" fillId="16" borderId="35" xfId="0" applyFont="1" applyFill="1" applyBorder="1" applyAlignment="1" applyProtection="1">
      <alignment horizontal="center" vertical="center"/>
      <protection locked="0"/>
    </xf>
    <xf numFmtId="0" fontId="12" fillId="6" borderId="46" xfId="0" applyFont="1" applyFill="1" applyBorder="1" applyAlignment="1" applyProtection="1">
      <alignment horizontal="center" vertical="center" wrapText="1"/>
      <protection locked="0"/>
    </xf>
    <xf numFmtId="0" fontId="12" fillId="6" borderId="11" xfId="0" applyFont="1" applyFill="1" applyBorder="1" applyAlignment="1" applyProtection="1">
      <alignment horizontal="center" vertical="center" wrapText="1"/>
      <protection locked="0"/>
    </xf>
    <xf numFmtId="0" fontId="12" fillId="6" borderId="24" xfId="0" applyFont="1" applyFill="1" applyBorder="1" applyAlignment="1" applyProtection="1">
      <alignment horizontal="center" vertical="center" wrapText="1"/>
      <protection locked="0"/>
    </xf>
    <xf numFmtId="0" fontId="12" fillId="6" borderId="47" xfId="0" applyFont="1" applyFill="1" applyBorder="1" applyAlignment="1" applyProtection="1">
      <alignment horizontal="center" vertical="center" wrapText="1"/>
      <protection locked="0"/>
    </xf>
    <xf numFmtId="0" fontId="12" fillId="6" borderId="23" xfId="0" applyFont="1" applyFill="1" applyBorder="1" applyAlignment="1" applyProtection="1">
      <alignment horizontal="center" vertical="center" wrapText="1"/>
      <protection locked="0"/>
    </xf>
    <xf numFmtId="0" fontId="12" fillId="6" borderId="33" xfId="0" applyFont="1" applyFill="1" applyBorder="1" applyAlignment="1" applyProtection="1">
      <alignment horizontal="center" vertical="center" wrapText="1"/>
      <protection locked="0"/>
    </xf>
    <xf numFmtId="0" fontId="0" fillId="2" borderId="4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11" fillId="0" borderId="0" xfId="0" applyFont="1" applyAlignment="1" applyProtection="1">
      <alignment horizontal="center"/>
      <protection locked="0"/>
    </xf>
    <xf numFmtId="0" fontId="24" fillId="0" borderId="0" xfId="0" applyFont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0" fontId="7" fillId="0" borderId="0" xfId="0" applyFont="1" applyProtection="1">
      <protection locked="0"/>
    </xf>
    <xf numFmtId="0" fontId="9" fillId="2" borderId="27" xfId="0" applyFont="1" applyFill="1" applyBorder="1" applyAlignment="1" applyProtection="1">
      <alignment horizontal="center" vertical="center"/>
      <protection locked="0"/>
    </xf>
    <xf numFmtId="0" fontId="9" fillId="2" borderId="26" xfId="0" applyFont="1" applyFill="1" applyBorder="1" applyAlignment="1" applyProtection="1">
      <alignment horizontal="center" vertical="center"/>
      <protection locked="0"/>
    </xf>
    <xf numFmtId="0" fontId="9" fillId="2" borderId="28" xfId="0" applyFont="1" applyFill="1" applyBorder="1" applyAlignment="1" applyProtection="1">
      <alignment horizontal="center" vertical="center"/>
      <protection locked="0"/>
    </xf>
    <xf numFmtId="0" fontId="32" fillId="15" borderId="60" xfId="0" applyFont="1" applyFill="1" applyBorder="1" applyAlignment="1" applyProtection="1">
      <alignment horizontal="center"/>
      <protection locked="0"/>
    </xf>
    <xf numFmtId="0" fontId="32" fillId="15" borderId="61" xfId="0" applyFont="1" applyFill="1" applyBorder="1" applyAlignment="1" applyProtection="1">
      <alignment horizontal="center"/>
      <protection locked="0"/>
    </xf>
    <xf numFmtId="0" fontId="14" fillId="0" borderId="40" xfId="0" applyFont="1" applyBorder="1" applyAlignment="1" applyProtection="1">
      <alignment horizontal="center"/>
      <protection locked="0"/>
    </xf>
    <xf numFmtId="0" fontId="14" fillId="0" borderId="37" xfId="0" applyFont="1" applyBorder="1" applyAlignment="1" applyProtection="1">
      <alignment horizontal="center"/>
      <protection locked="0"/>
    </xf>
    <xf numFmtId="0" fontId="30" fillId="0" borderId="3" xfId="0" applyFont="1" applyBorder="1" applyAlignment="1" applyProtection="1">
      <alignment horizontal="left"/>
      <protection locked="0"/>
    </xf>
    <xf numFmtId="0" fontId="9" fillId="2" borderId="48" xfId="0" applyFont="1" applyFill="1" applyBorder="1" applyAlignment="1" applyProtection="1">
      <alignment horizontal="center" vertical="center"/>
      <protection locked="0"/>
    </xf>
    <xf numFmtId="0" fontId="9" fillId="2" borderId="49" xfId="0" applyFont="1" applyFill="1" applyBorder="1" applyAlignment="1" applyProtection="1">
      <alignment horizontal="center" vertical="center"/>
      <protection locked="0"/>
    </xf>
    <xf numFmtId="0" fontId="9" fillId="2" borderId="50" xfId="0" applyFont="1" applyFill="1" applyBorder="1" applyAlignment="1" applyProtection="1">
      <alignment horizontal="center" vertical="center"/>
      <protection locked="0"/>
    </xf>
    <xf numFmtId="0" fontId="32" fillId="2" borderId="3" xfId="0" applyFont="1" applyFill="1" applyBorder="1" applyAlignment="1" applyProtection="1">
      <alignment horizontal="left"/>
      <protection locked="0"/>
    </xf>
    <xf numFmtId="0" fontId="0" fillId="2" borderId="3" xfId="0" applyFill="1" applyBorder="1" applyAlignment="1">
      <alignment horizontal="center"/>
    </xf>
    <xf numFmtId="0" fontId="9" fillId="2" borderId="31" xfId="0" applyFont="1" applyFill="1" applyBorder="1" applyAlignment="1" applyProtection="1">
      <alignment horizontal="center" vertical="center"/>
      <protection locked="0"/>
    </xf>
    <xf numFmtId="0" fontId="9" fillId="2" borderId="32" xfId="0" applyFont="1" applyFill="1" applyBorder="1" applyAlignment="1" applyProtection="1">
      <alignment horizontal="center" vertical="center"/>
      <protection locked="0"/>
    </xf>
    <xf numFmtId="0" fontId="9" fillId="2" borderId="30" xfId="0" applyFont="1" applyFill="1" applyBorder="1" applyAlignment="1" applyProtection="1">
      <alignment horizontal="center" vertical="center"/>
      <protection locked="0"/>
    </xf>
    <xf numFmtId="0" fontId="6" fillId="10" borderId="4" xfId="0" applyFont="1" applyFill="1" applyBorder="1" applyAlignment="1" applyProtection="1">
      <alignment horizontal="center" vertical="center" wrapText="1"/>
      <protection locked="0"/>
    </xf>
    <xf numFmtId="0" fontId="6" fillId="10" borderId="6" xfId="0" applyFont="1" applyFill="1" applyBorder="1" applyAlignment="1" applyProtection="1">
      <alignment horizontal="center" vertical="center" wrapText="1"/>
      <protection locked="0"/>
    </xf>
    <xf numFmtId="0" fontId="6" fillId="10" borderId="5" xfId="0" applyFont="1" applyFill="1" applyBorder="1" applyAlignment="1" applyProtection="1">
      <alignment horizontal="center" vertical="center" wrapText="1"/>
      <protection locked="0"/>
    </xf>
    <xf numFmtId="0" fontId="30" fillId="0" borderId="4" xfId="0" applyFont="1" applyBorder="1" applyAlignment="1" applyProtection="1">
      <alignment horizontal="left"/>
      <protection locked="0"/>
    </xf>
    <xf numFmtId="0" fontId="30" fillId="0" borderId="5" xfId="0" applyFont="1" applyBorder="1" applyAlignment="1" applyProtection="1">
      <alignment horizontal="left"/>
      <protection locked="0"/>
    </xf>
    <xf numFmtId="0" fontId="30" fillId="0" borderId="6" xfId="0" applyFont="1" applyBorder="1" applyAlignment="1" applyProtection="1">
      <alignment horizontal="left"/>
      <protection locked="0"/>
    </xf>
    <xf numFmtId="0" fontId="14" fillId="9" borderId="4" xfId="0" applyFont="1" applyFill="1" applyBorder="1" applyAlignment="1" applyProtection="1">
      <alignment horizontal="center" vertical="center"/>
      <protection locked="0"/>
    </xf>
    <xf numFmtId="0" fontId="14" fillId="9" borderId="6" xfId="0" applyFont="1" applyFill="1" applyBorder="1" applyAlignment="1" applyProtection="1">
      <alignment horizontal="center" vertical="center"/>
      <protection locked="0"/>
    </xf>
    <xf numFmtId="0" fontId="14" fillId="9" borderId="5" xfId="0" applyFont="1" applyFill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left"/>
      <protection locked="0"/>
    </xf>
    <xf numFmtId="0" fontId="32" fillId="11" borderId="3" xfId="0" applyFont="1" applyFill="1" applyBorder="1" applyAlignment="1" applyProtection="1">
      <alignment horizontal="left" vertical="center"/>
      <protection locked="0"/>
    </xf>
    <xf numFmtId="0" fontId="33" fillId="0" borderId="0" xfId="0" applyFont="1" applyAlignment="1" applyProtection="1">
      <alignment horizontal="center"/>
      <protection locked="0"/>
    </xf>
    <xf numFmtId="0" fontId="24" fillId="0" borderId="0" xfId="0" applyFont="1" applyAlignment="1" applyProtection="1">
      <alignment horizontal="center"/>
      <protection locked="0"/>
    </xf>
    <xf numFmtId="0" fontId="7" fillId="11" borderId="0" xfId="0" applyFont="1" applyFill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0" borderId="36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34" fillId="6" borderId="3" xfId="0" applyFont="1" applyFill="1" applyBorder="1" applyAlignment="1" applyProtection="1">
      <alignment horizontal="center" vertical="center" wrapText="1"/>
      <protection locked="0"/>
    </xf>
    <xf numFmtId="0" fontId="2" fillId="5" borderId="4" xfId="0" applyFont="1" applyFill="1" applyBorder="1" applyAlignment="1" applyProtection="1">
      <alignment horizontal="center" vertical="center"/>
      <protection locked="0"/>
    </xf>
    <xf numFmtId="0" fontId="2" fillId="5" borderId="5" xfId="0" applyFont="1" applyFill="1" applyBorder="1" applyAlignment="1" applyProtection="1">
      <alignment horizontal="center" vertical="center"/>
      <protection locked="0"/>
    </xf>
    <xf numFmtId="0" fontId="2" fillId="5" borderId="6" xfId="0" applyFont="1" applyFill="1" applyBorder="1" applyAlignment="1" applyProtection="1">
      <alignment horizontal="center" vertical="center"/>
      <protection locked="0"/>
    </xf>
    <xf numFmtId="0" fontId="29" fillId="14" borderId="38" xfId="0" applyFont="1" applyFill="1" applyBorder="1" applyAlignment="1" applyProtection="1">
      <alignment horizontal="center"/>
      <protection locked="0"/>
    </xf>
    <xf numFmtId="0" fontId="29" fillId="14" borderId="39" xfId="0" applyFont="1" applyFill="1" applyBorder="1" applyAlignment="1" applyProtection="1">
      <alignment horizontal="center"/>
      <protection locked="0"/>
    </xf>
    <xf numFmtId="16" fontId="14" fillId="0" borderId="40" xfId="0" applyNumberFormat="1" applyFont="1" applyBorder="1" applyAlignment="1" applyProtection="1">
      <alignment horizontal="center"/>
      <protection locked="0"/>
    </xf>
    <xf numFmtId="16" fontId="14" fillId="0" borderId="37" xfId="0" applyNumberFormat="1" applyFont="1" applyBorder="1" applyAlignment="1" applyProtection="1">
      <alignment horizontal="center"/>
      <protection locked="0"/>
    </xf>
    <xf numFmtId="0" fontId="15" fillId="10" borderId="0" xfId="0" applyFont="1" applyFill="1" applyAlignment="1" applyProtection="1">
      <alignment horizontal="center" vertical="center"/>
      <protection locked="0"/>
    </xf>
    <xf numFmtId="0" fontId="15" fillId="5" borderId="9" xfId="0" applyFont="1" applyFill="1" applyBorder="1" applyAlignment="1" applyProtection="1">
      <alignment horizontal="center" vertical="center" textRotation="255" wrapText="1"/>
      <protection locked="0"/>
    </xf>
    <xf numFmtId="0" fontId="15" fillId="5" borderId="18" xfId="0" applyFont="1" applyFill="1" applyBorder="1" applyAlignment="1" applyProtection="1">
      <alignment horizontal="center" vertical="center" textRotation="255" wrapText="1"/>
      <protection locked="0"/>
    </xf>
    <xf numFmtId="0" fontId="15" fillId="5" borderId="10" xfId="0" applyFont="1" applyFill="1" applyBorder="1" applyAlignment="1" applyProtection="1">
      <alignment horizontal="center" vertical="center" textRotation="255" wrapText="1"/>
      <protection locked="0"/>
    </xf>
    <xf numFmtId="0" fontId="4" fillId="4" borderId="4" xfId="0" applyFont="1" applyFill="1" applyBorder="1" applyAlignment="1" applyProtection="1">
      <alignment horizontal="center" vertical="center"/>
      <protection locked="0"/>
    </xf>
    <xf numFmtId="0" fontId="4" fillId="4" borderId="5" xfId="0" applyFont="1" applyFill="1" applyBorder="1" applyAlignment="1" applyProtection="1">
      <alignment horizontal="center" vertical="center"/>
      <protection locked="0"/>
    </xf>
    <xf numFmtId="0" fontId="4" fillId="4" borderId="6" xfId="0" applyFont="1" applyFill="1" applyBorder="1" applyAlignment="1" applyProtection="1">
      <alignment horizontal="center" vertical="center"/>
      <protection locked="0"/>
    </xf>
    <xf numFmtId="0" fontId="36" fillId="10" borderId="3" xfId="0" applyFont="1" applyFill="1" applyBorder="1" applyAlignment="1" applyProtection="1">
      <alignment horizontal="center"/>
      <protection locked="0"/>
    </xf>
    <xf numFmtId="0" fontId="7" fillId="11" borderId="3" xfId="0" applyFont="1" applyFill="1" applyBorder="1" applyAlignment="1">
      <alignment horizontal="center"/>
    </xf>
    <xf numFmtId="0" fontId="28" fillId="7" borderId="4" xfId="0" applyFont="1" applyFill="1" applyBorder="1" applyAlignment="1" applyProtection="1">
      <alignment horizontal="center" vertical="center" wrapText="1"/>
      <protection locked="0"/>
    </xf>
    <xf numFmtId="0" fontId="28" fillId="7" borderId="6" xfId="0" applyFont="1" applyFill="1" applyBorder="1" applyAlignment="1" applyProtection="1">
      <alignment horizontal="center" vertical="center" wrapText="1"/>
      <protection locked="0"/>
    </xf>
    <xf numFmtId="0" fontId="2" fillId="6" borderId="40" xfId="0" applyFont="1" applyFill="1" applyBorder="1" applyAlignment="1" applyProtection="1">
      <alignment horizontal="center" vertical="center"/>
      <protection locked="0"/>
    </xf>
    <xf numFmtId="0" fontId="2" fillId="6" borderId="43" xfId="0" applyFont="1" applyFill="1" applyBorder="1" applyAlignment="1" applyProtection="1">
      <alignment horizontal="center" vertical="center"/>
      <protection locked="0"/>
    </xf>
    <xf numFmtId="0" fontId="2" fillId="6" borderId="37" xfId="0" applyFont="1" applyFill="1" applyBorder="1" applyAlignment="1" applyProtection="1">
      <alignment horizontal="center" vertical="center"/>
      <protection locked="0"/>
    </xf>
    <xf numFmtId="0" fontId="32" fillId="11" borderId="3" xfId="0" applyFont="1" applyFill="1" applyBorder="1" applyAlignment="1" applyProtection="1">
      <alignment horizontal="left" vertical="center" wrapText="1"/>
      <protection locked="0"/>
    </xf>
    <xf numFmtId="0" fontId="15" fillId="10" borderId="0" xfId="0" applyFont="1" applyFill="1" applyAlignment="1" applyProtection="1">
      <alignment horizontal="center" vertical="center" wrapText="1"/>
      <protection locked="0"/>
    </xf>
    <xf numFmtId="0" fontId="6" fillId="2" borderId="9" xfId="0" applyFont="1" applyFill="1" applyBorder="1" applyAlignment="1" applyProtection="1">
      <alignment horizontal="center" vertical="center"/>
      <protection locked="0"/>
    </xf>
    <xf numFmtId="0" fontId="6" fillId="2" borderId="10" xfId="0" applyFont="1" applyFill="1" applyBorder="1" applyAlignment="1" applyProtection="1">
      <alignment horizontal="center" vertical="center"/>
      <protection locked="0"/>
    </xf>
    <xf numFmtId="0" fontId="6" fillId="2" borderId="21" xfId="0" applyFont="1" applyFill="1" applyBorder="1" applyAlignment="1" applyProtection="1">
      <alignment horizontal="center" vertical="center"/>
      <protection locked="0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0" fontId="6" fillId="2" borderId="25" xfId="0" applyFont="1" applyFill="1" applyBorder="1" applyAlignment="1" applyProtection="1">
      <alignment horizontal="center" vertical="center"/>
      <protection locked="0"/>
    </xf>
    <xf numFmtId="0" fontId="6" fillId="2" borderId="33" xfId="0" applyFont="1" applyFill="1" applyBorder="1" applyAlignment="1" applyProtection="1">
      <alignment horizontal="center" vertical="center"/>
      <protection locked="0"/>
    </xf>
    <xf numFmtId="0" fontId="29" fillId="14" borderId="64" xfId="0" applyFont="1" applyFill="1" applyBorder="1" applyAlignment="1" applyProtection="1">
      <alignment horizontal="center"/>
      <protection locked="0"/>
    </xf>
    <xf numFmtId="0" fontId="29" fillId="14" borderId="59" xfId="0" applyFont="1" applyFill="1" applyBorder="1" applyAlignment="1" applyProtection="1">
      <alignment horizontal="center"/>
      <protection locked="0"/>
    </xf>
    <xf numFmtId="0" fontId="7" fillId="0" borderId="3" xfId="0" applyFont="1" applyBorder="1" applyAlignment="1">
      <alignment horizontal="center"/>
    </xf>
    <xf numFmtId="0" fontId="30" fillId="11" borderId="3" xfId="0" applyFont="1" applyFill="1" applyBorder="1" applyAlignment="1" applyProtection="1">
      <alignment horizontal="center"/>
      <protection locked="0"/>
    </xf>
    <xf numFmtId="0" fontId="0" fillId="2" borderId="0" xfId="0" applyFill="1" applyAlignment="1" applyProtection="1">
      <alignment horizontal="center" vertical="center" wrapText="1"/>
      <protection locked="0"/>
    </xf>
    <xf numFmtId="0" fontId="29" fillId="2" borderId="1" xfId="0" applyFont="1" applyFill="1" applyBorder="1" applyAlignment="1" applyProtection="1">
      <alignment horizontal="center"/>
      <protection locked="0"/>
    </xf>
    <xf numFmtId="0" fontId="26" fillId="0" borderId="2" xfId="0" applyFont="1" applyBorder="1" applyProtection="1">
      <protection locked="0"/>
    </xf>
    <xf numFmtId="0" fontId="4" fillId="3" borderId="4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4" fillId="3" borderId="51" xfId="0" applyFont="1" applyFill="1" applyBorder="1" applyAlignment="1" applyProtection="1">
      <alignment horizontal="center"/>
      <protection locked="0"/>
    </xf>
    <xf numFmtId="0" fontId="36" fillId="10" borderId="3" xfId="0" applyFont="1" applyFill="1" applyBorder="1" applyAlignment="1" applyProtection="1">
      <alignment horizontal="center" vertical="center"/>
      <protection locked="0"/>
    </xf>
    <xf numFmtId="0" fontId="26" fillId="0" borderId="3" xfId="0" applyFont="1" applyBorder="1" applyAlignment="1" applyProtection="1">
      <alignment horizontal="center"/>
      <protection locked="0"/>
    </xf>
    <xf numFmtId="0" fontId="10" fillId="3" borderId="1" xfId="0" applyFont="1" applyFill="1" applyBorder="1" applyAlignment="1" applyProtection="1">
      <alignment horizontal="center"/>
      <protection locked="0"/>
    </xf>
    <xf numFmtId="0" fontId="2" fillId="4" borderId="2" xfId="0" applyFont="1" applyFill="1" applyBorder="1" applyProtection="1">
      <protection locked="0"/>
    </xf>
    <xf numFmtId="0" fontId="4" fillId="17" borderId="4" xfId="0" applyFont="1" applyFill="1" applyBorder="1" applyAlignment="1" applyProtection="1">
      <alignment horizontal="center"/>
      <protection locked="0"/>
    </xf>
    <xf numFmtId="0" fontId="4" fillId="17" borderId="5" xfId="0" applyFont="1" applyFill="1" applyBorder="1" applyAlignment="1" applyProtection="1">
      <alignment horizontal="center"/>
      <protection locked="0"/>
    </xf>
    <xf numFmtId="0" fontId="4" fillId="17" borderId="51" xfId="0" applyFont="1" applyFill="1" applyBorder="1" applyAlignment="1" applyProtection="1">
      <alignment horizontal="center"/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6" fillId="2" borderId="0" xfId="0" applyFont="1" applyFill="1" applyAlignment="1" applyProtection="1">
      <alignment horizontal="center"/>
      <protection locked="0"/>
    </xf>
    <xf numFmtId="0" fontId="29" fillId="2" borderId="1" xfId="0" applyFont="1" applyFill="1" applyBorder="1" applyAlignment="1" applyProtection="1">
      <alignment horizontal="center" vertical="center"/>
      <protection locked="0"/>
    </xf>
    <xf numFmtId="0" fontId="26" fillId="0" borderId="2" xfId="0" applyFont="1" applyBorder="1" applyAlignment="1" applyProtection="1">
      <alignment horizontal="center" vertical="center"/>
      <protection locked="0"/>
    </xf>
    <xf numFmtId="0" fontId="26" fillId="15" borderId="3" xfId="0" applyFont="1" applyFill="1" applyBorder="1" applyAlignment="1" applyProtection="1">
      <alignment horizontal="center"/>
      <protection locked="0"/>
    </xf>
    <xf numFmtId="0" fontId="7" fillId="15" borderId="3" xfId="0" applyFont="1" applyFill="1" applyBorder="1" applyAlignment="1" applyProtection="1">
      <alignment horizontal="center"/>
      <protection locked="0"/>
    </xf>
    <xf numFmtId="0" fontId="6" fillId="19" borderId="3" xfId="0" applyFont="1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/>
      <protection locked="0"/>
    </xf>
    <xf numFmtId="0" fontId="31" fillId="19" borderId="3" xfId="0" applyFont="1" applyFill="1" applyBorder="1" applyAlignment="1" applyProtection="1">
      <alignment horizontal="center" vertical="center"/>
      <protection locked="0"/>
    </xf>
    <xf numFmtId="0" fontId="4" fillId="19" borderId="55" xfId="0" applyFont="1" applyFill="1" applyBorder="1" applyAlignment="1" applyProtection="1">
      <alignment horizontal="center" vertical="center"/>
      <protection locked="0"/>
    </xf>
    <xf numFmtId="0" fontId="4" fillId="19" borderId="0" xfId="0" applyFont="1" applyFill="1" applyAlignment="1" applyProtection="1">
      <alignment horizontal="center" vertical="center"/>
      <protection locked="0"/>
    </xf>
    <xf numFmtId="0" fontId="5" fillId="20" borderId="9" xfId="0" applyFont="1" applyFill="1" applyBorder="1" applyAlignment="1" applyProtection="1">
      <alignment horizontal="center"/>
      <protection locked="0"/>
    </xf>
    <xf numFmtId="0" fontId="5" fillId="20" borderId="18" xfId="0" applyFont="1" applyFill="1" applyBorder="1" applyAlignment="1" applyProtection="1">
      <alignment horizontal="center"/>
      <protection locked="0"/>
    </xf>
    <xf numFmtId="0" fontId="5" fillId="20" borderId="63" xfId="0" applyFont="1" applyFill="1" applyBorder="1" applyAlignment="1" applyProtection="1">
      <alignment horizontal="center"/>
      <protection locked="0"/>
    </xf>
    <xf numFmtId="0" fontId="27" fillId="20" borderId="4" xfId="0" applyFont="1" applyFill="1" applyBorder="1" applyAlignment="1" applyProtection="1">
      <alignment horizontal="center" vertical="center" wrapText="1"/>
      <protection locked="0"/>
    </xf>
    <xf numFmtId="0" fontId="27" fillId="20" borderId="5" xfId="0" applyFont="1" applyFill="1" applyBorder="1" applyAlignment="1" applyProtection="1">
      <alignment horizontal="center" vertical="center" wrapText="1"/>
      <protection locked="0"/>
    </xf>
    <xf numFmtId="0" fontId="27" fillId="20" borderId="6" xfId="0" applyFont="1" applyFill="1" applyBorder="1" applyAlignment="1" applyProtection="1">
      <alignment horizontal="center" vertical="center" wrapText="1"/>
      <protection locked="0"/>
    </xf>
    <xf numFmtId="0" fontId="27" fillId="20" borderId="4" xfId="0" applyFont="1" applyFill="1" applyBorder="1" applyAlignment="1" applyProtection="1">
      <alignment horizontal="center" vertical="center"/>
      <protection locked="0"/>
    </xf>
    <xf numFmtId="0" fontId="27" fillId="20" borderId="5" xfId="0" applyFont="1" applyFill="1" applyBorder="1" applyAlignment="1" applyProtection="1">
      <alignment horizontal="center" vertical="center"/>
      <protection locked="0"/>
    </xf>
    <xf numFmtId="0" fontId="27" fillId="20" borderId="6" xfId="0" applyFont="1" applyFill="1" applyBorder="1" applyAlignment="1" applyProtection="1">
      <alignment horizontal="center" vertical="center"/>
      <protection locked="0"/>
    </xf>
    <xf numFmtId="0" fontId="8" fillId="20" borderId="4" xfId="0" applyFont="1" applyFill="1" applyBorder="1" applyAlignment="1" applyProtection="1">
      <alignment horizontal="center" vertical="center" wrapText="1"/>
      <protection locked="0"/>
    </xf>
    <xf numFmtId="0" fontId="8" fillId="20" borderId="5" xfId="0" applyFont="1" applyFill="1" applyBorder="1" applyAlignment="1" applyProtection="1">
      <alignment horizontal="center" vertical="center" wrapText="1"/>
      <protection locked="0"/>
    </xf>
    <xf numFmtId="0" fontId="8" fillId="20" borderId="6" xfId="0" applyFont="1" applyFill="1" applyBorder="1" applyAlignment="1" applyProtection="1">
      <alignment horizontal="center" vertical="center" wrapText="1"/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3" fillId="4" borderId="2" xfId="0" applyFont="1" applyFill="1" applyBorder="1" applyProtection="1">
      <protection locked="0"/>
    </xf>
    <xf numFmtId="0" fontId="0" fillId="0" borderId="0" xfId="0" applyAlignment="1" applyProtection="1">
      <alignment horizontal="center"/>
      <protection locked="0"/>
    </xf>
  </cellXfs>
  <cellStyles count="3">
    <cellStyle name="Moneda" xfId="1" builtinId="4"/>
    <cellStyle name="Normal" xfId="0" builtinId="0"/>
    <cellStyle name="Normal 2" xfId="2" xr:uid="{52B1C8F4-A526-473F-ADFF-BC72B28802A7}"/>
  </cellStyles>
  <dxfs count="555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  <protection locked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00000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  <protection locked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20" formatCode="d\-mmm\-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/>
    </dxf>
    <dxf>
      <protection locked="0"/>
    </dxf>
    <dxf>
      <border outline="0">
        <left style="thin">
          <color rgb="FF000000"/>
        </left>
        <right style="thin">
          <color rgb="FF000000"/>
        </right>
      </border>
    </dxf>
    <dxf>
      <protection locked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D8D8D8"/>
          <bgColor rgb="FFD8D8D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  <protection locked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  <protection locked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00000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  <protection locked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20" formatCode="d\-mmm\-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/>
    </dxf>
    <dxf>
      <protection locked="0"/>
    </dxf>
    <dxf>
      <border outline="0">
        <left style="thin">
          <color rgb="FF000000"/>
        </left>
        <right style="thin">
          <color rgb="FF000000"/>
        </right>
      </border>
    </dxf>
    <dxf>
      <protection locked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D8D8D8"/>
          <bgColor rgb="FFD8D8D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  <protection locked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  <protection locked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00000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  <protection locked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20" formatCode="d\-mmm\-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/>
    </dxf>
    <dxf>
      <protection locked="0"/>
    </dxf>
    <dxf>
      <border outline="0">
        <left style="thin">
          <color rgb="FF000000"/>
        </left>
        <right style="thin">
          <color rgb="FF000000"/>
        </right>
      </border>
    </dxf>
    <dxf>
      <protection locked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D8D8D8"/>
          <bgColor rgb="FFD8D8D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  <protection locked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  <protection locked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00000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  <protection locked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20" formatCode="d\-mmm\-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/>
    </dxf>
    <dxf>
      <protection locked="0"/>
    </dxf>
    <dxf>
      <border outline="0">
        <left style="thin">
          <color rgb="FF000000"/>
        </left>
        <right style="thin">
          <color rgb="FF000000"/>
        </right>
      </border>
    </dxf>
    <dxf>
      <protection locked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D8D8D8"/>
          <bgColor rgb="FFD8D8D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  <protection locked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  <protection locked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00000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  <protection locked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20" formatCode="d\-mmm\-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/>
    </dxf>
    <dxf>
      <protection locked="0"/>
    </dxf>
    <dxf>
      <border outline="0">
        <left style="thin">
          <color rgb="FF000000"/>
        </left>
        <right style="thin">
          <color rgb="FF000000"/>
        </right>
      </border>
    </dxf>
    <dxf>
      <protection locked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D8D8D8"/>
          <bgColor rgb="FFD8D8D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  <protection locked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drawings/_rels/drawing1.xml.rels><?xml version='1.0' encoding='UTF-8' standalone='yes'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'1.0' encoding='UTF-8' standalone='yes'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'1.0' encoding='UTF-8' standalone='yes'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'1.0' encoding='UTF-8' standalone='yes'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'1.0' encoding='UTF-8' standalone='yes'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'1.0' encoding='UTF-8' standalone='yes'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'1.0' encoding='UTF-8' standalone='yes'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'1.0' encoding='UTF-8' standalone='yes'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'1.0' encoding='UTF-8' standalone='yes'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'1.0' encoding='UTF-8' standalone='yes'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'1.0' encoding='UTF-8' standalone='yes'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'1.0' encoding='UTF-8' standalone='yes'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234949</xdr:colOff>
      <xdr:row>1</xdr:row>
      <xdr:rowOff>52916</xdr:rowOff>
    </xdr:from>
    <xdr:to>
      <xdr:col>1</xdr:col>
      <xdr:colOff>1189564</xdr:colOff>
      <xdr:row>4</xdr:row>
      <xdr:rowOff>642503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47FF99D-438A-4781-B7A7-911DA0EBD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524" y="243416"/>
          <a:ext cx="954615" cy="11610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234949</xdr:colOff>
      <xdr:row>1</xdr:row>
      <xdr:rowOff>52916</xdr:rowOff>
    </xdr:from>
    <xdr:to>
      <xdr:col>1</xdr:col>
      <xdr:colOff>1189564</xdr:colOff>
      <xdr:row>4</xdr:row>
      <xdr:rowOff>642503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47FF99D-438A-4781-B7A7-911DA0EBD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524" y="243416"/>
          <a:ext cx="954615" cy="11610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234949</xdr:colOff>
      <xdr:row>1</xdr:row>
      <xdr:rowOff>52916</xdr:rowOff>
    </xdr:from>
    <xdr:to>
      <xdr:col>1</xdr:col>
      <xdr:colOff>1189564</xdr:colOff>
      <xdr:row>4</xdr:row>
      <xdr:rowOff>642503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47FF99D-438A-4781-B7A7-911DA0EBD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524" y="243416"/>
          <a:ext cx="954615" cy="11610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234949</xdr:colOff>
      <xdr:row>1</xdr:row>
      <xdr:rowOff>52916</xdr:rowOff>
    </xdr:from>
    <xdr:to>
      <xdr:col>1</xdr:col>
      <xdr:colOff>1189564</xdr:colOff>
      <xdr:row>4</xdr:row>
      <xdr:rowOff>642503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47FF99D-438A-4781-B7A7-911DA0EBD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524" y="243416"/>
          <a:ext cx="954615" cy="11610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234949</xdr:colOff>
      <xdr:row>1</xdr:row>
      <xdr:rowOff>52916</xdr:rowOff>
    </xdr:from>
    <xdr:to>
      <xdr:col>1</xdr:col>
      <xdr:colOff>1189564</xdr:colOff>
      <xdr:row>4</xdr:row>
      <xdr:rowOff>642503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47FF99D-438A-4781-B7A7-911DA0EBD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524" y="243416"/>
          <a:ext cx="954615" cy="11610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234949</xdr:colOff>
      <xdr:row>1</xdr:row>
      <xdr:rowOff>52916</xdr:rowOff>
    </xdr:from>
    <xdr:to>
      <xdr:col>1</xdr:col>
      <xdr:colOff>1189564</xdr:colOff>
      <xdr:row>4</xdr:row>
      <xdr:rowOff>642503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47FF99D-438A-4781-B7A7-911DA0EBD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524" y="243416"/>
          <a:ext cx="954615" cy="11610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234949</xdr:colOff>
      <xdr:row>1</xdr:row>
      <xdr:rowOff>52916</xdr:rowOff>
    </xdr:from>
    <xdr:to>
      <xdr:col>1</xdr:col>
      <xdr:colOff>1189564</xdr:colOff>
      <xdr:row>4</xdr:row>
      <xdr:rowOff>642503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47FF99D-438A-4781-B7A7-911DA0EBD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524" y="243416"/>
          <a:ext cx="954615" cy="11610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234949</xdr:colOff>
      <xdr:row>1</xdr:row>
      <xdr:rowOff>52916</xdr:rowOff>
    </xdr:from>
    <xdr:to>
      <xdr:col>1</xdr:col>
      <xdr:colOff>1189564</xdr:colOff>
      <xdr:row>4</xdr:row>
      <xdr:rowOff>642503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47FF99D-438A-4781-B7A7-911DA0EBD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524" y="243416"/>
          <a:ext cx="954615" cy="11610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234949</xdr:colOff>
      <xdr:row>1</xdr:row>
      <xdr:rowOff>52916</xdr:rowOff>
    </xdr:from>
    <xdr:to>
      <xdr:col>1</xdr:col>
      <xdr:colOff>1189564</xdr:colOff>
      <xdr:row>4</xdr:row>
      <xdr:rowOff>642503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47FF99D-438A-4781-B7A7-911DA0EBD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524" y="243416"/>
          <a:ext cx="954615" cy="11610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234949</xdr:colOff>
      <xdr:row>1</xdr:row>
      <xdr:rowOff>52916</xdr:rowOff>
    </xdr:from>
    <xdr:to>
      <xdr:col>1</xdr:col>
      <xdr:colOff>1189564</xdr:colOff>
      <xdr:row>4</xdr:row>
      <xdr:rowOff>642503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47FF99D-438A-4781-B7A7-911DA0EBD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524" y="243416"/>
          <a:ext cx="954615" cy="11610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234949</xdr:colOff>
      <xdr:row>1</xdr:row>
      <xdr:rowOff>52916</xdr:rowOff>
    </xdr:from>
    <xdr:to>
      <xdr:col>1</xdr:col>
      <xdr:colOff>1189564</xdr:colOff>
      <xdr:row>4</xdr:row>
      <xdr:rowOff>642503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47FF99D-438A-4781-B7A7-911DA0EBD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524" y="243416"/>
          <a:ext cx="954615" cy="11610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234949</xdr:colOff>
      <xdr:row>1</xdr:row>
      <xdr:rowOff>52916</xdr:rowOff>
    </xdr:from>
    <xdr:to>
      <xdr:col>1</xdr:col>
      <xdr:colOff>1189564</xdr:colOff>
      <xdr:row>4</xdr:row>
      <xdr:rowOff>642503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47FF99D-438A-4781-B7A7-911DA0EBD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524" y="243416"/>
          <a:ext cx="954615" cy="11610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aEnero" displayName="TablaEnero" ref="A23:BB504" headerRowDxfId="554" dataDxfId="553" totalsRowDxfId="551" tableBorderDxfId="552">
  <autoFilter ref="A23:BB504"/>
  <tableColumns count="54">
    <tableColumn id="1" name="No" totalsRowLabel="Total" dataDxfId="550" totalsRowDxfId="549"/>
    <tableColumn id="2" name="NOMBRE" dataDxfId="548" totalsRowDxfId="547"/>
    <tableColumn id="3" name="PRIMER APELLIDO" dataDxfId="546" totalsRowDxfId="545"/>
    <tableColumn id="4" name="SEGUNDO APELLIDO" dataDxfId="544" totalsRowDxfId="543"/>
    <tableColumn id="55" name="FECHA DE NACIMIENTO" dataDxfId="542" totalsRowDxfId="541"/>
    <tableColumn id="5" name="EDAD" dataDxfId="540">
      <calculatedColumnFormula>IF(E24="","",DATEDIF(E24,$I$7,"Y"))</calculatedColumnFormula>
    </tableColumn>
    <tableColumn id="7" name="TIPO DOCUMENTO" dataDxfId="539" totalsRowDxfId="538"/>
    <tableColumn id="8" name="DOCUMENTO " dataDxfId="537" totalsRowDxfId="536"/>
    <tableColumn id="9" name="SEXO" dataDxfId="535" totalsRowDxfId="534"/>
    <tableColumn id="11" name=" I.E - COLEGIO -GRUPO - CLUB " dataDxfId="533" totalsRowDxfId="532"/>
    <tableColumn id="12" name="GRADO " dataDxfId="531" totalsRowDxfId="530"/>
    <tableColumn id="13" name="TIPO DISCAPACIDAD" dataDxfId="529" totalsRowDxfId="528"/>
    <tableColumn id="14" name="ORI. SEXUAL" dataDxfId="527" totalsRowDxfId="526"/>
    <tableColumn id="54" name="VICTIMA CONF. ARMADO" dataDxfId="525" totalsRowDxfId="524"/>
    <tableColumn id="15" name="ETNIA " dataDxfId="523" totalsRowDxfId="522"/>
    <tableColumn id="16" name="DIRECCIÓN" dataDxfId="521" totalsRowDxfId="520"/>
    <tableColumn id="17" name="BARRIO" dataDxfId="519" totalsRowDxfId="518"/>
    <tableColumn id="18" name=" COMUNA" dataDxfId="517" totalsRowDxfId="516">
      <calculatedColumnFormula>IFERROR(VLOOKUP(TablaEnero[[#This Row],[BARRIO]],SECTOR!$A:$B,2,0),"")</calculatedColumnFormula>
    </tableColumn>
    <tableColumn id="19" name="EPS" dataDxfId="515" totalsRowDxfId="514"/>
    <tableColumn id="20" name="TELEFONO" dataDxfId="513" totalsRowDxfId="512"/>
    <tableColumn id="21" name="SA1" dataDxfId="511" totalsRowDxfId="510" dataCellStyle="Moneda"/>
    <tableColumn id="22" name="DO2" dataDxfId="509" totalsRowDxfId="508" dataCellStyle="Moneda"/>
    <tableColumn id="23" name="LU3" dataDxfId="507" totalsRowDxfId="506" dataCellStyle="Moneda"/>
    <tableColumn id="24" name="MA4" dataDxfId="505" totalsRowDxfId="504" dataCellStyle="Moneda"/>
    <tableColumn id="25" name="MI5" dataDxfId="503" totalsRowDxfId="502" dataCellStyle="Moneda"/>
    <tableColumn id="26" name="JU6" dataDxfId="501" totalsRowDxfId="500" dataCellStyle="Moneda"/>
    <tableColumn id="27" name="VI7" dataDxfId="499" totalsRowDxfId="498" dataCellStyle="Moneda"/>
    <tableColumn id="28" name="SA8" dataDxfId="497" totalsRowDxfId="496" dataCellStyle="Moneda"/>
    <tableColumn id="29" name="DO9" dataDxfId="495" totalsRowDxfId="494" dataCellStyle="Moneda"/>
    <tableColumn id="30" name="LU10" dataDxfId="493" totalsRowDxfId="492" dataCellStyle="Moneda"/>
    <tableColumn id="31" name="MA11" dataDxfId="491" totalsRowDxfId="490" dataCellStyle="Moneda"/>
    <tableColumn id="32" name="MI12" dataDxfId="489" totalsRowDxfId="488" dataCellStyle="Moneda"/>
    <tableColumn id="33" name="JU13" dataDxfId="487" totalsRowDxfId="486" dataCellStyle="Moneda"/>
    <tableColumn id="34" name="VI14" dataDxfId="485" totalsRowDxfId="484" dataCellStyle="Moneda"/>
    <tableColumn id="35" name="SA15" dataDxfId="483" totalsRowDxfId="482" dataCellStyle="Moneda"/>
    <tableColumn id="36" name="DO16" dataDxfId="481" totalsRowDxfId="480" dataCellStyle="Moneda"/>
    <tableColumn id="37" name="LU17" dataDxfId="479" totalsRowDxfId="478" dataCellStyle="Moneda"/>
    <tableColumn id="38" name="MA18" dataDxfId="477" totalsRowDxfId="476" dataCellStyle="Moneda"/>
    <tableColumn id="39" name="MI19" dataDxfId="475" totalsRowDxfId="474" dataCellStyle="Moneda"/>
    <tableColumn id="40" name="JU20" dataDxfId="473" totalsRowDxfId="472" dataCellStyle="Moneda"/>
    <tableColumn id="41" name="VI21" dataDxfId="471" totalsRowDxfId="470" dataCellStyle="Moneda"/>
    <tableColumn id="42" name="SA22" dataDxfId="469" totalsRowDxfId="468" dataCellStyle="Moneda"/>
    <tableColumn id="43" name="DO23" dataDxfId="467" totalsRowDxfId="466" dataCellStyle="Moneda"/>
    <tableColumn id="44" name="LU24" dataDxfId="465" totalsRowDxfId="464" dataCellStyle="Moneda"/>
    <tableColumn id="45" name="MA25" dataDxfId="463" totalsRowDxfId="462" dataCellStyle="Moneda"/>
    <tableColumn id="46" name="MI26" dataDxfId="461" totalsRowDxfId="460" dataCellStyle="Moneda"/>
    <tableColumn id="47" name="JU27" dataDxfId="459" totalsRowDxfId="458" dataCellStyle="Moneda"/>
    <tableColumn id="48" name="VI28" dataDxfId="457" totalsRowDxfId="456" dataCellStyle="Moneda"/>
    <tableColumn id="49" name="SA29" dataDxfId="455" totalsRowDxfId="454" dataCellStyle="Moneda"/>
    <tableColumn id="50" name="DO30" dataDxfId="453" totalsRowDxfId="452" dataCellStyle="Moneda"/>
    <tableColumn id="51" name="LU31" dataDxfId="451" totalsRowDxfId="450" dataCellStyle="Moneda"/>
    <tableColumn id="52" name="A" totalsRowFunction="sum" dataDxfId="449" totalsRowDxfId="448">
      <calculatedColumnFormula>COUNTIF(U24:AY24,"A")</calculatedColumnFormula>
    </tableColumn>
    <tableColumn id="53" name="F" totalsRowFunction="sum" dataDxfId="447" totalsRowDxfId="446">
      <calculatedColumnFormula>COUNTIF(U24:AY24,"F")</calculatedColumnFormula>
    </tableColumn>
    <tableColumn id="56" name="E" totalsRowFunction="sum" dataDxfId="445" totalsRowDxfId="444">
      <calculatedColumnFormula>COUNTIF(U24:AY24,"E")</calculatedColumnFormula>
    </tableColumn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ablaFebrero" displayName="TablaFebrero" ref="A23:BB504" headerRowDxfId="554" dataDxfId="553" totalsRowDxfId="551" tableBorderDxfId="552">
  <autoFilter ref="A23:BB504"/>
  <tableColumns count="54">
    <tableColumn id="1" name="No" totalsRowLabel="Total" dataDxfId="550" totalsRowDxfId="549"/>
    <tableColumn id="2" name="NOMBRE" dataDxfId="548" totalsRowDxfId="547"/>
    <tableColumn id="3" name="PRIMER APELLIDO" dataDxfId="546" totalsRowDxfId="545"/>
    <tableColumn id="4" name="SEGUNDO APELLIDO" dataDxfId="544" totalsRowDxfId="543"/>
    <tableColumn id="55" name="FECHA DE NACIMIENTO" dataDxfId="542" totalsRowDxfId="541"/>
    <tableColumn id="5" name="EDAD" dataDxfId="540">
      <calculatedColumnFormula>IF(E24="","",DATEDIF(E24,$I$7,"Y"))</calculatedColumnFormula>
    </tableColumn>
    <tableColumn id="7" name="TIPO DOCUMENTO" dataDxfId="539" totalsRowDxfId="538"/>
    <tableColumn id="8" name="DOCUMENTO " dataDxfId="537" totalsRowDxfId="536"/>
    <tableColumn id="9" name="SEXO" dataDxfId="535" totalsRowDxfId="534"/>
    <tableColumn id="11" name=" I.E - COLEGIO -GRUPO - CLUB " dataDxfId="533" totalsRowDxfId="532"/>
    <tableColumn id="12" name="GRADO " dataDxfId="531" totalsRowDxfId="530"/>
    <tableColumn id="13" name="TIPO DISCAPACIDAD" dataDxfId="529" totalsRowDxfId="528"/>
    <tableColumn id="14" name="ORI. SEXUAL" dataDxfId="527" totalsRowDxfId="526"/>
    <tableColumn id="54" name="VICTIMA CONF. ARMADO" dataDxfId="525" totalsRowDxfId="524"/>
    <tableColumn id="15" name="ETNIA " dataDxfId="523" totalsRowDxfId="522"/>
    <tableColumn id="16" name="DIRECCIÓN" dataDxfId="521" totalsRowDxfId="520"/>
    <tableColumn id="17" name="BARRIO" dataDxfId="519" totalsRowDxfId="518"/>
    <tableColumn id="18" name=" COMUNA" dataDxfId="517" totalsRowDxfId="516">
      <calculatedColumnFormula>IFERROR(VLOOKUP(TablaFebrero[[#This Row],[BARRIO]],SECTOR!$A:$B,2,0),"")</calculatedColumnFormula>
    </tableColumn>
    <tableColumn id="19" name="EPS" dataDxfId="515" totalsRowDxfId="514"/>
    <tableColumn id="20" name="TELEFONO" dataDxfId="513" totalsRowDxfId="512"/>
    <tableColumn id="21" name="SA1" dataDxfId="511" totalsRowDxfId="510" dataCellStyle="Moneda"/>
    <tableColumn id="22" name="DO2" dataDxfId="509" totalsRowDxfId="508" dataCellStyle="Moneda"/>
    <tableColumn id="23" name="LU3" dataDxfId="507" totalsRowDxfId="506" dataCellStyle="Moneda"/>
    <tableColumn id="24" name="MA4" dataDxfId="505" totalsRowDxfId="504" dataCellStyle="Moneda"/>
    <tableColumn id="25" name="MI5" dataDxfId="503" totalsRowDxfId="502" dataCellStyle="Moneda"/>
    <tableColumn id="26" name="JU6" dataDxfId="501" totalsRowDxfId="500" dataCellStyle="Moneda"/>
    <tableColumn id="27" name="VI7" dataDxfId="499" totalsRowDxfId="498" dataCellStyle="Moneda"/>
    <tableColumn id="28" name="SA8" dataDxfId="497" totalsRowDxfId="496" dataCellStyle="Moneda"/>
    <tableColumn id="29" name="DO9" dataDxfId="495" totalsRowDxfId="494" dataCellStyle="Moneda"/>
    <tableColumn id="30" name="LU10" dataDxfId="493" totalsRowDxfId="492" dataCellStyle="Moneda"/>
    <tableColumn id="31" name="MA11" dataDxfId="491" totalsRowDxfId="490" dataCellStyle="Moneda"/>
    <tableColumn id="32" name="MI12" dataDxfId="489" totalsRowDxfId="488" dataCellStyle="Moneda"/>
    <tableColumn id="33" name="JU13" dataDxfId="487" totalsRowDxfId="486" dataCellStyle="Moneda"/>
    <tableColumn id="34" name="VI14" dataDxfId="485" totalsRowDxfId="484" dataCellStyle="Moneda"/>
    <tableColumn id="35" name="SA15" dataDxfId="483" totalsRowDxfId="482" dataCellStyle="Moneda"/>
    <tableColumn id="36" name="DO16" dataDxfId="481" totalsRowDxfId="480" dataCellStyle="Moneda"/>
    <tableColumn id="37" name="LU17" dataDxfId="479" totalsRowDxfId="478" dataCellStyle="Moneda"/>
    <tableColumn id="38" name="MA18" dataDxfId="477" totalsRowDxfId="476" dataCellStyle="Moneda"/>
    <tableColumn id="39" name="MI19" dataDxfId="475" totalsRowDxfId="474" dataCellStyle="Moneda"/>
    <tableColumn id="40" name="JU20" dataDxfId="473" totalsRowDxfId="472" dataCellStyle="Moneda"/>
    <tableColumn id="41" name="VI21" dataDxfId="471" totalsRowDxfId="470" dataCellStyle="Moneda"/>
    <tableColumn id="42" name="SA22" dataDxfId="469" totalsRowDxfId="468" dataCellStyle="Moneda"/>
    <tableColumn id="43" name="DO23" dataDxfId="467" totalsRowDxfId="466" dataCellStyle="Moneda"/>
    <tableColumn id="44" name="LU24" dataDxfId="465" totalsRowDxfId="464" dataCellStyle="Moneda"/>
    <tableColumn id="45" name="MA25" dataDxfId="463" totalsRowDxfId="462" dataCellStyle="Moneda"/>
    <tableColumn id="46" name="MI26" dataDxfId="461" totalsRowDxfId="460" dataCellStyle="Moneda"/>
    <tableColumn id="47" name="JU27" dataDxfId="459" totalsRowDxfId="458" dataCellStyle="Moneda"/>
    <tableColumn id="48" name="VI28" dataDxfId="457" totalsRowDxfId="456" dataCellStyle="Moneda"/>
    <tableColumn id="49" name="SA29" dataDxfId="455" totalsRowDxfId="454" dataCellStyle="Moneda"/>
    <tableColumn id="50" name="DO30" dataDxfId="453" totalsRowDxfId="452" dataCellStyle="Moneda"/>
    <tableColumn id="51" name="LU31" dataDxfId="451" totalsRowDxfId="450" dataCellStyle="Moneda"/>
    <tableColumn id="52" name="A" totalsRowFunction="sum" dataDxfId="449" totalsRowDxfId="448">
      <calculatedColumnFormula>COUNTIF(U24:AY24,"A")</calculatedColumnFormula>
    </tableColumn>
    <tableColumn id="53" name="F" totalsRowFunction="sum" dataDxfId="447" totalsRowDxfId="446">
      <calculatedColumnFormula>COUNTIF(U24:AY24,"F")</calculatedColumnFormula>
    </tableColumn>
    <tableColumn id="56" name="E" totalsRowFunction="sum" dataDxfId="445" totalsRowDxfId="444">
      <calculatedColumnFormula>COUNTIF(U24:AY24,"E")</calculatedColumnFormula>
    </tableColumn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TablaMarzo" displayName="TablaMarzo" ref="A23:BB504" headerRowDxfId="554" dataDxfId="553" totalsRowDxfId="551" tableBorderDxfId="552">
  <autoFilter ref="A23:BB504"/>
  <tableColumns count="54">
    <tableColumn id="1" name="No" totalsRowLabel="Total" dataDxfId="550" totalsRowDxfId="549"/>
    <tableColumn id="2" name="NOMBRE" dataDxfId="548" totalsRowDxfId="547"/>
    <tableColumn id="3" name="PRIMER APELLIDO" dataDxfId="546" totalsRowDxfId="545"/>
    <tableColumn id="4" name="SEGUNDO APELLIDO" dataDxfId="544" totalsRowDxfId="543"/>
    <tableColumn id="55" name="FECHA DE NACIMIENTO" dataDxfId="542" totalsRowDxfId="541"/>
    <tableColumn id="5" name="EDAD" dataDxfId="540">
      <calculatedColumnFormula>IF(E24="","",DATEDIF(E24,$I$7,"Y"))</calculatedColumnFormula>
    </tableColumn>
    <tableColumn id="7" name="TIPO DOCUMENTO" dataDxfId="539" totalsRowDxfId="538"/>
    <tableColumn id="8" name="DOCUMENTO " dataDxfId="537" totalsRowDxfId="536"/>
    <tableColumn id="9" name="SEXO" dataDxfId="535" totalsRowDxfId="534"/>
    <tableColumn id="11" name=" I.E - COLEGIO -GRUPO - CLUB " dataDxfId="533" totalsRowDxfId="532"/>
    <tableColumn id="12" name="GRADO " dataDxfId="531" totalsRowDxfId="530"/>
    <tableColumn id="13" name="TIPO DISCAPACIDAD" dataDxfId="529" totalsRowDxfId="528"/>
    <tableColumn id="14" name="ORI. SEXUAL" dataDxfId="527" totalsRowDxfId="526"/>
    <tableColumn id="54" name="VICTIMA CONF. ARMADO" dataDxfId="525" totalsRowDxfId="524"/>
    <tableColumn id="15" name="ETNIA " dataDxfId="523" totalsRowDxfId="522"/>
    <tableColumn id="16" name="DIRECCIÓN" dataDxfId="521" totalsRowDxfId="520"/>
    <tableColumn id="17" name="BARRIO" dataDxfId="519" totalsRowDxfId="518"/>
    <tableColumn id="18" name=" COMUNA" dataDxfId="517" totalsRowDxfId="516">
      <calculatedColumnFormula>IFERROR(VLOOKUP(TablaMarzo[[#This Row],[BARRIO]],SECTOR!$A:$B,2,0),"")</calculatedColumnFormula>
    </tableColumn>
    <tableColumn id="19" name="EPS" dataDxfId="515" totalsRowDxfId="514"/>
    <tableColumn id="20" name="TELEFONO" dataDxfId="513" totalsRowDxfId="512"/>
    <tableColumn id="21" name="SA1" dataDxfId="511" totalsRowDxfId="510" dataCellStyle="Moneda"/>
    <tableColumn id="22" name="DO2" dataDxfId="509" totalsRowDxfId="508" dataCellStyle="Moneda"/>
    <tableColumn id="23" name="LU3" dataDxfId="507" totalsRowDxfId="506" dataCellStyle="Moneda"/>
    <tableColumn id="24" name="MA4" dataDxfId="505" totalsRowDxfId="504" dataCellStyle="Moneda"/>
    <tableColumn id="25" name="MI5" dataDxfId="503" totalsRowDxfId="502" dataCellStyle="Moneda"/>
    <tableColumn id="26" name="JU6" dataDxfId="501" totalsRowDxfId="500" dataCellStyle="Moneda"/>
    <tableColumn id="27" name="VI7" dataDxfId="499" totalsRowDxfId="498" dataCellStyle="Moneda"/>
    <tableColumn id="28" name="SA8" dataDxfId="497" totalsRowDxfId="496" dataCellStyle="Moneda"/>
    <tableColumn id="29" name="DO9" dataDxfId="495" totalsRowDxfId="494" dataCellStyle="Moneda"/>
    <tableColumn id="30" name="LU10" dataDxfId="493" totalsRowDxfId="492" dataCellStyle="Moneda"/>
    <tableColumn id="31" name="MA11" dataDxfId="491" totalsRowDxfId="490" dataCellStyle="Moneda"/>
    <tableColumn id="32" name="MI12" dataDxfId="489" totalsRowDxfId="488" dataCellStyle="Moneda"/>
    <tableColumn id="33" name="JU13" dataDxfId="487" totalsRowDxfId="486" dataCellStyle="Moneda"/>
    <tableColumn id="34" name="VI14" dataDxfId="485" totalsRowDxfId="484" dataCellStyle="Moneda"/>
    <tableColumn id="35" name="SA15" dataDxfId="483" totalsRowDxfId="482" dataCellStyle="Moneda"/>
    <tableColumn id="36" name="DO16" dataDxfId="481" totalsRowDxfId="480" dataCellStyle="Moneda"/>
    <tableColumn id="37" name="LU17" dataDxfId="479" totalsRowDxfId="478" dataCellStyle="Moneda"/>
    <tableColumn id="38" name="MA18" dataDxfId="477" totalsRowDxfId="476" dataCellStyle="Moneda"/>
    <tableColumn id="39" name="MI19" dataDxfId="475" totalsRowDxfId="474" dataCellStyle="Moneda"/>
    <tableColumn id="40" name="JU20" dataDxfId="473" totalsRowDxfId="472" dataCellStyle="Moneda"/>
    <tableColumn id="41" name="VI21" dataDxfId="471" totalsRowDxfId="470" dataCellStyle="Moneda"/>
    <tableColumn id="42" name="SA22" dataDxfId="469" totalsRowDxfId="468" dataCellStyle="Moneda"/>
    <tableColumn id="43" name="DO23" dataDxfId="467" totalsRowDxfId="466" dataCellStyle="Moneda"/>
    <tableColumn id="44" name="LU24" dataDxfId="465" totalsRowDxfId="464" dataCellStyle="Moneda"/>
    <tableColumn id="45" name="MA25" dataDxfId="463" totalsRowDxfId="462" dataCellStyle="Moneda"/>
    <tableColumn id="46" name="MI26" dataDxfId="461" totalsRowDxfId="460" dataCellStyle="Moneda"/>
    <tableColumn id="47" name="JU27" dataDxfId="459" totalsRowDxfId="458" dataCellStyle="Moneda"/>
    <tableColumn id="48" name="VI28" dataDxfId="457" totalsRowDxfId="456" dataCellStyle="Moneda"/>
    <tableColumn id="49" name="SA29" dataDxfId="455" totalsRowDxfId="454" dataCellStyle="Moneda"/>
    <tableColumn id="50" name="DO30" dataDxfId="453" totalsRowDxfId="452" dataCellStyle="Moneda"/>
    <tableColumn id="51" name="LU31" dataDxfId="451" totalsRowDxfId="450" dataCellStyle="Moneda"/>
    <tableColumn id="52" name="A" totalsRowFunction="sum" dataDxfId="449" totalsRowDxfId="448">
      <calculatedColumnFormula>COUNTIF(U24:AY24,"A")</calculatedColumnFormula>
    </tableColumn>
    <tableColumn id="53" name="F" totalsRowFunction="sum" dataDxfId="447" totalsRowDxfId="446">
      <calculatedColumnFormula>COUNTIF(U24:AY24,"F")</calculatedColumnFormula>
    </tableColumn>
    <tableColumn id="56" name="E" totalsRowFunction="sum" dataDxfId="445" totalsRowDxfId="444">
      <calculatedColumnFormula>COUNTIF(U24:AY24,"E")</calculatedColumnFormula>
    </tableColumn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TablaAbril" displayName="TablaAbril" ref="A23:BB504" headerRowDxfId="554" dataDxfId="553" totalsRowDxfId="551" tableBorderDxfId="552">
  <autoFilter ref="A23:BB504"/>
  <tableColumns count="54">
    <tableColumn id="1" name="No" totalsRowLabel="Total" dataDxfId="550" totalsRowDxfId="549"/>
    <tableColumn id="2" name="NOMBRE" dataDxfId="548" totalsRowDxfId="547"/>
    <tableColumn id="3" name="PRIMER APELLIDO" dataDxfId="546" totalsRowDxfId="545"/>
    <tableColumn id="4" name="SEGUNDO APELLIDO" dataDxfId="544" totalsRowDxfId="543"/>
    <tableColumn id="55" name="FECHA DE NACIMIENTO" dataDxfId="542" totalsRowDxfId="541"/>
    <tableColumn id="5" name="EDAD" dataDxfId="540">
      <calculatedColumnFormula>IF(E24="","",DATEDIF(E24,$I$7,"Y"))</calculatedColumnFormula>
    </tableColumn>
    <tableColumn id="7" name="TIPO DOCUMENTO" dataDxfId="539" totalsRowDxfId="538"/>
    <tableColumn id="8" name="DOCUMENTO " dataDxfId="537" totalsRowDxfId="536"/>
    <tableColumn id="9" name="SEXO" dataDxfId="535" totalsRowDxfId="534"/>
    <tableColumn id="11" name=" I.E - COLEGIO -GRUPO - CLUB " dataDxfId="533" totalsRowDxfId="532"/>
    <tableColumn id="12" name="GRADO " dataDxfId="531" totalsRowDxfId="530"/>
    <tableColumn id="13" name="TIPO DISCAPACIDAD" dataDxfId="529" totalsRowDxfId="528"/>
    <tableColumn id="14" name="ORI. SEXUAL" dataDxfId="527" totalsRowDxfId="526"/>
    <tableColumn id="54" name="VICTIMA CONF. ARMADO" dataDxfId="525" totalsRowDxfId="524"/>
    <tableColumn id="15" name="ETNIA " dataDxfId="523" totalsRowDxfId="522"/>
    <tableColumn id="16" name="DIRECCIÓN" dataDxfId="521" totalsRowDxfId="520"/>
    <tableColumn id="17" name="BARRIO" dataDxfId="519" totalsRowDxfId="518"/>
    <tableColumn id="18" name=" COMUNA" dataDxfId="517" totalsRowDxfId="516">
      <calculatedColumnFormula>IFERROR(VLOOKUP(TablaAbril[[#This Row],[BARRIO]],SECTOR!$A:$B,2,0),"")</calculatedColumnFormula>
    </tableColumn>
    <tableColumn id="19" name="EPS" dataDxfId="515" totalsRowDxfId="514"/>
    <tableColumn id="20" name="TELEFONO" dataDxfId="513" totalsRowDxfId="512"/>
    <tableColumn id="21" name="SA1" dataDxfId="511" totalsRowDxfId="510" dataCellStyle="Moneda"/>
    <tableColumn id="22" name="DO2" dataDxfId="509" totalsRowDxfId="508" dataCellStyle="Moneda"/>
    <tableColumn id="23" name="LU3" dataDxfId="507" totalsRowDxfId="506" dataCellStyle="Moneda"/>
    <tableColumn id="24" name="MA4" dataDxfId="505" totalsRowDxfId="504" dataCellStyle="Moneda"/>
    <tableColumn id="25" name="MI5" dataDxfId="503" totalsRowDxfId="502" dataCellStyle="Moneda"/>
    <tableColumn id="26" name="JU6" dataDxfId="501" totalsRowDxfId="500" dataCellStyle="Moneda"/>
    <tableColumn id="27" name="VI7" dataDxfId="499" totalsRowDxfId="498" dataCellStyle="Moneda"/>
    <tableColumn id="28" name="SA8" dataDxfId="497" totalsRowDxfId="496" dataCellStyle="Moneda"/>
    <tableColumn id="29" name="DO9" dataDxfId="495" totalsRowDxfId="494" dataCellStyle="Moneda"/>
    <tableColumn id="30" name="LU10" dataDxfId="493" totalsRowDxfId="492" dataCellStyle="Moneda"/>
    <tableColumn id="31" name="MA11" dataDxfId="491" totalsRowDxfId="490" dataCellStyle="Moneda"/>
    <tableColumn id="32" name="MI12" dataDxfId="489" totalsRowDxfId="488" dataCellStyle="Moneda"/>
    <tableColumn id="33" name="JU13" dataDxfId="487" totalsRowDxfId="486" dataCellStyle="Moneda"/>
    <tableColumn id="34" name="VI14" dataDxfId="485" totalsRowDxfId="484" dataCellStyle="Moneda"/>
    <tableColumn id="35" name="SA15" dataDxfId="483" totalsRowDxfId="482" dataCellStyle="Moneda"/>
    <tableColumn id="36" name="DO16" dataDxfId="481" totalsRowDxfId="480" dataCellStyle="Moneda"/>
    <tableColumn id="37" name="LU17" dataDxfId="479" totalsRowDxfId="478" dataCellStyle="Moneda"/>
    <tableColumn id="38" name="MA18" dataDxfId="477" totalsRowDxfId="476" dataCellStyle="Moneda"/>
    <tableColumn id="39" name="MI19" dataDxfId="475" totalsRowDxfId="474" dataCellStyle="Moneda"/>
    <tableColumn id="40" name="JU20" dataDxfId="473" totalsRowDxfId="472" dataCellStyle="Moneda"/>
    <tableColumn id="41" name="VI21" dataDxfId="471" totalsRowDxfId="470" dataCellStyle="Moneda"/>
    <tableColumn id="42" name="SA22" dataDxfId="469" totalsRowDxfId="468" dataCellStyle="Moneda"/>
    <tableColumn id="43" name="DO23" dataDxfId="467" totalsRowDxfId="466" dataCellStyle="Moneda"/>
    <tableColumn id="44" name="LU24" dataDxfId="465" totalsRowDxfId="464" dataCellStyle="Moneda"/>
    <tableColumn id="45" name="MA25" dataDxfId="463" totalsRowDxfId="462" dataCellStyle="Moneda"/>
    <tableColumn id="46" name="MI26" dataDxfId="461" totalsRowDxfId="460" dataCellStyle="Moneda"/>
    <tableColumn id="47" name="JU27" dataDxfId="459" totalsRowDxfId="458" dataCellStyle="Moneda"/>
    <tableColumn id="48" name="VI28" dataDxfId="457" totalsRowDxfId="456" dataCellStyle="Moneda"/>
    <tableColumn id="49" name="SA29" dataDxfId="455" totalsRowDxfId="454" dataCellStyle="Moneda"/>
    <tableColumn id="50" name="DO30" dataDxfId="453" totalsRowDxfId="452" dataCellStyle="Moneda"/>
    <tableColumn id="51" name="LU31" dataDxfId="451" totalsRowDxfId="450" dataCellStyle="Moneda"/>
    <tableColumn id="52" name="A" totalsRowFunction="sum" dataDxfId="449" totalsRowDxfId="448">
      <calculatedColumnFormula>COUNTIF(U24:AY24,"A")</calculatedColumnFormula>
    </tableColumn>
    <tableColumn id="53" name="F" totalsRowFunction="sum" dataDxfId="447" totalsRowDxfId="446">
      <calculatedColumnFormula>COUNTIF(U24:AY24,"F")</calculatedColumnFormula>
    </tableColumn>
    <tableColumn id="56" name="E" totalsRowFunction="sum" dataDxfId="445" totalsRowDxfId="444">
      <calculatedColumnFormula>COUNTIF(U24:AY24,"E")</calculatedColumnFormula>
    </tableColumn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TablaMayo" displayName="TablaMayo" ref="A23:BB504" headerRowDxfId="554" dataDxfId="553" totalsRowDxfId="551" tableBorderDxfId="552">
  <autoFilter ref="A23:BB504"/>
  <tableColumns count="54">
    <tableColumn id="1" name="No" totalsRowLabel="Total" dataDxfId="550" totalsRowDxfId="549"/>
    <tableColumn id="2" name="NOMBRE" dataDxfId="548" totalsRowDxfId="547"/>
    <tableColumn id="3" name="PRIMER APELLIDO" dataDxfId="546" totalsRowDxfId="545"/>
    <tableColumn id="4" name="SEGUNDO APELLIDO" dataDxfId="544" totalsRowDxfId="543"/>
    <tableColumn id="55" name="FECHA DE NACIMIENTO" dataDxfId="542" totalsRowDxfId="541"/>
    <tableColumn id="5" name="EDAD" dataDxfId="540">
      <calculatedColumnFormula>IF(E24="","",DATEDIF(E24,$I$7,"Y"))</calculatedColumnFormula>
    </tableColumn>
    <tableColumn id="7" name="TIPO DOCUMENTO" dataDxfId="539" totalsRowDxfId="538"/>
    <tableColumn id="8" name="DOCUMENTO " dataDxfId="537" totalsRowDxfId="536"/>
    <tableColumn id="9" name="SEXO" dataDxfId="535" totalsRowDxfId="534"/>
    <tableColumn id="11" name=" I.E - COLEGIO -GRUPO - CLUB " dataDxfId="533" totalsRowDxfId="532"/>
    <tableColumn id="12" name="GRADO " dataDxfId="531" totalsRowDxfId="530"/>
    <tableColumn id="13" name="TIPO DISCAPACIDAD" dataDxfId="529" totalsRowDxfId="528"/>
    <tableColumn id="14" name="ORI. SEXUAL" dataDxfId="527" totalsRowDxfId="526"/>
    <tableColumn id="54" name="VICTIMA CONF. ARMADO" dataDxfId="525" totalsRowDxfId="524"/>
    <tableColumn id="15" name="ETNIA " dataDxfId="523" totalsRowDxfId="522"/>
    <tableColumn id="16" name="DIRECCIÓN" dataDxfId="521" totalsRowDxfId="520"/>
    <tableColumn id="17" name="BARRIO" dataDxfId="519" totalsRowDxfId="518"/>
    <tableColumn id="18" name=" COMUNA" dataDxfId="517" totalsRowDxfId="516">
      <calculatedColumnFormula>IFERROR(VLOOKUP(TablaMayo[[#This Row],[BARRIO]],SECTOR!$A:$B,2,0),"")</calculatedColumnFormula>
    </tableColumn>
    <tableColumn id="19" name="EPS" dataDxfId="515" totalsRowDxfId="514"/>
    <tableColumn id="20" name="TELEFONO" dataDxfId="513" totalsRowDxfId="512"/>
    <tableColumn id="21" name="SA1" dataDxfId="511" totalsRowDxfId="510" dataCellStyle="Moneda"/>
    <tableColumn id="22" name="DO2" dataDxfId="509" totalsRowDxfId="508" dataCellStyle="Moneda"/>
    <tableColumn id="23" name="LU3" dataDxfId="507" totalsRowDxfId="506" dataCellStyle="Moneda"/>
    <tableColumn id="24" name="MA4" dataDxfId="505" totalsRowDxfId="504" dataCellStyle="Moneda"/>
    <tableColumn id="25" name="MI5" dataDxfId="503" totalsRowDxfId="502" dataCellStyle="Moneda"/>
    <tableColumn id="26" name="JU6" dataDxfId="501" totalsRowDxfId="500" dataCellStyle="Moneda"/>
    <tableColumn id="27" name="VI7" dataDxfId="499" totalsRowDxfId="498" dataCellStyle="Moneda"/>
    <tableColumn id="28" name="SA8" dataDxfId="497" totalsRowDxfId="496" dataCellStyle="Moneda"/>
    <tableColumn id="29" name="DO9" dataDxfId="495" totalsRowDxfId="494" dataCellStyle="Moneda"/>
    <tableColumn id="30" name="LU10" dataDxfId="493" totalsRowDxfId="492" dataCellStyle="Moneda"/>
    <tableColumn id="31" name="MA11" dataDxfId="491" totalsRowDxfId="490" dataCellStyle="Moneda"/>
    <tableColumn id="32" name="MI12" dataDxfId="489" totalsRowDxfId="488" dataCellStyle="Moneda"/>
    <tableColumn id="33" name="JU13" dataDxfId="487" totalsRowDxfId="486" dataCellStyle="Moneda"/>
    <tableColumn id="34" name="VI14" dataDxfId="485" totalsRowDxfId="484" dataCellStyle="Moneda"/>
    <tableColumn id="35" name="SA15" dataDxfId="483" totalsRowDxfId="482" dataCellStyle="Moneda"/>
    <tableColumn id="36" name="DO16" dataDxfId="481" totalsRowDxfId="480" dataCellStyle="Moneda"/>
    <tableColumn id="37" name="LU17" dataDxfId="479" totalsRowDxfId="478" dataCellStyle="Moneda"/>
    <tableColumn id="38" name="MA18" dataDxfId="477" totalsRowDxfId="476" dataCellStyle="Moneda"/>
    <tableColumn id="39" name="MI19" dataDxfId="475" totalsRowDxfId="474" dataCellStyle="Moneda"/>
    <tableColumn id="40" name="JU20" dataDxfId="473" totalsRowDxfId="472" dataCellStyle="Moneda"/>
    <tableColumn id="41" name="VI21" dataDxfId="471" totalsRowDxfId="470" dataCellStyle="Moneda"/>
    <tableColumn id="42" name="SA22" dataDxfId="469" totalsRowDxfId="468" dataCellStyle="Moneda"/>
    <tableColumn id="43" name="DO23" dataDxfId="467" totalsRowDxfId="466" dataCellStyle="Moneda"/>
    <tableColumn id="44" name="LU24" dataDxfId="465" totalsRowDxfId="464" dataCellStyle="Moneda"/>
    <tableColumn id="45" name="MA25" dataDxfId="463" totalsRowDxfId="462" dataCellStyle="Moneda"/>
    <tableColumn id="46" name="MI26" dataDxfId="461" totalsRowDxfId="460" dataCellStyle="Moneda"/>
    <tableColumn id="47" name="JU27" dataDxfId="459" totalsRowDxfId="458" dataCellStyle="Moneda"/>
    <tableColumn id="48" name="VI28" dataDxfId="457" totalsRowDxfId="456" dataCellStyle="Moneda"/>
    <tableColumn id="49" name="SA29" dataDxfId="455" totalsRowDxfId="454" dataCellStyle="Moneda"/>
    <tableColumn id="50" name="DO30" dataDxfId="453" totalsRowDxfId="452" dataCellStyle="Moneda"/>
    <tableColumn id="51" name="LU31" dataDxfId="451" totalsRowDxfId="450" dataCellStyle="Moneda"/>
    <tableColumn id="52" name="A" totalsRowFunction="sum" dataDxfId="449" totalsRowDxfId="448">
      <calculatedColumnFormula>COUNTIF(U24:AY24,"A")</calculatedColumnFormula>
    </tableColumn>
    <tableColumn id="53" name="F" totalsRowFunction="sum" dataDxfId="447" totalsRowDxfId="446">
      <calculatedColumnFormula>COUNTIF(U24:AY24,"F")</calculatedColumnFormula>
    </tableColumn>
    <tableColumn id="56" name="E" totalsRowFunction="sum" dataDxfId="445" totalsRowDxfId="444">
      <calculatedColumnFormula>COUNTIF(U24:AY24,"E")</calculatedColumnFormula>
    </tableColumn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TablaJunio" displayName="TablaJunio" ref="A23:BB504" headerRowDxfId="554" dataDxfId="553" totalsRowDxfId="551" tableBorderDxfId="552">
  <autoFilter ref="A23:BB504"/>
  <tableColumns count="54">
    <tableColumn id="1" name="No" totalsRowLabel="Total" dataDxfId="550" totalsRowDxfId="549"/>
    <tableColumn id="2" name="NOMBRE" dataDxfId="548" totalsRowDxfId="547"/>
    <tableColumn id="3" name="PRIMER APELLIDO" dataDxfId="546" totalsRowDxfId="545"/>
    <tableColumn id="4" name="SEGUNDO APELLIDO" dataDxfId="544" totalsRowDxfId="543"/>
    <tableColumn id="55" name="FECHA DE NACIMIENTO" dataDxfId="542" totalsRowDxfId="541"/>
    <tableColumn id="5" name="EDAD" dataDxfId="540">
      <calculatedColumnFormula>IF(E24="","",DATEDIF(E24,$I$7,"Y"))</calculatedColumnFormula>
    </tableColumn>
    <tableColumn id="7" name="TIPO DOCUMENTO" dataDxfId="539" totalsRowDxfId="538"/>
    <tableColumn id="8" name="DOCUMENTO " dataDxfId="537" totalsRowDxfId="536"/>
    <tableColumn id="9" name="SEXO" dataDxfId="535" totalsRowDxfId="534"/>
    <tableColumn id="11" name=" I.E - COLEGIO -GRUPO - CLUB " dataDxfId="533" totalsRowDxfId="532"/>
    <tableColumn id="12" name="GRADO " dataDxfId="531" totalsRowDxfId="530"/>
    <tableColumn id="13" name="TIPO DISCAPACIDAD" dataDxfId="529" totalsRowDxfId="528"/>
    <tableColumn id="14" name="ORI. SEXUAL" dataDxfId="527" totalsRowDxfId="526"/>
    <tableColumn id="54" name="VICTIMA CONF. ARMADO" dataDxfId="525" totalsRowDxfId="524"/>
    <tableColumn id="15" name="ETNIA " dataDxfId="523" totalsRowDxfId="522"/>
    <tableColumn id="16" name="DIRECCIÓN" dataDxfId="521" totalsRowDxfId="520"/>
    <tableColumn id="17" name="BARRIO" dataDxfId="519" totalsRowDxfId="518"/>
    <tableColumn id="18" name=" COMUNA" dataDxfId="517" totalsRowDxfId="516">
      <calculatedColumnFormula>IFERROR(VLOOKUP(TablaJunio[[#This Row],[BARRIO]],SECTOR!$A:$B,2,0),"")</calculatedColumnFormula>
    </tableColumn>
    <tableColumn id="19" name="EPS" dataDxfId="515" totalsRowDxfId="514"/>
    <tableColumn id="20" name="TELEFONO" dataDxfId="513" totalsRowDxfId="512"/>
    <tableColumn id="21" name="SA1" dataDxfId="511" totalsRowDxfId="510" dataCellStyle="Moneda"/>
    <tableColumn id="22" name="DO2" dataDxfId="509" totalsRowDxfId="508" dataCellStyle="Moneda"/>
    <tableColumn id="23" name="LU3" dataDxfId="507" totalsRowDxfId="506" dataCellStyle="Moneda"/>
    <tableColumn id="24" name="MA4" dataDxfId="505" totalsRowDxfId="504" dataCellStyle="Moneda"/>
    <tableColumn id="25" name="MI5" dataDxfId="503" totalsRowDxfId="502" dataCellStyle="Moneda"/>
    <tableColumn id="26" name="JU6" dataDxfId="501" totalsRowDxfId="500" dataCellStyle="Moneda"/>
    <tableColumn id="27" name="VI7" dataDxfId="499" totalsRowDxfId="498" dataCellStyle="Moneda"/>
    <tableColumn id="28" name="SA8" dataDxfId="497" totalsRowDxfId="496" dataCellStyle="Moneda"/>
    <tableColumn id="29" name="DO9" dataDxfId="495" totalsRowDxfId="494" dataCellStyle="Moneda"/>
    <tableColumn id="30" name="LU10" dataDxfId="493" totalsRowDxfId="492" dataCellStyle="Moneda"/>
    <tableColumn id="31" name="MA11" dataDxfId="491" totalsRowDxfId="490" dataCellStyle="Moneda"/>
    <tableColumn id="32" name="MI12" dataDxfId="489" totalsRowDxfId="488" dataCellStyle="Moneda"/>
    <tableColumn id="33" name="JU13" dataDxfId="487" totalsRowDxfId="486" dataCellStyle="Moneda"/>
    <tableColumn id="34" name="VI14" dataDxfId="485" totalsRowDxfId="484" dataCellStyle="Moneda"/>
    <tableColumn id="35" name="SA15" dataDxfId="483" totalsRowDxfId="482" dataCellStyle="Moneda"/>
    <tableColumn id="36" name="DO16" dataDxfId="481" totalsRowDxfId="480" dataCellStyle="Moneda"/>
    <tableColumn id="37" name="LU17" dataDxfId="479" totalsRowDxfId="478" dataCellStyle="Moneda"/>
    <tableColumn id="38" name="MA18" dataDxfId="477" totalsRowDxfId="476" dataCellStyle="Moneda"/>
    <tableColumn id="39" name="MI19" dataDxfId="475" totalsRowDxfId="474" dataCellStyle="Moneda"/>
    <tableColumn id="40" name="JU20" dataDxfId="473" totalsRowDxfId="472" dataCellStyle="Moneda"/>
    <tableColumn id="41" name="VI21" dataDxfId="471" totalsRowDxfId="470" dataCellStyle="Moneda"/>
    <tableColumn id="42" name="SA22" dataDxfId="469" totalsRowDxfId="468" dataCellStyle="Moneda"/>
    <tableColumn id="43" name="DO23" dataDxfId="467" totalsRowDxfId="466" dataCellStyle="Moneda"/>
    <tableColumn id="44" name="LU24" dataDxfId="465" totalsRowDxfId="464" dataCellStyle="Moneda"/>
    <tableColumn id="45" name="MA25" dataDxfId="463" totalsRowDxfId="462" dataCellStyle="Moneda"/>
    <tableColumn id="46" name="MI26" dataDxfId="461" totalsRowDxfId="460" dataCellStyle="Moneda"/>
    <tableColumn id="47" name="JU27" dataDxfId="459" totalsRowDxfId="458" dataCellStyle="Moneda"/>
    <tableColumn id="48" name="VI28" dataDxfId="457" totalsRowDxfId="456" dataCellStyle="Moneda"/>
    <tableColumn id="49" name="SA29" dataDxfId="455" totalsRowDxfId="454" dataCellStyle="Moneda"/>
    <tableColumn id="50" name="DO30" dataDxfId="453" totalsRowDxfId="452" dataCellStyle="Moneda"/>
    <tableColumn id="51" name="LU31" dataDxfId="451" totalsRowDxfId="450" dataCellStyle="Moneda"/>
    <tableColumn id="52" name="A" totalsRowFunction="sum" dataDxfId="449" totalsRowDxfId="448">
      <calculatedColumnFormula>COUNTIF(U24:AY24,"A")</calculatedColumnFormula>
    </tableColumn>
    <tableColumn id="53" name="F" totalsRowFunction="sum" dataDxfId="447" totalsRowDxfId="446">
      <calculatedColumnFormula>COUNTIF(U24:AY24,"F")</calculatedColumnFormula>
    </tableColumn>
    <tableColumn id="56" name="E" totalsRowFunction="sum" dataDxfId="445" totalsRowDxfId="444">
      <calculatedColumnFormula>COUNTIF(U24:AY24,"E")</calculatedColumnFormula>
    </tableColumn>
  </tableColumns>
  <tableStyleInfo name="TableStyleLight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name="TablaJulio" displayName="TablaJulio" ref="A23:BB504" headerRowDxfId="554" dataDxfId="553" totalsRowDxfId="551" tableBorderDxfId="552">
  <autoFilter ref="A23:BB504"/>
  <tableColumns count="54">
    <tableColumn id="1" name="No" totalsRowLabel="Total" dataDxfId="550" totalsRowDxfId="549"/>
    <tableColumn id="2" name="NOMBRE" dataDxfId="548" totalsRowDxfId="547"/>
    <tableColumn id="3" name="PRIMER APELLIDO" dataDxfId="546" totalsRowDxfId="545"/>
    <tableColumn id="4" name="SEGUNDO APELLIDO" dataDxfId="544" totalsRowDxfId="543"/>
    <tableColumn id="55" name="FECHA DE NACIMIENTO" dataDxfId="542" totalsRowDxfId="541"/>
    <tableColumn id="5" name="EDAD" dataDxfId="540">
      <calculatedColumnFormula>IF(E24="","",DATEDIF(E24,$I$7,"Y"))</calculatedColumnFormula>
    </tableColumn>
    <tableColumn id="7" name="TIPO DOCUMENTO" dataDxfId="539" totalsRowDxfId="538"/>
    <tableColumn id="8" name="DOCUMENTO " dataDxfId="537" totalsRowDxfId="536"/>
    <tableColumn id="9" name="SEXO" dataDxfId="535" totalsRowDxfId="534"/>
    <tableColumn id="11" name=" I.E - COLEGIO -GRUPO - CLUB " dataDxfId="533" totalsRowDxfId="532"/>
    <tableColumn id="12" name="GRADO " dataDxfId="531" totalsRowDxfId="530"/>
    <tableColumn id="13" name="TIPO DISCAPACIDAD" dataDxfId="529" totalsRowDxfId="528"/>
    <tableColumn id="14" name="ORI. SEXUAL" dataDxfId="527" totalsRowDxfId="526"/>
    <tableColumn id="54" name="VICTIMA CONF. ARMADO" dataDxfId="525" totalsRowDxfId="524"/>
    <tableColumn id="15" name="ETNIA " dataDxfId="523" totalsRowDxfId="522"/>
    <tableColumn id="16" name="DIRECCIÓN" dataDxfId="521" totalsRowDxfId="520"/>
    <tableColumn id="17" name="BARRIO" dataDxfId="519" totalsRowDxfId="518"/>
    <tableColumn id="18" name=" COMUNA" dataDxfId="517" totalsRowDxfId="516">
      <calculatedColumnFormula>IFERROR(VLOOKUP(TablaJulio[[#This Row],[BARRIO]],SECTOR!$A:$B,2,0),"")</calculatedColumnFormula>
    </tableColumn>
    <tableColumn id="19" name="EPS" dataDxfId="515" totalsRowDxfId="514"/>
    <tableColumn id="20" name="TELEFONO" dataDxfId="513" totalsRowDxfId="512"/>
    <tableColumn id="21" name="SA1" dataDxfId="511" totalsRowDxfId="510" dataCellStyle="Moneda"/>
    <tableColumn id="22" name="DO2" dataDxfId="509" totalsRowDxfId="508" dataCellStyle="Moneda"/>
    <tableColumn id="23" name="LU3" dataDxfId="507" totalsRowDxfId="506" dataCellStyle="Moneda"/>
    <tableColumn id="24" name="MA4" dataDxfId="505" totalsRowDxfId="504" dataCellStyle="Moneda"/>
    <tableColumn id="25" name="MI5" dataDxfId="503" totalsRowDxfId="502" dataCellStyle="Moneda"/>
    <tableColumn id="26" name="JU6" dataDxfId="501" totalsRowDxfId="500" dataCellStyle="Moneda"/>
    <tableColumn id="27" name="VI7" dataDxfId="499" totalsRowDxfId="498" dataCellStyle="Moneda"/>
    <tableColumn id="28" name="SA8" dataDxfId="497" totalsRowDxfId="496" dataCellStyle="Moneda"/>
    <tableColumn id="29" name="DO9" dataDxfId="495" totalsRowDxfId="494" dataCellStyle="Moneda"/>
    <tableColumn id="30" name="LU10" dataDxfId="493" totalsRowDxfId="492" dataCellStyle="Moneda"/>
    <tableColumn id="31" name="MA11" dataDxfId="491" totalsRowDxfId="490" dataCellStyle="Moneda"/>
    <tableColumn id="32" name="MI12" dataDxfId="489" totalsRowDxfId="488" dataCellStyle="Moneda"/>
    <tableColumn id="33" name="JU13" dataDxfId="487" totalsRowDxfId="486" dataCellStyle="Moneda"/>
    <tableColumn id="34" name="VI14" dataDxfId="485" totalsRowDxfId="484" dataCellStyle="Moneda"/>
    <tableColumn id="35" name="SA15" dataDxfId="483" totalsRowDxfId="482" dataCellStyle="Moneda"/>
    <tableColumn id="36" name="DO16" dataDxfId="481" totalsRowDxfId="480" dataCellStyle="Moneda"/>
    <tableColumn id="37" name="LU17" dataDxfId="479" totalsRowDxfId="478" dataCellStyle="Moneda"/>
    <tableColumn id="38" name="MA18" dataDxfId="477" totalsRowDxfId="476" dataCellStyle="Moneda"/>
    <tableColumn id="39" name="MI19" dataDxfId="475" totalsRowDxfId="474" dataCellStyle="Moneda"/>
    <tableColumn id="40" name="JU20" dataDxfId="473" totalsRowDxfId="472" dataCellStyle="Moneda"/>
    <tableColumn id="41" name="VI21" dataDxfId="471" totalsRowDxfId="470" dataCellStyle="Moneda"/>
    <tableColumn id="42" name="SA22" dataDxfId="469" totalsRowDxfId="468" dataCellStyle="Moneda"/>
    <tableColumn id="43" name="DO23" dataDxfId="467" totalsRowDxfId="466" dataCellStyle="Moneda"/>
    <tableColumn id="44" name="LU24" dataDxfId="465" totalsRowDxfId="464" dataCellStyle="Moneda"/>
    <tableColumn id="45" name="MA25" dataDxfId="463" totalsRowDxfId="462" dataCellStyle="Moneda"/>
    <tableColumn id="46" name="MI26" dataDxfId="461" totalsRowDxfId="460" dataCellStyle="Moneda"/>
    <tableColumn id="47" name="JU27" dataDxfId="459" totalsRowDxfId="458" dataCellStyle="Moneda"/>
    <tableColumn id="48" name="VI28" dataDxfId="457" totalsRowDxfId="456" dataCellStyle="Moneda"/>
    <tableColumn id="49" name="SA29" dataDxfId="455" totalsRowDxfId="454" dataCellStyle="Moneda"/>
    <tableColumn id="50" name="DO30" dataDxfId="453" totalsRowDxfId="452" dataCellStyle="Moneda"/>
    <tableColumn id="51" name="LU31" dataDxfId="451" totalsRowDxfId="450" dataCellStyle="Moneda"/>
    <tableColumn id="52" name="A" totalsRowFunction="sum" dataDxfId="449" totalsRowDxfId="448">
      <calculatedColumnFormula>COUNTIF(U24:AY24,"A")</calculatedColumnFormula>
    </tableColumn>
    <tableColumn id="53" name="F" totalsRowFunction="sum" dataDxfId="447" totalsRowDxfId="446">
      <calculatedColumnFormula>COUNTIF(U24:AY24,"F")</calculatedColumnFormula>
    </tableColumn>
    <tableColumn id="56" name="E" totalsRowFunction="sum" dataDxfId="445" totalsRowDxfId="444">
      <calculatedColumnFormula>COUNTIF(U24:AY24,"E")</calculatedColumnFormula>
    </tableColumn>
  </tableColumns>
  <tableStyleInfo name="TableStyleLight1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name="TablaAgosto" displayName="TablaAgosto" ref="A23:BB504" headerRowDxfId="554" dataDxfId="553" totalsRowDxfId="551" tableBorderDxfId="552">
  <autoFilter ref="A23:BB504"/>
  <tableColumns count="54">
    <tableColumn id="1" name="No" totalsRowLabel="Total" dataDxfId="550" totalsRowDxfId="549"/>
    <tableColumn id="2" name="NOMBRE" dataDxfId="548" totalsRowDxfId="547"/>
    <tableColumn id="3" name="PRIMER APELLIDO" dataDxfId="546" totalsRowDxfId="545"/>
    <tableColumn id="4" name="SEGUNDO APELLIDO" dataDxfId="544" totalsRowDxfId="543"/>
    <tableColumn id="55" name="FECHA DE NACIMIENTO" dataDxfId="542" totalsRowDxfId="541"/>
    <tableColumn id="5" name="EDAD" dataDxfId="540">
      <calculatedColumnFormula>IF(E24="","",DATEDIF(E24,$I$7,"Y"))</calculatedColumnFormula>
    </tableColumn>
    <tableColumn id="7" name="TIPO DOCUMENTO" dataDxfId="539" totalsRowDxfId="538"/>
    <tableColumn id="8" name="DOCUMENTO " dataDxfId="537" totalsRowDxfId="536"/>
    <tableColumn id="9" name="SEXO" dataDxfId="535" totalsRowDxfId="534"/>
    <tableColumn id="11" name=" I.E - COLEGIO -GRUPO - CLUB " dataDxfId="533" totalsRowDxfId="532"/>
    <tableColumn id="12" name="GRADO " dataDxfId="531" totalsRowDxfId="530"/>
    <tableColumn id="13" name="TIPO DISCAPACIDAD" dataDxfId="529" totalsRowDxfId="528"/>
    <tableColumn id="14" name="ORI. SEXUAL" dataDxfId="527" totalsRowDxfId="526"/>
    <tableColumn id="54" name="VICTIMA CONF. ARMADO" dataDxfId="525" totalsRowDxfId="524"/>
    <tableColumn id="15" name="ETNIA " dataDxfId="523" totalsRowDxfId="522"/>
    <tableColumn id="16" name="DIRECCIÓN" dataDxfId="521" totalsRowDxfId="520"/>
    <tableColumn id="17" name="BARRIO" dataDxfId="519" totalsRowDxfId="518"/>
    <tableColumn id="18" name=" COMUNA" dataDxfId="517" totalsRowDxfId="516">
      <calculatedColumnFormula>IFERROR(VLOOKUP(TablaAgosto[[#This Row],[BARRIO]],SECTOR!$A:$B,2,0),"")</calculatedColumnFormula>
    </tableColumn>
    <tableColumn id="19" name="EPS" dataDxfId="515" totalsRowDxfId="514"/>
    <tableColumn id="20" name="TELEFONO" dataDxfId="513" totalsRowDxfId="512"/>
    <tableColumn id="21" name="SA1" dataDxfId="511" totalsRowDxfId="510" dataCellStyle="Moneda"/>
    <tableColumn id="22" name="DO2" dataDxfId="509" totalsRowDxfId="508" dataCellStyle="Moneda"/>
    <tableColumn id="23" name="LU3" dataDxfId="507" totalsRowDxfId="506" dataCellStyle="Moneda"/>
    <tableColumn id="24" name="MA4" dataDxfId="505" totalsRowDxfId="504" dataCellStyle="Moneda"/>
    <tableColumn id="25" name="MI5" dataDxfId="503" totalsRowDxfId="502" dataCellStyle="Moneda"/>
    <tableColumn id="26" name="JU6" dataDxfId="501" totalsRowDxfId="500" dataCellStyle="Moneda"/>
    <tableColumn id="27" name="VI7" dataDxfId="499" totalsRowDxfId="498" dataCellStyle="Moneda"/>
    <tableColumn id="28" name="SA8" dataDxfId="497" totalsRowDxfId="496" dataCellStyle="Moneda"/>
    <tableColumn id="29" name="DO9" dataDxfId="495" totalsRowDxfId="494" dataCellStyle="Moneda"/>
    <tableColumn id="30" name="LU10" dataDxfId="493" totalsRowDxfId="492" dataCellStyle="Moneda"/>
    <tableColumn id="31" name="MA11" dataDxfId="491" totalsRowDxfId="490" dataCellStyle="Moneda"/>
    <tableColumn id="32" name="MI12" dataDxfId="489" totalsRowDxfId="488" dataCellStyle="Moneda"/>
    <tableColumn id="33" name="JU13" dataDxfId="487" totalsRowDxfId="486" dataCellStyle="Moneda"/>
    <tableColumn id="34" name="VI14" dataDxfId="485" totalsRowDxfId="484" dataCellStyle="Moneda"/>
    <tableColumn id="35" name="SA15" dataDxfId="483" totalsRowDxfId="482" dataCellStyle="Moneda"/>
    <tableColumn id="36" name="DO16" dataDxfId="481" totalsRowDxfId="480" dataCellStyle="Moneda"/>
    <tableColumn id="37" name="LU17" dataDxfId="479" totalsRowDxfId="478" dataCellStyle="Moneda"/>
    <tableColumn id="38" name="MA18" dataDxfId="477" totalsRowDxfId="476" dataCellStyle="Moneda"/>
    <tableColumn id="39" name="MI19" dataDxfId="475" totalsRowDxfId="474" dataCellStyle="Moneda"/>
    <tableColumn id="40" name="JU20" dataDxfId="473" totalsRowDxfId="472" dataCellStyle="Moneda"/>
    <tableColumn id="41" name="VI21" dataDxfId="471" totalsRowDxfId="470" dataCellStyle="Moneda"/>
    <tableColumn id="42" name="SA22" dataDxfId="469" totalsRowDxfId="468" dataCellStyle="Moneda"/>
    <tableColumn id="43" name="DO23" dataDxfId="467" totalsRowDxfId="466" dataCellStyle="Moneda"/>
    <tableColumn id="44" name="LU24" dataDxfId="465" totalsRowDxfId="464" dataCellStyle="Moneda"/>
    <tableColumn id="45" name="MA25" dataDxfId="463" totalsRowDxfId="462" dataCellStyle="Moneda"/>
    <tableColumn id="46" name="MI26" dataDxfId="461" totalsRowDxfId="460" dataCellStyle="Moneda"/>
    <tableColumn id="47" name="JU27" dataDxfId="459" totalsRowDxfId="458" dataCellStyle="Moneda"/>
    <tableColumn id="48" name="VI28" dataDxfId="457" totalsRowDxfId="456" dataCellStyle="Moneda"/>
    <tableColumn id="49" name="SA29" dataDxfId="455" totalsRowDxfId="454" dataCellStyle="Moneda"/>
    <tableColumn id="50" name="DO30" dataDxfId="453" totalsRowDxfId="452" dataCellStyle="Moneda"/>
    <tableColumn id="51" name="LU31" dataDxfId="451" totalsRowDxfId="450" dataCellStyle="Moneda"/>
    <tableColumn id="52" name="A" totalsRowFunction="sum" dataDxfId="449" totalsRowDxfId="448">
      <calculatedColumnFormula>COUNTIF(U24:AY24,"A")</calculatedColumnFormula>
    </tableColumn>
    <tableColumn id="53" name="F" totalsRowFunction="sum" dataDxfId="447" totalsRowDxfId="446">
      <calculatedColumnFormula>COUNTIF(U24:AY24,"F")</calculatedColumnFormula>
    </tableColumn>
    <tableColumn id="56" name="E" totalsRowFunction="sum" dataDxfId="445" totalsRowDxfId="444">
      <calculatedColumnFormula>COUNTIF(U24:AY24,"E")</calculatedColumnFormula>
    </tableColumn>
  </tableColumns>
  <tableStyleInfo name="TableStyleLight1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name="TablaSeptiembre" displayName="TablaSeptiembre" ref="A23:BB504" headerRowDxfId="554" dataDxfId="553" totalsRowDxfId="551" tableBorderDxfId="552">
  <autoFilter ref="A23:BB504"/>
  <tableColumns count="54">
    <tableColumn id="1" name="No" totalsRowLabel="Total" dataDxfId="550" totalsRowDxfId="549"/>
    <tableColumn id="2" name="NOMBRE" dataDxfId="548" totalsRowDxfId="547"/>
    <tableColumn id="3" name="PRIMER APELLIDO" dataDxfId="546" totalsRowDxfId="545"/>
    <tableColumn id="4" name="SEGUNDO APELLIDO" dataDxfId="544" totalsRowDxfId="543"/>
    <tableColumn id="55" name="FECHA DE NACIMIENTO" dataDxfId="542" totalsRowDxfId="541"/>
    <tableColumn id="5" name="EDAD" dataDxfId="540">
      <calculatedColumnFormula>IF(E24="","",DATEDIF(E24,$I$7,"Y"))</calculatedColumnFormula>
    </tableColumn>
    <tableColumn id="7" name="TIPO DOCUMENTO" dataDxfId="539" totalsRowDxfId="538"/>
    <tableColumn id="8" name="DOCUMENTO " dataDxfId="537" totalsRowDxfId="536"/>
    <tableColumn id="9" name="SEXO" dataDxfId="535" totalsRowDxfId="534"/>
    <tableColumn id="11" name=" I.E - COLEGIO -GRUPO - CLUB " dataDxfId="533" totalsRowDxfId="532"/>
    <tableColumn id="12" name="GRADO " dataDxfId="531" totalsRowDxfId="530"/>
    <tableColumn id="13" name="TIPO DISCAPACIDAD" dataDxfId="529" totalsRowDxfId="528"/>
    <tableColumn id="14" name="ORI. SEXUAL" dataDxfId="527" totalsRowDxfId="526"/>
    <tableColumn id="54" name="VICTIMA CONF. ARMADO" dataDxfId="525" totalsRowDxfId="524"/>
    <tableColumn id="15" name="ETNIA " dataDxfId="523" totalsRowDxfId="522"/>
    <tableColumn id="16" name="DIRECCIÓN" dataDxfId="521" totalsRowDxfId="520"/>
    <tableColumn id="17" name="BARRIO" dataDxfId="519" totalsRowDxfId="518"/>
    <tableColumn id="18" name=" COMUNA" dataDxfId="517" totalsRowDxfId="516">
      <calculatedColumnFormula>IFERROR(VLOOKUP(TablaSeptiembre[[#This Row],[BARRIO]],SECTOR!$A:$B,2,0),"")</calculatedColumnFormula>
    </tableColumn>
    <tableColumn id="19" name="EPS" dataDxfId="515" totalsRowDxfId="514"/>
    <tableColumn id="20" name="TELEFONO" dataDxfId="513" totalsRowDxfId="512"/>
    <tableColumn id="21" name="SA1" dataDxfId="511" totalsRowDxfId="510" dataCellStyle="Moneda"/>
    <tableColumn id="22" name="DO2" dataDxfId="509" totalsRowDxfId="508" dataCellStyle="Moneda"/>
    <tableColumn id="23" name="LU3" dataDxfId="507" totalsRowDxfId="506" dataCellStyle="Moneda"/>
    <tableColumn id="24" name="MA4" dataDxfId="505" totalsRowDxfId="504" dataCellStyle="Moneda"/>
    <tableColumn id="25" name="MI5" dataDxfId="503" totalsRowDxfId="502" dataCellStyle="Moneda"/>
    <tableColumn id="26" name="JU6" dataDxfId="501" totalsRowDxfId="500" dataCellStyle="Moneda"/>
    <tableColumn id="27" name="VI7" dataDxfId="499" totalsRowDxfId="498" dataCellStyle="Moneda"/>
    <tableColumn id="28" name="SA8" dataDxfId="497" totalsRowDxfId="496" dataCellStyle="Moneda"/>
    <tableColumn id="29" name="DO9" dataDxfId="495" totalsRowDxfId="494" dataCellStyle="Moneda"/>
    <tableColumn id="30" name="LU10" dataDxfId="493" totalsRowDxfId="492" dataCellStyle="Moneda"/>
    <tableColumn id="31" name="MA11" dataDxfId="491" totalsRowDxfId="490" dataCellStyle="Moneda"/>
    <tableColumn id="32" name="MI12" dataDxfId="489" totalsRowDxfId="488" dataCellStyle="Moneda"/>
    <tableColumn id="33" name="JU13" dataDxfId="487" totalsRowDxfId="486" dataCellStyle="Moneda"/>
    <tableColumn id="34" name="VI14" dataDxfId="485" totalsRowDxfId="484" dataCellStyle="Moneda"/>
    <tableColumn id="35" name="SA15" dataDxfId="483" totalsRowDxfId="482" dataCellStyle="Moneda"/>
    <tableColumn id="36" name="DO16" dataDxfId="481" totalsRowDxfId="480" dataCellStyle="Moneda"/>
    <tableColumn id="37" name="LU17" dataDxfId="479" totalsRowDxfId="478" dataCellStyle="Moneda"/>
    <tableColumn id="38" name="MA18" dataDxfId="477" totalsRowDxfId="476" dataCellStyle="Moneda"/>
    <tableColumn id="39" name="MI19" dataDxfId="475" totalsRowDxfId="474" dataCellStyle="Moneda"/>
    <tableColumn id="40" name="JU20" dataDxfId="473" totalsRowDxfId="472" dataCellStyle="Moneda"/>
    <tableColumn id="41" name="VI21" dataDxfId="471" totalsRowDxfId="470" dataCellStyle="Moneda"/>
    <tableColumn id="42" name="SA22" dataDxfId="469" totalsRowDxfId="468" dataCellStyle="Moneda"/>
    <tableColumn id="43" name="DO23" dataDxfId="467" totalsRowDxfId="466" dataCellStyle="Moneda"/>
    <tableColumn id="44" name="LU24" dataDxfId="465" totalsRowDxfId="464" dataCellStyle="Moneda"/>
    <tableColumn id="45" name="MA25" dataDxfId="463" totalsRowDxfId="462" dataCellStyle="Moneda"/>
    <tableColumn id="46" name="MI26" dataDxfId="461" totalsRowDxfId="460" dataCellStyle="Moneda"/>
    <tableColumn id="47" name="JU27" dataDxfId="459" totalsRowDxfId="458" dataCellStyle="Moneda"/>
    <tableColumn id="48" name="VI28" dataDxfId="457" totalsRowDxfId="456" dataCellStyle="Moneda"/>
    <tableColumn id="49" name="SA29" dataDxfId="455" totalsRowDxfId="454" dataCellStyle="Moneda"/>
    <tableColumn id="50" name="DO30" dataDxfId="453" totalsRowDxfId="452" dataCellStyle="Moneda"/>
    <tableColumn id="51" name="LU31" dataDxfId="451" totalsRowDxfId="450" dataCellStyle="Moneda"/>
    <tableColumn id="52" name="A" totalsRowFunction="sum" dataDxfId="449" totalsRowDxfId="448">
      <calculatedColumnFormula>COUNTIF(U24:AY24,"A")</calculatedColumnFormula>
    </tableColumn>
    <tableColumn id="53" name="F" totalsRowFunction="sum" dataDxfId="447" totalsRowDxfId="446">
      <calculatedColumnFormula>COUNTIF(U24:AY24,"F")</calculatedColumnFormula>
    </tableColumn>
    <tableColumn id="56" name="E" totalsRowFunction="sum" dataDxfId="445" totalsRowDxfId="444">
      <calculatedColumnFormula>COUNTIF(U24:AY24,"E")</calculatedColumnFormula>
    </tableColumn>
  </tableColumns>
  <tableStyleInfo name="TableStyleLight1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name="TablaOctubre" displayName="TablaOctubre" ref="A23:BB504" headerRowDxfId="554" dataDxfId="553" totalsRowDxfId="551" tableBorderDxfId="552">
  <autoFilter ref="A23:BB504"/>
  <tableColumns count="54">
    <tableColumn id="1" name="No" totalsRowLabel="Total" dataDxfId="550" totalsRowDxfId="549"/>
    <tableColumn id="2" name="NOMBRE" dataDxfId="548" totalsRowDxfId="547"/>
    <tableColumn id="3" name="PRIMER APELLIDO" dataDxfId="546" totalsRowDxfId="545"/>
    <tableColumn id="4" name="SEGUNDO APELLIDO" dataDxfId="544" totalsRowDxfId="543"/>
    <tableColumn id="55" name="FECHA DE NACIMIENTO" dataDxfId="542" totalsRowDxfId="541"/>
    <tableColumn id="5" name="EDAD" dataDxfId="540">
      <calculatedColumnFormula>IF(E24="","",DATEDIF(E24,$I$7,"Y"))</calculatedColumnFormula>
    </tableColumn>
    <tableColumn id="7" name="TIPO DOCUMENTO" dataDxfId="539" totalsRowDxfId="538"/>
    <tableColumn id="8" name="DOCUMENTO " dataDxfId="537" totalsRowDxfId="536"/>
    <tableColumn id="9" name="SEXO" dataDxfId="535" totalsRowDxfId="534"/>
    <tableColumn id="11" name=" I.E - COLEGIO -GRUPO - CLUB " dataDxfId="533" totalsRowDxfId="532"/>
    <tableColumn id="12" name="GRADO " dataDxfId="531" totalsRowDxfId="530"/>
    <tableColumn id="13" name="TIPO DISCAPACIDAD" dataDxfId="529" totalsRowDxfId="528"/>
    <tableColumn id="14" name="ORI. SEXUAL" dataDxfId="527" totalsRowDxfId="526"/>
    <tableColumn id="54" name="VICTIMA CONF. ARMADO" dataDxfId="525" totalsRowDxfId="524"/>
    <tableColumn id="15" name="ETNIA " dataDxfId="523" totalsRowDxfId="522"/>
    <tableColumn id="16" name="DIRECCIÓN" dataDxfId="521" totalsRowDxfId="520"/>
    <tableColumn id="17" name="BARRIO" dataDxfId="519" totalsRowDxfId="518"/>
    <tableColumn id="18" name=" COMUNA" dataDxfId="517" totalsRowDxfId="516">
      <calculatedColumnFormula>IFERROR(VLOOKUP(TablaOctubre[[#This Row],[BARRIO]],SECTOR!$A:$B,2,0),"")</calculatedColumnFormula>
    </tableColumn>
    <tableColumn id="19" name="EPS" dataDxfId="515" totalsRowDxfId="514"/>
    <tableColumn id="20" name="TELEFONO" dataDxfId="513" totalsRowDxfId="512"/>
    <tableColumn id="21" name="SA1" dataDxfId="511" totalsRowDxfId="510" dataCellStyle="Moneda"/>
    <tableColumn id="22" name="DO2" dataDxfId="509" totalsRowDxfId="508" dataCellStyle="Moneda"/>
    <tableColumn id="23" name="LU3" dataDxfId="507" totalsRowDxfId="506" dataCellStyle="Moneda"/>
    <tableColumn id="24" name="MA4" dataDxfId="505" totalsRowDxfId="504" dataCellStyle="Moneda"/>
    <tableColumn id="25" name="MI5" dataDxfId="503" totalsRowDxfId="502" dataCellStyle="Moneda"/>
    <tableColumn id="26" name="JU6" dataDxfId="501" totalsRowDxfId="500" dataCellStyle="Moneda"/>
    <tableColumn id="27" name="VI7" dataDxfId="499" totalsRowDxfId="498" dataCellStyle="Moneda"/>
    <tableColumn id="28" name="SA8" dataDxfId="497" totalsRowDxfId="496" dataCellStyle="Moneda"/>
    <tableColumn id="29" name="DO9" dataDxfId="495" totalsRowDxfId="494" dataCellStyle="Moneda"/>
    <tableColumn id="30" name="LU10" dataDxfId="493" totalsRowDxfId="492" dataCellStyle="Moneda"/>
    <tableColumn id="31" name="MA11" dataDxfId="491" totalsRowDxfId="490" dataCellStyle="Moneda"/>
    <tableColumn id="32" name="MI12" dataDxfId="489" totalsRowDxfId="488" dataCellStyle="Moneda"/>
    <tableColumn id="33" name="JU13" dataDxfId="487" totalsRowDxfId="486" dataCellStyle="Moneda"/>
    <tableColumn id="34" name="VI14" dataDxfId="485" totalsRowDxfId="484" dataCellStyle="Moneda"/>
    <tableColumn id="35" name="SA15" dataDxfId="483" totalsRowDxfId="482" dataCellStyle="Moneda"/>
    <tableColumn id="36" name="DO16" dataDxfId="481" totalsRowDxfId="480" dataCellStyle="Moneda"/>
    <tableColumn id="37" name="LU17" dataDxfId="479" totalsRowDxfId="478" dataCellStyle="Moneda"/>
    <tableColumn id="38" name="MA18" dataDxfId="477" totalsRowDxfId="476" dataCellStyle="Moneda"/>
    <tableColumn id="39" name="MI19" dataDxfId="475" totalsRowDxfId="474" dataCellStyle="Moneda"/>
    <tableColumn id="40" name="JU20" dataDxfId="473" totalsRowDxfId="472" dataCellStyle="Moneda"/>
    <tableColumn id="41" name="VI21" dataDxfId="471" totalsRowDxfId="470" dataCellStyle="Moneda"/>
    <tableColumn id="42" name="SA22" dataDxfId="469" totalsRowDxfId="468" dataCellStyle="Moneda"/>
    <tableColumn id="43" name="DO23" dataDxfId="467" totalsRowDxfId="466" dataCellStyle="Moneda"/>
    <tableColumn id="44" name="LU24" dataDxfId="465" totalsRowDxfId="464" dataCellStyle="Moneda"/>
    <tableColumn id="45" name="MA25" dataDxfId="463" totalsRowDxfId="462" dataCellStyle="Moneda"/>
    <tableColumn id="46" name="MI26" dataDxfId="461" totalsRowDxfId="460" dataCellStyle="Moneda"/>
    <tableColumn id="47" name="JU27" dataDxfId="459" totalsRowDxfId="458" dataCellStyle="Moneda"/>
    <tableColumn id="48" name="VI28" dataDxfId="457" totalsRowDxfId="456" dataCellStyle="Moneda"/>
    <tableColumn id="49" name="SA29" dataDxfId="455" totalsRowDxfId="454" dataCellStyle="Moneda"/>
    <tableColumn id="50" name="DO30" dataDxfId="453" totalsRowDxfId="452" dataCellStyle="Moneda"/>
    <tableColumn id="51" name="LU31" dataDxfId="451" totalsRowDxfId="450" dataCellStyle="Moneda"/>
    <tableColumn id="52" name="A" totalsRowFunction="sum" dataDxfId="449" totalsRowDxfId="448">
      <calculatedColumnFormula>COUNTIF(U24:AY24,"A")</calculatedColumnFormula>
    </tableColumn>
    <tableColumn id="53" name="F" totalsRowFunction="sum" dataDxfId="447" totalsRowDxfId="446">
      <calculatedColumnFormula>COUNTIF(U24:AY24,"F")</calculatedColumnFormula>
    </tableColumn>
    <tableColumn id="56" name="E" totalsRowFunction="sum" dataDxfId="445" totalsRowDxfId="444">
      <calculatedColumnFormula>COUNTIF(U24:AY24,"E")</calculatedColumnFormula>
    </tableColumn>
  </tableColumns>
  <tableStyleInfo name="TableStyleLight1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name="TablaNoviembre" displayName="TablaNoviembre" ref="A23:BB504" headerRowDxfId="554" dataDxfId="553" totalsRowDxfId="551" tableBorderDxfId="552">
  <autoFilter ref="A23:BB504"/>
  <tableColumns count="54">
    <tableColumn id="1" name="No" totalsRowLabel="Total" dataDxfId="550" totalsRowDxfId="549"/>
    <tableColumn id="2" name="NOMBRE" dataDxfId="548" totalsRowDxfId="547"/>
    <tableColumn id="3" name="PRIMER APELLIDO" dataDxfId="546" totalsRowDxfId="545"/>
    <tableColumn id="4" name="SEGUNDO APELLIDO" dataDxfId="544" totalsRowDxfId="543"/>
    <tableColumn id="55" name="FECHA DE NACIMIENTO" dataDxfId="542" totalsRowDxfId="541"/>
    <tableColumn id="5" name="EDAD" dataDxfId="540">
      <calculatedColumnFormula>IF(E24="","",DATEDIF(E24,$I$7,"Y"))</calculatedColumnFormula>
    </tableColumn>
    <tableColumn id="7" name="TIPO DOCUMENTO" dataDxfId="539" totalsRowDxfId="538"/>
    <tableColumn id="8" name="DOCUMENTO " dataDxfId="537" totalsRowDxfId="536"/>
    <tableColumn id="9" name="SEXO" dataDxfId="535" totalsRowDxfId="534"/>
    <tableColumn id="11" name=" I.E - COLEGIO -GRUPO - CLUB " dataDxfId="533" totalsRowDxfId="532"/>
    <tableColumn id="12" name="GRADO " dataDxfId="531" totalsRowDxfId="530"/>
    <tableColumn id="13" name="TIPO DISCAPACIDAD" dataDxfId="529" totalsRowDxfId="528"/>
    <tableColumn id="14" name="ORI. SEXUAL" dataDxfId="527" totalsRowDxfId="526"/>
    <tableColumn id="54" name="VICTIMA CONF. ARMADO" dataDxfId="525" totalsRowDxfId="524"/>
    <tableColumn id="15" name="ETNIA " dataDxfId="523" totalsRowDxfId="522"/>
    <tableColumn id="16" name="DIRECCIÓN" dataDxfId="521" totalsRowDxfId="520"/>
    <tableColumn id="17" name="BARRIO" dataDxfId="519" totalsRowDxfId="518"/>
    <tableColumn id="18" name=" COMUNA" dataDxfId="517" totalsRowDxfId="516">
      <calculatedColumnFormula>IFERROR(VLOOKUP(TablaNoviembre[[#This Row],[BARRIO]],SECTOR!$A:$B,2,0),"")</calculatedColumnFormula>
    </tableColumn>
    <tableColumn id="19" name="EPS" dataDxfId="515" totalsRowDxfId="514"/>
    <tableColumn id="20" name="TELEFONO" dataDxfId="513" totalsRowDxfId="512"/>
    <tableColumn id="21" name="SA1" dataDxfId="511" totalsRowDxfId="510" dataCellStyle="Moneda"/>
    <tableColumn id="22" name="DO2" dataDxfId="509" totalsRowDxfId="508" dataCellStyle="Moneda"/>
    <tableColumn id="23" name="LU3" dataDxfId="507" totalsRowDxfId="506" dataCellStyle="Moneda"/>
    <tableColumn id="24" name="MA4" dataDxfId="505" totalsRowDxfId="504" dataCellStyle="Moneda"/>
    <tableColumn id="25" name="MI5" dataDxfId="503" totalsRowDxfId="502" dataCellStyle="Moneda"/>
    <tableColumn id="26" name="JU6" dataDxfId="501" totalsRowDxfId="500" dataCellStyle="Moneda"/>
    <tableColumn id="27" name="VI7" dataDxfId="499" totalsRowDxfId="498" dataCellStyle="Moneda"/>
    <tableColumn id="28" name="SA8" dataDxfId="497" totalsRowDxfId="496" dataCellStyle="Moneda"/>
    <tableColumn id="29" name="DO9" dataDxfId="495" totalsRowDxfId="494" dataCellStyle="Moneda"/>
    <tableColumn id="30" name="LU10" dataDxfId="493" totalsRowDxfId="492" dataCellStyle="Moneda"/>
    <tableColumn id="31" name="MA11" dataDxfId="491" totalsRowDxfId="490" dataCellStyle="Moneda"/>
    <tableColumn id="32" name="MI12" dataDxfId="489" totalsRowDxfId="488" dataCellStyle="Moneda"/>
    <tableColumn id="33" name="JU13" dataDxfId="487" totalsRowDxfId="486" dataCellStyle="Moneda"/>
    <tableColumn id="34" name="VI14" dataDxfId="485" totalsRowDxfId="484" dataCellStyle="Moneda"/>
    <tableColumn id="35" name="SA15" dataDxfId="483" totalsRowDxfId="482" dataCellStyle="Moneda"/>
    <tableColumn id="36" name="DO16" dataDxfId="481" totalsRowDxfId="480" dataCellStyle="Moneda"/>
    <tableColumn id="37" name="LU17" dataDxfId="479" totalsRowDxfId="478" dataCellStyle="Moneda"/>
    <tableColumn id="38" name="MA18" dataDxfId="477" totalsRowDxfId="476" dataCellStyle="Moneda"/>
    <tableColumn id="39" name="MI19" dataDxfId="475" totalsRowDxfId="474" dataCellStyle="Moneda"/>
    <tableColumn id="40" name="JU20" dataDxfId="473" totalsRowDxfId="472" dataCellStyle="Moneda"/>
    <tableColumn id="41" name="VI21" dataDxfId="471" totalsRowDxfId="470" dataCellStyle="Moneda"/>
    <tableColumn id="42" name="SA22" dataDxfId="469" totalsRowDxfId="468" dataCellStyle="Moneda"/>
    <tableColumn id="43" name="DO23" dataDxfId="467" totalsRowDxfId="466" dataCellStyle="Moneda"/>
    <tableColumn id="44" name="LU24" dataDxfId="465" totalsRowDxfId="464" dataCellStyle="Moneda"/>
    <tableColumn id="45" name="MA25" dataDxfId="463" totalsRowDxfId="462" dataCellStyle="Moneda"/>
    <tableColumn id="46" name="MI26" dataDxfId="461" totalsRowDxfId="460" dataCellStyle="Moneda"/>
    <tableColumn id="47" name="JU27" dataDxfId="459" totalsRowDxfId="458" dataCellStyle="Moneda"/>
    <tableColumn id="48" name="VI28" dataDxfId="457" totalsRowDxfId="456" dataCellStyle="Moneda"/>
    <tableColumn id="49" name="SA29" dataDxfId="455" totalsRowDxfId="454" dataCellStyle="Moneda"/>
    <tableColumn id="50" name="DO30" dataDxfId="453" totalsRowDxfId="452" dataCellStyle="Moneda"/>
    <tableColumn id="51" name="LU31" dataDxfId="451" totalsRowDxfId="450" dataCellStyle="Moneda"/>
    <tableColumn id="52" name="A" totalsRowFunction="sum" dataDxfId="449" totalsRowDxfId="448">
      <calculatedColumnFormula>COUNTIF(U24:AY24,"A")</calculatedColumnFormula>
    </tableColumn>
    <tableColumn id="53" name="F" totalsRowFunction="sum" dataDxfId="447" totalsRowDxfId="446">
      <calculatedColumnFormula>COUNTIF(U24:AY24,"F")</calculatedColumnFormula>
    </tableColumn>
    <tableColumn id="56" name="E" totalsRowFunction="sum" dataDxfId="445" totalsRowDxfId="444">
      <calculatedColumnFormula>COUNTIF(U24:AY24,"E")</calculatedColumnFormula>
    </tableColumn>
  </tableColumns>
  <tableStyleInfo name="TableStyleLight1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name="TablaDiciembre" displayName="TablaDiciembre" ref="A23:BB504" headerRowDxfId="554" dataDxfId="553" totalsRowDxfId="551" tableBorderDxfId="552">
  <autoFilter ref="A23:BB504"/>
  <tableColumns count="54">
    <tableColumn id="1" name="No" totalsRowLabel="Total" dataDxfId="550" totalsRowDxfId="549"/>
    <tableColumn id="2" name="NOMBRE" dataDxfId="548" totalsRowDxfId="547"/>
    <tableColumn id="3" name="PRIMER APELLIDO" dataDxfId="546" totalsRowDxfId="545"/>
    <tableColumn id="4" name="SEGUNDO APELLIDO" dataDxfId="544" totalsRowDxfId="543"/>
    <tableColumn id="55" name="FECHA DE NACIMIENTO" dataDxfId="542" totalsRowDxfId="541"/>
    <tableColumn id="5" name="EDAD" dataDxfId="540">
      <calculatedColumnFormula>IF(E24="","",DATEDIF(E24,$I$7,"Y"))</calculatedColumnFormula>
    </tableColumn>
    <tableColumn id="7" name="TIPO DOCUMENTO" dataDxfId="539" totalsRowDxfId="538"/>
    <tableColumn id="8" name="DOCUMENTO " dataDxfId="537" totalsRowDxfId="536"/>
    <tableColumn id="9" name="SEXO" dataDxfId="535" totalsRowDxfId="534"/>
    <tableColumn id="11" name=" I.E - COLEGIO -GRUPO - CLUB " dataDxfId="533" totalsRowDxfId="532"/>
    <tableColumn id="12" name="GRADO " dataDxfId="531" totalsRowDxfId="530"/>
    <tableColumn id="13" name="TIPO DISCAPACIDAD" dataDxfId="529" totalsRowDxfId="528"/>
    <tableColumn id="14" name="ORI. SEXUAL" dataDxfId="527" totalsRowDxfId="526"/>
    <tableColumn id="54" name="VICTIMA CONF. ARMADO" dataDxfId="525" totalsRowDxfId="524"/>
    <tableColumn id="15" name="ETNIA " dataDxfId="523" totalsRowDxfId="522"/>
    <tableColumn id="16" name="DIRECCIÓN" dataDxfId="521" totalsRowDxfId="520"/>
    <tableColumn id="17" name="BARRIO" dataDxfId="519" totalsRowDxfId="518"/>
    <tableColumn id="18" name=" COMUNA" dataDxfId="517" totalsRowDxfId="516">
      <calculatedColumnFormula>IFERROR(VLOOKUP(TablaDiciembre[[#This Row],[BARRIO]],SECTOR!$A:$B,2,0),"")</calculatedColumnFormula>
    </tableColumn>
    <tableColumn id="19" name="EPS" dataDxfId="515" totalsRowDxfId="514"/>
    <tableColumn id="20" name="TELEFONO" dataDxfId="513" totalsRowDxfId="512"/>
    <tableColumn id="21" name="SA1" dataDxfId="511" totalsRowDxfId="510" dataCellStyle="Moneda"/>
    <tableColumn id="22" name="DO2" dataDxfId="509" totalsRowDxfId="508" dataCellStyle="Moneda"/>
    <tableColumn id="23" name="LU3" dataDxfId="507" totalsRowDxfId="506" dataCellStyle="Moneda"/>
    <tableColumn id="24" name="MA4" dataDxfId="505" totalsRowDxfId="504" dataCellStyle="Moneda"/>
    <tableColumn id="25" name="MI5" dataDxfId="503" totalsRowDxfId="502" dataCellStyle="Moneda"/>
    <tableColumn id="26" name="JU6" dataDxfId="501" totalsRowDxfId="500" dataCellStyle="Moneda"/>
    <tableColumn id="27" name="VI7" dataDxfId="499" totalsRowDxfId="498" dataCellStyle="Moneda"/>
    <tableColumn id="28" name="SA8" dataDxfId="497" totalsRowDxfId="496" dataCellStyle="Moneda"/>
    <tableColumn id="29" name="DO9" dataDxfId="495" totalsRowDxfId="494" dataCellStyle="Moneda"/>
    <tableColumn id="30" name="LU10" dataDxfId="493" totalsRowDxfId="492" dataCellStyle="Moneda"/>
    <tableColumn id="31" name="MA11" dataDxfId="491" totalsRowDxfId="490" dataCellStyle="Moneda"/>
    <tableColumn id="32" name="MI12" dataDxfId="489" totalsRowDxfId="488" dataCellStyle="Moneda"/>
    <tableColumn id="33" name="JU13" dataDxfId="487" totalsRowDxfId="486" dataCellStyle="Moneda"/>
    <tableColumn id="34" name="VI14" dataDxfId="485" totalsRowDxfId="484" dataCellStyle="Moneda"/>
    <tableColumn id="35" name="SA15" dataDxfId="483" totalsRowDxfId="482" dataCellStyle="Moneda"/>
    <tableColumn id="36" name="DO16" dataDxfId="481" totalsRowDxfId="480" dataCellStyle="Moneda"/>
    <tableColumn id="37" name="LU17" dataDxfId="479" totalsRowDxfId="478" dataCellStyle="Moneda"/>
    <tableColumn id="38" name="MA18" dataDxfId="477" totalsRowDxfId="476" dataCellStyle="Moneda"/>
    <tableColumn id="39" name="MI19" dataDxfId="475" totalsRowDxfId="474" dataCellStyle="Moneda"/>
    <tableColumn id="40" name="JU20" dataDxfId="473" totalsRowDxfId="472" dataCellStyle="Moneda"/>
    <tableColumn id="41" name="VI21" dataDxfId="471" totalsRowDxfId="470" dataCellStyle="Moneda"/>
    <tableColumn id="42" name="SA22" dataDxfId="469" totalsRowDxfId="468" dataCellStyle="Moneda"/>
    <tableColumn id="43" name="DO23" dataDxfId="467" totalsRowDxfId="466" dataCellStyle="Moneda"/>
    <tableColumn id="44" name="LU24" dataDxfId="465" totalsRowDxfId="464" dataCellStyle="Moneda"/>
    <tableColumn id="45" name="MA25" dataDxfId="463" totalsRowDxfId="462" dataCellStyle="Moneda"/>
    <tableColumn id="46" name="MI26" dataDxfId="461" totalsRowDxfId="460" dataCellStyle="Moneda"/>
    <tableColumn id="47" name="JU27" dataDxfId="459" totalsRowDxfId="458" dataCellStyle="Moneda"/>
    <tableColumn id="48" name="VI28" dataDxfId="457" totalsRowDxfId="456" dataCellStyle="Moneda"/>
    <tableColumn id="49" name="SA29" dataDxfId="455" totalsRowDxfId="454" dataCellStyle="Moneda"/>
    <tableColumn id="50" name="DO30" dataDxfId="453" totalsRowDxfId="452" dataCellStyle="Moneda"/>
    <tableColumn id="51" name="LU31" dataDxfId="451" totalsRowDxfId="450" dataCellStyle="Moneda"/>
    <tableColumn id="52" name="A" totalsRowFunction="sum" dataDxfId="449" totalsRowDxfId="448">
      <calculatedColumnFormula>COUNTIF(U24:AY24,"A")</calculatedColumnFormula>
    </tableColumn>
    <tableColumn id="53" name="F" totalsRowFunction="sum" dataDxfId="447" totalsRowDxfId="446">
      <calculatedColumnFormula>COUNTIF(U24:AY24,"F")</calculatedColumnFormula>
    </tableColumn>
    <tableColumn id="56" name="E" totalsRowFunction="sum" dataDxfId="445" totalsRowDxfId="444">
      <calculatedColumnFormula>COUNTIF(U24:AY24,"E")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'1.0' encoding='UTF-8' standalone='yes'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'1.0' encoding='UTF-8' standalone='yes'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_rels/sheet3.xml.rels><?xml version='1.0' encoding='UTF-8' standalone='yes'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3.xml"/></Relationships>
</file>

<file path=xl/worksheets/_rels/sheet4.xml.rels><?xml version='1.0' encoding='UTF-8' standalone='yes'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4.xml"/></Relationships>
</file>

<file path=xl/worksheets/_rels/sheet5.xml.rels><?xml version='1.0' encoding='UTF-8' standalone='yes'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5.xml"/></Relationships>
</file>

<file path=xl/worksheets/_rels/sheet6.xml.rels><?xml version='1.0' encoding='UTF-8' standalone='yes'?>
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table" Target="../tables/table6.xml"/></Relationships>
</file>

<file path=xl/worksheets/_rels/sheet7.xml.rels><?xml version='1.0' encoding='UTF-8' standalone='yes'?>
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table" Target="../tables/table7.xml"/></Relationships>
</file>

<file path=xl/worksheets/_rels/sheet8.xml.rels><?xml version='1.0' encoding='UTF-8' standalone='yes'?>
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table" Target="../tables/table8.xml"/></Relationships>
</file>

<file path=xl/worksheets/_rels/sheet9.xml.rels><?xml version='1.0' encoding='UTF-8' standalone='yes'?>
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table" Target="../tables/table9.xml"/></Relationships>
</file>

<file path=xl/worksheets/_rels/sheet10.xml.rels><?xml version='1.0' encoding='UTF-8' standalone='yes'?>
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table" Target="../tables/table10.xml"/></Relationships>
</file>

<file path=xl/worksheets/_rels/sheet11.xml.rels><?xml version='1.0' encoding='UTF-8' standalone='yes'?>
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table" Target="../tables/table11.xml"/></Relationships>
</file>

<file path=xl/worksheets/_rels/sheet12.xml.rels><?xml version='1.0' encoding='UTF-8' standalone='yes'?>
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2:BB504"/>
  <sheetViews>
    <sheetView showGridLines="0" zoomScaleNormal="100" workbookViewId="0" tabSelected="1">
      <selection activeCell="A24" sqref="A24"/>
    </sheetView>
  </sheetViews>
  <sheetFormatPr defaultColWidth="9.14453125" defaultRowHeight="15" x14ac:dyDescent="0.2"/>
  <cols>
    <col min="1" max="1" width="6.1875" style="34" customWidth="1"/>
    <col min="2" max="2" width="21.7890625" style="34" customWidth="1"/>
    <col min="3" max="3" width="21.65625" style="34" customWidth="1"/>
    <col min="4" max="4" width="21.7890625" style="34" customWidth="1"/>
    <col min="5" max="5" width="19.50390625" style="34" customWidth="1"/>
    <col min="6" max="6" width="11.1640625" style="34" customWidth="1"/>
    <col min="7" max="7" width="11.56640625" style="34" customWidth="1"/>
    <col min="8" max="8" width="18.4296875" style="34" customWidth="1"/>
    <col min="9" max="9" width="22.59765625" style="34" customWidth="1"/>
    <col min="10" max="10" width="35.109375" style="34" customWidth="1"/>
    <col min="11" max="11" width="11.43359375" style="34" customWidth="1"/>
    <col min="12" max="12" width="16.8125" style="34" customWidth="1"/>
    <col min="13" max="14" width="10.22265625" style="34" customWidth="1"/>
    <col min="15" max="15" width="23.9453125" style="34" bestFit="1" customWidth="1"/>
    <col min="16" max="16" width="23.40625" style="34" customWidth="1"/>
    <col min="17" max="17" width="18.0234375" style="34" customWidth="1"/>
    <col min="18" max="18" width="16.6796875" style="34" customWidth="1"/>
    <col min="19" max="19" width="18.6953125" style="34" bestFit="1" customWidth="1"/>
    <col min="20" max="20" width="17.62109375" style="34" customWidth="1"/>
    <col min="21" max="35" width="5.91796875" style="34" customWidth="1"/>
    <col min="36" max="36" width="6.05078125" style="34" customWidth="1"/>
    <col min="37" max="54" width="5.91796875" style="34" customWidth="1"/>
    <col min="55" max="55" width="9.14453125" style="34"/>
    <col min="56" max="56" width="13.5859375" style="34" bestFit="1" customWidth="1"/>
    <col min="57" max="59" width="10.76171875" style="34" bestFit="1" customWidth="1"/>
    <col min="60" max="16384" width="9.14453125" style="34"/>
  </cols>
  <sheetData>
    <row r="2" spans="1:54" x14ac:dyDescent="0.2">
      <c r="B2" s="244"/>
      <c r="C2" s="247" t="s">
        <v>0</v>
      </c>
      <c r="D2" s="248"/>
      <c r="E2" s="248"/>
      <c r="F2" s="248"/>
      <c r="G2" s="248"/>
      <c r="H2" s="248"/>
      <c r="I2" s="249"/>
    </row>
    <row r="3" spans="1:54" x14ac:dyDescent="0.2">
      <c r="B3" s="245"/>
      <c r="C3" s="250" t="s">
        <v>1</v>
      </c>
      <c r="D3" s="251"/>
      <c r="E3" s="251"/>
      <c r="F3" s="251"/>
      <c r="G3" s="252"/>
      <c r="H3" s="35" t="s">
        <v>2</v>
      </c>
      <c r="I3" s="35" t="s">
        <v>3</v>
      </c>
    </row>
    <row r="4" spans="1:54" x14ac:dyDescent="0.2">
      <c r="B4" s="245"/>
      <c r="C4" s="250" t="s">
        <v>4</v>
      </c>
      <c r="D4" s="251"/>
      <c r="E4" s="251"/>
      <c r="F4" s="251"/>
      <c r="G4" s="252"/>
      <c r="H4" s="35" t="s">
        <v>5</v>
      </c>
      <c r="I4" s="36" t="s">
        <v>6</v>
      </c>
    </row>
    <row r="5" spans="1:54" ht="60" customHeight="1" x14ac:dyDescent="0.2">
      <c r="B5" s="246"/>
      <c r="C5" s="253" t="s">
        <v>7</v>
      </c>
      <c r="D5" s="254"/>
      <c r="E5" s="254"/>
      <c r="F5" s="254"/>
      <c r="G5" s="255"/>
      <c r="H5" s="35" t="s">
        <v>8</v>
      </c>
      <c r="I5" s="37">
        <v>46073</v>
      </c>
    </row>
    <row r="7" spans="1:54" ht="22.5" customHeight="1" x14ac:dyDescent="0.2">
      <c r="A7" s="13"/>
      <c r="B7" s="256" t="s">
        <v>9</v>
      </c>
      <c r="C7" s="257"/>
      <c r="D7" s="230"/>
      <c r="E7" s="231"/>
      <c r="F7" s="231"/>
      <c r="G7" s="232"/>
      <c r="H7" s="38"/>
      <c r="I7" s="39"/>
      <c r="J7" s="40"/>
      <c r="K7" s="40"/>
      <c r="L7" s="12"/>
      <c r="M7" s="12"/>
      <c r="N7" s="12"/>
      <c r="O7" s="12"/>
      <c r="P7" s="12"/>
      <c r="Q7" s="12"/>
      <c r="R7" s="12"/>
      <c r="S7" s="12"/>
      <c r="T7" s="41"/>
      <c r="U7" s="42"/>
      <c r="V7" s="42"/>
      <c r="W7" s="258"/>
      <c r="X7" s="258"/>
      <c r="Y7" s="258"/>
      <c r="Z7" s="258"/>
      <c r="AA7" s="258"/>
      <c r="AB7" s="258"/>
      <c r="AC7" s="258"/>
      <c r="AD7" s="258"/>
      <c r="AE7" s="258"/>
      <c r="AF7" s="13"/>
      <c r="AG7" s="234"/>
      <c r="AH7" s="152"/>
      <c r="AI7" s="233"/>
      <c r="AJ7" s="152"/>
      <c r="AK7" s="152"/>
      <c r="AL7" s="152"/>
      <c r="AM7" s="152"/>
      <c r="AN7" s="13"/>
      <c r="AO7" s="234"/>
      <c r="AP7" s="152"/>
      <c r="AQ7" s="152"/>
      <c r="AR7" s="44"/>
      <c r="AS7" s="45"/>
      <c r="AT7" s="45"/>
      <c r="AU7" s="45"/>
      <c r="AV7" s="45"/>
      <c r="AW7" s="45"/>
      <c r="AX7" s="45"/>
      <c r="AY7" s="12"/>
      <c r="AZ7" s="13"/>
      <c r="BA7" s="13"/>
      <c r="BB7" s="13"/>
    </row>
    <row r="8" spans="1:54" ht="21.75" customHeight="1" x14ac:dyDescent="0.2">
      <c r="A8" s="13"/>
      <c r="B8" s="235" t="s">
        <v>10</v>
      </c>
      <c r="C8" s="236"/>
      <c r="D8" s="223"/>
      <c r="E8" s="224"/>
      <c r="F8" s="224"/>
      <c r="G8" s="225"/>
      <c r="H8" s="11"/>
      <c r="I8" s="11"/>
      <c r="J8" s="11"/>
      <c r="K8" s="11"/>
      <c r="L8" s="12"/>
      <c r="M8" s="12"/>
      <c r="N8" s="12"/>
      <c r="O8" s="12"/>
      <c r="P8" s="12"/>
      <c r="Q8" s="12"/>
      <c r="R8" s="12"/>
      <c r="S8" s="237" t="s">
        <v>11</v>
      </c>
      <c r="T8" s="238"/>
      <c r="U8" s="13"/>
      <c r="V8" s="13"/>
      <c r="W8" s="239" t="s">
        <v>12</v>
      </c>
      <c r="X8" s="239"/>
      <c r="Y8" s="239"/>
      <c r="Z8" s="239"/>
      <c r="AA8" s="239"/>
      <c r="AB8" s="240"/>
      <c r="AC8" s="152"/>
      <c r="AD8" s="241" t="s">
        <v>13</v>
      </c>
      <c r="AE8" s="241"/>
      <c r="AF8" s="241"/>
      <c r="AG8" s="241"/>
      <c r="AH8" s="241"/>
      <c r="AI8" s="12"/>
      <c r="AJ8" s="12"/>
      <c r="AK8" s="242" t="s">
        <v>14</v>
      </c>
      <c r="AL8" s="243"/>
      <c r="AM8" s="243"/>
      <c r="AN8" s="243"/>
      <c r="AO8" s="243"/>
      <c r="AP8" s="243"/>
      <c r="AQ8" s="243"/>
      <c r="AR8" s="243"/>
      <c r="AS8" s="183"/>
      <c r="AT8" s="183"/>
      <c r="AU8" s="183"/>
      <c r="AV8" s="183"/>
      <c r="AW8" s="183"/>
      <c r="AX8" s="183"/>
      <c r="AY8" s="183"/>
      <c r="AZ8" s="183"/>
      <c r="BA8" s="183"/>
      <c r="BB8" s="183"/>
    </row>
    <row r="9" spans="1:54" ht="20.25" customHeight="1" x14ac:dyDescent="0.2">
      <c r="A9" s="13"/>
      <c r="B9" s="228" t="s">
        <v>15</v>
      </c>
      <c r="C9" s="229"/>
      <c r="D9" s="230"/>
      <c r="E9" s="231"/>
      <c r="F9" s="231"/>
      <c r="G9" s="232"/>
      <c r="H9" s="13"/>
      <c r="I9" s="13"/>
      <c r="J9" s="12"/>
      <c r="K9" s="12"/>
      <c r="L9" s="12"/>
      <c r="M9" s="12"/>
      <c r="N9" s="12"/>
      <c r="O9" s="12"/>
      <c r="P9" s="12"/>
      <c r="Q9" s="12"/>
      <c r="R9" s="12"/>
      <c r="S9" s="46" t="s">
        <v>16</v>
      </c>
      <c r="T9" s="114">
        <f>COUNTIFS(TablaEnero[TIPO DISCAPACIDAD], S9)</f>
      </c>
      <c r="U9" s="13"/>
      <c r="V9" s="13"/>
      <c r="W9" s="164" t="s">
        <v>17</v>
      </c>
      <c r="X9" s="164"/>
      <c r="Y9" s="164"/>
      <c r="Z9" s="147">
        <f>COUNTIFS(TablaEnero[ORI. SEXUAL], W9)</f>
      </c>
      <c r="AA9" s="148"/>
      <c r="AB9" s="13"/>
      <c r="AC9" s="13"/>
      <c r="AD9" s="164" t="s">
        <v>18</v>
      </c>
      <c r="AE9" s="164"/>
      <c r="AF9" s="164"/>
      <c r="AG9" s="165">
        <f>COUNTIFS(TablaEnero[[ETNIA ]], AD9)</f>
      </c>
      <c r="AH9" s="165"/>
      <c r="AI9" s="12"/>
      <c r="AJ9" s="12"/>
      <c r="AK9" s="226">
        <v>1</v>
      </c>
      <c r="AL9" s="226"/>
      <c r="AM9" s="202">
        <f>COUNTIFS(TablaEnero[[ COMUNA]], AK9)</f>
      </c>
      <c r="AN9" s="202"/>
      <c r="AO9" s="227">
        <v>3</v>
      </c>
      <c r="AP9" s="227"/>
      <c r="AQ9" s="218">
        <f>COUNTIFS(TablaEnero[[ COMUNA]], AO9)</f>
      </c>
      <c r="AR9" s="218"/>
      <c r="AS9" s="183"/>
      <c r="AT9" s="183"/>
      <c r="AU9" s="183"/>
      <c r="AV9" s="183"/>
      <c r="AW9" s="183"/>
      <c r="AX9" s="183"/>
      <c r="AY9" s="183"/>
      <c r="AZ9" s="183"/>
      <c r="BA9" s="183"/>
      <c r="BB9" s="183"/>
    </row>
    <row r="10" spans="1:54" ht="21.75" customHeight="1" x14ac:dyDescent="0.2">
      <c r="A10" s="13"/>
      <c r="B10" s="221" t="s">
        <v>19</v>
      </c>
      <c r="C10" s="222"/>
      <c r="D10" s="223"/>
      <c r="E10" s="224"/>
      <c r="F10" s="224"/>
      <c r="G10" s="225"/>
      <c r="H10" s="13"/>
      <c r="I10" s="13"/>
      <c r="J10" s="12"/>
      <c r="K10" s="12"/>
      <c r="L10" s="12"/>
      <c r="M10" s="12"/>
      <c r="N10" s="12"/>
      <c r="O10" s="12"/>
      <c r="P10" s="12"/>
      <c r="Q10" s="12"/>
      <c r="R10" s="12"/>
      <c r="S10" s="47" t="s">
        <v>20</v>
      </c>
      <c r="T10" s="115">
        <f>COUNTIFS(TablaEnero[TIPO DISCAPACIDAD], S10)</f>
      </c>
      <c r="U10" s="13"/>
      <c r="V10" s="13"/>
      <c r="W10" s="164" t="s">
        <v>21</v>
      </c>
      <c r="X10" s="164"/>
      <c r="Y10" s="164"/>
      <c r="Z10" s="147">
        <f>COUNTIFS(TablaEnero[ORI. SEXUAL], W10)</f>
      </c>
      <c r="AA10" s="148"/>
      <c r="AB10" s="13"/>
      <c r="AC10" s="13"/>
      <c r="AD10" s="164" t="s">
        <v>22</v>
      </c>
      <c r="AE10" s="164"/>
      <c r="AF10" s="164"/>
      <c r="AG10" s="165">
        <f>COUNTIFS(TablaEnero[[ETNIA ]], AD10)</f>
      </c>
      <c r="AH10" s="165"/>
      <c r="AI10" s="12"/>
      <c r="AJ10" s="12"/>
      <c r="AK10" s="226">
        <v>2</v>
      </c>
      <c r="AL10" s="226"/>
      <c r="AM10" s="202">
        <f>COUNTIFS(TablaEnero[[ COMUNA]], AK10)</f>
      </c>
      <c r="AN10" s="202"/>
      <c r="AO10" s="227">
        <v>4</v>
      </c>
      <c r="AP10" s="227"/>
      <c r="AQ10" s="218">
        <f>COUNTIFS(TablaEnero[[ COMUNA]], AO10)</f>
      </c>
      <c r="AR10" s="218"/>
      <c r="AS10" s="183"/>
      <c r="AT10" s="183"/>
      <c r="AU10" s="183"/>
      <c r="AV10" s="183"/>
      <c r="AW10" s="183"/>
      <c r="AX10" s="183"/>
      <c r="AY10" s="183"/>
      <c r="AZ10" s="183"/>
      <c r="BA10" s="183"/>
      <c r="BB10" s="183"/>
    </row>
    <row r="11" spans="1:54" ht="26.25" customHeight="1" x14ac:dyDescent="0.2">
      <c r="A11" s="13"/>
      <c r="B11" s="13"/>
      <c r="C11" s="33"/>
      <c r="D11" s="33"/>
      <c r="E11" s="33"/>
      <c r="F11" s="33"/>
      <c r="G11" s="33"/>
      <c r="H11" s="33"/>
      <c r="I11" s="33"/>
      <c r="J11" s="33"/>
      <c r="K11" s="33"/>
      <c r="L11" s="12"/>
      <c r="M11" s="12"/>
      <c r="N11" s="12"/>
      <c r="O11" s="12"/>
      <c r="P11" s="12"/>
      <c r="Q11" s="12"/>
      <c r="R11" s="12"/>
      <c r="S11" s="47" t="s">
        <v>23</v>
      </c>
      <c r="T11" s="115">
        <f>COUNTIFS(TablaEnero[TIPO DISCAPACIDAD], S11)</f>
      </c>
      <c r="U11" s="13"/>
      <c r="V11" s="13"/>
      <c r="W11" s="164" t="s">
        <v>24</v>
      </c>
      <c r="X11" s="164"/>
      <c r="Y11" s="164"/>
      <c r="Z11" s="147">
        <f>COUNTIFS(TablaEnero[ORI. SEXUAL], W11)</f>
      </c>
      <c r="AA11" s="148"/>
      <c r="AB11" s="13"/>
      <c r="AC11" s="13"/>
      <c r="AD11" s="164" t="s">
        <v>25</v>
      </c>
      <c r="AE11" s="164"/>
      <c r="AF11" s="164"/>
      <c r="AG11" s="165">
        <f>COUNTIFS(TablaEnero[[ETNIA ]], AD11)</f>
      </c>
      <c r="AH11" s="165"/>
      <c r="AI11" s="13"/>
      <c r="AJ11" s="13"/>
      <c r="AK11" s="201" t="s">
        <v>26</v>
      </c>
      <c r="AL11" s="201"/>
      <c r="AM11" s="202">
        <f>COUNTIFS(TablaEnero[[ COMUNA]], AK11)</f>
      </c>
      <c r="AN11" s="202"/>
      <c r="AO11" s="219" t="s">
        <v>27</v>
      </c>
      <c r="AP11" s="219"/>
      <c r="AQ11" s="218">
        <f>COUNTIFS(TablaEnero[[ COMUNA]], AO11)</f>
      </c>
      <c r="AR11" s="218"/>
      <c r="AS11" s="220"/>
      <c r="AT11" s="220"/>
      <c r="AU11" s="220"/>
      <c r="AV11" s="220"/>
      <c r="AW11" s="220"/>
      <c r="AX11" s="220"/>
      <c r="AY11" s="220"/>
      <c r="AZ11" s="220"/>
      <c r="BA11" s="220"/>
      <c r="BB11" s="220"/>
    </row>
    <row r="12" spans="1:54" ht="26.25" customHeight="1" thickBot="1" x14ac:dyDescent="0.25">
      <c r="A12" s="13"/>
      <c r="B12" s="195" t="s">
        <v>28</v>
      </c>
      <c r="C12" s="198" t="s">
        <v>29</v>
      </c>
      <c r="D12" s="199"/>
      <c r="E12" s="199"/>
      <c r="F12" s="199"/>
      <c r="G12" s="199"/>
      <c r="H12" s="199"/>
      <c r="I12" s="200"/>
      <c r="L12" s="12"/>
      <c r="M12" s="12"/>
      <c r="N12" s="12"/>
      <c r="O12" s="12"/>
      <c r="P12" s="12"/>
      <c r="Q12" s="12"/>
      <c r="R12" s="12"/>
      <c r="S12" s="48" t="s">
        <v>30</v>
      </c>
      <c r="T12" s="115">
        <f>COUNTIFS(TablaEnero[TIPO DISCAPACIDAD], S12)</f>
      </c>
      <c r="U12" s="13"/>
      <c r="V12" s="13"/>
      <c r="W12" s="164" t="s">
        <v>31</v>
      </c>
      <c r="X12" s="164"/>
      <c r="Y12" s="164"/>
      <c r="Z12" s="147">
        <f>COUNTIFS(TablaEnero[ORI. SEXUAL], W12)</f>
      </c>
      <c r="AA12" s="148"/>
      <c r="AB12" s="13"/>
      <c r="AC12" s="13"/>
      <c r="AD12" s="164" t="s">
        <v>32</v>
      </c>
      <c r="AE12" s="164"/>
      <c r="AF12" s="164"/>
      <c r="AG12" s="165">
        <f>COUNTIFS(TablaEnero[[ETNIA ]], AD12)</f>
      </c>
      <c r="AH12" s="165"/>
      <c r="AI12" s="49"/>
      <c r="AJ12" s="49"/>
      <c r="AK12" s="201" t="s">
        <v>33</v>
      </c>
      <c r="AL12" s="201"/>
      <c r="AM12" s="202">
        <f>COUNTIFS(TablaEnero[[ COMUNA]], AK12)</f>
      </c>
      <c r="AN12" s="202"/>
      <c r="AO12" s="180"/>
      <c r="AP12" s="180"/>
      <c r="AQ12" s="183"/>
      <c r="AR12" s="183"/>
      <c r="AS12" s="220"/>
      <c r="AT12" s="220"/>
      <c r="AU12" s="220"/>
      <c r="AV12" s="220"/>
      <c r="AW12" s="220"/>
      <c r="AX12" s="220"/>
      <c r="AY12" s="220"/>
      <c r="AZ12" s="220"/>
      <c r="BA12" s="220"/>
      <c r="BB12" s="220"/>
    </row>
    <row r="13" spans="1:54" ht="29.25" customHeight="1" thickBot="1" x14ac:dyDescent="0.25">
      <c r="B13" s="196"/>
      <c r="C13" s="50" t="s">
        <v>34</v>
      </c>
      <c r="D13" s="51" t="s">
        <v>35</v>
      </c>
      <c r="E13" s="51" t="s">
        <v>36</v>
      </c>
      <c r="F13" s="203" t="s">
        <v>37</v>
      </c>
      <c r="G13" s="204"/>
      <c r="H13" s="52" t="s">
        <v>38</v>
      </c>
      <c r="I13" s="53" t="s">
        <v>39</v>
      </c>
      <c r="K13" s="54"/>
      <c r="L13" s="55"/>
      <c r="M13" s="12"/>
      <c r="N13" s="12"/>
      <c r="O13" s="205" t="s">
        <v>40</v>
      </c>
      <c r="P13" s="206"/>
      <c r="Q13" s="207"/>
      <c r="R13" s="56"/>
      <c r="S13" s="57" t="s">
        <v>41</v>
      </c>
      <c r="T13" s="115">
        <f>COUNTIFS(TablaEnero[TIPO DISCAPACIDAD], S13)</f>
      </c>
      <c r="U13" s="56"/>
      <c r="V13" s="56"/>
      <c r="W13" s="160" t="s">
        <v>42</v>
      </c>
      <c r="X13" s="160"/>
      <c r="Y13" s="160"/>
      <c r="Z13" s="147">
        <f>COUNTIFS(TablaEnero[ORI. SEXUAL], W13)</f>
      </c>
      <c r="AA13" s="148"/>
      <c r="AB13" s="58"/>
      <c r="AC13" s="59"/>
      <c r="AD13" s="208" t="s">
        <v>43</v>
      </c>
      <c r="AE13" s="208"/>
      <c r="AF13" s="208"/>
      <c r="AG13" s="165">
        <f>COUNTIFS(TablaEnero[[ETNIA ]], AD13)</f>
      </c>
      <c r="AH13" s="165"/>
      <c r="AI13" s="56"/>
      <c r="AJ13" s="56"/>
      <c r="AK13" s="209"/>
      <c r="AL13" s="209"/>
      <c r="AM13" s="182"/>
      <c r="AN13" s="182"/>
      <c r="AO13" s="180"/>
      <c r="AP13" s="180"/>
      <c r="AQ13" s="183"/>
      <c r="AR13" s="183"/>
      <c r="AS13" s="220"/>
      <c r="AT13" s="220"/>
      <c r="AU13" s="220"/>
      <c r="AV13" s="220"/>
      <c r="AW13" s="220"/>
      <c r="AX13" s="220"/>
      <c r="AY13" s="220"/>
      <c r="AZ13" s="220"/>
      <c r="BA13" s="220"/>
      <c r="BB13" s="220"/>
    </row>
    <row r="14" spans="1:54" ht="19.5" customHeight="1" thickBot="1" x14ac:dyDescent="0.25">
      <c r="A14" s="13"/>
      <c r="B14" s="196"/>
      <c r="C14" s="210"/>
      <c r="D14" s="210"/>
      <c r="E14" s="8"/>
      <c r="F14" s="212"/>
      <c r="G14" s="213"/>
      <c r="H14" s="210"/>
      <c r="I14" s="210"/>
      <c r="K14" s="216" t="s">
        <v>44</v>
      </c>
      <c r="L14" s="184">
        <f>COUNTIFS(TablaEnero[SEXO], K14)</f>
      </c>
      <c r="M14" s="12"/>
      <c r="N14" s="12"/>
      <c r="O14" s="158" t="s">
        <v>45</v>
      </c>
      <c r="P14" s="159"/>
      <c r="Q14" s="116">
        <f>COUNTIFS(TablaEnero[EDAD], "&lt;6")</f>
      </c>
      <c r="R14" s="56"/>
      <c r="S14" s="47" t="s">
        <v>46</v>
      </c>
      <c r="T14" s="115">
        <f>COUNTIFS(TablaEnero[TIPO DISCAPACIDAD], S14)</f>
      </c>
      <c r="U14" s="60"/>
      <c r="V14" s="56"/>
      <c r="W14" s="160" t="s">
        <v>47</v>
      </c>
      <c r="X14" s="160"/>
      <c r="Y14" s="160"/>
      <c r="Z14" s="147">
        <f>COUNTIFS(TablaEnero[ORI. SEXUAL], W14)</f>
      </c>
      <c r="AA14" s="148"/>
      <c r="AB14" s="13"/>
      <c r="AC14" s="13"/>
      <c r="AD14" s="164" t="s">
        <v>48</v>
      </c>
      <c r="AE14" s="164"/>
      <c r="AF14" s="164"/>
      <c r="AG14" s="165">
        <f>COUNTIFS(TablaEnero[[ETNIA ]], AD14)</f>
      </c>
      <c r="AH14" s="165"/>
      <c r="AI14" s="56"/>
      <c r="AJ14" s="56"/>
      <c r="AK14" s="194"/>
      <c r="AL14" s="194"/>
      <c r="AM14" s="182"/>
      <c r="AN14" s="182"/>
      <c r="AO14" s="180"/>
      <c r="AP14" s="180"/>
      <c r="AQ14" s="183"/>
      <c r="AR14" s="183"/>
      <c r="AV14" s="151"/>
      <c r="AW14" s="152"/>
      <c r="BB14" s="13"/>
    </row>
    <row r="15" spans="1:54" ht="19.5" customHeight="1" thickBot="1" x14ac:dyDescent="0.25">
      <c r="A15" s="13"/>
      <c r="B15" s="196"/>
      <c r="C15" s="211"/>
      <c r="D15" s="211"/>
      <c r="E15" s="9"/>
      <c r="F15" s="214"/>
      <c r="G15" s="215"/>
      <c r="H15" s="211"/>
      <c r="I15" s="211"/>
      <c r="K15" s="217"/>
      <c r="L15" s="185"/>
      <c r="M15" s="12"/>
      <c r="N15" s="12"/>
      <c r="O15" s="192" t="s">
        <v>49</v>
      </c>
      <c r="P15" s="193"/>
      <c r="Q15" s="116">
        <f>COUNTIFS(TablaEnero[EDAD], "&gt;5", TablaEnero[EDAD], "&lt;11")</f>
      </c>
      <c r="R15" s="56"/>
      <c r="S15" s="57" t="s">
        <v>50</v>
      </c>
      <c r="T15" s="115">
        <f>COUNTIFS(TablaEnero[TIPO DISCAPACIDAD], S15)</f>
      </c>
      <c r="U15" s="60"/>
      <c r="V15" s="56"/>
      <c r="W15" s="160" t="s">
        <v>51</v>
      </c>
      <c r="X15" s="160"/>
      <c r="Y15" s="160"/>
      <c r="Z15" s="147">
        <f>COUNTIFS(TablaEnero[ORI. SEXUAL], W15)</f>
      </c>
      <c r="AA15" s="148"/>
      <c r="AB15" s="58"/>
      <c r="AC15" s="59"/>
      <c r="AD15" s="179" t="s">
        <v>52</v>
      </c>
      <c r="AE15" s="179"/>
      <c r="AF15" s="179"/>
      <c r="AG15" s="165">
        <f>COUNTIFS(TablaEnero[[ETNIA ]], AD15)</f>
      </c>
      <c r="AH15" s="165"/>
      <c r="AI15" s="56"/>
      <c r="AJ15" s="56"/>
      <c r="AK15" s="180"/>
      <c r="AL15" s="181"/>
      <c r="AM15" s="182"/>
      <c r="AN15" s="182"/>
      <c r="AO15" s="180"/>
      <c r="AP15" s="180"/>
      <c r="AQ15" s="183"/>
      <c r="AR15" s="183"/>
      <c r="AV15" s="151"/>
      <c r="AW15" s="152"/>
      <c r="AX15" s="186" t="s">
        <v>53</v>
      </c>
      <c r="AY15" s="186"/>
      <c r="AZ15" s="186"/>
      <c r="BA15" s="186"/>
      <c r="BB15" s="13"/>
    </row>
    <row r="16" spans="1:54" ht="19.5" customHeight="1" thickBot="1" x14ac:dyDescent="0.25">
      <c r="A16" s="13"/>
      <c r="B16" s="196"/>
      <c r="C16" s="187" t="s">
        <v>54</v>
      </c>
      <c r="D16" s="188"/>
      <c r="E16" s="188"/>
      <c r="F16" s="188"/>
      <c r="G16" s="188"/>
      <c r="H16" s="188"/>
      <c r="I16" s="189"/>
      <c r="K16" s="190" t="s">
        <v>55</v>
      </c>
      <c r="L16" s="184">
        <f>COUNTIFS(TablaEnero[SEXO], K16)</f>
      </c>
      <c r="M16" s="12"/>
      <c r="N16" s="12"/>
      <c r="O16" s="158" t="s">
        <v>56</v>
      </c>
      <c r="P16" s="159"/>
      <c r="Q16" s="116">
        <f>COUNTIFS(TablaEnero[EDAD], "&gt;10", TablaEnero[EDAD], "&lt;15")</f>
      </c>
      <c r="R16" s="56"/>
      <c r="S16" s="47" t="s">
        <v>57</v>
      </c>
      <c r="T16" s="115">
        <f>COUNTIFS(TablaEnero[TIPO DISCAPACIDAD], S16)</f>
      </c>
      <c r="U16" s="60"/>
      <c r="V16" s="56"/>
      <c r="W16" s="160" t="s">
        <v>58</v>
      </c>
      <c r="X16" s="160"/>
      <c r="Y16" s="160"/>
      <c r="Z16" s="147">
        <f>COUNTIFS(TablaEnero[ORI. SEXUAL], W16)</f>
      </c>
      <c r="AA16" s="148"/>
      <c r="AB16" s="58"/>
      <c r="AC16" s="59"/>
      <c r="AD16" s="179" t="s">
        <v>59</v>
      </c>
      <c r="AE16" s="179"/>
      <c r="AF16" s="179"/>
      <c r="AG16" s="165">
        <f>COUNTIFS(TablaEnero[[ETNIA ]], AD16)</f>
      </c>
      <c r="AH16" s="165"/>
      <c r="AI16" s="56"/>
      <c r="AJ16" s="56"/>
      <c r="AK16" s="180"/>
      <c r="AL16" s="180"/>
      <c r="AM16" s="181"/>
      <c r="AN16" s="181"/>
      <c r="AO16" s="56"/>
      <c r="AP16" s="56"/>
      <c r="AQ16" s="33"/>
      <c r="AV16" s="151"/>
      <c r="AW16" s="152"/>
      <c r="AX16" s="186"/>
      <c r="AY16" s="186"/>
      <c r="AZ16" s="186"/>
      <c r="BA16" s="186"/>
      <c r="BB16" s="13"/>
    </row>
    <row r="17" spans="1:54" ht="19.5" customHeight="1" thickBot="1" x14ac:dyDescent="0.25">
      <c r="A17" s="13"/>
      <c r="B17" s="196"/>
      <c r="C17" s="175" t="s">
        <v>60</v>
      </c>
      <c r="D17" s="176"/>
      <c r="E17" s="175" t="s">
        <v>61</v>
      </c>
      <c r="F17" s="177"/>
      <c r="G17" s="176"/>
      <c r="H17" s="175" t="s">
        <v>62</v>
      </c>
      <c r="I17" s="176"/>
      <c r="K17" s="191"/>
      <c r="L17" s="185"/>
      <c r="M17" s="12"/>
      <c r="N17" s="12"/>
      <c r="O17" s="158" t="s">
        <v>63</v>
      </c>
      <c r="P17" s="159"/>
      <c r="Q17" s="116">
        <f>COUNTIFS(TablaEnero[EDAD], "&gt;14", TablaEnero[EDAD], "&lt;20")</f>
      </c>
      <c r="R17" s="56"/>
      <c r="S17" s="57" t="s">
        <v>64</v>
      </c>
      <c r="T17" s="115">
        <f>COUNTIFS(TablaEnero[TIPO DISCAPACIDAD], S17)</f>
      </c>
      <c r="U17" s="61"/>
      <c r="V17" s="60"/>
      <c r="W17" s="178" t="s">
        <v>65</v>
      </c>
      <c r="X17" s="178"/>
      <c r="Y17" s="178"/>
      <c r="Z17" s="147">
        <f>COUNTIFS(TablaEnero[ORI. SEXUAL], W17)</f>
      </c>
      <c r="AA17" s="148"/>
      <c r="AB17" s="13"/>
      <c r="AC17" s="13"/>
      <c r="AD17" s="164" t="s">
        <v>66</v>
      </c>
      <c r="AE17" s="164"/>
      <c r="AF17" s="164"/>
      <c r="AG17" s="165">
        <f>COUNTIFS(TablaEnero[[ETNIA ]], AD17)</f>
      </c>
      <c r="AH17" s="165"/>
      <c r="AI17" s="56"/>
      <c r="AJ17" s="56"/>
      <c r="AK17" s="56"/>
      <c r="AL17" s="56"/>
      <c r="AM17" s="56"/>
      <c r="AN17" s="149"/>
      <c r="AO17" s="150"/>
      <c r="AP17" s="150"/>
      <c r="AQ17" s="33"/>
      <c r="AV17" s="151"/>
      <c r="AW17" s="152"/>
      <c r="AX17" s="166" t="s">
        <v>67</v>
      </c>
      <c r="AY17" s="167"/>
      <c r="AZ17" s="168"/>
      <c r="BA17" s="62" t="s">
        <v>68</v>
      </c>
      <c r="BB17" s="13"/>
    </row>
    <row r="18" spans="1:54" ht="19.5" customHeight="1" thickBot="1" x14ac:dyDescent="0.25">
      <c r="A18" s="13"/>
      <c r="B18" s="197"/>
      <c r="C18" s="169"/>
      <c r="D18" s="170"/>
      <c r="E18" s="169"/>
      <c r="F18" s="171"/>
      <c r="G18" s="170"/>
      <c r="H18" s="169"/>
      <c r="I18" s="170"/>
      <c r="L18" s="12"/>
      <c r="M18" s="12"/>
      <c r="N18" s="12"/>
      <c r="O18" s="158" t="s">
        <v>69</v>
      </c>
      <c r="P18" s="159"/>
      <c r="Q18" s="116">
        <f>COUNTIFS(TablaEnero[EDAD], "&gt;19", TablaEnero[EDAD], "&lt;60")</f>
      </c>
      <c r="R18" s="56"/>
      <c r="S18" s="47" t="s">
        <v>70</v>
      </c>
      <c r="T18" s="115">
        <f>COUNTIFS(TablaEnero[TIPO DISCAPACIDAD], S18)</f>
      </c>
      <c r="U18" s="60"/>
      <c r="V18" s="56"/>
      <c r="W18" s="172" t="s">
        <v>71</v>
      </c>
      <c r="X18" s="173"/>
      <c r="Y18" s="174"/>
      <c r="Z18" s="147">
        <f>COUNTIFS(TablaEnero[ORI. SEXUAL], W18)</f>
      </c>
      <c r="AA18" s="148"/>
      <c r="AB18" s="13"/>
      <c r="AC18" s="13"/>
      <c r="AD18" s="13"/>
      <c r="AE18" s="13"/>
      <c r="AF18" s="13"/>
      <c r="AG18" s="13"/>
      <c r="AH18" s="60"/>
      <c r="AI18" s="56"/>
      <c r="AJ18" s="56"/>
      <c r="AK18" s="56"/>
      <c r="AL18" s="56"/>
      <c r="AM18" s="56"/>
      <c r="AN18" s="149"/>
      <c r="AO18" s="150"/>
      <c r="AP18" s="150"/>
      <c r="AQ18" s="33"/>
      <c r="AV18" s="151"/>
      <c r="AW18" s="152"/>
      <c r="AX18" s="153" t="s">
        <v>72</v>
      </c>
      <c r="AY18" s="154"/>
      <c r="AZ18" s="155"/>
      <c r="BA18" s="63" t="s">
        <v>73</v>
      </c>
      <c r="BB18" s="13"/>
    </row>
    <row r="19" spans="1:54" ht="19.5" customHeight="1" thickBot="1" x14ac:dyDescent="0.25">
      <c r="A19" s="13"/>
      <c r="B19" s="64"/>
      <c r="C19" s="43"/>
      <c r="D19" s="43"/>
      <c r="E19" s="43"/>
      <c r="F19" s="65"/>
      <c r="G19" s="66"/>
      <c r="H19" s="66"/>
      <c r="I19" s="66"/>
      <c r="J19" s="66"/>
      <c r="K19" s="156" t="s">
        <v>74</v>
      </c>
      <c r="L19" s="157"/>
      <c r="M19" s="12"/>
      <c r="N19" s="12"/>
      <c r="O19" s="158" t="s">
        <v>75</v>
      </c>
      <c r="P19" s="159"/>
      <c r="Q19" s="116">
        <f>COUNTIFS(TablaEnero[EDAD], "&gt;59")</f>
      </c>
      <c r="R19" s="56"/>
      <c r="U19" s="60"/>
      <c r="V19" s="56"/>
      <c r="W19" s="160" t="s">
        <v>66</v>
      </c>
      <c r="X19" s="160"/>
      <c r="Y19" s="160"/>
      <c r="Z19" s="147">
        <f>COUNTIFS(TablaEnero[ORI. SEXUAL], W19)</f>
      </c>
      <c r="AA19" s="148"/>
      <c r="AB19" s="13"/>
      <c r="AC19" s="13"/>
      <c r="AD19" s="13"/>
      <c r="AE19" s="13"/>
      <c r="AF19" s="13"/>
      <c r="AG19" s="13"/>
      <c r="AH19" s="67"/>
      <c r="AI19" s="68"/>
      <c r="AJ19" s="68" t="s">
        <v>76</v>
      </c>
      <c r="AK19" s="68"/>
      <c r="AL19" s="68"/>
      <c r="AM19" s="68"/>
      <c r="AN19" s="68"/>
      <c r="AO19" s="68"/>
      <c r="AP19" s="68"/>
      <c r="AQ19" s="33"/>
      <c r="AV19" s="151"/>
      <c r="AW19" s="152"/>
      <c r="AX19" s="161" t="s">
        <v>77</v>
      </c>
      <c r="AY19" s="162"/>
      <c r="AZ19" s="163"/>
      <c r="BA19" s="69" t="s">
        <v>78</v>
      </c>
      <c r="BB19" s="13"/>
    </row>
    <row r="20" spans="1:54" ht="20.25" customHeight="1" thickBot="1" x14ac:dyDescent="0.25">
      <c r="A20" s="13"/>
      <c r="B20" s="33"/>
      <c r="C20" s="33"/>
      <c r="D20" s="33"/>
      <c r="E20" s="33"/>
      <c r="F20" s="65"/>
      <c r="G20" s="66"/>
      <c r="H20" s="66"/>
      <c r="I20" s="66"/>
      <c r="J20" s="66"/>
      <c r="K20" s="70" t="s">
        <v>79</v>
      </c>
      <c r="L20" s="117">
        <f>COUNTIF(TablaEnero[VICTIMA CONF. ARMADO], K20)</f>
      </c>
      <c r="M20" s="12"/>
      <c r="N20" s="12"/>
      <c r="O20" s="12"/>
      <c r="P20" s="12"/>
      <c r="Q20" s="12"/>
      <c r="R20" s="12"/>
      <c r="S20" s="12"/>
      <c r="T20" s="3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68"/>
      <c r="AI20" s="68"/>
      <c r="AJ20" s="68"/>
      <c r="AK20" s="68"/>
      <c r="AL20" s="68"/>
      <c r="AM20" s="68"/>
      <c r="AN20" s="68"/>
      <c r="AO20" s="68"/>
      <c r="AP20" s="68"/>
      <c r="AQ20" s="33"/>
      <c r="AR20" s="33"/>
      <c r="AS20" s="33"/>
      <c r="AT20" s="33"/>
      <c r="AU20" s="33"/>
      <c r="AV20" s="33"/>
      <c r="AW20" s="33"/>
      <c r="AX20" s="33"/>
      <c r="AY20" s="33"/>
      <c r="AZ20" s="13"/>
      <c r="BA20" s="13"/>
      <c r="BB20" s="13"/>
    </row>
    <row r="21" spans="1:54" ht="18.75" customHeight="1" thickBot="1" x14ac:dyDescent="0.25">
      <c r="A21" s="13"/>
      <c r="B21" s="13"/>
      <c r="C21" s="33"/>
      <c r="D21" s="33"/>
      <c r="E21" s="33"/>
      <c r="F21" s="33"/>
      <c r="G21" s="33"/>
      <c r="H21" s="33"/>
      <c r="I21" s="33"/>
      <c r="J21" s="33"/>
      <c r="K21" s="71" t="s">
        <v>80</v>
      </c>
      <c r="L21" s="117">
        <f>COUNTIF(TablaEnero[VICTIMA CONF. ARMADO], K21)</f>
      </c>
      <c r="M21" s="12"/>
      <c r="N21" s="12"/>
      <c r="O21" s="12"/>
      <c r="P21" s="12"/>
      <c r="Q21" s="12"/>
      <c r="R21" s="12"/>
      <c r="S21" s="12"/>
      <c r="T21" s="33"/>
      <c r="U21" s="135" t="s">
        <v>133</v>
      </c>
      <c r="V21" s="136"/>
      <c r="W21" s="136"/>
      <c r="X21" s="136"/>
      <c r="Y21" s="136"/>
      <c r="Z21" s="136"/>
      <c r="AA21" s="136"/>
      <c r="AB21" s="136"/>
      <c r="AC21" s="136"/>
      <c r="AD21" s="136"/>
      <c r="AE21" s="136"/>
      <c r="AF21" s="136"/>
      <c r="AG21" s="136"/>
      <c r="AH21" s="136"/>
      <c r="AI21" s="136"/>
      <c r="AJ21" s="136"/>
      <c r="AK21" s="136"/>
      <c r="AL21" s="136"/>
      <c r="AM21" s="136"/>
      <c r="AN21" s="136"/>
      <c r="AO21" s="136"/>
      <c r="AP21" s="136"/>
      <c r="AQ21" s="136"/>
      <c r="AR21" s="136"/>
      <c r="AS21" s="136"/>
      <c r="AT21" s="136"/>
      <c r="AU21" s="136"/>
      <c r="AV21" s="136"/>
      <c r="AW21" s="136"/>
      <c r="AX21" s="136"/>
      <c r="AY21" s="137"/>
      <c r="AZ21" s="141" t="s">
        <v>81</v>
      </c>
      <c r="BA21" s="142"/>
      <c r="BB21" s="143"/>
    </row>
    <row r="22" spans="1:54" ht="15" customHeight="1" thickBot="1" x14ac:dyDescent="0.25">
      <c r="A22" s="13"/>
      <c r="B22" s="13"/>
      <c r="C22" s="33"/>
      <c r="D22" s="33"/>
      <c r="E22" s="33"/>
      <c r="F22" s="33"/>
      <c r="G22" s="33"/>
      <c r="H22" s="33"/>
      <c r="I22" s="33"/>
      <c r="J22" s="33"/>
      <c r="K22" s="33"/>
      <c r="L22" s="72"/>
      <c r="M22" s="72"/>
      <c r="N22" s="72"/>
      <c r="O22" s="72"/>
      <c r="P22" s="72"/>
      <c r="Q22" s="12"/>
      <c r="R22" s="12"/>
      <c r="S22" s="12"/>
      <c r="T22" s="73"/>
      <c r="U22" s="138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  <c r="AF22" s="139"/>
      <c r="AG22" s="139"/>
      <c r="AH22" s="139"/>
      <c r="AI22" s="139"/>
      <c r="AJ22" s="139"/>
      <c r="AK22" s="139"/>
      <c r="AL22" s="139"/>
      <c r="AM22" s="139"/>
      <c r="AN22" s="139"/>
      <c r="AO22" s="139"/>
      <c r="AP22" s="139"/>
      <c r="AQ22" s="139"/>
      <c r="AR22" s="139"/>
      <c r="AS22" s="139"/>
      <c r="AT22" s="139"/>
      <c r="AU22" s="139"/>
      <c r="AV22" s="139"/>
      <c r="AW22" s="139"/>
      <c r="AX22" s="139"/>
      <c r="AY22" s="140"/>
      <c r="AZ22" s="144"/>
      <c r="BA22" s="145"/>
      <c r="BB22" s="146"/>
    </row>
    <row r="23" spans="1:54" ht="42" customHeight="1" x14ac:dyDescent="0.2">
      <c r="A23" s="74" t="s">
        <v>82</v>
      </c>
      <c r="B23" s="108" t="s">
        <v>83</v>
      </c>
      <c r="C23" s="108" t="s">
        <v>84</v>
      </c>
      <c r="D23" s="108" t="s">
        <v>85</v>
      </c>
      <c r="E23" s="108" t="s">
        <v>86</v>
      </c>
      <c r="F23" s="109" t="s">
        <v>87</v>
      </c>
      <c r="G23" s="110" t="s">
        <v>88</v>
      </c>
      <c r="H23" s="109" t="s">
        <v>89</v>
      </c>
      <c r="I23" s="111" t="s">
        <v>90</v>
      </c>
      <c r="J23" s="112" t="s">
        <v>91</v>
      </c>
      <c r="K23" s="75" t="s">
        <v>92</v>
      </c>
      <c r="L23" s="76" t="s">
        <v>93</v>
      </c>
      <c r="M23" s="77" t="s">
        <v>94</v>
      </c>
      <c r="N23" s="78" t="s">
        <v>95</v>
      </c>
      <c r="O23" s="79" t="s">
        <v>96</v>
      </c>
      <c r="P23" s="113" t="s">
        <v>97</v>
      </c>
      <c r="Q23" s="80" t="s">
        <v>98</v>
      </c>
      <c r="R23" s="80" t="s">
        <v>99</v>
      </c>
      <c r="S23" s="80" t="s">
        <v>100</v>
      </c>
      <c r="T23" s="81" t="s">
        <v>101</v>
      </c>
      <c r="U23" s="28" t="s">
        <v>102</v>
      </c>
      <c r="V23" s="28" t="s">
        <v>103</v>
      </c>
      <c r="W23" s="27" t="s">
        <v>104</v>
      </c>
      <c r="X23" s="122" t="s">
        <v>105</v>
      </c>
      <c r="Y23" s="26" t="s">
        <v>106</v>
      </c>
      <c r="Z23" s="26" t="s">
        <v>107</v>
      </c>
      <c r="AA23" s="28" t="s">
        <v>108</v>
      </c>
      <c r="AB23" s="28" t="s">
        <v>109</v>
      </c>
      <c r="AC23" s="28" t="s">
        <v>110</v>
      </c>
      <c r="AD23" s="26" t="s">
        <v>111</v>
      </c>
      <c r="AE23" s="122" t="s">
        <v>112</v>
      </c>
      <c r="AF23" s="26" t="s">
        <v>113</v>
      </c>
      <c r="AG23" s="122" t="s">
        <v>114</v>
      </c>
      <c r="AH23" s="26" t="s">
        <v>115</v>
      </c>
      <c r="AI23" s="28" t="s">
        <v>116</v>
      </c>
      <c r="AJ23" s="28" t="s">
        <v>117</v>
      </c>
      <c r="AK23" s="28" t="s">
        <v>118</v>
      </c>
      <c r="AL23" s="122" t="s">
        <v>119</v>
      </c>
      <c r="AM23" s="26" t="s">
        <v>120</v>
      </c>
      <c r="AN23" s="122" t="s">
        <v>121</v>
      </c>
      <c r="AO23" s="122" t="s">
        <v>122</v>
      </c>
      <c r="AP23" s="28" t="s">
        <v>123</v>
      </c>
      <c r="AQ23" s="125" t="s">
        <v>124</v>
      </c>
      <c r="AR23" s="29" t="s">
        <v>125</v>
      </c>
      <c r="AS23" s="123" t="s">
        <v>126</v>
      </c>
      <c r="AT23" s="26" t="s">
        <v>127</v>
      </c>
      <c r="AU23" s="122" t="s">
        <v>128</v>
      </c>
      <c r="AV23" s="122" t="s">
        <v>129</v>
      </c>
      <c r="AW23" s="28" t="s">
        <v>130</v>
      </c>
      <c r="AX23" s="124" t="s">
        <v>131</v>
      </c>
      <c r="AY23" s="122" t="s">
        <v>132</v>
      </c>
      <c r="AZ23" s="82" t="s">
        <v>68</v>
      </c>
      <c r="BA23" s="82" t="s">
        <v>73</v>
      </c>
      <c r="BB23" s="83" t="s">
        <v>78</v>
      </c>
    </row>
    <row r="24" spans="1:54" ht="15.75" customHeight="1" x14ac:dyDescent="0.2">
      <c r="A24" s="84"/>
      <c r="B24" s="85"/>
      <c r="C24" s="85"/>
      <c r="D24" s="85"/>
      <c r="E24" s="86"/>
      <c r="F24" s="16">
        <f>IF(E24="","",DATEDIF(E24,$I$7,"Y"))</f>
      </c>
      <c r="G24" s="85"/>
      <c r="H24" s="85"/>
      <c r="I24" s="87"/>
      <c r="J24" s="85"/>
      <c r="K24" s="85"/>
      <c r="L24" s="2"/>
      <c r="M24" s="2"/>
      <c r="N24" s="2"/>
      <c r="O24" s="2"/>
      <c r="P24" s="85"/>
      <c r="Q24" s="88"/>
      <c r="R24" s="3">
        <f>IFERROR(VLOOKUP(TablaEnero[[#This Row],[BARRIO]],SECTOR!$A:$B,2,0),"")</f>
      </c>
      <c r="S24" s="89"/>
      <c r="T24" s="90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17">
        <f>COUNTIF(U24:AY24,"A")</f>
      </c>
      <c r="BA24" s="17">
        <f>COUNTIF(U24:AY24,"F")</f>
      </c>
      <c r="BB24" s="17">
        <f>COUNTIF(U24:AY24,"E")</f>
      </c>
    </row>
    <row r="25" spans="1:54" ht="15.75" customHeight="1" x14ac:dyDescent="0.2">
      <c r="A25" s="84"/>
      <c r="B25" s="85"/>
      <c r="C25" s="85"/>
      <c r="D25" s="85"/>
      <c r="E25" s="86"/>
      <c r="F25" s="16">
        <f>IF(E25="","",DATEDIF(E25,$I$7,"Y"))</f>
      </c>
      <c r="G25" s="85"/>
      <c r="H25" s="85"/>
      <c r="I25" s="87"/>
      <c r="J25" s="85"/>
      <c r="K25" s="85"/>
      <c r="L25" s="2"/>
      <c r="M25" s="2"/>
      <c r="N25" s="1"/>
      <c r="O25" s="1"/>
      <c r="P25" s="85"/>
      <c r="Q25" s="88"/>
      <c r="R25" s="3">
        <f>IFERROR(VLOOKUP(TablaEnero[[#This Row],[BARRIO]],SECTOR!$A:$B,2,0),"")</f>
      </c>
      <c r="S25" s="89"/>
      <c r="T25" s="90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17">
        <f>COUNTIF(U25:AY25,"A")</f>
      </c>
      <c r="BA25" s="17">
        <f>COUNTIF(U25:AY25,"F")</f>
      </c>
      <c r="BB25" s="17">
        <f>COUNTIF(U25:AY25,"E")</f>
      </c>
    </row>
    <row r="26" spans="1:54" ht="15.75" customHeight="1" x14ac:dyDescent="0.2">
      <c r="A26" s="84"/>
      <c r="B26" s="85"/>
      <c r="C26" s="85"/>
      <c r="D26" s="85"/>
      <c r="E26" s="86"/>
      <c r="F26" s="16">
        <f>IF(E26="","",DATEDIF(E26,$I$7,"Y"))</f>
      </c>
      <c r="G26" s="85"/>
      <c r="H26" s="85"/>
      <c r="I26" s="87"/>
      <c r="J26" s="85"/>
      <c r="K26" s="85"/>
      <c r="L26" s="2"/>
      <c r="M26" s="2"/>
      <c r="N26" s="1"/>
      <c r="O26" s="1"/>
      <c r="P26" s="85"/>
      <c r="Q26" s="88"/>
      <c r="R26" s="3">
        <f>IFERROR(VLOOKUP(TablaEnero[[#This Row],[BARRIO]],SECTOR!$A:$B,2,0),"")</f>
      </c>
      <c r="S26" s="89"/>
      <c r="T26" s="90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17">
        <f>COUNTIF(U26:AY26,"A")</f>
      </c>
      <c r="BA26" s="17">
        <f>COUNTIF(U26:AY26,"F")</f>
      </c>
      <c r="BB26" s="17">
        <f>COUNTIF(U26:AY26,"E")</f>
      </c>
    </row>
    <row r="27" spans="1:54" ht="15.75" customHeight="1" x14ac:dyDescent="0.2">
      <c r="A27" s="84"/>
      <c r="B27" s="85"/>
      <c r="C27" s="85"/>
      <c r="D27" s="85"/>
      <c r="E27" s="86"/>
      <c r="F27" s="16">
        <f>IF(E27="","",DATEDIF(E27,$I$7,"Y"))</f>
      </c>
      <c r="G27" s="85"/>
      <c r="H27" s="85"/>
      <c r="I27" s="87"/>
      <c r="J27" s="85"/>
      <c r="K27" s="85"/>
      <c r="L27" s="2"/>
      <c r="M27" s="2"/>
      <c r="N27" s="1"/>
      <c r="O27" s="1"/>
      <c r="P27" s="85"/>
      <c r="Q27" s="88"/>
      <c r="R27" s="3">
        <f>IFERROR(VLOOKUP(TablaEnero[[#This Row],[BARRIO]],SECTOR!$A:$B,2,0),"")</f>
      </c>
      <c r="S27" s="89"/>
      <c r="T27" s="90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17">
        <f>COUNTIF(U27:AY27,"A")</f>
      </c>
      <c r="BA27" s="17">
        <f>COUNTIF(U27:AY27,"F")</f>
      </c>
      <c r="BB27" s="17">
        <f>COUNTIF(U27:AY27,"E")</f>
      </c>
    </row>
    <row r="28" spans="1:54" ht="15.75" customHeight="1" x14ac:dyDescent="0.2">
      <c r="A28" s="84"/>
      <c r="B28" s="85"/>
      <c r="C28" s="85"/>
      <c r="D28" s="85"/>
      <c r="E28" s="86"/>
      <c r="F28" s="16">
        <f>IF(E28="","",DATEDIF(E28,$I$7,"Y"))</f>
      </c>
      <c r="G28" s="85"/>
      <c r="H28" s="85"/>
      <c r="I28" s="87"/>
      <c r="J28" s="85"/>
      <c r="K28" s="85"/>
      <c r="L28" s="2"/>
      <c r="M28" s="2"/>
      <c r="N28" s="1"/>
      <c r="O28" s="1"/>
      <c r="P28" s="85"/>
      <c r="Q28" s="88"/>
      <c r="R28" s="3">
        <f>IFERROR(VLOOKUP(TablaEnero[[#This Row],[BARRIO]],SECTOR!$A:$B,2,0),"")</f>
      </c>
      <c r="S28" s="89"/>
      <c r="T28" s="90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17">
        <f>COUNTIF(U28:AY28,"A")</f>
      </c>
      <c r="BA28" s="17">
        <f>COUNTIF(U28:AY28,"F")</f>
      </c>
      <c r="BB28" s="17">
        <f>COUNTIF(U28:AY28,"E")</f>
      </c>
    </row>
    <row r="29" spans="1:54" ht="15.75" customHeight="1" x14ac:dyDescent="0.2">
      <c r="A29" s="84"/>
      <c r="B29" s="85"/>
      <c r="C29" s="85"/>
      <c r="D29" s="85"/>
      <c r="E29" s="86"/>
      <c r="F29" s="16">
        <f>IF(E29="","",DATEDIF(E29,$I$7,"Y"))</f>
      </c>
      <c r="G29" s="85"/>
      <c r="H29" s="85"/>
      <c r="I29" s="87"/>
      <c r="J29" s="85"/>
      <c r="K29" s="85"/>
      <c r="L29" s="2"/>
      <c r="M29" s="2"/>
      <c r="N29" s="1"/>
      <c r="O29" s="1"/>
      <c r="P29" s="85"/>
      <c r="Q29" s="88"/>
      <c r="R29" s="3">
        <f>IFERROR(VLOOKUP(TablaEnero[[#This Row],[BARRIO]],SECTOR!$A:$B,2,0),"")</f>
      </c>
      <c r="S29" s="89"/>
      <c r="T29" s="90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17">
        <f>COUNTIF(U29:AY29,"A")</f>
      </c>
      <c r="BA29" s="17">
        <f>COUNTIF(U29:AY29,"F")</f>
      </c>
      <c r="BB29" s="17">
        <f>COUNTIF(U29:AY29,"E")</f>
      </c>
    </row>
    <row r="30" spans="1:54" ht="15.75" customHeight="1" x14ac:dyDescent="0.2">
      <c r="A30" s="84"/>
      <c r="B30" s="85"/>
      <c r="C30" s="85"/>
      <c r="D30" s="85"/>
      <c r="E30" s="86"/>
      <c r="F30" s="16">
        <f>IF(E30="","",DATEDIF(E30,$I$7,"Y"))</f>
      </c>
      <c r="G30" s="85"/>
      <c r="H30" s="85"/>
      <c r="I30" s="87"/>
      <c r="J30" s="85"/>
      <c r="K30" s="85"/>
      <c r="L30" s="2"/>
      <c r="M30" s="2"/>
      <c r="N30" s="1"/>
      <c r="O30" s="1"/>
      <c r="P30" s="85"/>
      <c r="Q30" s="88"/>
      <c r="R30" s="3">
        <f>IFERROR(VLOOKUP(TablaEnero[[#This Row],[BARRIO]],SECTOR!$A:$B,2,0),"")</f>
      </c>
      <c r="S30" s="89"/>
      <c r="T30" s="90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17">
        <f>COUNTIF(U30:AY30,"A")</f>
      </c>
      <c r="BA30" s="17">
        <f>COUNTIF(U30:AY30,"F")</f>
      </c>
      <c r="BB30" s="17">
        <f>COUNTIF(U30:AY30,"E")</f>
      </c>
    </row>
    <row r="31" spans="1:54" ht="15.75" customHeight="1" x14ac:dyDescent="0.2">
      <c r="A31" s="84"/>
      <c r="B31" s="85"/>
      <c r="C31" s="85"/>
      <c r="D31" s="85"/>
      <c r="E31" s="86"/>
      <c r="F31" s="16">
        <f>IF(E31="","",DATEDIF(E31,$I$7,"Y"))</f>
      </c>
      <c r="G31" s="85"/>
      <c r="H31" s="85"/>
      <c r="I31" s="87"/>
      <c r="J31" s="85"/>
      <c r="K31" s="85"/>
      <c r="L31" s="2"/>
      <c r="M31" s="2"/>
      <c r="N31" s="1"/>
      <c r="O31" s="1"/>
      <c r="P31" s="85"/>
      <c r="Q31" s="88"/>
      <c r="R31" s="3">
        <f>IFERROR(VLOOKUP(TablaEnero[[#This Row],[BARRIO]],SECTOR!$A:$B,2,0),"")</f>
      </c>
      <c r="S31" s="89"/>
      <c r="T31" s="90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17">
        <f>COUNTIF(U31:AY31,"A")</f>
      </c>
      <c r="BA31" s="17">
        <f>COUNTIF(U31:AY31,"F")</f>
      </c>
      <c r="BB31" s="17">
        <f>COUNTIF(U31:AY31,"E")</f>
      </c>
    </row>
    <row r="32" spans="1:54" ht="15.75" customHeight="1" x14ac:dyDescent="0.2">
      <c r="A32" s="84"/>
      <c r="B32" s="85"/>
      <c r="C32" s="85"/>
      <c r="D32" s="85"/>
      <c r="E32" s="86"/>
      <c r="F32" s="16">
        <f>IF(E32="","",DATEDIF(E32,$I$7,"Y"))</f>
      </c>
      <c r="G32" s="85"/>
      <c r="H32" s="85"/>
      <c r="I32" s="87"/>
      <c r="J32" s="85"/>
      <c r="K32" s="85"/>
      <c r="L32" s="2"/>
      <c r="M32" s="2"/>
      <c r="N32" s="1"/>
      <c r="O32" s="1"/>
      <c r="P32" s="85"/>
      <c r="Q32" s="88"/>
      <c r="R32" s="3">
        <f>IFERROR(VLOOKUP(TablaEnero[[#This Row],[BARRIO]],SECTOR!$A:$B,2,0),"")</f>
      </c>
      <c r="S32" s="89"/>
      <c r="T32" s="90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17">
        <f>COUNTIF(U32:AY32,"A")</f>
      </c>
      <c r="BA32" s="17">
        <f>COUNTIF(U32:AY32,"F")</f>
      </c>
      <c r="BB32" s="17">
        <f>COUNTIF(U32:AY32,"E")</f>
      </c>
    </row>
    <row r="33" spans="1:54" ht="15.75" customHeight="1" x14ac:dyDescent="0.2">
      <c r="A33" s="84"/>
      <c r="B33" s="85"/>
      <c r="C33" s="85"/>
      <c r="D33" s="85"/>
      <c r="E33" s="86"/>
      <c r="F33" s="16">
        <f>IF(E33="","",DATEDIF(E33,$I$7,"Y"))</f>
      </c>
      <c r="G33" s="85"/>
      <c r="H33" s="85"/>
      <c r="I33" s="87"/>
      <c r="J33" s="85"/>
      <c r="K33" s="85"/>
      <c r="L33" s="2"/>
      <c r="M33" s="2"/>
      <c r="N33" s="1"/>
      <c r="O33" s="1"/>
      <c r="P33" s="85"/>
      <c r="Q33" s="88"/>
      <c r="R33" s="3">
        <f>IFERROR(VLOOKUP(TablaEnero[[#This Row],[BARRIO]],SECTOR!$A:$B,2,0),"")</f>
      </c>
      <c r="S33" s="89"/>
      <c r="T33" s="90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17">
        <f>COUNTIF(U33:AY33,"A")</f>
      </c>
      <c r="BA33" s="17">
        <f>COUNTIF(U33:AY33,"F")</f>
      </c>
      <c r="BB33" s="17">
        <f>COUNTIF(U33:AY33,"E")</f>
      </c>
    </row>
    <row r="34" spans="1:54" ht="15.75" customHeight="1" x14ac:dyDescent="0.2">
      <c r="A34" s="84"/>
      <c r="B34" s="85"/>
      <c r="C34" s="85"/>
      <c r="D34" s="85"/>
      <c r="E34" s="86"/>
      <c r="F34" s="16">
        <f>IF(E34="","",DATEDIF(E34,$I$7,"Y"))</f>
      </c>
      <c r="G34" s="85"/>
      <c r="H34" s="85"/>
      <c r="I34" s="87"/>
      <c r="J34" s="85"/>
      <c r="K34" s="85"/>
      <c r="L34" s="2"/>
      <c r="M34" s="2"/>
      <c r="N34" s="1"/>
      <c r="O34" s="1"/>
      <c r="P34" s="85"/>
      <c r="Q34" s="88"/>
      <c r="R34" s="3">
        <f>IFERROR(VLOOKUP(TablaEnero[[#This Row],[BARRIO]],SECTOR!$A:$B,2,0),"")</f>
      </c>
      <c r="S34" s="89"/>
      <c r="T34" s="90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17">
        <f>COUNTIF(U34:AY34,"A")</f>
      </c>
      <c r="BA34" s="17">
        <f>COUNTIF(U34:AY34,"F")</f>
      </c>
      <c r="BB34" s="17">
        <f>COUNTIF(U34:AY34,"E")</f>
      </c>
    </row>
    <row r="35" spans="1:54" ht="15.75" customHeight="1" x14ac:dyDescent="0.2">
      <c r="A35" s="84"/>
      <c r="B35" s="85"/>
      <c r="C35" s="85"/>
      <c r="D35" s="85"/>
      <c r="E35" s="86"/>
      <c r="F35" s="16">
        <f>IF(E35="","",DATEDIF(E35,$I$7,"Y"))</f>
      </c>
      <c r="G35" s="85"/>
      <c r="H35" s="85"/>
      <c r="I35" s="87"/>
      <c r="J35" s="85"/>
      <c r="K35" s="85"/>
      <c r="L35" s="2"/>
      <c r="M35" s="2"/>
      <c r="N35" s="1"/>
      <c r="O35" s="1"/>
      <c r="P35" s="85"/>
      <c r="Q35" s="88"/>
      <c r="R35" s="3">
        <f>IFERROR(VLOOKUP(TablaEnero[[#This Row],[BARRIO]],SECTOR!$A:$B,2,0),"")</f>
      </c>
      <c r="S35" s="89"/>
      <c r="T35" s="90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17">
        <f>COUNTIF(U35:AY35,"A")</f>
      </c>
      <c r="BA35" s="17">
        <f>COUNTIF(U35:AY35,"F")</f>
      </c>
      <c r="BB35" s="17">
        <f>COUNTIF(U35:AY35,"E")</f>
      </c>
    </row>
    <row r="36" spans="1:54" ht="15.75" customHeight="1" x14ac:dyDescent="0.2">
      <c r="A36" s="84"/>
      <c r="B36" s="85"/>
      <c r="C36" s="85"/>
      <c r="D36" s="85"/>
      <c r="E36" s="86"/>
      <c r="F36" s="16">
        <f>IF(E36="","",DATEDIF(E36,$I$7,"Y"))</f>
      </c>
      <c r="G36" s="85"/>
      <c r="H36" s="85"/>
      <c r="I36" s="87"/>
      <c r="J36" s="85"/>
      <c r="K36" s="85"/>
      <c r="L36" s="2"/>
      <c r="M36" s="2"/>
      <c r="N36" s="1"/>
      <c r="O36" s="1"/>
      <c r="P36" s="85"/>
      <c r="Q36" s="88"/>
      <c r="R36" s="3">
        <f>IFERROR(VLOOKUP(TablaEnero[[#This Row],[BARRIO]],SECTOR!$A:$B,2,0),"")</f>
      </c>
      <c r="S36" s="89"/>
      <c r="T36" s="90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17">
        <f>COUNTIF(U36:AY36,"A")</f>
      </c>
      <c r="BA36" s="17">
        <f>COUNTIF(U36:AY36,"F")</f>
      </c>
      <c r="BB36" s="17">
        <f>COUNTIF(U36:AY36,"E")</f>
      </c>
    </row>
    <row r="37" spans="1:54" ht="15.75" customHeight="1" x14ac:dyDescent="0.2">
      <c r="A37" s="84"/>
      <c r="B37" s="85"/>
      <c r="C37" s="85"/>
      <c r="D37" s="85"/>
      <c r="E37" s="86"/>
      <c r="F37" s="16">
        <f>IF(E37="","",DATEDIF(E37,$I$7,"Y"))</f>
      </c>
      <c r="G37" s="85"/>
      <c r="H37" s="85"/>
      <c r="I37" s="87"/>
      <c r="J37" s="85"/>
      <c r="K37" s="85"/>
      <c r="L37" s="2"/>
      <c r="M37" s="2"/>
      <c r="N37" s="1"/>
      <c r="O37" s="1"/>
      <c r="P37" s="85"/>
      <c r="Q37" s="88"/>
      <c r="R37" s="3">
        <f>IFERROR(VLOOKUP(TablaEnero[[#This Row],[BARRIO]],SECTOR!$A:$B,2,0),"")</f>
      </c>
      <c r="S37" s="89"/>
      <c r="T37" s="90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17">
        <f>COUNTIF(U37:AY37,"A")</f>
      </c>
      <c r="BA37" s="17">
        <f>COUNTIF(U37:AY37,"F")</f>
      </c>
      <c r="BB37" s="17">
        <f>COUNTIF(U37:AY37,"E")</f>
      </c>
    </row>
    <row r="38" spans="1:54" ht="15.75" customHeight="1" x14ac:dyDescent="0.2">
      <c r="A38" s="84"/>
      <c r="B38" s="85"/>
      <c r="C38" s="85"/>
      <c r="D38" s="85"/>
      <c r="E38" s="86"/>
      <c r="F38" s="16">
        <f>IF(E38="","",DATEDIF(E38,$I$7,"Y"))</f>
      </c>
      <c r="G38" s="85"/>
      <c r="H38" s="85"/>
      <c r="I38" s="87"/>
      <c r="J38" s="85"/>
      <c r="K38" s="85"/>
      <c r="L38" s="2"/>
      <c r="M38" s="2"/>
      <c r="N38" s="1"/>
      <c r="O38" s="1"/>
      <c r="P38" s="85"/>
      <c r="Q38" s="88"/>
      <c r="R38" s="3">
        <f>IFERROR(VLOOKUP(TablaEnero[[#This Row],[BARRIO]],SECTOR!$A:$B,2,0),"")</f>
      </c>
      <c r="S38" s="89"/>
      <c r="T38" s="90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17">
        <f>COUNTIF(U38:AY38,"A")</f>
      </c>
      <c r="BA38" s="17">
        <f>COUNTIF(U38:AY38,"F")</f>
      </c>
      <c r="BB38" s="17">
        <f>COUNTIF(U38:AY38,"E")</f>
      </c>
    </row>
    <row r="39" spans="1:54" ht="15.75" customHeight="1" x14ac:dyDescent="0.2">
      <c r="A39" s="84"/>
      <c r="B39" s="85"/>
      <c r="C39" s="85"/>
      <c r="D39" s="85"/>
      <c r="E39" s="86"/>
      <c r="F39" s="16">
        <f>IF(E39="","",DATEDIF(E39,$I$7,"Y"))</f>
      </c>
      <c r="G39" s="85"/>
      <c r="H39" s="85"/>
      <c r="I39" s="87"/>
      <c r="J39" s="85"/>
      <c r="K39" s="85"/>
      <c r="L39" s="2"/>
      <c r="M39" s="2"/>
      <c r="N39" s="1"/>
      <c r="O39" s="1"/>
      <c r="P39" s="85"/>
      <c r="Q39" s="88"/>
      <c r="R39" s="3">
        <f>IFERROR(VLOOKUP(TablaEnero[[#This Row],[BARRIO]],SECTOR!$A:$B,2,0),"")</f>
      </c>
      <c r="S39" s="89"/>
      <c r="T39" s="90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17">
        <f>COUNTIF(U39:AY39,"A")</f>
      </c>
      <c r="BA39" s="17">
        <f>COUNTIF(U39:AY39,"F")</f>
      </c>
      <c r="BB39" s="17">
        <f>COUNTIF(U39:AY39,"E")</f>
      </c>
    </row>
    <row r="40" spans="1:54" ht="15.75" customHeight="1" x14ac:dyDescent="0.2">
      <c r="A40" s="84"/>
      <c r="B40" s="85"/>
      <c r="C40" s="85"/>
      <c r="D40" s="85"/>
      <c r="E40" s="86"/>
      <c r="F40" s="16">
        <f>IF(E40="","",DATEDIF(E40,$I$7,"Y"))</f>
      </c>
      <c r="G40" s="85"/>
      <c r="H40" s="85"/>
      <c r="I40" s="87"/>
      <c r="J40" s="85"/>
      <c r="K40" s="85"/>
      <c r="L40" s="2"/>
      <c r="M40" s="2"/>
      <c r="N40" s="1"/>
      <c r="O40" s="1"/>
      <c r="P40" s="85"/>
      <c r="Q40" s="88"/>
      <c r="R40" s="3">
        <f>IFERROR(VLOOKUP(TablaEnero[[#This Row],[BARRIO]],SECTOR!$A:$B,2,0),"")</f>
      </c>
      <c r="S40" s="89"/>
      <c r="T40" s="90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17">
        <f>COUNTIF(U40:AY40,"A")</f>
      </c>
      <c r="BA40" s="17">
        <f>COUNTIF(U40:AY40,"F")</f>
      </c>
      <c r="BB40" s="17">
        <f>COUNTIF(U40:AY40,"E")</f>
      </c>
    </row>
    <row r="41" spans="1:54" ht="15.75" customHeight="1" x14ac:dyDescent="0.2">
      <c r="A41" s="84"/>
      <c r="B41" s="85"/>
      <c r="C41" s="85"/>
      <c r="D41" s="85"/>
      <c r="E41" s="86"/>
      <c r="F41" s="16">
        <f>IF(E41="","",DATEDIF(E41,$I$7,"Y"))</f>
      </c>
      <c r="G41" s="85"/>
      <c r="H41" s="85"/>
      <c r="I41" s="87"/>
      <c r="J41" s="85"/>
      <c r="K41" s="85"/>
      <c r="L41" s="2"/>
      <c r="M41" s="2"/>
      <c r="N41" s="1"/>
      <c r="O41" s="1"/>
      <c r="P41" s="85"/>
      <c r="Q41" s="88"/>
      <c r="R41" s="3">
        <f>IFERROR(VLOOKUP(TablaEnero[[#This Row],[BARRIO]],SECTOR!$A:$B,2,0),"")</f>
      </c>
      <c r="S41" s="89"/>
      <c r="T41" s="90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17">
        <f>COUNTIF(U41:AY41,"A")</f>
      </c>
      <c r="BA41" s="17">
        <f>COUNTIF(U41:AY41,"F")</f>
      </c>
      <c r="BB41" s="17">
        <f>COUNTIF(U41:AY41,"E")</f>
      </c>
    </row>
    <row r="42" spans="1:54" ht="15.75" customHeight="1" x14ac:dyDescent="0.2">
      <c r="A42" s="84"/>
      <c r="B42" s="85"/>
      <c r="C42" s="85"/>
      <c r="D42" s="85"/>
      <c r="E42" s="86"/>
      <c r="F42" s="16">
        <f>IF(E42="","",DATEDIF(E42,$I$7,"Y"))</f>
      </c>
      <c r="G42" s="85"/>
      <c r="H42" s="85"/>
      <c r="I42" s="87"/>
      <c r="J42" s="85"/>
      <c r="K42" s="85"/>
      <c r="L42" s="2"/>
      <c r="M42" s="2"/>
      <c r="N42" s="1"/>
      <c r="O42" s="1"/>
      <c r="P42" s="85"/>
      <c r="Q42" s="88"/>
      <c r="R42" s="3">
        <f>IFERROR(VLOOKUP(TablaEnero[[#This Row],[BARRIO]],SECTOR!$A:$B,2,0),"")</f>
      </c>
      <c r="S42" s="89"/>
      <c r="T42" s="90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17">
        <f>COUNTIF(U42:AY42,"A")</f>
      </c>
      <c r="BA42" s="17">
        <f>COUNTIF(U42:AY42,"F")</f>
      </c>
      <c r="BB42" s="17">
        <f>COUNTIF(U42:AY42,"E")</f>
      </c>
    </row>
    <row r="43" spans="1:54" ht="15.75" customHeight="1" x14ac:dyDescent="0.2">
      <c r="A43" s="84"/>
      <c r="B43" s="85"/>
      <c r="C43" s="85"/>
      <c r="D43" s="85"/>
      <c r="E43" s="86"/>
      <c r="F43" s="16">
        <f>IF(E43="","",DATEDIF(E43,$I$7,"Y"))</f>
      </c>
      <c r="G43" s="85"/>
      <c r="H43" s="85"/>
      <c r="I43" s="87"/>
      <c r="J43" s="85"/>
      <c r="K43" s="85"/>
      <c r="L43" s="2"/>
      <c r="M43" s="2"/>
      <c r="N43" s="1"/>
      <c r="O43" s="1"/>
      <c r="P43" s="85"/>
      <c r="Q43" s="88"/>
      <c r="R43" s="3">
        <f>IFERROR(VLOOKUP(TablaEnero[[#This Row],[BARRIO]],SECTOR!$A:$B,2,0),"")</f>
      </c>
      <c r="S43" s="89"/>
      <c r="T43" s="90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17">
        <f>COUNTIF(U43:AY43,"A")</f>
      </c>
      <c r="BA43" s="17">
        <f>COUNTIF(U43:AY43,"F")</f>
      </c>
      <c r="BB43" s="17">
        <f>COUNTIF(U43:AY43,"E")</f>
      </c>
    </row>
    <row r="44" spans="1:54" ht="15.75" customHeight="1" x14ac:dyDescent="0.2">
      <c r="A44" s="84"/>
      <c r="B44" s="85"/>
      <c r="C44" s="85"/>
      <c r="D44" s="85"/>
      <c r="E44" s="86"/>
      <c r="F44" s="16">
        <f>IF(E44="","",DATEDIF(E44,$I$7,"Y"))</f>
      </c>
      <c r="G44" s="85"/>
      <c r="H44" s="85"/>
      <c r="I44" s="87"/>
      <c r="J44" s="85"/>
      <c r="K44" s="85"/>
      <c r="L44" s="2"/>
      <c r="M44" s="2"/>
      <c r="N44" s="1"/>
      <c r="O44" s="1"/>
      <c r="P44" s="85"/>
      <c r="Q44" s="88"/>
      <c r="R44" s="3">
        <f>IFERROR(VLOOKUP(TablaEnero[[#This Row],[BARRIO]],SECTOR!$A:$B,2,0),"")</f>
      </c>
      <c r="S44" s="89"/>
      <c r="T44" s="90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17">
        <f>COUNTIF(U44:AY44,"A")</f>
      </c>
      <c r="BA44" s="17">
        <f>COUNTIF(U44:AY44,"F")</f>
      </c>
      <c r="BB44" s="17">
        <f>COUNTIF(U44:AY44,"E")</f>
      </c>
    </row>
    <row r="45" spans="1:54" ht="15.75" customHeight="1" x14ac:dyDescent="0.2">
      <c r="A45" s="84"/>
      <c r="B45" s="85"/>
      <c r="C45" s="85"/>
      <c r="D45" s="85"/>
      <c r="E45" s="86"/>
      <c r="F45" s="16">
        <f>IF(E45="","",DATEDIF(E45,$I$7,"Y"))</f>
      </c>
      <c r="G45" s="85"/>
      <c r="H45" s="85"/>
      <c r="I45" s="87"/>
      <c r="J45" s="85"/>
      <c r="K45" s="85"/>
      <c r="L45" s="2"/>
      <c r="M45" s="2"/>
      <c r="N45" s="1"/>
      <c r="O45" s="1"/>
      <c r="P45" s="85"/>
      <c r="Q45" s="88"/>
      <c r="R45" s="3">
        <f>IFERROR(VLOOKUP(TablaEnero[[#This Row],[BARRIO]],SECTOR!$A:$B,2,0),"")</f>
      </c>
      <c r="S45" s="89"/>
      <c r="T45" s="90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17">
        <f>COUNTIF(U45:AY45,"A")</f>
      </c>
      <c r="BA45" s="17">
        <f>COUNTIF(U45:AY45,"F")</f>
      </c>
      <c r="BB45" s="17">
        <f>COUNTIF(U45:AY45,"E")</f>
      </c>
    </row>
    <row r="46" spans="1:54" ht="15.75" customHeight="1" x14ac:dyDescent="0.2">
      <c r="A46" s="84"/>
      <c r="B46" s="85"/>
      <c r="C46" s="85"/>
      <c r="D46" s="85"/>
      <c r="E46" s="86"/>
      <c r="F46" s="16">
        <f>IF(E46="","",DATEDIF(E46,$I$7,"Y"))</f>
      </c>
      <c r="G46" s="85"/>
      <c r="H46" s="85"/>
      <c r="I46" s="87"/>
      <c r="J46" s="85"/>
      <c r="K46" s="85"/>
      <c r="L46" s="2"/>
      <c r="M46" s="2"/>
      <c r="N46" s="1"/>
      <c r="O46" s="1"/>
      <c r="P46" s="85"/>
      <c r="Q46" s="88"/>
      <c r="R46" s="3">
        <f>IFERROR(VLOOKUP(TablaEnero[[#This Row],[BARRIO]],SECTOR!$A:$B,2,0),"")</f>
      </c>
      <c r="S46" s="89"/>
      <c r="T46" s="90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17">
        <f>COUNTIF(U46:AY46,"A")</f>
      </c>
      <c r="BA46" s="17">
        <f>COUNTIF(U46:AY46,"F")</f>
      </c>
      <c r="BB46" s="17">
        <f>COUNTIF(U46:AY46,"E")</f>
      </c>
    </row>
    <row r="47" spans="1:54" ht="15.75" customHeight="1" x14ac:dyDescent="0.2">
      <c r="A47" s="84"/>
      <c r="B47" s="85"/>
      <c r="C47" s="85"/>
      <c r="D47" s="85"/>
      <c r="E47" s="86"/>
      <c r="F47" s="16">
        <f>IF(E47="","",DATEDIF(E47,$I$7,"Y"))</f>
      </c>
      <c r="G47" s="85"/>
      <c r="H47" s="85"/>
      <c r="I47" s="87"/>
      <c r="J47" s="85"/>
      <c r="K47" s="85"/>
      <c r="L47" s="2"/>
      <c r="M47" s="2"/>
      <c r="N47" s="1"/>
      <c r="O47" s="1"/>
      <c r="P47" s="85"/>
      <c r="Q47" s="88"/>
      <c r="R47" s="3">
        <f>IFERROR(VLOOKUP(TablaEnero[[#This Row],[BARRIO]],SECTOR!$A:$B,2,0),"")</f>
      </c>
      <c r="S47" s="89"/>
      <c r="T47" s="90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17">
        <f>COUNTIF(U47:AY47,"A")</f>
      </c>
      <c r="BA47" s="17">
        <f>COUNTIF(U47:AY47,"F")</f>
      </c>
      <c r="BB47" s="17">
        <f>COUNTIF(U47:AY47,"E")</f>
      </c>
    </row>
    <row r="48" spans="1:54" ht="15.75" customHeight="1" x14ac:dyDescent="0.2">
      <c r="A48" s="84"/>
      <c r="B48" s="85"/>
      <c r="C48" s="85"/>
      <c r="D48" s="85"/>
      <c r="E48" s="86"/>
      <c r="F48" s="16">
        <f>IF(E48="","",DATEDIF(E48,$I$7,"Y"))</f>
      </c>
      <c r="G48" s="85"/>
      <c r="H48" s="85"/>
      <c r="I48" s="87"/>
      <c r="J48" s="85"/>
      <c r="K48" s="85"/>
      <c r="L48" s="2"/>
      <c r="M48" s="2"/>
      <c r="N48" s="1"/>
      <c r="O48" s="1"/>
      <c r="P48" s="85"/>
      <c r="Q48" s="88"/>
      <c r="R48" s="3">
        <f>IFERROR(VLOOKUP(TablaEnero[[#This Row],[BARRIO]],SECTOR!$A:$B,2,0),"")</f>
      </c>
      <c r="S48" s="89"/>
      <c r="T48" s="90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17">
        <f>COUNTIF(U48:AY48,"A")</f>
      </c>
      <c r="BA48" s="17">
        <f>COUNTIF(U48:AY48,"F")</f>
      </c>
      <c r="BB48" s="17">
        <f>COUNTIF(U48:AY48,"E")</f>
      </c>
    </row>
    <row r="49" spans="1:54" ht="15.75" customHeight="1" x14ac:dyDescent="0.2">
      <c r="A49" s="84"/>
      <c r="B49" s="85"/>
      <c r="C49" s="85"/>
      <c r="D49" s="85"/>
      <c r="E49" s="86"/>
      <c r="F49" s="16">
        <f>IF(E49="","",DATEDIF(E49,$I$7,"Y"))</f>
      </c>
      <c r="G49" s="85"/>
      <c r="H49" s="85"/>
      <c r="I49" s="87"/>
      <c r="J49" s="85"/>
      <c r="K49" s="85"/>
      <c r="L49" s="2"/>
      <c r="M49" s="2"/>
      <c r="N49" s="1"/>
      <c r="O49" s="1"/>
      <c r="P49" s="85"/>
      <c r="Q49" s="88"/>
      <c r="R49" s="3">
        <f>IFERROR(VLOOKUP(TablaEnero[[#This Row],[BARRIO]],SECTOR!$A:$B,2,0),"")</f>
      </c>
      <c r="S49" s="89"/>
      <c r="T49" s="90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17">
        <f>COUNTIF(U49:AY49,"A")</f>
      </c>
      <c r="BA49" s="17">
        <f>COUNTIF(U49:AY49,"F")</f>
      </c>
      <c r="BB49" s="17">
        <f>COUNTIF(U49:AY49,"E")</f>
      </c>
    </row>
    <row r="50" spans="1:54" ht="15.75" customHeight="1" x14ac:dyDescent="0.2">
      <c r="A50" s="84"/>
      <c r="B50" s="85"/>
      <c r="C50" s="85"/>
      <c r="D50" s="85"/>
      <c r="E50" s="86"/>
      <c r="F50" s="16">
        <f>IF(E50="","",DATEDIF(E50,$I$7,"Y"))</f>
      </c>
      <c r="G50" s="85"/>
      <c r="H50" s="85"/>
      <c r="I50" s="87"/>
      <c r="J50" s="85"/>
      <c r="K50" s="85"/>
      <c r="L50" s="2"/>
      <c r="M50" s="2"/>
      <c r="N50" s="1"/>
      <c r="O50" s="1"/>
      <c r="P50" s="85"/>
      <c r="Q50" s="88"/>
      <c r="R50" s="3">
        <f>IFERROR(VLOOKUP(TablaEnero[[#This Row],[BARRIO]],SECTOR!$A:$B,2,0),"")</f>
      </c>
      <c r="S50" s="89"/>
      <c r="T50" s="90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17">
        <f>COUNTIF(U50:AY50,"A")</f>
      </c>
      <c r="BA50" s="17">
        <f>COUNTIF(U50:AY50,"F")</f>
      </c>
      <c r="BB50" s="17">
        <f>COUNTIF(U50:AY50,"E")</f>
      </c>
    </row>
    <row r="51" spans="1:54" ht="15.75" customHeight="1" x14ac:dyDescent="0.2">
      <c r="A51" s="84"/>
      <c r="B51" s="85"/>
      <c r="C51" s="85"/>
      <c r="D51" s="85"/>
      <c r="E51" s="86"/>
      <c r="F51" s="16">
        <f>IF(E51="","",DATEDIF(E51,$I$7,"Y"))</f>
      </c>
      <c r="G51" s="85"/>
      <c r="H51" s="85"/>
      <c r="I51" s="87"/>
      <c r="J51" s="85"/>
      <c r="K51" s="85"/>
      <c r="L51" s="2"/>
      <c r="M51" s="2"/>
      <c r="N51" s="1"/>
      <c r="O51" s="1"/>
      <c r="P51" s="85"/>
      <c r="Q51" s="88"/>
      <c r="R51" s="3">
        <f>IFERROR(VLOOKUP(TablaEnero[[#This Row],[BARRIO]],SECTOR!$A:$B,2,0),"")</f>
      </c>
      <c r="S51" s="89"/>
      <c r="T51" s="90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17">
        <f>COUNTIF(U51:AY51,"A")</f>
      </c>
      <c r="BA51" s="17">
        <f>COUNTIF(U51:AY51,"F")</f>
      </c>
      <c r="BB51" s="17">
        <f>COUNTIF(U51:AY51,"E")</f>
      </c>
    </row>
    <row r="52" spans="1:54" ht="15.75" customHeight="1" x14ac:dyDescent="0.2">
      <c r="A52" s="84"/>
      <c r="B52" s="85"/>
      <c r="C52" s="85"/>
      <c r="D52" s="85"/>
      <c r="E52" s="86"/>
      <c r="F52" s="16">
        <f>IF(E52="","",DATEDIF(E52,$I$7,"Y"))</f>
      </c>
      <c r="G52" s="85"/>
      <c r="H52" s="85"/>
      <c r="I52" s="87"/>
      <c r="J52" s="85"/>
      <c r="K52" s="85"/>
      <c r="L52" s="2"/>
      <c r="M52" s="2"/>
      <c r="N52" s="1"/>
      <c r="O52" s="1"/>
      <c r="P52" s="85"/>
      <c r="Q52" s="88"/>
      <c r="R52" s="3">
        <f>IFERROR(VLOOKUP(TablaEnero[[#This Row],[BARRIO]],SECTOR!$A:$B,2,0),"")</f>
      </c>
      <c r="S52" s="89"/>
      <c r="T52" s="90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17">
        <f>COUNTIF(U52:AY52,"A")</f>
      </c>
      <c r="BA52" s="17">
        <f>COUNTIF(U52:AY52,"F")</f>
      </c>
      <c r="BB52" s="17">
        <f>COUNTIF(U52:AY52,"E")</f>
      </c>
    </row>
    <row r="53" spans="1:54" ht="15.75" customHeight="1" x14ac:dyDescent="0.2">
      <c r="A53" s="84"/>
      <c r="B53" s="85"/>
      <c r="C53" s="85"/>
      <c r="D53" s="85"/>
      <c r="E53" s="86"/>
      <c r="F53" s="16">
        <f>IF(E53="","",DATEDIF(E53,$I$7,"Y"))</f>
      </c>
      <c r="G53" s="85"/>
      <c r="H53" s="85"/>
      <c r="I53" s="87"/>
      <c r="J53" s="85"/>
      <c r="K53" s="85"/>
      <c r="L53" s="2"/>
      <c r="M53" s="2"/>
      <c r="N53" s="1"/>
      <c r="O53" s="1"/>
      <c r="P53" s="85"/>
      <c r="Q53" s="88"/>
      <c r="R53" s="3">
        <f>IFERROR(VLOOKUP(TablaEnero[[#This Row],[BARRIO]],SECTOR!$A:$B,2,0),"")</f>
      </c>
      <c r="S53" s="89"/>
      <c r="T53" s="90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17">
        <f>COUNTIF(U53:AY53,"A")</f>
      </c>
      <c r="BA53" s="17">
        <f>COUNTIF(U53:AY53,"F")</f>
      </c>
      <c r="BB53" s="17">
        <f>COUNTIF(U53:AY53,"E")</f>
      </c>
    </row>
    <row r="54" spans="1:54" ht="15.75" customHeight="1" x14ac:dyDescent="0.2">
      <c r="A54" s="84"/>
      <c r="B54" s="85"/>
      <c r="C54" s="85"/>
      <c r="D54" s="85"/>
      <c r="E54" s="86"/>
      <c r="F54" s="16">
        <f>IF(E54="","",DATEDIF(E54,$I$7,"Y"))</f>
      </c>
      <c r="G54" s="85"/>
      <c r="H54" s="85"/>
      <c r="I54" s="87"/>
      <c r="J54" s="85"/>
      <c r="K54" s="85"/>
      <c r="L54" s="2"/>
      <c r="M54" s="2"/>
      <c r="N54" s="1"/>
      <c r="O54" s="1"/>
      <c r="P54" s="85"/>
      <c r="Q54" s="88"/>
      <c r="R54" s="3">
        <f>IFERROR(VLOOKUP(TablaEnero[[#This Row],[BARRIO]],SECTOR!$A:$B,2,0),"")</f>
      </c>
      <c r="S54" s="89"/>
      <c r="T54" s="90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17">
        <f>COUNTIF(U54:AY54,"A")</f>
      </c>
      <c r="BA54" s="17">
        <f>COUNTIF(U54:AY54,"F")</f>
      </c>
      <c r="BB54" s="17">
        <f>COUNTIF(U54:AY54,"E")</f>
      </c>
    </row>
    <row r="55" spans="1:54" ht="15.75" customHeight="1" x14ac:dyDescent="0.2">
      <c r="A55" s="84"/>
      <c r="B55" s="85"/>
      <c r="C55" s="85"/>
      <c r="D55" s="85"/>
      <c r="E55" s="86"/>
      <c r="F55" s="16">
        <f>IF(E55="","",DATEDIF(E55,$I$7,"Y"))</f>
      </c>
      <c r="G55" s="85"/>
      <c r="H55" s="85"/>
      <c r="I55" s="87"/>
      <c r="J55" s="85"/>
      <c r="K55" s="85"/>
      <c r="L55" s="2"/>
      <c r="M55" s="2"/>
      <c r="N55" s="1"/>
      <c r="O55" s="1"/>
      <c r="P55" s="85"/>
      <c r="Q55" s="88"/>
      <c r="R55" s="3">
        <f>IFERROR(VLOOKUP(TablaEnero[[#This Row],[BARRIO]],SECTOR!$A:$B,2,0),"")</f>
      </c>
      <c r="S55" s="89"/>
      <c r="T55" s="90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17">
        <f>COUNTIF(U55:AY55,"A")</f>
      </c>
      <c r="BA55" s="17">
        <f>COUNTIF(U55:AY55,"F")</f>
      </c>
      <c r="BB55" s="17">
        <f>COUNTIF(U55:AY55,"E")</f>
      </c>
    </row>
    <row r="56" spans="1:54" ht="15.75" customHeight="1" x14ac:dyDescent="0.2">
      <c r="A56" s="84"/>
      <c r="B56" s="85"/>
      <c r="C56" s="85"/>
      <c r="D56" s="85"/>
      <c r="E56" s="86"/>
      <c r="F56" s="16">
        <f>IF(E56="","",DATEDIF(E56,$I$7,"Y"))</f>
      </c>
      <c r="G56" s="85"/>
      <c r="H56" s="85"/>
      <c r="I56" s="87"/>
      <c r="J56" s="85"/>
      <c r="K56" s="85"/>
      <c r="L56" s="2"/>
      <c r="M56" s="2"/>
      <c r="N56" s="1"/>
      <c r="O56" s="1"/>
      <c r="P56" s="85"/>
      <c r="Q56" s="88"/>
      <c r="R56" s="3">
        <f>IFERROR(VLOOKUP(TablaEnero[[#This Row],[BARRIO]],SECTOR!$A:$B,2,0),"")</f>
      </c>
      <c r="S56" s="89"/>
      <c r="T56" s="90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17">
        <f>COUNTIF(U56:AY56,"A")</f>
      </c>
      <c r="BA56" s="17">
        <f>COUNTIF(U56:AY56,"F")</f>
      </c>
      <c r="BB56" s="17">
        <f>COUNTIF(U56:AY56,"E")</f>
      </c>
    </row>
    <row r="57" spans="1:54" ht="15.75" customHeight="1" x14ac:dyDescent="0.2">
      <c r="A57" s="84"/>
      <c r="B57" s="85"/>
      <c r="C57" s="85"/>
      <c r="D57" s="85"/>
      <c r="E57" s="86"/>
      <c r="F57" s="16">
        <f>IF(E57="","",DATEDIF(E57,$I$7,"Y"))</f>
      </c>
      <c r="G57" s="85"/>
      <c r="H57" s="85"/>
      <c r="I57" s="87"/>
      <c r="J57" s="85"/>
      <c r="K57" s="85"/>
      <c r="L57" s="2"/>
      <c r="M57" s="2"/>
      <c r="N57" s="1"/>
      <c r="O57" s="1"/>
      <c r="P57" s="85"/>
      <c r="Q57" s="88"/>
      <c r="R57" s="3">
        <f>IFERROR(VLOOKUP(TablaEnero[[#This Row],[BARRIO]],SECTOR!$A:$B,2,0),"")</f>
      </c>
      <c r="S57" s="89"/>
      <c r="T57" s="90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17">
        <f>COUNTIF(U57:AY57,"A")</f>
      </c>
      <c r="BA57" s="17">
        <f>COUNTIF(U57:AY57,"F")</f>
      </c>
      <c r="BB57" s="17">
        <f>COUNTIF(U57:AY57,"E")</f>
      </c>
    </row>
    <row r="58" spans="1:54" ht="15.75" customHeight="1" x14ac:dyDescent="0.2">
      <c r="A58" s="84"/>
      <c r="B58" s="85"/>
      <c r="C58" s="85"/>
      <c r="D58" s="85"/>
      <c r="E58" s="86"/>
      <c r="F58" s="16">
        <f>IF(E58="","",DATEDIF(E58,$I$7,"Y"))</f>
      </c>
      <c r="G58" s="85"/>
      <c r="H58" s="85"/>
      <c r="I58" s="87"/>
      <c r="J58" s="85"/>
      <c r="K58" s="85"/>
      <c r="L58" s="2"/>
      <c r="M58" s="2"/>
      <c r="N58" s="1"/>
      <c r="O58" s="1"/>
      <c r="P58" s="85"/>
      <c r="Q58" s="88"/>
      <c r="R58" s="3">
        <f>IFERROR(VLOOKUP(TablaEnero[[#This Row],[BARRIO]],SECTOR!$A:$B,2,0),"")</f>
      </c>
      <c r="S58" s="89"/>
      <c r="T58" s="90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17">
        <f>COUNTIF(U58:AY58,"A")</f>
      </c>
      <c r="BA58" s="17">
        <f>COUNTIF(U58:AY58,"F")</f>
      </c>
      <c r="BB58" s="17">
        <f>COUNTIF(U58:AY58,"E")</f>
      </c>
    </row>
    <row r="59" spans="1:54" ht="15.75" customHeight="1" x14ac:dyDescent="0.2">
      <c r="A59" s="84"/>
      <c r="B59" s="85"/>
      <c r="C59" s="85"/>
      <c r="D59" s="85"/>
      <c r="E59" s="86"/>
      <c r="F59" s="16">
        <f>IF(E59="","",DATEDIF(E59,$I$7,"Y"))</f>
      </c>
      <c r="G59" s="85"/>
      <c r="H59" s="85"/>
      <c r="I59" s="87"/>
      <c r="J59" s="85"/>
      <c r="K59" s="85"/>
      <c r="L59" s="2"/>
      <c r="M59" s="2"/>
      <c r="N59" s="1"/>
      <c r="O59" s="1"/>
      <c r="P59" s="85"/>
      <c r="Q59" s="88"/>
      <c r="R59" s="3">
        <f>IFERROR(VLOOKUP(TablaEnero[[#This Row],[BARRIO]],SECTOR!$A:$B,2,0),"")</f>
      </c>
      <c r="S59" s="89"/>
      <c r="T59" s="90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17">
        <f>COUNTIF(U59:AY59,"A")</f>
      </c>
      <c r="BA59" s="17">
        <f>COUNTIF(U59:AY59,"F")</f>
      </c>
      <c r="BB59" s="17">
        <f>COUNTIF(U59:AY59,"E")</f>
      </c>
    </row>
    <row r="60" spans="1:54" ht="15.75" customHeight="1" x14ac:dyDescent="0.2">
      <c r="A60" s="84"/>
      <c r="B60" s="85"/>
      <c r="C60" s="85"/>
      <c r="D60" s="85"/>
      <c r="E60" s="86"/>
      <c r="F60" s="16">
        <f>IF(E60="","",DATEDIF(E60,$I$7,"Y"))</f>
      </c>
      <c r="G60" s="85"/>
      <c r="H60" s="85"/>
      <c r="I60" s="87"/>
      <c r="J60" s="85"/>
      <c r="K60" s="85"/>
      <c r="L60" s="2"/>
      <c r="M60" s="2"/>
      <c r="N60" s="1"/>
      <c r="O60" s="1"/>
      <c r="P60" s="85"/>
      <c r="Q60" s="88"/>
      <c r="R60" s="3">
        <f>IFERROR(VLOOKUP(TablaEnero[[#This Row],[BARRIO]],SECTOR!$A:$B,2,0),"")</f>
      </c>
      <c r="S60" s="89"/>
      <c r="T60" s="90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17">
        <f>COUNTIF(U60:AY60,"A")</f>
      </c>
      <c r="BA60" s="17">
        <f>COUNTIF(U60:AY60,"F")</f>
      </c>
      <c r="BB60" s="17">
        <f>COUNTIF(U60:AY60,"E")</f>
      </c>
    </row>
    <row r="61" spans="1:54" ht="15.75" customHeight="1" x14ac:dyDescent="0.2">
      <c r="A61" s="84"/>
      <c r="B61" s="85"/>
      <c r="C61" s="85"/>
      <c r="D61" s="85"/>
      <c r="E61" s="86"/>
      <c r="F61" s="16">
        <f>IF(E61="","",DATEDIF(E61,$I$7,"Y"))</f>
      </c>
      <c r="G61" s="85"/>
      <c r="H61" s="85"/>
      <c r="I61" s="87"/>
      <c r="J61" s="85"/>
      <c r="K61" s="85"/>
      <c r="L61" s="2"/>
      <c r="M61" s="2"/>
      <c r="N61" s="1"/>
      <c r="O61" s="1"/>
      <c r="P61" s="85"/>
      <c r="Q61" s="88"/>
      <c r="R61" s="3">
        <f>IFERROR(VLOOKUP(TablaEnero[[#This Row],[BARRIO]],SECTOR!$A:$B,2,0),"")</f>
      </c>
      <c r="S61" s="89"/>
      <c r="T61" s="90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17">
        <f>COUNTIF(U61:AY61,"A")</f>
      </c>
      <c r="BA61" s="17">
        <f>COUNTIF(U61:AY61,"F")</f>
      </c>
      <c r="BB61" s="17">
        <f>COUNTIF(U61:AY61,"E")</f>
      </c>
    </row>
    <row r="62" spans="1:54" ht="15.75" customHeight="1" x14ac:dyDescent="0.2">
      <c r="A62" s="84"/>
      <c r="B62" s="85"/>
      <c r="C62" s="85"/>
      <c r="D62" s="85"/>
      <c r="E62" s="86"/>
      <c r="F62" s="16">
        <f>IF(E62="","",DATEDIF(E62,$I$7,"Y"))</f>
      </c>
      <c r="G62" s="85"/>
      <c r="H62" s="85"/>
      <c r="I62" s="87"/>
      <c r="J62" s="85"/>
      <c r="K62" s="85"/>
      <c r="L62" s="2"/>
      <c r="M62" s="2"/>
      <c r="N62" s="1"/>
      <c r="O62" s="1"/>
      <c r="P62" s="85"/>
      <c r="Q62" s="88"/>
      <c r="R62" s="3">
        <f>IFERROR(VLOOKUP(TablaEnero[[#This Row],[BARRIO]],SECTOR!$A:$B,2,0),"")</f>
      </c>
      <c r="S62" s="89"/>
      <c r="T62" s="90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17">
        <f>COUNTIF(U62:AY62,"A")</f>
      </c>
      <c r="BA62" s="17">
        <f>COUNTIF(U62:AY62,"F")</f>
      </c>
      <c r="BB62" s="17">
        <f>COUNTIF(U62:AY62,"E")</f>
      </c>
    </row>
    <row r="63" spans="1:54" ht="15.75" customHeight="1" x14ac:dyDescent="0.2">
      <c r="A63" s="84"/>
      <c r="B63" s="85"/>
      <c r="C63" s="85"/>
      <c r="D63" s="85"/>
      <c r="E63" s="86"/>
      <c r="F63" s="16">
        <f>IF(E63="","",DATEDIF(E63,$I$7,"Y"))</f>
      </c>
      <c r="G63" s="85"/>
      <c r="H63" s="85"/>
      <c r="I63" s="87"/>
      <c r="J63" s="85"/>
      <c r="K63" s="85"/>
      <c r="L63" s="2"/>
      <c r="M63" s="2"/>
      <c r="N63" s="1"/>
      <c r="O63" s="1"/>
      <c r="P63" s="85"/>
      <c r="Q63" s="88"/>
      <c r="R63" s="3">
        <f>IFERROR(VLOOKUP(TablaEnero[[#This Row],[BARRIO]],SECTOR!$A:$B,2,0),"")</f>
      </c>
      <c r="S63" s="89"/>
      <c r="T63" s="90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17">
        <f>COUNTIF(U63:AY63,"A")</f>
      </c>
      <c r="BA63" s="17">
        <f>COUNTIF(U63:AY63,"F")</f>
      </c>
      <c r="BB63" s="17">
        <f>COUNTIF(U63:AY63,"E")</f>
      </c>
    </row>
    <row r="64" spans="1:54" ht="15.75" customHeight="1" x14ac:dyDescent="0.2">
      <c r="A64" s="84"/>
      <c r="B64" s="85"/>
      <c r="C64" s="85"/>
      <c r="D64" s="85"/>
      <c r="E64" s="86"/>
      <c r="F64" s="16">
        <f>IF(E64="","",DATEDIF(E64,$I$7,"Y"))</f>
      </c>
      <c r="G64" s="85"/>
      <c r="H64" s="85"/>
      <c r="I64" s="87"/>
      <c r="J64" s="85"/>
      <c r="K64" s="85"/>
      <c r="L64" s="2"/>
      <c r="M64" s="2"/>
      <c r="N64" s="1"/>
      <c r="O64" s="1"/>
      <c r="P64" s="85"/>
      <c r="Q64" s="88"/>
      <c r="R64" s="3">
        <f>IFERROR(VLOOKUP(TablaEnero[[#This Row],[BARRIO]],SECTOR!$A:$B,2,0),"")</f>
      </c>
      <c r="S64" s="89"/>
      <c r="T64" s="90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17">
        <f>COUNTIF(U64:AY64,"A")</f>
      </c>
      <c r="BA64" s="17">
        <f>COUNTIF(U64:AY64,"F")</f>
      </c>
      <c r="BB64" s="17">
        <f>COUNTIF(U64:AY64,"E")</f>
      </c>
    </row>
    <row r="65" spans="1:54" ht="15.75" customHeight="1" x14ac:dyDescent="0.2">
      <c r="A65" s="84"/>
      <c r="B65" s="85"/>
      <c r="C65" s="85"/>
      <c r="D65" s="85"/>
      <c r="E65" s="86"/>
      <c r="F65" s="16">
        <f>IF(E65="","",DATEDIF(E65,$I$7,"Y"))</f>
      </c>
      <c r="G65" s="85"/>
      <c r="H65" s="85"/>
      <c r="I65" s="87"/>
      <c r="J65" s="85"/>
      <c r="K65" s="85"/>
      <c r="L65" s="2"/>
      <c r="M65" s="2"/>
      <c r="N65" s="1"/>
      <c r="O65" s="1"/>
      <c r="P65" s="85"/>
      <c r="Q65" s="88"/>
      <c r="R65" s="3">
        <f>IFERROR(VLOOKUP(TablaEnero[[#This Row],[BARRIO]],SECTOR!$A:$B,2,0),"")</f>
      </c>
      <c r="S65" s="89"/>
      <c r="T65" s="90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17">
        <f>COUNTIF(U65:AY65,"A")</f>
      </c>
      <c r="BA65" s="17">
        <f>COUNTIF(U65:AY65,"F")</f>
      </c>
      <c r="BB65" s="17">
        <f>COUNTIF(U65:AY65,"E")</f>
      </c>
    </row>
    <row r="66" spans="1:54" ht="15.75" customHeight="1" x14ac:dyDescent="0.2">
      <c r="A66" s="84"/>
      <c r="B66" s="85"/>
      <c r="C66" s="85"/>
      <c r="D66" s="85"/>
      <c r="E66" s="86"/>
      <c r="F66" s="16">
        <f>IF(E66="","",DATEDIF(E66,$I$7,"Y"))</f>
      </c>
      <c r="G66" s="85"/>
      <c r="H66" s="85"/>
      <c r="I66" s="87"/>
      <c r="J66" s="85"/>
      <c r="K66" s="85"/>
      <c r="L66" s="2"/>
      <c r="M66" s="2"/>
      <c r="N66" s="1"/>
      <c r="O66" s="1"/>
      <c r="P66" s="85"/>
      <c r="Q66" s="88"/>
      <c r="R66" s="3">
        <f>IFERROR(VLOOKUP(TablaEnero[[#This Row],[BARRIO]],SECTOR!$A:$B,2,0),"")</f>
      </c>
      <c r="S66" s="89"/>
      <c r="T66" s="90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17">
        <f>COUNTIF(U66:AY66,"A")</f>
      </c>
      <c r="BA66" s="17">
        <f>COUNTIF(U66:AY66,"F")</f>
      </c>
      <c r="BB66" s="17">
        <f>COUNTIF(U66:AY66,"E")</f>
      </c>
    </row>
    <row r="67" spans="1:54" ht="15.75" customHeight="1" x14ac:dyDescent="0.2">
      <c r="A67" s="84"/>
      <c r="B67" s="91"/>
      <c r="C67" s="91"/>
      <c r="D67" s="91"/>
      <c r="E67" s="92"/>
      <c r="F67" s="16">
        <f>IF(E67="","",DATEDIF(E67,$I$7,"Y"))</f>
      </c>
      <c r="G67" s="91"/>
      <c r="H67" s="91"/>
      <c r="I67" s="93"/>
      <c r="J67" s="91"/>
      <c r="K67" s="91"/>
      <c r="L67" s="2"/>
      <c r="M67" s="2"/>
      <c r="N67" s="1"/>
      <c r="O67" s="1"/>
      <c r="P67" s="85"/>
      <c r="Q67" s="88"/>
      <c r="R67" s="3">
        <f>IFERROR(VLOOKUP(TablaEnero[[#This Row],[BARRIO]],SECTOR!$A:$B,2,0),"")</f>
      </c>
      <c r="S67" s="89"/>
      <c r="T67" s="90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17">
        <f>COUNTIF(U67:AY67,"A")</f>
      </c>
      <c r="BA67" s="17">
        <f>COUNTIF(U67:AY67,"F")</f>
      </c>
      <c r="BB67" s="17">
        <f>COUNTIF(U67:AY67,"E")</f>
      </c>
    </row>
    <row r="68" spans="1:54" ht="15.75" customHeight="1" x14ac:dyDescent="0.2">
      <c r="A68" s="84"/>
      <c r="B68" s="94"/>
      <c r="C68" s="94"/>
      <c r="D68" s="94"/>
      <c r="E68" s="95"/>
      <c r="F68" s="16">
        <f>IF(E68="","",DATEDIF(E68,$I$7,"Y"))</f>
      </c>
      <c r="G68" s="94"/>
      <c r="H68" s="94"/>
      <c r="I68" s="96"/>
      <c r="J68" s="94"/>
      <c r="K68" s="94"/>
      <c r="L68" s="2"/>
      <c r="M68" s="2"/>
      <c r="N68" s="1"/>
      <c r="O68" s="1"/>
      <c r="P68" s="85"/>
      <c r="Q68" s="88"/>
      <c r="R68" s="3">
        <f>IFERROR(VLOOKUP(TablaEnero[[#This Row],[BARRIO]],SECTOR!$A:$B,2,0),"")</f>
      </c>
      <c r="S68" s="89"/>
      <c r="T68" s="90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17">
        <f>COUNTIF(U68:AY68,"A")</f>
      </c>
      <c r="BA68" s="17">
        <f>COUNTIF(U68:AY68,"F")</f>
      </c>
      <c r="BB68" s="17">
        <f>COUNTIF(U68:AY68,"E")</f>
      </c>
    </row>
    <row r="69" spans="1:54" ht="15.75" customHeight="1" x14ac:dyDescent="0.2">
      <c r="A69" s="84"/>
      <c r="B69" s="97"/>
      <c r="C69" s="97"/>
      <c r="D69" s="97"/>
      <c r="E69" s="98"/>
      <c r="F69" s="16">
        <f>IF(E69="","",DATEDIF(E69,$I$7,"Y"))</f>
      </c>
      <c r="G69" s="97"/>
      <c r="H69" s="97"/>
      <c r="I69" s="99"/>
      <c r="J69" s="97"/>
      <c r="K69" s="97"/>
      <c r="L69" s="2"/>
      <c r="M69" s="2"/>
      <c r="N69" s="1"/>
      <c r="O69" s="1"/>
      <c r="P69" s="85"/>
      <c r="Q69" s="88"/>
      <c r="R69" s="3">
        <f>IFERROR(VLOOKUP(TablaEnero[[#This Row],[BARRIO]],SECTOR!$A:$B,2,0),"")</f>
      </c>
      <c r="S69" s="89"/>
      <c r="T69" s="90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5"/>
      <c r="AZ69" s="18">
        <f>COUNTIF(U69:AY69,"A")</f>
      </c>
      <c r="BA69" s="17">
        <f>COUNTIF(U69:AY69,"F")</f>
      </c>
      <c r="BB69" s="17">
        <f>COUNTIF(U69:AY69,"E")</f>
      </c>
    </row>
    <row r="70" spans="1:54" ht="15.75" customHeight="1" x14ac:dyDescent="0.2">
      <c r="A70" s="84"/>
      <c r="B70" s="97"/>
      <c r="C70" s="97"/>
      <c r="D70" s="97"/>
      <c r="E70" s="98"/>
      <c r="F70" s="16">
        <f>IF(E70="","",DATEDIF(E70,$I$7,"Y"))</f>
      </c>
      <c r="G70" s="97"/>
      <c r="H70" s="97"/>
      <c r="I70" s="99"/>
      <c r="J70" s="97"/>
      <c r="K70" s="97"/>
      <c r="L70" s="2"/>
      <c r="M70" s="2"/>
      <c r="N70" s="1"/>
      <c r="O70" s="1"/>
      <c r="P70" s="85"/>
      <c r="Q70" s="88"/>
      <c r="R70" s="3">
        <f>IFERROR(VLOOKUP(TablaEnero[[#This Row],[BARRIO]],SECTOR!$A:$B,2,0),"")</f>
      </c>
      <c r="S70" s="89"/>
      <c r="T70" s="90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6"/>
      <c r="AZ70" s="19">
        <f>COUNTIF(U70:AY70,"A")</f>
      </c>
      <c r="BA70" s="17">
        <f>COUNTIF(U70:AY70,"F")</f>
      </c>
      <c r="BB70" s="17">
        <f>COUNTIF(U70:AY70,"E")</f>
      </c>
    </row>
    <row r="71" spans="1:54" ht="15.75" customHeight="1" x14ac:dyDescent="0.2">
      <c r="A71" s="84"/>
      <c r="B71" s="97"/>
      <c r="C71" s="97"/>
      <c r="D71" s="97"/>
      <c r="E71" s="98"/>
      <c r="F71" s="16">
        <f>IF(E71="","",DATEDIF(E71,$I$7,"Y"))</f>
      </c>
      <c r="G71" s="97"/>
      <c r="H71" s="97"/>
      <c r="I71" s="99"/>
      <c r="J71" s="97"/>
      <c r="K71" s="97"/>
      <c r="L71" s="2"/>
      <c r="M71" s="2"/>
      <c r="N71" s="1"/>
      <c r="O71" s="1"/>
      <c r="P71" s="85"/>
      <c r="Q71" s="88"/>
      <c r="R71" s="3">
        <f>IFERROR(VLOOKUP(TablaEnero[[#This Row],[BARRIO]],SECTOR!$A:$B,2,0),"")</f>
      </c>
      <c r="S71" s="89"/>
      <c r="T71" s="90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6"/>
      <c r="AZ71" s="19">
        <f>COUNTIF(U71:AY71,"A")</f>
      </c>
      <c r="BA71" s="17">
        <f>COUNTIF(U71:AY71,"F")</f>
      </c>
      <c r="BB71" s="17">
        <f>COUNTIF(U71:AY71,"E")</f>
      </c>
    </row>
    <row r="72" spans="1:54" ht="15.75" customHeight="1" x14ac:dyDescent="0.2">
      <c r="A72" s="84"/>
      <c r="B72" s="97"/>
      <c r="C72" s="97"/>
      <c r="D72" s="97"/>
      <c r="E72" s="98"/>
      <c r="F72" s="16">
        <f>IF(E72="","",DATEDIF(E72,$I$7,"Y"))</f>
      </c>
      <c r="G72" s="97"/>
      <c r="H72" s="97"/>
      <c r="I72" s="99"/>
      <c r="J72" s="97"/>
      <c r="K72" s="97"/>
      <c r="L72" s="2"/>
      <c r="M72" s="2"/>
      <c r="N72" s="1"/>
      <c r="O72" s="1"/>
      <c r="P72" s="85"/>
      <c r="Q72" s="88"/>
      <c r="R72" s="3">
        <f>IFERROR(VLOOKUP(TablaEnero[[#This Row],[BARRIO]],SECTOR!$A:$B,2,0),"")</f>
      </c>
      <c r="S72" s="89"/>
      <c r="T72" s="90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6"/>
      <c r="AZ72" s="19">
        <f>COUNTIF(U72:AY72,"A")</f>
      </c>
      <c r="BA72" s="17">
        <f>COUNTIF(U72:AY72,"F")</f>
      </c>
      <c r="BB72" s="17">
        <f>COUNTIF(U72:AY72,"E")</f>
      </c>
    </row>
    <row r="73" spans="1:54" ht="15.75" customHeight="1" x14ac:dyDescent="0.2">
      <c r="A73" s="84"/>
      <c r="B73" s="97"/>
      <c r="C73" s="97"/>
      <c r="D73" s="97"/>
      <c r="E73" s="98"/>
      <c r="F73" s="16">
        <f>IF(E73="","",DATEDIF(E73,$I$7,"Y"))</f>
      </c>
      <c r="G73" s="97"/>
      <c r="H73" s="97"/>
      <c r="I73" s="99"/>
      <c r="J73" s="97"/>
      <c r="K73" s="97"/>
      <c r="L73" s="2"/>
      <c r="M73" s="2"/>
      <c r="N73" s="1"/>
      <c r="O73" s="1"/>
      <c r="P73" s="85"/>
      <c r="Q73" s="88"/>
      <c r="R73" s="3">
        <f>IFERROR(VLOOKUP(TablaEnero[[#This Row],[BARRIO]],SECTOR!$A:$B,2,0),"")</f>
      </c>
      <c r="S73" s="89"/>
      <c r="T73" s="90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6"/>
      <c r="AZ73" s="19">
        <f>COUNTIF(U73:AY73,"A")</f>
      </c>
      <c r="BA73" s="17">
        <f>COUNTIF(U73:AY73,"F")</f>
      </c>
      <c r="BB73" s="17">
        <f>COUNTIF(U73:AY73,"E")</f>
      </c>
    </row>
    <row r="74" spans="1:54" ht="15.75" customHeight="1" x14ac:dyDescent="0.2">
      <c r="A74" s="84"/>
      <c r="B74" s="97"/>
      <c r="C74" s="97"/>
      <c r="D74" s="97"/>
      <c r="E74" s="98"/>
      <c r="F74" s="16">
        <f>IF(E74="","",DATEDIF(E74,$I$7,"Y"))</f>
      </c>
      <c r="G74" s="97"/>
      <c r="H74" s="97"/>
      <c r="I74" s="99"/>
      <c r="J74" s="97"/>
      <c r="K74" s="97"/>
      <c r="L74" s="2"/>
      <c r="M74" s="2"/>
      <c r="N74" s="1"/>
      <c r="O74" s="1"/>
      <c r="P74" s="85"/>
      <c r="Q74" s="88"/>
      <c r="R74" s="3">
        <f>IFERROR(VLOOKUP(TablaEnero[[#This Row],[BARRIO]],SECTOR!$A:$B,2,0),"")</f>
      </c>
      <c r="S74" s="89"/>
      <c r="T74" s="90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6"/>
      <c r="AZ74" s="19">
        <f>COUNTIF(U74:AY74,"A")</f>
      </c>
      <c r="BA74" s="17">
        <f>COUNTIF(U74:AY74,"F")</f>
      </c>
      <c r="BB74" s="17">
        <f>COUNTIF(U74:AY74,"E")</f>
      </c>
    </row>
    <row r="75" spans="1:54" ht="15.75" customHeight="1" x14ac:dyDescent="0.2">
      <c r="A75" s="84"/>
      <c r="B75" s="97"/>
      <c r="C75" s="97"/>
      <c r="D75" s="97"/>
      <c r="E75" s="98"/>
      <c r="F75" s="16">
        <f>IF(E75="","",DATEDIF(E75,$I$7,"Y"))</f>
      </c>
      <c r="G75" s="97"/>
      <c r="H75" s="97"/>
      <c r="I75" s="99"/>
      <c r="J75" s="97"/>
      <c r="K75" s="97"/>
      <c r="L75" s="2"/>
      <c r="M75" s="2"/>
      <c r="N75" s="1"/>
      <c r="O75" s="1"/>
      <c r="P75" s="85"/>
      <c r="Q75" s="88"/>
      <c r="R75" s="3">
        <f>IFERROR(VLOOKUP(TablaEnero[[#This Row],[BARRIO]],SECTOR!$A:$B,2,0),"")</f>
      </c>
      <c r="S75" s="89"/>
      <c r="T75" s="90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6"/>
      <c r="AZ75" s="19">
        <f>COUNTIF(U75:AY75,"A")</f>
      </c>
      <c r="BA75" s="17">
        <f>COUNTIF(U75:AY75,"F")</f>
      </c>
      <c r="BB75" s="17">
        <f>COUNTIF(U75:AY75,"E")</f>
      </c>
    </row>
    <row r="76" spans="1:54" ht="15.75" customHeight="1" x14ac:dyDescent="0.2">
      <c r="A76" s="84"/>
      <c r="B76" s="97"/>
      <c r="C76" s="97"/>
      <c r="D76" s="97"/>
      <c r="E76" s="98"/>
      <c r="F76" s="16">
        <f>IF(E76="","",DATEDIF(E76,$I$7,"Y"))</f>
      </c>
      <c r="G76" s="97"/>
      <c r="H76" s="97"/>
      <c r="I76" s="99"/>
      <c r="J76" s="97"/>
      <c r="K76" s="97"/>
      <c r="L76" s="2"/>
      <c r="M76" s="2"/>
      <c r="N76" s="1"/>
      <c r="O76" s="1"/>
      <c r="P76" s="85"/>
      <c r="Q76" s="88"/>
      <c r="R76" s="3">
        <f>IFERROR(VLOOKUP(TablaEnero[[#This Row],[BARRIO]],SECTOR!$A:$B,2,0),"")</f>
      </c>
      <c r="S76" s="89"/>
      <c r="T76" s="90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6"/>
      <c r="AZ76" s="19">
        <f>COUNTIF(U76:AY76,"A")</f>
      </c>
      <c r="BA76" s="17">
        <f>COUNTIF(U76:AY76,"F")</f>
      </c>
      <c r="BB76" s="17">
        <f>COUNTIF(U76:AY76,"E")</f>
      </c>
    </row>
    <row r="77" spans="1:54" ht="15.75" customHeight="1" x14ac:dyDescent="0.2">
      <c r="A77" s="84"/>
      <c r="B77" s="97"/>
      <c r="C77" s="97"/>
      <c r="D77" s="97"/>
      <c r="E77" s="98"/>
      <c r="F77" s="16">
        <f>IF(E77="","",DATEDIF(E77,$I$7,"Y"))</f>
      </c>
      <c r="G77" s="97"/>
      <c r="H77" s="97"/>
      <c r="I77" s="99"/>
      <c r="J77" s="97"/>
      <c r="K77" s="97"/>
      <c r="L77" s="2"/>
      <c r="M77" s="2"/>
      <c r="N77" s="1"/>
      <c r="O77" s="1"/>
      <c r="P77" s="85"/>
      <c r="Q77" s="88"/>
      <c r="R77" s="3">
        <f>IFERROR(VLOOKUP(TablaEnero[[#This Row],[BARRIO]],SECTOR!$A:$B,2,0),"")</f>
      </c>
      <c r="S77" s="89"/>
      <c r="T77" s="90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6"/>
      <c r="AZ77" s="19">
        <f>COUNTIF(U77:AY77,"A")</f>
      </c>
      <c r="BA77" s="17">
        <f>COUNTIF(U77:AY77,"F")</f>
      </c>
      <c r="BB77" s="17">
        <f>COUNTIF(U77:AY77,"E")</f>
      </c>
    </row>
    <row r="78" spans="1:54" ht="15.75" customHeight="1" x14ac:dyDescent="0.2">
      <c r="A78" s="84"/>
      <c r="B78" s="97"/>
      <c r="C78" s="97"/>
      <c r="D78" s="97"/>
      <c r="E78" s="98"/>
      <c r="F78" s="16">
        <f>IF(E78="","",DATEDIF(E78,$I$7,"Y"))</f>
      </c>
      <c r="G78" s="97"/>
      <c r="H78" s="97"/>
      <c r="I78" s="99"/>
      <c r="J78" s="97"/>
      <c r="K78" s="97"/>
      <c r="L78" s="2"/>
      <c r="M78" s="2"/>
      <c r="N78" s="1"/>
      <c r="O78" s="1"/>
      <c r="P78" s="85"/>
      <c r="Q78" s="88"/>
      <c r="R78" s="3">
        <f>IFERROR(VLOOKUP(TablaEnero[[#This Row],[BARRIO]],SECTOR!$A:$B,2,0),"")</f>
      </c>
      <c r="S78" s="89"/>
      <c r="T78" s="90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6"/>
      <c r="AZ78" s="19">
        <f>COUNTIF(U78:AY78,"A")</f>
      </c>
      <c r="BA78" s="17">
        <f>COUNTIF(U78:AY78,"F")</f>
      </c>
      <c r="BB78" s="17">
        <f>COUNTIF(U78:AY78,"E")</f>
      </c>
    </row>
    <row r="79" spans="1:54" ht="15.75" customHeight="1" x14ac:dyDescent="0.2">
      <c r="A79" s="84"/>
      <c r="B79" s="85"/>
      <c r="C79" s="85"/>
      <c r="D79" s="85"/>
      <c r="E79" s="86"/>
      <c r="F79" s="16">
        <f>IF(E79="","",DATEDIF(E79,$I$7,"Y"))</f>
      </c>
      <c r="G79" s="85"/>
      <c r="H79" s="85"/>
      <c r="I79" s="87"/>
      <c r="J79" s="85"/>
      <c r="K79" s="85"/>
      <c r="L79" s="2"/>
      <c r="M79" s="2"/>
      <c r="N79" s="1"/>
      <c r="O79" s="1"/>
      <c r="P79" s="85"/>
      <c r="Q79" s="88"/>
      <c r="R79" s="3">
        <f>IFERROR(VLOOKUP(TablaEnero[[#This Row],[BARRIO]],SECTOR!$A:$B,2,0),"")</f>
      </c>
      <c r="S79" s="89"/>
      <c r="T79" s="90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6"/>
      <c r="AZ79" s="19">
        <f>COUNTIF(U79:AY79,"A")</f>
      </c>
      <c r="BA79" s="17">
        <f>COUNTIF(U79:AY79,"F")</f>
      </c>
      <c r="BB79" s="17">
        <f>COUNTIF(U79:AY79,"E")</f>
      </c>
    </row>
    <row r="80" spans="1:54" ht="15.75" customHeight="1" x14ac:dyDescent="0.2">
      <c r="A80" s="84"/>
      <c r="B80" s="85"/>
      <c r="C80" s="85"/>
      <c r="D80" s="85"/>
      <c r="E80" s="86"/>
      <c r="F80" s="16">
        <f>IF(E80="","",DATEDIF(E80,$I$7,"Y"))</f>
      </c>
      <c r="G80" s="85"/>
      <c r="H80" s="85"/>
      <c r="I80" s="87"/>
      <c r="J80" s="85"/>
      <c r="K80" s="85"/>
      <c r="L80" s="2"/>
      <c r="M80" s="2"/>
      <c r="N80" s="1"/>
      <c r="O80" s="1"/>
      <c r="P80" s="85"/>
      <c r="Q80" s="88"/>
      <c r="R80" s="3">
        <f>IFERROR(VLOOKUP(TablaEnero[[#This Row],[BARRIO]],SECTOR!$A:$B,2,0),"")</f>
      </c>
      <c r="S80" s="89"/>
      <c r="T80" s="90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6"/>
      <c r="AZ80" s="19">
        <f>COUNTIF(U80:AY80,"A")</f>
      </c>
      <c r="BA80" s="17">
        <f>COUNTIF(U80:AY80,"F")</f>
      </c>
      <c r="BB80" s="17">
        <f>COUNTIF(U80:AY80,"E")</f>
      </c>
    </row>
    <row r="81" spans="1:54" ht="15.75" customHeight="1" x14ac:dyDescent="0.2">
      <c r="A81" s="84"/>
      <c r="B81" s="85"/>
      <c r="C81" s="85"/>
      <c r="D81" s="85"/>
      <c r="E81" s="86"/>
      <c r="F81" s="16">
        <f>IF(E81="","",DATEDIF(E81,$I$7,"Y"))</f>
      </c>
      <c r="G81" s="85"/>
      <c r="H81" s="85"/>
      <c r="I81" s="87"/>
      <c r="J81" s="85"/>
      <c r="K81" s="85"/>
      <c r="L81" s="2"/>
      <c r="M81" s="2"/>
      <c r="N81" s="1"/>
      <c r="O81" s="1"/>
      <c r="P81" s="85"/>
      <c r="Q81" s="88"/>
      <c r="R81" s="3">
        <f>IFERROR(VLOOKUP(TablaEnero[[#This Row],[BARRIO]],SECTOR!$A:$B,2,0),"")</f>
      </c>
      <c r="S81" s="89"/>
      <c r="T81" s="90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6"/>
      <c r="AZ81" s="19">
        <f>COUNTIF(U81:AY81,"A")</f>
      </c>
      <c r="BA81" s="17">
        <f>COUNTIF(U81:AY81,"F")</f>
      </c>
      <c r="BB81" s="17">
        <f>COUNTIF(U81:AY81,"E")</f>
      </c>
    </row>
    <row r="82" spans="1:54" ht="15.75" customHeight="1" x14ac:dyDescent="0.2">
      <c r="A82" s="84"/>
      <c r="B82" s="85"/>
      <c r="C82" s="85"/>
      <c r="D82" s="85"/>
      <c r="E82" s="86"/>
      <c r="F82" s="16">
        <f>IF(E82="","",DATEDIF(E82,$I$7,"Y"))</f>
      </c>
      <c r="G82" s="85"/>
      <c r="H82" s="85"/>
      <c r="I82" s="87"/>
      <c r="J82" s="85"/>
      <c r="K82" s="85"/>
      <c r="L82" s="2"/>
      <c r="M82" s="2"/>
      <c r="N82" s="1"/>
      <c r="O82" s="1"/>
      <c r="P82" s="85"/>
      <c r="Q82" s="88"/>
      <c r="R82" s="3">
        <f>IFERROR(VLOOKUP(TablaEnero[[#This Row],[BARRIO]],SECTOR!$A:$B,2,0),"")</f>
      </c>
      <c r="S82" s="89"/>
      <c r="T82" s="90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6"/>
      <c r="AZ82" s="19">
        <f>COUNTIF(U82:AY82,"A")</f>
      </c>
      <c r="BA82" s="17">
        <f>COUNTIF(U82:AY82,"F")</f>
      </c>
      <c r="BB82" s="17">
        <f>COUNTIF(U82:AY82,"E")</f>
      </c>
    </row>
    <row r="83" spans="1:54" ht="15.75" customHeight="1" x14ac:dyDescent="0.2">
      <c r="A83" s="84"/>
      <c r="B83" s="85"/>
      <c r="C83" s="85"/>
      <c r="D83" s="85"/>
      <c r="E83" s="86"/>
      <c r="F83" s="16">
        <f>IF(E83="","",DATEDIF(E83,$I$7,"Y"))</f>
      </c>
      <c r="G83" s="85"/>
      <c r="H83" s="85"/>
      <c r="I83" s="87"/>
      <c r="J83" s="85"/>
      <c r="K83" s="85"/>
      <c r="L83" s="2"/>
      <c r="M83" s="2"/>
      <c r="N83" s="1"/>
      <c r="O83" s="1"/>
      <c r="P83" s="85"/>
      <c r="Q83" s="88"/>
      <c r="R83" s="3">
        <f>IFERROR(VLOOKUP(TablaEnero[[#This Row],[BARRIO]],SECTOR!$A:$B,2,0),"")</f>
      </c>
      <c r="S83" s="89"/>
      <c r="T83" s="90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6"/>
      <c r="AZ83" s="19">
        <f>COUNTIF(U83:AY83,"A")</f>
      </c>
      <c r="BA83" s="17">
        <f>COUNTIF(U83:AY83,"F")</f>
      </c>
      <c r="BB83" s="17">
        <f>COUNTIF(U83:AY83,"E")</f>
      </c>
    </row>
    <row r="84" spans="1:54" ht="15.75" customHeight="1" x14ac:dyDescent="0.2">
      <c r="A84" s="84"/>
      <c r="B84" s="85"/>
      <c r="C84" s="85"/>
      <c r="D84" s="85"/>
      <c r="E84" s="86"/>
      <c r="F84" s="16">
        <f>IF(E84="","",DATEDIF(E84,$I$7,"Y"))</f>
      </c>
      <c r="G84" s="85"/>
      <c r="H84" s="85"/>
      <c r="I84" s="87"/>
      <c r="J84" s="85"/>
      <c r="K84" s="85"/>
      <c r="L84" s="2"/>
      <c r="M84" s="2"/>
      <c r="N84" s="1"/>
      <c r="O84" s="1"/>
      <c r="P84" s="85"/>
      <c r="Q84" s="88"/>
      <c r="R84" s="3">
        <f>IFERROR(VLOOKUP(TablaEnero[[#This Row],[BARRIO]],SECTOR!$A:$B,2,0),"")</f>
      </c>
      <c r="S84" s="89"/>
      <c r="T84" s="90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6"/>
      <c r="AZ84" s="19">
        <f>COUNTIF(U84:AY84,"A")</f>
      </c>
      <c r="BA84" s="17">
        <f>COUNTIF(U84:AY84,"F")</f>
      </c>
      <c r="BB84" s="17">
        <f>COUNTIF(U84:AY84,"E")</f>
      </c>
    </row>
    <row r="85" spans="1:54" ht="15.75" customHeight="1" x14ac:dyDescent="0.2">
      <c r="A85" s="84"/>
      <c r="B85" s="85"/>
      <c r="C85" s="85"/>
      <c r="D85" s="85"/>
      <c r="E85" s="86"/>
      <c r="F85" s="16">
        <f>IF(E85="","",DATEDIF(E85,$I$7,"Y"))</f>
      </c>
      <c r="G85" s="85"/>
      <c r="H85" s="85"/>
      <c r="I85" s="87"/>
      <c r="J85" s="85"/>
      <c r="K85" s="85"/>
      <c r="L85" s="2"/>
      <c r="M85" s="2"/>
      <c r="N85" s="1"/>
      <c r="O85" s="1"/>
      <c r="P85" s="85"/>
      <c r="Q85" s="88"/>
      <c r="R85" s="3">
        <f>IFERROR(VLOOKUP(TablaEnero[[#This Row],[BARRIO]],SECTOR!$A:$B,2,0),"")</f>
      </c>
      <c r="S85" s="89"/>
      <c r="T85" s="90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6"/>
      <c r="AZ85" s="19">
        <f>COUNTIF(U85:AY85,"A")</f>
      </c>
      <c r="BA85" s="17">
        <f>COUNTIF(U85:AY85,"F")</f>
      </c>
      <c r="BB85" s="17">
        <f>COUNTIF(U85:AY85,"E")</f>
      </c>
    </row>
    <row r="86" spans="1:54" ht="15.75" customHeight="1" x14ac:dyDescent="0.2">
      <c r="A86" s="84"/>
      <c r="B86" s="85"/>
      <c r="C86" s="85"/>
      <c r="D86" s="85"/>
      <c r="E86" s="86"/>
      <c r="F86" s="16">
        <f>IF(E86="","",DATEDIF(E86,$I$7,"Y"))</f>
      </c>
      <c r="G86" s="85"/>
      <c r="H86" s="85"/>
      <c r="I86" s="87"/>
      <c r="J86" s="85"/>
      <c r="K86" s="85"/>
      <c r="L86" s="2"/>
      <c r="M86" s="2"/>
      <c r="N86" s="1"/>
      <c r="O86" s="1"/>
      <c r="P86" s="85"/>
      <c r="Q86" s="88"/>
      <c r="R86" s="3">
        <f>IFERROR(VLOOKUP(TablaEnero[[#This Row],[BARRIO]],SECTOR!$A:$B,2,0),"")</f>
      </c>
      <c r="S86" s="89"/>
      <c r="T86" s="90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6"/>
      <c r="AZ86" s="19">
        <f>COUNTIF(U86:AY86,"A")</f>
      </c>
      <c r="BA86" s="17">
        <f>COUNTIF(U86:AY86,"F")</f>
      </c>
      <c r="BB86" s="17">
        <f>COUNTIF(U86:AY86,"E")</f>
      </c>
    </row>
    <row r="87" spans="1:54" ht="15.75" customHeight="1" x14ac:dyDescent="0.2">
      <c r="A87" s="84"/>
      <c r="B87" s="85"/>
      <c r="C87" s="85"/>
      <c r="D87" s="85"/>
      <c r="E87" s="86"/>
      <c r="F87" s="16">
        <f>IF(E87="","",DATEDIF(E87,$I$7,"Y"))</f>
      </c>
      <c r="G87" s="85"/>
      <c r="H87" s="85"/>
      <c r="I87" s="87"/>
      <c r="J87" s="85"/>
      <c r="K87" s="85"/>
      <c r="L87" s="2"/>
      <c r="M87" s="2"/>
      <c r="N87" s="1"/>
      <c r="O87" s="1"/>
      <c r="P87" s="85"/>
      <c r="Q87" s="88"/>
      <c r="R87" s="3">
        <f>IFERROR(VLOOKUP(TablaEnero[[#This Row],[BARRIO]],SECTOR!$A:$B,2,0),"")</f>
      </c>
      <c r="S87" s="89"/>
      <c r="T87" s="90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6"/>
      <c r="AZ87" s="19">
        <f>COUNTIF(U87:AY87,"A")</f>
      </c>
      <c r="BA87" s="17">
        <f>COUNTIF(U87:AY87,"F")</f>
      </c>
      <c r="BB87" s="17">
        <f>COUNTIF(U87:AY87,"E")</f>
      </c>
    </row>
    <row r="88" spans="1:54" ht="15.75" customHeight="1" x14ac:dyDescent="0.2">
      <c r="A88" s="84"/>
      <c r="B88" s="85"/>
      <c r="C88" s="85"/>
      <c r="D88" s="85"/>
      <c r="E88" s="86"/>
      <c r="F88" s="16">
        <f>IF(E88="","",DATEDIF(E88,$I$7,"Y"))</f>
      </c>
      <c r="G88" s="85"/>
      <c r="H88" s="85"/>
      <c r="I88" s="87"/>
      <c r="J88" s="85"/>
      <c r="K88" s="85"/>
      <c r="L88" s="2"/>
      <c r="M88" s="2"/>
      <c r="N88" s="1"/>
      <c r="O88" s="1"/>
      <c r="P88" s="85"/>
      <c r="Q88" s="88"/>
      <c r="R88" s="3">
        <f>IFERROR(VLOOKUP(TablaEnero[[#This Row],[BARRIO]],SECTOR!$A:$B,2,0),"")</f>
      </c>
      <c r="S88" s="89"/>
      <c r="T88" s="90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6"/>
      <c r="AZ88" s="19">
        <f>COUNTIF(U88:AY88,"A")</f>
      </c>
      <c r="BA88" s="17">
        <f>COUNTIF(U88:AY88,"F")</f>
      </c>
      <c r="BB88" s="17">
        <f>COUNTIF(U88:AY88,"E")</f>
      </c>
    </row>
    <row r="89" spans="1:54" ht="15.75" customHeight="1" x14ac:dyDescent="0.2">
      <c r="A89" s="84"/>
      <c r="B89" s="85"/>
      <c r="C89" s="85"/>
      <c r="D89" s="85"/>
      <c r="E89" s="86"/>
      <c r="F89" s="16">
        <f>IF(E89="","",DATEDIF(E89,$I$7,"Y"))</f>
      </c>
      <c r="G89" s="85"/>
      <c r="H89" s="85"/>
      <c r="I89" s="87"/>
      <c r="J89" s="85"/>
      <c r="K89" s="85"/>
      <c r="L89" s="2"/>
      <c r="M89" s="2"/>
      <c r="N89" s="1"/>
      <c r="O89" s="1"/>
      <c r="P89" s="85"/>
      <c r="Q89" s="88"/>
      <c r="R89" s="3">
        <f>IFERROR(VLOOKUP(TablaEnero[[#This Row],[BARRIO]],SECTOR!$A:$B,2,0),"")</f>
      </c>
      <c r="S89" s="89"/>
      <c r="T89" s="90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6"/>
      <c r="AZ89" s="19">
        <f>COUNTIF(U89:AY89,"A")</f>
      </c>
      <c r="BA89" s="17">
        <f>COUNTIF(U89:AY89,"F")</f>
      </c>
      <c r="BB89" s="17">
        <f>COUNTIF(U89:AY89,"E")</f>
      </c>
    </row>
    <row r="90" spans="1:54" ht="15.75" customHeight="1" x14ac:dyDescent="0.2">
      <c r="A90" s="84"/>
      <c r="B90" s="85"/>
      <c r="C90" s="85"/>
      <c r="D90" s="85"/>
      <c r="E90" s="86"/>
      <c r="F90" s="16">
        <f>IF(E90="","",DATEDIF(E90,$I$7,"Y"))</f>
      </c>
      <c r="G90" s="85"/>
      <c r="H90" s="85"/>
      <c r="I90" s="87"/>
      <c r="J90" s="85"/>
      <c r="K90" s="85"/>
      <c r="L90" s="2"/>
      <c r="M90" s="2"/>
      <c r="N90" s="1"/>
      <c r="O90" s="1"/>
      <c r="P90" s="85"/>
      <c r="Q90" s="88"/>
      <c r="R90" s="3">
        <f>IFERROR(VLOOKUP(TablaEnero[[#This Row],[BARRIO]],SECTOR!$A:$B,2,0),"")</f>
      </c>
      <c r="S90" s="89"/>
      <c r="T90" s="90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6"/>
      <c r="AZ90" s="19">
        <f>COUNTIF(U90:AY90,"A")</f>
      </c>
      <c r="BA90" s="17">
        <f>COUNTIF(U90:AY90,"F")</f>
      </c>
      <c r="BB90" s="17">
        <f>COUNTIF(U90:AY90,"E")</f>
      </c>
    </row>
    <row r="91" spans="1:54" ht="15.75" customHeight="1" x14ac:dyDescent="0.2">
      <c r="A91" s="84"/>
      <c r="B91" s="85"/>
      <c r="C91" s="85"/>
      <c r="D91" s="85"/>
      <c r="E91" s="86"/>
      <c r="F91" s="16">
        <f>IF(E91="","",DATEDIF(E91,$I$7,"Y"))</f>
      </c>
      <c r="G91" s="85"/>
      <c r="H91" s="85"/>
      <c r="I91" s="87"/>
      <c r="J91" s="85"/>
      <c r="K91" s="85"/>
      <c r="L91" s="2"/>
      <c r="M91" s="2"/>
      <c r="N91" s="1"/>
      <c r="O91" s="1"/>
      <c r="P91" s="85"/>
      <c r="Q91" s="88"/>
      <c r="R91" s="3">
        <f>IFERROR(VLOOKUP(TablaEnero[[#This Row],[BARRIO]],SECTOR!$A:$B,2,0),"")</f>
      </c>
      <c r="S91" s="89"/>
      <c r="T91" s="90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6"/>
      <c r="AZ91" s="19">
        <f>COUNTIF(U91:AY91,"A")</f>
      </c>
      <c r="BA91" s="17">
        <f>COUNTIF(U91:AY91,"F")</f>
      </c>
      <c r="BB91" s="17">
        <f>COUNTIF(U91:AY91,"E")</f>
      </c>
    </row>
    <row r="92" spans="1:54" ht="15.75" customHeight="1" x14ac:dyDescent="0.2">
      <c r="A92" s="84"/>
      <c r="B92" s="85"/>
      <c r="C92" s="85"/>
      <c r="D92" s="85"/>
      <c r="E92" s="86"/>
      <c r="F92" s="16">
        <f>IF(E92="","",DATEDIF(E92,$I$7,"Y"))</f>
      </c>
      <c r="G92" s="85"/>
      <c r="H92" s="85"/>
      <c r="I92" s="87"/>
      <c r="J92" s="85"/>
      <c r="K92" s="85"/>
      <c r="L92" s="2"/>
      <c r="M92" s="2"/>
      <c r="N92" s="1"/>
      <c r="O92" s="1"/>
      <c r="P92" s="85"/>
      <c r="Q92" s="88"/>
      <c r="R92" s="3">
        <f>IFERROR(VLOOKUP(TablaEnero[[#This Row],[BARRIO]],SECTOR!$A:$B,2,0),"")</f>
      </c>
      <c r="S92" s="89"/>
      <c r="T92" s="90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6"/>
      <c r="AZ92" s="19">
        <f>COUNTIF(U92:AY92,"A")</f>
      </c>
      <c r="BA92" s="17">
        <f>COUNTIF(U92:AY92,"F")</f>
      </c>
      <c r="BB92" s="17">
        <f>COUNTIF(U92:AY92,"E")</f>
      </c>
    </row>
    <row r="93" spans="1:54" ht="15.75" customHeight="1" x14ac:dyDescent="0.2">
      <c r="A93" s="84"/>
      <c r="B93" s="85"/>
      <c r="C93" s="85"/>
      <c r="D93" s="85"/>
      <c r="E93" s="86"/>
      <c r="F93" s="16">
        <f>IF(E93="","",DATEDIF(E93,$I$7,"Y"))</f>
      </c>
      <c r="G93" s="85"/>
      <c r="H93" s="85"/>
      <c r="I93" s="87"/>
      <c r="J93" s="85"/>
      <c r="K93" s="85"/>
      <c r="L93" s="2"/>
      <c r="M93" s="2"/>
      <c r="N93" s="1"/>
      <c r="O93" s="1"/>
      <c r="P93" s="85"/>
      <c r="Q93" s="88"/>
      <c r="R93" s="3">
        <f>IFERROR(VLOOKUP(TablaEnero[[#This Row],[BARRIO]],SECTOR!$A:$B,2,0),"")</f>
      </c>
      <c r="S93" s="89"/>
      <c r="T93" s="90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6"/>
      <c r="AZ93" s="19">
        <f>COUNTIF(U93:AY93,"A")</f>
      </c>
      <c r="BA93" s="17">
        <f>COUNTIF(U93:AY93,"F")</f>
      </c>
      <c r="BB93" s="17">
        <f>COUNTIF(U93:AY93,"E")</f>
      </c>
    </row>
    <row r="94" spans="1:54" ht="15.75" customHeight="1" x14ac:dyDescent="0.2">
      <c r="A94" s="84"/>
      <c r="B94" s="85"/>
      <c r="C94" s="85"/>
      <c r="D94" s="85"/>
      <c r="E94" s="86"/>
      <c r="F94" s="16">
        <f>IF(E94="","",DATEDIF(E94,$I$7,"Y"))</f>
      </c>
      <c r="G94" s="85"/>
      <c r="H94" s="85"/>
      <c r="I94" s="87"/>
      <c r="J94" s="85"/>
      <c r="K94" s="85"/>
      <c r="L94" s="2"/>
      <c r="M94" s="2"/>
      <c r="N94" s="1"/>
      <c r="O94" s="1"/>
      <c r="P94" s="85"/>
      <c r="Q94" s="88"/>
      <c r="R94" s="3">
        <f>IFERROR(VLOOKUP(TablaEnero[[#This Row],[BARRIO]],SECTOR!$A:$B,2,0),"")</f>
      </c>
      <c r="S94" s="89"/>
      <c r="T94" s="90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6"/>
      <c r="AZ94" s="19">
        <f>COUNTIF(U94:AY94,"A")</f>
      </c>
      <c r="BA94" s="17">
        <f>COUNTIF(U94:AY94,"F")</f>
      </c>
      <c r="BB94" s="17">
        <f>COUNTIF(U94:AY94,"E")</f>
      </c>
    </row>
    <row r="95" spans="1:54" ht="15.75" customHeight="1" x14ac:dyDescent="0.2">
      <c r="A95" s="84"/>
      <c r="B95" s="85"/>
      <c r="C95" s="85"/>
      <c r="D95" s="85"/>
      <c r="E95" s="86"/>
      <c r="F95" s="16">
        <f>IF(E95="","",DATEDIF(E95,$I$7,"Y"))</f>
      </c>
      <c r="G95" s="85"/>
      <c r="H95" s="85"/>
      <c r="I95" s="87"/>
      <c r="J95" s="85"/>
      <c r="K95" s="85"/>
      <c r="L95" s="2"/>
      <c r="M95" s="2"/>
      <c r="N95" s="1"/>
      <c r="O95" s="1"/>
      <c r="P95" s="85"/>
      <c r="Q95" s="88"/>
      <c r="R95" s="3">
        <f>IFERROR(VLOOKUP(TablaEnero[[#This Row],[BARRIO]],SECTOR!$A:$B,2,0),"")</f>
      </c>
      <c r="S95" s="89"/>
      <c r="T95" s="90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6"/>
      <c r="AZ95" s="19">
        <f>COUNTIF(U95:AY95,"A")</f>
      </c>
      <c r="BA95" s="17">
        <f>COUNTIF(U95:AY95,"F")</f>
      </c>
      <c r="BB95" s="17">
        <f>COUNTIF(U95:AY95,"E")</f>
      </c>
    </row>
    <row r="96" spans="1:54" ht="15.75" customHeight="1" x14ac:dyDescent="0.2">
      <c r="A96" s="84"/>
      <c r="B96" s="85"/>
      <c r="C96" s="85"/>
      <c r="D96" s="85"/>
      <c r="E96" s="86"/>
      <c r="F96" s="16">
        <f>IF(E96="","",DATEDIF(E96,$I$7,"Y"))</f>
      </c>
      <c r="G96" s="85"/>
      <c r="H96" s="85"/>
      <c r="I96" s="87"/>
      <c r="J96" s="85"/>
      <c r="K96" s="85"/>
      <c r="L96" s="2"/>
      <c r="M96" s="2"/>
      <c r="N96" s="1"/>
      <c r="O96" s="1"/>
      <c r="P96" s="85"/>
      <c r="Q96" s="88"/>
      <c r="R96" s="3">
        <f>IFERROR(VLOOKUP(TablaEnero[[#This Row],[BARRIO]],SECTOR!$A:$B,2,0),"")</f>
      </c>
      <c r="S96" s="89"/>
      <c r="T96" s="90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7"/>
      <c r="AZ96" s="30">
        <f>COUNTIF(U96:AY96,"A")</f>
      </c>
      <c r="BA96" s="17">
        <f>COUNTIF(U96:AY96,"F")</f>
      </c>
      <c r="BB96" s="17">
        <f>COUNTIF(U96:AY96,"E")</f>
      </c>
    </row>
    <row r="97" spans="1:54" ht="15.75" customHeight="1" x14ac:dyDescent="0.2">
      <c r="A97" s="84"/>
      <c r="B97" s="85"/>
      <c r="C97" s="85"/>
      <c r="D97" s="85"/>
      <c r="E97" s="86"/>
      <c r="F97" s="16">
        <f>IF(E97="","",DATEDIF(E97,$I$7,"Y"))</f>
      </c>
      <c r="G97" s="85"/>
      <c r="H97" s="85"/>
      <c r="I97" s="87"/>
      <c r="J97" s="85"/>
      <c r="K97" s="85"/>
      <c r="L97" s="2"/>
      <c r="M97" s="2"/>
      <c r="N97" s="1"/>
      <c r="O97" s="1"/>
      <c r="P97" s="85"/>
      <c r="Q97" s="88"/>
      <c r="R97" s="3">
        <f>IFERROR(VLOOKUP(TablaEnero[[#This Row],[BARRIO]],SECTOR!$A:$B,2,0),"")</f>
      </c>
      <c r="S97" s="89"/>
      <c r="T97" s="90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6"/>
      <c r="AZ97" s="30">
        <f>COUNTIF(U97:AY97,"A")</f>
      </c>
      <c r="BA97" s="17">
        <f>COUNTIF(U97:AY97,"F")</f>
      </c>
      <c r="BB97" s="17">
        <f>COUNTIF(U97:AY97,"E")</f>
      </c>
    </row>
    <row r="98" spans="1:54" ht="15.75" customHeight="1" x14ac:dyDescent="0.2">
      <c r="A98" s="84"/>
      <c r="B98" s="85"/>
      <c r="C98" s="85"/>
      <c r="D98" s="85"/>
      <c r="E98" s="86"/>
      <c r="F98" s="16">
        <f>IF(E98="","",DATEDIF(E98,$I$7,"Y"))</f>
      </c>
      <c r="G98" s="85"/>
      <c r="H98" s="85"/>
      <c r="I98" s="87"/>
      <c r="J98" s="85"/>
      <c r="K98" s="85"/>
      <c r="L98" s="2"/>
      <c r="M98" s="2"/>
      <c r="N98" s="1"/>
      <c r="O98" s="1"/>
      <c r="P98" s="85"/>
      <c r="Q98" s="88"/>
      <c r="R98" s="3">
        <f>IFERROR(VLOOKUP(TablaEnero[[#This Row],[BARRIO]],SECTOR!$A:$B,2,0),"")</f>
      </c>
      <c r="S98" s="89"/>
      <c r="T98" s="90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6"/>
      <c r="AZ98" s="30">
        <f>COUNTIF(U98:AY98,"A")</f>
      </c>
      <c r="BA98" s="17">
        <f>COUNTIF(U98:AY98,"F")</f>
      </c>
      <c r="BB98" s="17">
        <f>COUNTIF(U98:AY98,"E")</f>
      </c>
    </row>
    <row r="99" spans="1:54" ht="15.75" customHeight="1" x14ac:dyDescent="0.2">
      <c r="A99" s="84"/>
      <c r="B99" s="85"/>
      <c r="C99" s="85"/>
      <c r="D99" s="85"/>
      <c r="E99" s="86"/>
      <c r="F99" s="16">
        <f>IF(E99="","",DATEDIF(E99,$I$7,"Y"))</f>
      </c>
      <c r="G99" s="85"/>
      <c r="H99" s="85"/>
      <c r="I99" s="87"/>
      <c r="J99" s="85"/>
      <c r="K99" s="85"/>
      <c r="L99" s="2"/>
      <c r="M99" s="2"/>
      <c r="N99" s="1"/>
      <c r="O99" s="1"/>
      <c r="P99" s="85"/>
      <c r="Q99" s="88"/>
      <c r="R99" s="3">
        <f>IFERROR(VLOOKUP(TablaEnero[[#This Row],[BARRIO]],SECTOR!$A:$B,2,0),"")</f>
      </c>
      <c r="S99" s="89"/>
      <c r="T99" s="90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6"/>
      <c r="AZ99" s="30">
        <f>COUNTIF(U99:AY99,"A")</f>
      </c>
      <c r="BA99" s="17">
        <f>COUNTIF(U99:AY99,"F")</f>
      </c>
      <c r="BB99" s="17">
        <f>COUNTIF(U99:AY99,"E")</f>
      </c>
    </row>
    <row r="100" spans="1:54" ht="15.75" customHeight="1" x14ac:dyDescent="0.2">
      <c r="A100" s="84"/>
      <c r="B100" s="85"/>
      <c r="C100" s="85"/>
      <c r="D100" s="85"/>
      <c r="E100" s="86"/>
      <c r="F100" s="16">
        <f>IF(E100="","",DATEDIF(E100,$I$7,"Y"))</f>
      </c>
      <c r="G100" s="85"/>
      <c r="H100" s="85"/>
      <c r="I100" s="87"/>
      <c r="J100" s="85"/>
      <c r="K100" s="85"/>
      <c r="L100" s="2"/>
      <c r="M100" s="2"/>
      <c r="N100" s="1"/>
      <c r="O100" s="1"/>
      <c r="P100" s="85"/>
      <c r="Q100" s="88"/>
      <c r="R100" s="3">
        <f>IFERROR(VLOOKUP(TablaEnero[[#This Row],[BARRIO]],SECTOR!$A:$B,2,0),"")</f>
      </c>
      <c r="S100" s="89"/>
      <c r="T100" s="90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6"/>
      <c r="AZ100" s="30">
        <f>COUNTIF(U100:AY100,"A")</f>
      </c>
      <c r="BA100" s="17">
        <f>COUNTIF(U100:AY100,"F")</f>
      </c>
      <c r="BB100" s="17">
        <f>COUNTIF(U100:AY100,"E")</f>
      </c>
    </row>
    <row r="101" spans="1:54" ht="15.75" customHeight="1" x14ac:dyDescent="0.2">
      <c r="A101" s="84"/>
      <c r="B101" s="85"/>
      <c r="C101" s="85"/>
      <c r="D101" s="85"/>
      <c r="E101" s="86"/>
      <c r="F101" s="16">
        <f>IF(E101="","",DATEDIF(E101,$I$7,"Y"))</f>
      </c>
      <c r="G101" s="85"/>
      <c r="H101" s="85"/>
      <c r="I101" s="87"/>
      <c r="J101" s="85"/>
      <c r="K101" s="85"/>
      <c r="L101" s="2"/>
      <c r="M101" s="2"/>
      <c r="N101" s="1"/>
      <c r="O101" s="1"/>
      <c r="P101" s="85"/>
      <c r="Q101" s="88"/>
      <c r="R101" s="3">
        <f>IFERROR(VLOOKUP(TablaEnero[[#This Row],[BARRIO]],SECTOR!$A:$B,2,0),"")</f>
      </c>
      <c r="S101" s="89"/>
      <c r="T101" s="90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6"/>
      <c r="AZ101" s="30">
        <f>COUNTIF(U101:AY101,"A")</f>
      </c>
      <c r="BA101" s="17">
        <f>COUNTIF(U101:AY101,"F")</f>
      </c>
      <c r="BB101" s="17">
        <f>COUNTIF(U101:AY101,"E")</f>
      </c>
    </row>
    <row r="102" spans="1:54" ht="15.75" customHeight="1" x14ac:dyDescent="0.2">
      <c r="A102" s="84"/>
      <c r="B102" s="85"/>
      <c r="C102" s="85"/>
      <c r="D102" s="85"/>
      <c r="E102" s="86"/>
      <c r="F102" s="16">
        <f>IF(E102="","",DATEDIF(E102,$I$7,"Y"))</f>
      </c>
      <c r="G102" s="85"/>
      <c r="H102" s="85"/>
      <c r="I102" s="87"/>
      <c r="J102" s="85"/>
      <c r="K102" s="85"/>
      <c r="L102" s="2"/>
      <c r="M102" s="2"/>
      <c r="N102" s="1"/>
      <c r="O102" s="1"/>
      <c r="P102" s="85"/>
      <c r="Q102" s="88"/>
      <c r="R102" s="3">
        <f>IFERROR(VLOOKUP(TablaEnero[[#This Row],[BARRIO]],SECTOR!$A:$B,2,0),"")</f>
      </c>
      <c r="S102" s="89"/>
      <c r="T102" s="90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6"/>
      <c r="AZ102" s="30">
        <f>COUNTIF(U102:AY102,"A")</f>
      </c>
      <c r="BA102" s="17">
        <f>COUNTIF(U102:AY102,"F")</f>
      </c>
      <c r="BB102" s="17">
        <f>COUNTIF(U102:AY102,"E")</f>
      </c>
    </row>
    <row r="103" spans="1:54" ht="15.75" customHeight="1" x14ac:dyDescent="0.2">
      <c r="A103" s="84"/>
      <c r="B103" s="85"/>
      <c r="C103" s="85"/>
      <c r="D103" s="85"/>
      <c r="E103" s="86"/>
      <c r="F103" s="16">
        <f>IF(E103="","",DATEDIF(E103,$I$7,"Y"))</f>
      </c>
      <c r="G103" s="85"/>
      <c r="H103" s="85"/>
      <c r="I103" s="87"/>
      <c r="J103" s="85"/>
      <c r="K103" s="85"/>
      <c r="L103" s="2"/>
      <c r="M103" s="2"/>
      <c r="N103" s="1"/>
      <c r="O103" s="1"/>
      <c r="P103" s="85"/>
      <c r="Q103" s="88"/>
      <c r="R103" s="3">
        <f>IFERROR(VLOOKUP(TablaEnero[[#This Row],[BARRIO]],SECTOR!$A:$B,2,0),"")</f>
      </c>
      <c r="S103" s="89"/>
      <c r="T103" s="90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6"/>
      <c r="AZ103" s="30">
        <f>COUNTIF(U103:AY103,"A")</f>
      </c>
      <c r="BA103" s="17">
        <f>COUNTIF(U103:AY103,"F")</f>
      </c>
      <c r="BB103" s="17">
        <f>COUNTIF(U103:AY103,"E")</f>
      </c>
    </row>
    <row r="104" spans="1:54" ht="15.75" customHeight="1" x14ac:dyDescent="0.2">
      <c r="A104" s="84"/>
      <c r="B104" s="85"/>
      <c r="C104" s="85"/>
      <c r="D104" s="85"/>
      <c r="E104" s="86"/>
      <c r="F104" s="16">
        <f>IF(E104="","",DATEDIF(E104,$I$7,"Y"))</f>
      </c>
      <c r="G104" s="85"/>
      <c r="H104" s="85"/>
      <c r="I104" s="87"/>
      <c r="J104" s="85"/>
      <c r="K104" s="85"/>
      <c r="L104" s="2"/>
      <c r="M104" s="2"/>
      <c r="N104" s="1"/>
      <c r="O104" s="1"/>
      <c r="P104" s="85"/>
      <c r="Q104" s="88"/>
      <c r="R104" s="3">
        <f>IFERROR(VLOOKUP(TablaEnero[[#This Row],[BARRIO]],SECTOR!$A:$B,2,0),"")</f>
      </c>
      <c r="S104" s="89"/>
      <c r="T104" s="90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6"/>
      <c r="AZ104" s="30">
        <f>COUNTIF(U104:AY104,"A")</f>
      </c>
      <c r="BA104" s="17">
        <f>COUNTIF(U104:AY104,"F")</f>
      </c>
      <c r="BB104" s="17">
        <f>COUNTIF(U104:AY104,"E")</f>
      </c>
    </row>
    <row r="105" spans="1:54" ht="15.75" customHeight="1" x14ac:dyDescent="0.2">
      <c r="A105" s="84"/>
      <c r="B105" s="85"/>
      <c r="C105" s="85"/>
      <c r="D105" s="85"/>
      <c r="E105" s="86"/>
      <c r="F105" s="16">
        <f>IF(E105="","",DATEDIF(E105,$I$7,"Y"))</f>
      </c>
      <c r="G105" s="85"/>
      <c r="H105" s="85"/>
      <c r="I105" s="87"/>
      <c r="J105" s="85"/>
      <c r="K105" s="85"/>
      <c r="L105" s="2"/>
      <c r="M105" s="2"/>
      <c r="N105" s="1"/>
      <c r="O105" s="1"/>
      <c r="P105" s="85"/>
      <c r="Q105" s="88"/>
      <c r="R105" s="3">
        <f>IFERROR(VLOOKUP(TablaEnero[[#This Row],[BARRIO]],SECTOR!$A:$B,2,0),"")</f>
      </c>
      <c r="S105" s="89"/>
      <c r="T105" s="90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6"/>
      <c r="AZ105" s="30">
        <f>COUNTIF(U105:AY105,"A")</f>
      </c>
      <c r="BA105" s="17">
        <f>COUNTIF(U105:AY105,"F")</f>
      </c>
      <c r="BB105" s="17">
        <f>COUNTIF(U105:AY105,"E")</f>
      </c>
    </row>
    <row r="106" spans="1:54" ht="15.75" customHeight="1" x14ac:dyDescent="0.2">
      <c r="A106" s="84"/>
      <c r="B106" s="85"/>
      <c r="C106" s="85"/>
      <c r="D106" s="85"/>
      <c r="E106" s="86"/>
      <c r="F106" s="16">
        <f>IF(E106="","",DATEDIF(E106,$I$7,"Y"))</f>
      </c>
      <c r="G106" s="85"/>
      <c r="H106" s="85"/>
      <c r="I106" s="87"/>
      <c r="J106" s="85"/>
      <c r="K106" s="85"/>
      <c r="L106" s="2"/>
      <c r="M106" s="2"/>
      <c r="N106" s="1"/>
      <c r="O106" s="1"/>
      <c r="P106" s="85"/>
      <c r="Q106" s="88"/>
      <c r="R106" s="3">
        <f>IFERROR(VLOOKUP(TablaEnero[[#This Row],[BARRIO]],SECTOR!$A:$B,2,0),"")</f>
      </c>
      <c r="S106" s="89"/>
      <c r="T106" s="90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6"/>
      <c r="AZ106" s="30">
        <f>COUNTIF(U106:AY106,"A")</f>
      </c>
      <c r="BA106" s="17">
        <f>COUNTIF(U106:AY106,"F")</f>
      </c>
      <c r="BB106" s="17">
        <f>COUNTIF(U106:AY106,"E")</f>
      </c>
    </row>
    <row r="107" spans="1:54" ht="15.75" customHeight="1" x14ac:dyDescent="0.2">
      <c r="A107" s="84"/>
      <c r="B107" s="85"/>
      <c r="C107" s="85"/>
      <c r="D107" s="85"/>
      <c r="E107" s="86"/>
      <c r="F107" s="16">
        <f>IF(E107="","",DATEDIF(E107,$I$7,"Y"))</f>
      </c>
      <c r="G107" s="85"/>
      <c r="H107" s="85"/>
      <c r="I107" s="87"/>
      <c r="J107" s="85"/>
      <c r="K107" s="85"/>
      <c r="L107" s="2"/>
      <c r="M107" s="2"/>
      <c r="N107" s="1"/>
      <c r="O107" s="1"/>
      <c r="P107" s="85"/>
      <c r="Q107" s="88"/>
      <c r="R107" s="3">
        <f>IFERROR(VLOOKUP(TablaEnero[[#This Row],[BARRIO]],SECTOR!$A:$B,2,0),"")</f>
      </c>
      <c r="S107" s="89"/>
      <c r="T107" s="90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6"/>
      <c r="AZ107" s="30">
        <f>COUNTIF(U107:AY107,"A")</f>
      </c>
      <c r="BA107" s="17">
        <f>COUNTIF(U107:AY107,"F")</f>
      </c>
      <c r="BB107" s="17">
        <f>COUNTIF(U107:AY107,"E")</f>
      </c>
    </row>
    <row r="108" spans="1:54" ht="15.75" customHeight="1" x14ac:dyDescent="0.2">
      <c r="A108" s="84"/>
      <c r="B108" s="85"/>
      <c r="C108" s="85"/>
      <c r="D108" s="85"/>
      <c r="E108" s="86"/>
      <c r="F108" s="16">
        <f>IF(E108="","",DATEDIF(E108,$I$7,"Y"))</f>
      </c>
      <c r="G108" s="85"/>
      <c r="H108" s="85"/>
      <c r="I108" s="87"/>
      <c r="J108" s="85"/>
      <c r="K108" s="85"/>
      <c r="L108" s="2"/>
      <c r="M108" s="2"/>
      <c r="N108" s="1"/>
      <c r="O108" s="1"/>
      <c r="P108" s="85"/>
      <c r="Q108" s="88"/>
      <c r="R108" s="3">
        <f>IFERROR(VLOOKUP(TablaEnero[[#This Row],[BARRIO]],SECTOR!$A:$B,2,0),"")</f>
      </c>
      <c r="S108" s="89"/>
      <c r="T108" s="90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6"/>
      <c r="AZ108" s="30">
        <f>COUNTIF(U108:AY108,"A")</f>
      </c>
      <c r="BA108" s="17">
        <f>COUNTIF(U108:AY108,"F")</f>
      </c>
      <c r="BB108" s="17">
        <f>COUNTIF(U108:AY108,"E")</f>
      </c>
    </row>
    <row r="109" spans="1:54" ht="15.75" customHeight="1" x14ac:dyDescent="0.2">
      <c r="A109" s="84"/>
      <c r="B109" s="85"/>
      <c r="C109" s="85"/>
      <c r="D109" s="85"/>
      <c r="E109" s="86"/>
      <c r="F109" s="16">
        <f>IF(E109="","",DATEDIF(E109,$I$7,"Y"))</f>
      </c>
      <c r="G109" s="85"/>
      <c r="H109" s="85"/>
      <c r="I109" s="87"/>
      <c r="J109" s="85"/>
      <c r="K109" s="85"/>
      <c r="L109" s="2"/>
      <c r="M109" s="2"/>
      <c r="N109" s="1"/>
      <c r="O109" s="1"/>
      <c r="P109" s="85"/>
      <c r="Q109" s="88"/>
      <c r="R109" s="3">
        <f>IFERROR(VLOOKUP(TablaEnero[[#This Row],[BARRIO]],SECTOR!$A:$B,2,0),"")</f>
      </c>
      <c r="S109" s="89"/>
      <c r="T109" s="90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6"/>
      <c r="AZ109" s="30">
        <f>COUNTIF(U109:AY109,"A")</f>
      </c>
      <c r="BA109" s="17">
        <f>COUNTIF(U109:AY109,"F")</f>
      </c>
      <c r="BB109" s="17">
        <f>COUNTIF(U109:AY109,"E")</f>
      </c>
    </row>
    <row r="110" spans="1:54" ht="15.75" customHeight="1" x14ac:dyDescent="0.2">
      <c r="A110" s="84"/>
      <c r="B110" s="85"/>
      <c r="C110" s="85"/>
      <c r="D110" s="85"/>
      <c r="E110" s="86"/>
      <c r="F110" s="16">
        <f>IF(E110="","",DATEDIF(E110,$I$7,"Y"))</f>
      </c>
      <c r="G110" s="85"/>
      <c r="H110" s="85"/>
      <c r="I110" s="87"/>
      <c r="J110" s="85"/>
      <c r="K110" s="85"/>
      <c r="L110" s="2"/>
      <c r="M110" s="2"/>
      <c r="N110" s="1"/>
      <c r="O110" s="1"/>
      <c r="P110" s="85"/>
      <c r="Q110" s="88"/>
      <c r="R110" s="3">
        <f>IFERROR(VLOOKUP(TablaEnero[[#This Row],[BARRIO]],SECTOR!$A:$B,2,0),"")</f>
      </c>
      <c r="S110" s="89"/>
      <c r="T110" s="90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6"/>
      <c r="AZ110" s="30">
        <f>COUNTIF(U110:AY110,"A")</f>
      </c>
      <c r="BA110" s="17">
        <f>COUNTIF(U110:AY110,"F")</f>
      </c>
      <c r="BB110" s="17">
        <f>COUNTIF(U110:AY110,"E")</f>
      </c>
    </row>
    <row r="111" spans="1:54" ht="15.75" customHeight="1" x14ac:dyDescent="0.2">
      <c r="A111" s="84"/>
      <c r="B111" s="85"/>
      <c r="C111" s="85"/>
      <c r="D111" s="85"/>
      <c r="E111" s="86"/>
      <c r="F111" s="16">
        <f>IF(E111="","",DATEDIF(E111,$I$7,"Y"))</f>
      </c>
      <c r="G111" s="85"/>
      <c r="H111" s="85"/>
      <c r="I111" s="87"/>
      <c r="J111" s="85"/>
      <c r="K111" s="85"/>
      <c r="L111" s="2"/>
      <c r="M111" s="2"/>
      <c r="N111" s="1"/>
      <c r="O111" s="1"/>
      <c r="P111" s="85"/>
      <c r="Q111" s="88"/>
      <c r="R111" s="3">
        <f>IFERROR(VLOOKUP(TablaEnero[[#This Row],[BARRIO]],SECTOR!$A:$B,2,0),"")</f>
      </c>
      <c r="S111" s="89"/>
      <c r="T111" s="90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6"/>
      <c r="AZ111" s="30">
        <f>COUNTIF(U111:AY111,"A")</f>
      </c>
      <c r="BA111" s="17">
        <f>COUNTIF(U111:AY111,"F")</f>
      </c>
      <c r="BB111" s="17">
        <f>COUNTIF(U111:AY111,"E")</f>
      </c>
    </row>
    <row r="112" spans="1:54" ht="15.75" customHeight="1" x14ac:dyDescent="0.2">
      <c r="A112" s="84"/>
      <c r="B112" s="85"/>
      <c r="C112" s="85"/>
      <c r="D112" s="85"/>
      <c r="E112" s="86"/>
      <c r="F112" s="16">
        <f>IF(E112="","",DATEDIF(E112,$I$7,"Y"))</f>
      </c>
      <c r="G112" s="85"/>
      <c r="H112" s="85"/>
      <c r="I112" s="87"/>
      <c r="J112" s="85"/>
      <c r="K112" s="85"/>
      <c r="L112" s="2"/>
      <c r="M112" s="2"/>
      <c r="N112" s="1"/>
      <c r="O112" s="1"/>
      <c r="P112" s="85"/>
      <c r="Q112" s="88"/>
      <c r="R112" s="3">
        <f>IFERROR(VLOOKUP(TablaEnero[[#This Row],[BARRIO]],SECTOR!$A:$B,2,0),"")</f>
      </c>
      <c r="S112" s="89"/>
      <c r="T112" s="90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6"/>
      <c r="AZ112" s="30">
        <f>COUNTIF(U112:AY112,"A")</f>
      </c>
      <c r="BA112" s="17">
        <f>COUNTIF(U112:AY112,"F")</f>
      </c>
      <c r="BB112" s="17">
        <f>COUNTIF(U112:AY112,"E")</f>
      </c>
    </row>
    <row r="113" spans="1:54" ht="15.75" customHeight="1" x14ac:dyDescent="0.2">
      <c r="A113" s="84"/>
      <c r="B113" s="85"/>
      <c r="C113" s="85"/>
      <c r="D113" s="85"/>
      <c r="E113" s="86"/>
      <c r="F113" s="16">
        <f>IF(E113="","",DATEDIF(E113,$I$7,"Y"))</f>
      </c>
      <c r="G113" s="85"/>
      <c r="H113" s="85"/>
      <c r="I113" s="87"/>
      <c r="J113" s="85"/>
      <c r="K113" s="85"/>
      <c r="L113" s="2"/>
      <c r="M113" s="2"/>
      <c r="N113" s="1"/>
      <c r="O113" s="1"/>
      <c r="P113" s="85"/>
      <c r="Q113" s="88"/>
      <c r="R113" s="3">
        <f>IFERROR(VLOOKUP(TablaEnero[[#This Row],[BARRIO]],SECTOR!$A:$B,2,0),"")</f>
      </c>
      <c r="S113" s="89"/>
      <c r="T113" s="90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6"/>
      <c r="AZ113" s="30">
        <f>COUNTIF(U113:AY113,"A")</f>
      </c>
      <c r="BA113" s="17">
        <f>COUNTIF(U113:AY113,"F")</f>
      </c>
      <c r="BB113" s="17">
        <f>COUNTIF(U113:AY113,"E")</f>
      </c>
    </row>
    <row r="114" spans="1:54" ht="15.75" customHeight="1" x14ac:dyDescent="0.2">
      <c r="A114" s="84"/>
      <c r="B114" s="85"/>
      <c r="C114" s="85"/>
      <c r="D114" s="85"/>
      <c r="E114" s="86"/>
      <c r="F114" s="16">
        <f>IF(E114="","",DATEDIF(E114,$I$7,"Y"))</f>
      </c>
      <c r="G114" s="85"/>
      <c r="H114" s="85"/>
      <c r="I114" s="87"/>
      <c r="J114" s="85"/>
      <c r="K114" s="85"/>
      <c r="L114" s="2"/>
      <c r="M114" s="2"/>
      <c r="N114" s="1"/>
      <c r="O114" s="1"/>
      <c r="P114" s="85"/>
      <c r="Q114" s="88"/>
      <c r="R114" s="3">
        <f>IFERROR(VLOOKUP(TablaEnero[[#This Row],[BARRIO]],SECTOR!$A:$B,2,0),"")</f>
      </c>
      <c r="S114" s="89"/>
      <c r="T114" s="90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6"/>
      <c r="AZ114" s="30">
        <f>COUNTIF(U114:AY114,"A")</f>
      </c>
      <c r="BA114" s="17">
        <f>COUNTIF(U114:AY114,"F")</f>
      </c>
      <c r="BB114" s="17">
        <f>COUNTIF(U114:AY114,"E")</f>
      </c>
    </row>
    <row r="115" spans="1:54" ht="15.75" customHeight="1" x14ac:dyDescent="0.2">
      <c r="A115" s="84"/>
      <c r="B115" s="85"/>
      <c r="C115" s="85"/>
      <c r="D115" s="85"/>
      <c r="E115" s="86"/>
      <c r="F115" s="16">
        <f>IF(E115="","",DATEDIF(E115,$I$7,"Y"))</f>
      </c>
      <c r="G115" s="85"/>
      <c r="H115" s="85"/>
      <c r="I115" s="87"/>
      <c r="J115" s="85"/>
      <c r="K115" s="85"/>
      <c r="L115" s="2"/>
      <c r="M115" s="2"/>
      <c r="N115" s="1"/>
      <c r="O115" s="1"/>
      <c r="P115" s="85"/>
      <c r="Q115" s="88"/>
      <c r="R115" s="3">
        <f>IFERROR(VLOOKUP(TablaEnero[[#This Row],[BARRIO]],SECTOR!$A:$B,2,0),"")</f>
      </c>
      <c r="S115" s="89"/>
      <c r="T115" s="90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6"/>
      <c r="AZ115" s="30">
        <f>COUNTIF(U115:AY115,"A")</f>
      </c>
      <c r="BA115" s="17">
        <f>COUNTIF(U115:AY115,"F")</f>
      </c>
      <c r="BB115" s="17">
        <f>COUNTIF(U115:AY115,"E")</f>
      </c>
    </row>
    <row r="116" spans="1:54" ht="15.75" customHeight="1" x14ac:dyDescent="0.2">
      <c r="A116" s="84"/>
      <c r="B116" s="85"/>
      <c r="C116" s="85"/>
      <c r="D116" s="85"/>
      <c r="E116" s="86"/>
      <c r="F116" s="16">
        <f>IF(E116="","",DATEDIF(E116,$I$7,"Y"))</f>
      </c>
      <c r="G116" s="85"/>
      <c r="H116" s="85"/>
      <c r="I116" s="87"/>
      <c r="J116" s="85"/>
      <c r="K116" s="85"/>
      <c r="L116" s="2"/>
      <c r="M116" s="2"/>
      <c r="N116" s="1"/>
      <c r="O116" s="1"/>
      <c r="P116" s="85"/>
      <c r="Q116" s="88"/>
      <c r="R116" s="3">
        <f>IFERROR(VLOOKUP(TablaEnero[[#This Row],[BARRIO]],SECTOR!$A:$B,2,0),"")</f>
      </c>
      <c r="S116" s="89"/>
      <c r="T116" s="90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6"/>
      <c r="AZ116" s="30">
        <f>COUNTIF(U116:AY116,"A")</f>
      </c>
      <c r="BA116" s="17">
        <f>COUNTIF(U116:AY116,"F")</f>
      </c>
      <c r="BB116" s="17">
        <f>COUNTIF(U116:AY116,"E")</f>
      </c>
    </row>
    <row r="117" spans="1:54" ht="15.75" customHeight="1" x14ac:dyDescent="0.2">
      <c r="A117" s="84"/>
      <c r="B117" s="85"/>
      <c r="C117" s="85"/>
      <c r="D117" s="85"/>
      <c r="E117" s="86"/>
      <c r="F117" s="16">
        <f>IF(E117="","",DATEDIF(E117,$I$7,"Y"))</f>
      </c>
      <c r="G117" s="85"/>
      <c r="H117" s="85"/>
      <c r="I117" s="87"/>
      <c r="J117" s="85"/>
      <c r="K117" s="85"/>
      <c r="L117" s="2"/>
      <c r="M117" s="2"/>
      <c r="N117" s="1"/>
      <c r="O117" s="1"/>
      <c r="P117" s="85"/>
      <c r="Q117" s="88"/>
      <c r="R117" s="3">
        <f>IFERROR(VLOOKUP(TablaEnero[[#This Row],[BARRIO]],SECTOR!$A:$B,2,0),"")</f>
      </c>
      <c r="S117" s="89"/>
      <c r="T117" s="90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6"/>
      <c r="AZ117" s="30">
        <f>COUNTIF(U117:AY117,"A")</f>
      </c>
      <c r="BA117" s="17">
        <f>COUNTIF(U117:AY117,"F")</f>
      </c>
      <c r="BB117" s="17">
        <f>COUNTIF(U117:AY117,"E")</f>
      </c>
    </row>
    <row r="118" spans="1:54" ht="15.75" customHeight="1" x14ac:dyDescent="0.2">
      <c r="A118" s="84"/>
      <c r="B118" s="85"/>
      <c r="C118" s="85"/>
      <c r="D118" s="85"/>
      <c r="E118" s="86"/>
      <c r="F118" s="16">
        <f>IF(E118="","",DATEDIF(E118,$I$7,"Y"))</f>
      </c>
      <c r="G118" s="85"/>
      <c r="H118" s="85"/>
      <c r="I118" s="87"/>
      <c r="J118" s="85"/>
      <c r="K118" s="85"/>
      <c r="L118" s="2"/>
      <c r="M118" s="2"/>
      <c r="N118" s="1"/>
      <c r="O118" s="1"/>
      <c r="P118" s="85"/>
      <c r="Q118" s="88"/>
      <c r="R118" s="3">
        <f>IFERROR(VLOOKUP(TablaEnero[[#This Row],[BARRIO]],SECTOR!$A:$B,2,0),"")</f>
      </c>
      <c r="S118" s="89"/>
      <c r="T118" s="90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6"/>
      <c r="AZ118" s="30">
        <f>COUNTIF(U118:AY118,"A")</f>
      </c>
      <c r="BA118" s="17">
        <f>COUNTIF(U118:AY118,"F")</f>
      </c>
      <c r="BB118" s="17">
        <f>COUNTIF(U118:AY118,"E")</f>
      </c>
    </row>
    <row r="119" spans="1:54" ht="15.75" customHeight="1" x14ac:dyDescent="0.2">
      <c r="A119" s="84"/>
      <c r="B119" s="85"/>
      <c r="C119" s="85"/>
      <c r="D119" s="85"/>
      <c r="E119" s="86"/>
      <c r="F119" s="16">
        <f>IF(E119="","",DATEDIF(E119,$I$7,"Y"))</f>
      </c>
      <c r="G119" s="85"/>
      <c r="H119" s="85"/>
      <c r="I119" s="87"/>
      <c r="J119" s="85"/>
      <c r="K119" s="85"/>
      <c r="L119" s="2"/>
      <c r="M119" s="2"/>
      <c r="N119" s="1"/>
      <c r="O119" s="1"/>
      <c r="P119" s="85"/>
      <c r="Q119" s="88"/>
      <c r="R119" s="3">
        <f>IFERROR(VLOOKUP(TablaEnero[[#This Row],[BARRIO]],SECTOR!$A:$B,2,0),"")</f>
      </c>
      <c r="S119" s="89"/>
      <c r="T119" s="90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6"/>
      <c r="AZ119" s="30">
        <f>COUNTIF(U119:AY119,"A")</f>
      </c>
      <c r="BA119" s="17">
        <f>COUNTIF(U119:AY119,"F")</f>
      </c>
      <c r="BB119" s="17">
        <f>COUNTIF(U119:AY119,"E")</f>
      </c>
    </row>
    <row r="120" spans="1:54" ht="15.75" customHeight="1" x14ac:dyDescent="0.2">
      <c r="A120" s="84"/>
      <c r="B120" s="85"/>
      <c r="C120" s="85"/>
      <c r="D120" s="85"/>
      <c r="E120" s="86"/>
      <c r="F120" s="16">
        <f>IF(E120="","",DATEDIF(E120,$I$7,"Y"))</f>
      </c>
      <c r="G120" s="85"/>
      <c r="H120" s="85"/>
      <c r="I120" s="87"/>
      <c r="J120" s="85"/>
      <c r="K120" s="85"/>
      <c r="L120" s="2"/>
      <c r="M120" s="2"/>
      <c r="N120" s="1"/>
      <c r="O120" s="1"/>
      <c r="P120" s="85"/>
      <c r="Q120" s="88"/>
      <c r="R120" s="3">
        <f>IFERROR(VLOOKUP(TablaEnero[[#This Row],[BARRIO]],SECTOR!$A:$B,2,0),"")</f>
      </c>
      <c r="S120" s="89"/>
      <c r="T120" s="90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6"/>
      <c r="AZ120" s="30">
        <f>COUNTIF(U120:AY120,"A")</f>
      </c>
      <c r="BA120" s="17">
        <f>COUNTIF(U120:AY120,"F")</f>
      </c>
      <c r="BB120" s="17">
        <f>COUNTIF(U120:AY120,"E")</f>
      </c>
    </row>
    <row r="121" spans="1:54" ht="15.75" customHeight="1" x14ac:dyDescent="0.2">
      <c r="A121" s="84"/>
      <c r="B121" s="85"/>
      <c r="C121" s="85"/>
      <c r="D121" s="85"/>
      <c r="E121" s="86"/>
      <c r="F121" s="16">
        <f>IF(E121="","",DATEDIF(E121,$I$7,"Y"))</f>
      </c>
      <c r="G121" s="85"/>
      <c r="H121" s="85"/>
      <c r="I121" s="87"/>
      <c r="J121" s="85"/>
      <c r="K121" s="85"/>
      <c r="L121" s="2"/>
      <c r="M121" s="2"/>
      <c r="N121" s="1"/>
      <c r="O121" s="1"/>
      <c r="P121" s="85"/>
      <c r="Q121" s="88"/>
      <c r="R121" s="3">
        <f>IFERROR(VLOOKUP(TablaEnero[[#This Row],[BARRIO]],SECTOR!$A:$B,2,0),"")</f>
      </c>
      <c r="S121" s="89"/>
      <c r="T121" s="90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6"/>
      <c r="AZ121" s="30">
        <f>COUNTIF(U121:AY121,"A")</f>
      </c>
      <c r="BA121" s="17">
        <f>COUNTIF(U121:AY121,"F")</f>
      </c>
      <c r="BB121" s="17">
        <f>COUNTIF(U121:AY121,"E")</f>
      </c>
    </row>
    <row r="122" spans="1:54" ht="15.75" customHeight="1" x14ac:dyDescent="0.2">
      <c r="A122" s="84"/>
      <c r="B122" s="85"/>
      <c r="C122" s="85"/>
      <c r="D122" s="85"/>
      <c r="E122" s="86"/>
      <c r="F122" s="16">
        <f>IF(E122="","",DATEDIF(E122,$I$7,"Y"))</f>
      </c>
      <c r="G122" s="85"/>
      <c r="H122" s="85"/>
      <c r="I122" s="87"/>
      <c r="J122" s="85"/>
      <c r="K122" s="85"/>
      <c r="L122" s="2"/>
      <c r="M122" s="2"/>
      <c r="N122" s="1"/>
      <c r="O122" s="1"/>
      <c r="P122" s="85"/>
      <c r="Q122" s="88"/>
      <c r="R122" s="3">
        <f>IFERROR(VLOOKUP(TablaEnero[[#This Row],[BARRIO]],SECTOR!$A:$B,2,0),"")</f>
      </c>
      <c r="S122" s="89"/>
      <c r="T122" s="90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30">
        <f>COUNTIF(U122:AY122,"A")</f>
      </c>
      <c r="BA122" s="17">
        <f>COUNTIF(U122:AY122,"F")</f>
      </c>
      <c r="BB122" s="17">
        <f>COUNTIF(U122:AY122,"E")</f>
      </c>
    </row>
    <row r="123" spans="1:54" x14ac:dyDescent="0.2">
      <c r="A123" s="100"/>
      <c r="B123" s="101"/>
      <c r="C123" s="101"/>
      <c r="D123" s="101"/>
      <c r="E123" s="102"/>
      <c r="F123" s="16">
        <f>IF(E123="","",DATEDIF(E123,$I$7,"Y"))</f>
      </c>
      <c r="G123" s="101"/>
      <c r="H123" s="101"/>
      <c r="I123" s="103"/>
      <c r="J123" s="101"/>
      <c r="K123" s="101"/>
      <c r="L123" s="10"/>
      <c r="M123" s="10"/>
      <c r="N123" s="10"/>
      <c r="O123" s="10"/>
      <c r="P123" s="101"/>
      <c r="Q123" s="88"/>
      <c r="R123" s="3">
        <f>IFERROR(VLOOKUP(TablaEnero[[#This Row],[BARRIO]],SECTOR!$A:$B,2,0),"")</f>
      </c>
      <c r="S123" s="104"/>
      <c r="T123" s="10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7"/>
      <c r="AZ123" s="30">
        <f>COUNTIF(U123:AY123,"A")</f>
      </c>
      <c r="BA123" s="32">
        <f>COUNTIF(U123:AY123,"F")</f>
      </c>
      <c r="BB123" s="118">
        <f>COUNTIF(U123:AY123,"E")</f>
      </c>
    </row>
    <row r="124" spans="1:54" x14ac:dyDescent="0.2">
      <c r="A124" s="100"/>
      <c r="B124" s="101"/>
      <c r="C124" s="101"/>
      <c r="D124" s="101"/>
      <c r="E124" s="102"/>
      <c r="F124" s="16">
        <f>IF(E124="","",DATEDIF(E124,$I$7,"Y"))</f>
      </c>
      <c r="G124" s="101"/>
      <c r="H124" s="101"/>
      <c r="I124" s="103"/>
      <c r="J124" s="101"/>
      <c r="K124" s="101"/>
      <c r="L124" s="10"/>
      <c r="M124" s="10"/>
      <c r="N124" s="10"/>
      <c r="O124" s="10"/>
      <c r="P124" s="101"/>
      <c r="Q124" s="88"/>
      <c r="R124" s="3">
        <f>IFERROR(VLOOKUP(TablaEnero[[#This Row],[BARRIO]],SECTOR!$A:$B,2,0),"")</f>
      </c>
      <c r="S124" s="104"/>
      <c r="T124" s="10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7"/>
      <c r="AZ124" s="30">
        <f>COUNTIF(U124:AY124,"A")</f>
      </c>
      <c r="BA124" s="32">
        <f>COUNTIF(U124:AY124,"F")</f>
      </c>
      <c r="BB124" s="118">
        <f>COUNTIF(U124:AY124,"E")</f>
      </c>
    </row>
    <row r="125" spans="1:54" x14ac:dyDescent="0.2">
      <c r="A125" s="100"/>
      <c r="B125" s="106"/>
      <c r="C125" s="101"/>
      <c r="D125" s="101"/>
      <c r="E125" s="102"/>
      <c r="F125" s="16">
        <f>IF(E125="","",DATEDIF(E125,$I$7,"Y"))</f>
      </c>
      <c r="G125" s="101"/>
      <c r="H125" s="101"/>
      <c r="I125" s="103"/>
      <c r="J125" s="101"/>
      <c r="K125" s="101"/>
      <c r="L125" s="10"/>
      <c r="M125" s="10"/>
      <c r="N125" s="10"/>
      <c r="O125" s="10"/>
      <c r="P125" s="101"/>
      <c r="Q125" s="88"/>
      <c r="R125" s="3">
        <f>IFERROR(VLOOKUP(TablaEnero[[#This Row],[BARRIO]],SECTOR!$A:$B,2,0),"")</f>
      </c>
      <c r="S125" s="104"/>
      <c r="T125" s="10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7"/>
      <c r="AZ125" s="30">
        <f>COUNTIF(U125:AY125,"A")</f>
      </c>
      <c r="BA125" s="32">
        <f>COUNTIF(U125:AY125,"F")</f>
      </c>
      <c r="BB125" s="118">
        <f>COUNTIF(U125:AY125,"E")</f>
      </c>
    </row>
    <row r="126" spans="1:54" x14ac:dyDescent="0.2">
      <c r="A126" s="84"/>
      <c r="B126" s="107"/>
      <c r="C126" s="85"/>
      <c r="D126" s="85"/>
      <c r="E126" s="86"/>
      <c r="F126" s="16">
        <f>IF(E126="","",DATEDIF(E126,$I$7,"Y"))</f>
      </c>
      <c r="G126" s="85"/>
      <c r="H126" s="85"/>
      <c r="I126" s="87"/>
      <c r="J126" s="85"/>
      <c r="K126" s="85"/>
      <c r="L126" s="10"/>
      <c r="M126" s="10"/>
      <c r="N126" s="10"/>
      <c r="O126" s="10"/>
      <c r="P126" s="85"/>
      <c r="Q126" s="88"/>
      <c r="R126" s="3">
        <f>IFERROR(VLOOKUP(TablaEnero[[#This Row],[BARRIO]],SECTOR!$A:$B,2,0),"")</f>
      </c>
      <c r="S126" s="89"/>
      <c r="T126" s="90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6"/>
      <c r="AZ126" s="30">
        <f>COUNTIF(U126:AY126,"A")</f>
      </c>
      <c r="BA126" s="32">
        <f>COUNTIF(U126:AY126,"F")</f>
      </c>
      <c r="BB126" s="119">
        <f>COUNTIF(U126:AY126,"E")</f>
      </c>
    </row>
    <row r="127" spans="1:54" x14ac:dyDescent="0.2">
      <c r="A127" s="84"/>
      <c r="B127" s="107"/>
      <c r="C127" s="85"/>
      <c r="D127" s="85"/>
      <c r="E127" s="86"/>
      <c r="F127" s="16">
        <f>IF(E127="","",DATEDIF(E127,$I$7,"Y"))</f>
      </c>
      <c r="G127" s="85"/>
      <c r="H127" s="85"/>
      <c r="I127" s="87"/>
      <c r="J127" s="85"/>
      <c r="K127" s="85"/>
      <c r="L127" s="10"/>
      <c r="M127" s="10"/>
      <c r="N127" s="10"/>
      <c r="O127" s="10"/>
      <c r="P127" s="85"/>
      <c r="Q127" s="88"/>
      <c r="R127" s="3">
        <f>IFERROR(VLOOKUP(TablaEnero[[#This Row],[BARRIO]],SECTOR!$A:$B,2,0),"")</f>
      </c>
      <c r="S127" s="89"/>
      <c r="T127" s="90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6"/>
      <c r="AZ127" s="120">
        <f>COUNTIF(U127:AY127,"A")</f>
      </c>
      <c r="BA127" s="121">
        <f>COUNTIF(U127:AY127,"F")</f>
      </c>
      <c r="BB127" s="119">
        <f>COUNTIF(U127:AY127,"E")</f>
      </c>
    </row>
    <row r="128" spans="1:54" x14ac:dyDescent="0.2">
      <c r="A128" s="84"/>
      <c r="B128" s="107"/>
      <c r="C128" s="85"/>
      <c r="D128" s="85"/>
      <c r="E128" s="86"/>
      <c r="F128" s="16">
        <f>IF(E128="","",DATEDIF(E128,$I$7,"Y"))</f>
      </c>
      <c r="G128" s="85"/>
      <c r="H128" s="85"/>
      <c r="I128" s="87"/>
      <c r="J128" s="85"/>
      <c r="K128" s="85"/>
      <c r="L128" s="10"/>
      <c r="M128" s="10"/>
      <c r="N128" s="10"/>
      <c r="O128" s="10"/>
      <c r="P128" s="85"/>
      <c r="Q128" s="88"/>
      <c r="R128" s="3">
        <f>IFERROR(VLOOKUP(TablaEnero[[#This Row],[BARRIO]],SECTOR!$A:$B,2,0),"")</f>
      </c>
      <c r="S128" s="89"/>
      <c r="T128" s="90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6"/>
      <c r="AZ128" s="120">
        <f>COUNTIF(U128:AY128,"A")</f>
      </c>
      <c r="BA128" s="121">
        <f>COUNTIF(U128:AY128,"F")</f>
      </c>
      <c r="BB128" s="119">
        <f>COUNTIF(U128:AY128,"E")</f>
      </c>
    </row>
    <row r="129" spans="1:54" x14ac:dyDescent="0.2">
      <c r="A129" s="84"/>
      <c r="B129" s="107"/>
      <c r="C129" s="85"/>
      <c r="D129" s="85"/>
      <c r="E129" s="86"/>
      <c r="F129" s="16">
        <f>IF(E129="","",DATEDIF(E129,$I$7,"Y"))</f>
      </c>
      <c r="G129" s="85"/>
      <c r="H129" s="85"/>
      <c r="I129" s="87"/>
      <c r="J129" s="85"/>
      <c r="K129" s="85"/>
      <c r="L129" s="10"/>
      <c r="M129" s="10"/>
      <c r="N129" s="10"/>
      <c r="O129" s="10"/>
      <c r="P129" s="85"/>
      <c r="Q129" s="88"/>
      <c r="R129" s="3">
        <f>IFERROR(VLOOKUP(TablaEnero[[#This Row],[BARRIO]],SECTOR!$A:$B,2,0),"")</f>
      </c>
      <c r="S129" s="89"/>
      <c r="T129" s="90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6"/>
      <c r="AZ129" s="120">
        <f>COUNTIF(U129:AY129,"A")</f>
      </c>
      <c r="BA129" s="121">
        <f>COUNTIF(U129:AY129,"F")</f>
      </c>
      <c r="BB129" s="119">
        <f>COUNTIF(U129:AY129,"E")</f>
      </c>
    </row>
    <row r="130" spans="1:54" x14ac:dyDescent="0.2">
      <c r="A130" s="84"/>
      <c r="B130" s="107"/>
      <c r="C130" s="85"/>
      <c r="D130" s="85"/>
      <c r="E130" s="86"/>
      <c r="F130" s="16">
        <f>IF(E130="","",DATEDIF(E130,$I$7,"Y"))</f>
      </c>
      <c r="G130" s="85"/>
      <c r="H130" s="85"/>
      <c r="I130" s="87"/>
      <c r="J130" s="85"/>
      <c r="K130" s="85"/>
      <c r="L130" s="10"/>
      <c r="M130" s="10"/>
      <c r="N130" s="10"/>
      <c r="O130" s="10"/>
      <c r="P130" s="85"/>
      <c r="Q130" s="88"/>
      <c r="R130" s="3">
        <f>IFERROR(VLOOKUP(TablaEnero[[#This Row],[BARRIO]],SECTOR!$A:$B,2,0),"")</f>
      </c>
      <c r="S130" s="89"/>
      <c r="T130" s="90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6"/>
      <c r="AZ130" s="120">
        <f>COUNTIF(U130:AY130,"A")</f>
      </c>
      <c r="BA130" s="121">
        <f>COUNTIF(U130:AY130,"F")</f>
      </c>
      <c r="BB130" s="119">
        <f>COUNTIF(U130:AY130,"E")</f>
      </c>
    </row>
    <row r="131" spans="1:54" x14ac:dyDescent="0.2">
      <c r="A131" s="84"/>
      <c r="B131" s="107"/>
      <c r="C131" s="85"/>
      <c r="D131" s="85"/>
      <c r="E131" s="86"/>
      <c r="F131" s="16">
        <f>IF(E131="","",DATEDIF(E131,$I$7,"Y"))</f>
      </c>
      <c r="G131" s="85"/>
      <c r="H131" s="85"/>
      <c r="I131" s="87"/>
      <c r="J131" s="85"/>
      <c r="K131" s="85"/>
      <c r="L131" s="10"/>
      <c r="M131" s="10"/>
      <c r="N131" s="10"/>
      <c r="O131" s="10"/>
      <c r="P131" s="85"/>
      <c r="Q131" s="88"/>
      <c r="R131" s="3">
        <f>IFERROR(VLOOKUP(TablaEnero[[#This Row],[BARRIO]],SECTOR!$A:$B,2,0),"")</f>
      </c>
      <c r="S131" s="89"/>
      <c r="T131" s="90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6"/>
      <c r="AZ131" s="120">
        <f>COUNTIF(U131:AY131,"A")</f>
      </c>
      <c r="BA131" s="121">
        <f>COUNTIF(U131:AY131,"F")</f>
      </c>
      <c r="BB131" s="119">
        <f>COUNTIF(U131:AY131,"E")</f>
      </c>
    </row>
    <row r="132" spans="1:54" x14ac:dyDescent="0.2">
      <c r="A132" s="84"/>
      <c r="B132" s="107"/>
      <c r="C132" s="85"/>
      <c r="D132" s="85"/>
      <c r="E132" s="86"/>
      <c r="F132" s="16">
        <f>IF(E132="","",DATEDIF(E132,$I$7,"Y"))</f>
      </c>
      <c r="G132" s="85"/>
      <c r="H132" s="85"/>
      <c r="I132" s="87"/>
      <c r="J132" s="85"/>
      <c r="K132" s="85"/>
      <c r="L132" s="10"/>
      <c r="M132" s="10"/>
      <c r="N132" s="10"/>
      <c r="O132" s="10"/>
      <c r="P132" s="85"/>
      <c r="Q132" s="88"/>
      <c r="R132" s="3">
        <f>IFERROR(VLOOKUP(TablaEnero[[#This Row],[BARRIO]],SECTOR!$A:$B,2,0),"")</f>
      </c>
      <c r="S132" s="89"/>
      <c r="T132" s="90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6"/>
      <c r="AZ132" s="120">
        <f>COUNTIF(U132:AY132,"A")</f>
      </c>
      <c r="BA132" s="121">
        <f>COUNTIF(U132:AY132,"F")</f>
      </c>
      <c r="BB132" s="119">
        <f>COUNTIF(U132:AY132,"E")</f>
      </c>
    </row>
    <row r="133" spans="1:54" x14ac:dyDescent="0.2">
      <c r="A133" s="84"/>
      <c r="B133" s="107"/>
      <c r="C133" s="85"/>
      <c r="D133" s="85"/>
      <c r="E133" s="86"/>
      <c r="F133" s="16">
        <f>IF(E133="","",DATEDIF(E133,$I$7,"Y"))</f>
      </c>
      <c r="G133" s="85"/>
      <c r="H133" s="85"/>
      <c r="I133" s="87"/>
      <c r="J133" s="85"/>
      <c r="K133" s="85"/>
      <c r="L133" s="10"/>
      <c r="M133" s="10"/>
      <c r="N133" s="10"/>
      <c r="O133" s="10"/>
      <c r="P133" s="85"/>
      <c r="Q133" s="88"/>
      <c r="R133" s="3">
        <f>IFERROR(VLOOKUP(TablaEnero[[#This Row],[BARRIO]],SECTOR!$A:$B,2,0),"")</f>
      </c>
      <c r="S133" s="89"/>
      <c r="T133" s="90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6"/>
      <c r="AZ133" s="120">
        <f>COUNTIF(U133:AY133,"A")</f>
      </c>
      <c r="BA133" s="121">
        <f>COUNTIF(U133:AY133,"F")</f>
      </c>
      <c r="BB133" s="119">
        <f>COUNTIF(U133:AY133,"E")</f>
      </c>
    </row>
    <row r="134" spans="1:54" x14ac:dyDescent="0.2">
      <c r="A134" s="84"/>
      <c r="B134" s="107"/>
      <c r="C134" s="85"/>
      <c r="D134" s="85"/>
      <c r="E134" s="86"/>
      <c r="F134" s="16">
        <f>IF(E134="","",DATEDIF(E134,$I$7,"Y"))</f>
      </c>
      <c r="G134" s="85"/>
      <c r="H134" s="85"/>
      <c r="I134" s="87"/>
      <c r="J134" s="85"/>
      <c r="K134" s="85"/>
      <c r="L134" s="10"/>
      <c r="M134" s="10"/>
      <c r="N134" s="10"/>
      <c r="O134" s="10"/>
      <c r="P134" s="85"/>
      <c r="Q134" s="88"/>
      <c r="R134" s="3">
        <f>IFERROR(VLOOKUP(TablaEnero[[#This Row],[BARRIO]],SECTOR!$A:$B,2,0),"")</f>
      </c>
      <c r="S134" s="89"/>
      <c r="T134" s="90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6"/>
      <c r="AZ134" s="120">
        <f>COUNTIF(U134:AY134,"A")</f>
      </c>
      <c r="BA134" s="121">
        <f>COUNTIF(U134:AY134,"F")</f>
      </c>
      <c r="BB134" s="119">
        <f>COUNTIF(U134:AY134,"E")</f>
      </c>
    </row>
    <row r="135" spans="1:54" x14ac:dyDescent="0.2">
      <c r="A135" s="84"/>
      <c r="B135" s="107"/>
      <c r="C135" s="85"/>
      <c r="D135" s="85"/>
      <c r="E135" s="86"/>
      <c r="F135" s="16">
        <f>IF(E135="","",DATEDIF(E135,$I$7,"Y"))</f>
      </c>
      <c r="G135" s="85"/>
      <c r="H135" s="85"/>
      <c r="I135" s="87"/>
      <c r="J135" s="85"/>
      <c r="K135" s="85"/>
      <c r="L135" s="10"/>
      <c r="M135" s="10"/>
      <c r="N135" s="10"/>
      <c r="O135" s="10"/>
      <c r="P135" s="85"/>
      <c r="Q135" s="88"/>
      <c r="R135" s="3">
        <f>IFERROR(VLOOKUP(TablaEnero[[#This Row],[BARRIO]],SECTOR!$A:$B,2,0),"")</f>
      </c>
      <c r="S135" s="89"/>
      <c r="T135" s="90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6"/>
      <c r="AZ135" s="120">
        <f>COUNTIF(U135:AY135,"A")</f>
      </c>
      <c r="BA135" s="121">
        <f>COUNTIF(U135:AY135,"F")</f>
      </c>
      <c r="BB135" s="119">
        <f>COUNTIF(U135:AY135,"E")</f>
      </c>
    </row>
    <row r="136" spans="1:54" x14ac:dyDescent="0.2">
      <c r="A136" s="84"/>
      <c r="B136" s="107"/>
      <c r="C136" s="85"/>
      <c r="D136" s="85"/>
      <c r="E136" s="86"/>
      <c r="F136" s="16">
        <f>IF(E136="","",DATEDIF(E136,$I$7,"Y"))</f>
      </c>
      <c r="G136" s="85"/>
      <c r="H136" s="85"/>
      <c r="I136" s="87"/>
      <c r="J136" s="85"/>
      <c r="K136" s="85"/>
      <c r="L136" s="10"/>
      <c r="M136" s="10"/>
      <c r="N136" s="10"/>
      <c r="O136" s="10"/>
      <c r="P136" s="85"/>
      <c r="Q136" s="88"/>
      <c r="R136" s="3">
        <f>IFERROR(VLOOKUP(TablaEnero[[#This Row],[BARRIO]],SECTOR!$A:$B,2,0),"")</f>
      </c>
      <c r="S136" s="89"/>
      <c r="T136" s="90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6"/>
      <c r="AZ136" s="120">
        <f>COUNTIF(U136:AY136,"A")</f>
      </c>
      <c r="BA136" s="121">
        <f>COUNTIF(U136:AY136,"F")</f>
      </c>
      <c r="BB136" s="119">
        <f>COUNTIF(U136:AY136,"E")</f>
      </c>
    </row>
    <row r="137" spans="1:54" x14ac:dyDescent="0.2">
      <c r="A137" s="84"/>
      <c r="B137" s="107"/>
      <c r="C137" s="85"/>
      <c r="D137" s="85"/>
      <c r="E137" s="86"/>
      <c r="F137" s="16">
        <f>IF(E137="","",DATEDIF(E137,$I$7,"Y"))</f>
      </c>
      <c r="G137" s="85"/>
      <c r="H137" s="85"/>
      <c r="I137" s="87"/>
      <c r="J137" s="85"/>
      <c r="K137" s="85"/>
      <c r="L137" s="10"/>
      <c r="M137" s="10"/>
      <c r="N137" s="10"/>
      <c r="O137" s="10"/>
      <c r="P137" s="85"/>
      <c r="Q137" s="88"/>
      <c r="R137" s="3">
        <f>IFERROR(VLOOKUP(TablaEnero[[#This Row],[BARRIO]],SECTOR!$A:$B,2,0),"")</f>
      </c>
      <c r="S137" s="89"/>
      <c r="T137" s="90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6"/>
      <c r="AZ137" s="120">
        <f>COUNTIF(U137:AY137,"A")</f>
      </c>
      <c r="BA137" s="121">
        <f>COUNTIF(U137:AY137,"F")</f>
      </c>
      <c r="BB137" s="119">
        <f>COUNTIF(U137:AY137,"E")</f>
      </c>
    </row>
    <row r="138" spans="1:54" x14ac:dyDescent="0.2">
      <c r="A138" s="84"/>
      <c r="B138" s="107"/>
      <c r="C138" s="85"/>
      <c r="D138" s="85"/>
      <c r="E138" s="86"/>
      <c r="F138" s="16">
        <f>IF(E138="","",DATEDIF(E138,$I$7,"Y"))</f>
      </c>
      <c r="G138" s="85"/>
      <c r="H138" s="85"/>
      <c r="I138" s="87"/>
      <c r="J138" s="85"/>
      <c r="K138" s="85"/>
      <c r="L138" s="10"/>
      <c r="M138" s="10"/>
      <c r="N138" s="10"/>
      <c r="O138" s="10"/>
      <c r="P138" s="85"/>
      <c r="Q138" s="88"/>
      <c r="R138" s="3">
        <f>IFERROR(VLOOKUP(TablaEnero[[#This Row],[BARRIO]],SECTOR!$A:$B,2,0),"")</f>
      </c>
      <c r="S138" s="89"/>
      <c r="T138" s="90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6"/>
      <c r="AZ138" s="120">
        <f>COUNTIF(U138:AY138,"A")</f>
      </c>
      <c r="BA138" s="121">
        <f>COUNTIF(U138:AY138,"F")</f>
      </c>
      <c r="BB138" s="119">
        <f>COUNTIF(U138:AY138,"E")</f>
      </c>
    </row>
    <row r="139" spans="1:54" x14ac:dyDescent="0.2">
      <c r="A139" s="84"/>
      <c r="B139" s="107"/>
      <c r="C139" s="85"/>
      <c r="D139" s="85"/>
      <c r="E139" s="86"/>
      <c r="F139" s="16">
        <f>IF(E139="","",DATEDIF(E139,$I$7,"Y"))</f>
      </c>
      <c r="G139" s="85"/>
      <c r="H139" s="85"/>
      <c r="I139" s="87"/>
      <c r="J139" s="85"/>
      <c r="K139" s="85"/>
      <c r="L139" s="10"/>
      <c r="M139" s="10"/>
      <c r="N139" s="10"/>
      <c r="O139" s="10"/>
      <c r="P139" s="85"/>
      <c r="Q139" s="88"/>
      <c r="R139" s="3">
        <f>IFERROR(VLOOKUP(TablaEnero[[#This Row],[BARRIO]],SECTOR!$A:$B,2,0),"")</f>
      </c>
      <c r="S139" s="89"/>
      <c r="T139" s="90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6"/>
      <c r="AZ139" s="120">
        <f>COUNTIF(U139:AY139,"A")</f>
      </c>
      <c r="BA139" s="121">
        <f>COUNTIF(U139:AY139,"F")</f>
      </c>
      <c r="BB139" s="119">
        <f>COUNTIF(U139:AY139,"E")</f>
      </c>
    </row>
    <row r="140" spans="1:54" x14ac:dyDescent="0.2">
      <c r="A140" s="84"/>
      <c r="B140" s="107"/>
      <c r="C140" s="85"/>
      <c r="D140" s="85"/>
      <c r="E140" s="86"/>
      <c r="F140" s="16">
        <f>IF(E140="","",DATEDIF(E140,$I$7,"Y"))</f>
      </c>
      <c r="G140" s="85"/>
      <c r="H140" s="85"/>
      <c r="I140" s="87"/>
      <c r="J140" s="85"/>
      <c r="K140" s="85"/>
      <c r="L140" s="10"/>
      <c r="M140" s="10"/>
      <c r="N140" s="10"/>
      <c r="O140" s="10"/>
      <c r="P140" s="85"/>
      <c r="Q140" s="88"/>
      <c r="R140" s="3">
        <f>IFERROR(VLOOKUP(TablaEnero[[#This Row],[BARRIO]],SECTOR!$A:$B,2,0),"")</f>
      </c>
      <c r="S140" s="89"/>
      <c r="T140" s="90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6"/>
      <c r="AZ140" s="120">
        <f>COUNTIF(U140:AY140,"A")</f>
      </c>
      <c r="BA140" s="121">
        <f>COUNTIF(U140:AY140,"F")</f>
      </c>
      <c r="BB140" s="119">
        <f>COUNTIF(U140:AY140,"E")</f>
      </c>
    </row>
    <row r="141" spans="1:54" x14ac:dyDescent="0.2">
      <c r="A141" s="84"/>
      <c r="B141" s="107"/>
      <c r="C141" s="85"/>
      <c r="D141" s="85"/>
      <c r="E141" s="86"/>
      <c r="F141" s="16">
        <f>IF(E141="","",DATEDIF(E141,$I$7,"Y"))</f>
      </c>
      <c r="G141" s="85"/>
      <c r="H141" s="85"/>
      <c r="I141" s="87"/>
      <c r="J141" s="85"/>
      <c r="K141" s="85"/>
      <c r="L141" s="10"/>
      <c r="M141" s="10"/>
      <c r="N141" s="10"/>
      <c r="O141" s="10"/>
      <c r="P141" s="85"/>
      <c r="Q141" s="88"/>
      <c r="R141" s="3">
        <f>IFERROR(VLOOKUP(TablaEnero[[#This Row],[BARRIO]],SECTOR!$A:$B,2,0),"")</f>
      </c>
      <c r="S141" s="89"/>
      <c r="T141" s="90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6"/>
      <c r="AZ141" s="120">
        <f>COUNTIF(U141:AY141,"A")</f>
      </c>
      <c r="BA141" s="121">
        <f>COUNTIF(U141:AY141,"F")</f>
      </c>
      <c r="BB141" s="119">
        <f>COUNTIF(U141:AY141,"E")</f>
      </c>
    </row>
    <row r="142" spans="1:54" x14ac:dyDescent="0.2">
      <c r="A142" s="84"/>
      <c r="B142" s="107"/>
      <c r="C142" s="85"/>
      <c r="D142" s="85"/>
      <c r="E142" s="86"/>
      <c r="F142" s="16">
        <f>IF(E142="","",DATEDIF(E142,$I$7,"Y"))</f>
      </c>
      <c r="G142" s="85"/>
      <c r="H142" s="85"/>
      <c r="I142" s="87"/>
      <c r="J142" s="85"/>
      <c r="K142" s="85"/>
      <c r="L142" s="10"/>
      <c r="M142" s="10"/>
      <c r="N142" s="10"/>
      <c r="O142" s="10"/>
      <c r="P142" s="85"/>
      <c r="Q142" s="88"/>
      <c r="R142" s="3">
        <f>IFERROR(VLOOKUP(TablaEnero[[#This Row],[BARRIO]],SECTOR!$A:$B,2,0),"")</f>
      </c>
      <c r="S142" s="89"/>
      <c r="T142" s="90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6"/>
      <c r="AZ142" s="120">
        <f>COUNTIF(U142:AY142,"A")</f>
      </c>
      <c r="BA142" s="121">
        <f>COUNTIF(U142:AY142,"F")</f>
      </c>
      <c r="BB142" s="119">
        <f>COUNTIF(U142:AY142,"E")</f>
      </c>
    </row>
    <row r="143" spans="1:54" x14ac:dyDescent="0.2">
      <c r="A143" s="84"/>
      <c r="B143" s="107"/>
      <c r="C143" s="85"/>
      <c r="D143" s="85"/>
      <c r="E143" s="86"/>
      <c r="F143" s="16">
        <f>IF(E143="","",DATEDIF(E143,$I$7,"Y"))</f>
      </c>
      <c r="G143" s="85"/>
      <c r="H143" s="85"/>
      <c r="I143" s="87"/>
      <c r="J143" s="85"/>
      <c r="K143" s="85"/>
      <c r="L143" s="10"/>
      <c r="M143" s="10"/>
      <c r="N143" s="10"/>
      <c r="O143" s="10"/>
      <c r="P143" s="85"/>
      <c r="Q143" s="88"/>
      <c r="R143" s="3">
        <f>IFERROR(VLOOKUP(TablaEnero[[#This Row],[BARRIO]],SECTOR!$A:$B,2,0),"")</f>
      </c>
      <c r="S143" s="89"/>
      <c r="T143" s="90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6"/>
      <c r="AZ143" s="120">
        <f>COUNTIF(U143:AY143,"A")</f>
      </c>
      <c r="BA143" s="121">
        <f>COUNTIF(U143:AY143,"F")</f>
      </c>
      <c r="BB143" s="119">
        <f>COUNTIF(U143:AY143,"E")</f>
      </c>
    </row>
    <row r="144" spans="1:54" x14ac:dyDescent="0.2">
      <c r="A144" s="84"/>
      <c r="B144" s="107"/>
      <c r="C144" s="85"/>
      <c r="D144" s="85"/>
      <c r="E144" s="86"/>
      <c r="F144" s="16">
        <f>IF(E144="","",DATEDIF(E144,$I$7,"Y"))</f>
      </c>
      <c r="G144" s="85"/>
      <c r="H144" s="85"/>
      <c r="I144" s="87"/>
      <c r="J144" s="85"/>
      <c r="K144" s="85"/>
      <c r="L144" s="10"/>
      <c r="M144" s="10"/>
      <c r="N144" s="10"/>
      <c r="O144" s="10"/>
      <c r="P144" s="85"/>
      <c r="Q144" s="88"/>
      <c r="R144" s="3">
        <f>IFERROR(VLOOKUP(TablaEnero[[#This Row],[BARRIO]],SECTOR!$A:$B,2,0),"")</f>
      </c>
      <c r="S144" s="89"/>
      <c r="T144" s="90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6"/>
      <c r="AZ144" s="120">
        <f>COUNTIF(U144:AY144,"A")</f>
      </c>
      <c r="BA144" s="121">
        <f>COUNTIF(U144:AY144,"F")</f>
      </c>
      <c r="BB144" s="119">
        <f>COUNTIF(U144:AY144,"E")</f>
      </c>
    </row>
    <row r="145" spans="1:54" x14ac:dyDescent="0.2">
      <c r="A145" s="84"/>
      <c r="B145" s="107"/>
      <c r="C145" s="85"/>
      <c r="D145" s="85"/>
      <c r="E145" s="86"/>
      <c r="F145" s="16">
        <f>IF(E145="","",DATEDIF(E145,$I$7,"Y"))</f>
      </c>
      <c r="G145" s="85"/>
      <c r="H145" s="85"/>
      <c r="I145" s="87"/>
      <c r="J145" s="85"/>
      <c r="K145" s="85"/>
      <c r="L145" s="10"/>
      <c r="M145" s="10"/>
      <c r="N145" s="10"/>
      <c r="O145" s="10"/>
      <c r="P145" s="85"/>
      <c r="Q145" s="88"/>
      <c r="R145" s="3">
        <f>IFERROR(VLOOKUP(TablaEnero[[#This Row],[BARRIO]],SECTOR!$A:$B,2,0),"")</f>
      </c>
      <c r="S145" s="89"/>
      <c r="T145" s="90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6"/>
      <c r="AZ145" s="120">
        <f>COUNTIF(U145:AY145,"A")</f>
      </c>
      <c r="BA145" s="121">
        <f>COUNTIF(U145:AY145,"F")</f>
      </c>
      <c r="BB145" s="119">
        <f>COUNTIF(U145:AY145,"E")</f>
      </c>
    </row>
    <row r="146" spans="1:54" x14ac:dyDescent="0.2">
      <c r="A146" s="84"/>
      <c r="B146" s="107"/>
      <c r="C146" s="85"/>
      <c r="D146" s="85"/>
      <c r="E146" s="86"/>
      <c r="F146" s="16">
        <f>IF(E146="","",DATEDIF(E146,$I$7,"Y"))</f>
      </c>
      <c r="G146" s="85"/>
      <c r="H146" s="85"/>
      <c r="I146" s="87"/>
      <c r="J146" s="85"/>
      <c r="K146" s="85"/>
      <c r="L146" s="10"/>
      <c r="M146" s="10"/>
      <c r="N146" s="10"/>
      <c r="O146" s="10"/>
      <c r="P146" s="85"/>
      <c r="Q146" s="88"/>
      <c r="R146" s="3">
        <f>IFERROR(VLOOKUP(TablaEnero[[#This Row],[BARRIO]],SECTOR!$A:$B,2,0),"")</f>
      </c>
      <c r="S146" s="89"/>
      <c r="T146" s="90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6"/>
      <c r="AZ146" s="120">
        <f>COUNTIF(U146:AY146,"A")</f>
      </c>
      <c r="BA146" s="121">
        <f>COUNTIF(U146:AY146,"F")</f>
      </c>
      <c r="BB146" s="119">
        <f>COUNTIF(U146:AY146,"E")</f>
      </c>
    </row>
    <row r="147" spans="1:54" x14ac:dyDescent="0.2">
      <c r="A147" s="84"/>
      <c r="B147" s="107"/>
      <c r="C147" s="85"/>
      <c r="D147" s="85"/>
      <c r="E147" s="86"/>
      <c r="F147" s="16">
        <f>IF(E147="","",DATEDIF(E147,$I$7,"Y"))</f>
      </c>
      <c r="G147" s="85"/>
      <c r="H147" s="85"/>
      <c r="I147" s="87"/>
      <c r="J147" s="85"/>
      <c r="K147" s="85"/>
      <c r="L147" s="10"/>
      <c r="M147" s="10"/>
      <c r="N147" s="10"/>
      <c r="O147" s="10"/>
      <c r="P147" s="85"/>
      <c r="Q147" s="88"/>
      <c r="R147" s="3">
        <f>IFERROR(VLOOKUP(TablaEnero[[#This Row],[BARRIO]],SECTOR!$A:$B,2,0),"")</f>
      </c>
      <c r="S147" s="89"/>
      <c r="T147" s="90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6"/>
      <c r="AZ147" s="120">
        <f>COUNTIF(U147:AY147,"A")</f>
      </c>
      <c r="BA147" s="121">
        <f>COUNTIF(U147:AY147,"F")</f>
      </c>
      <c r="BB147" s="119">
        <f>COUNTIF(U147:AY147,"E")</f>
      </c>
    </row>
    <row r="148" spans="1:54" x14ac:dyDescent="0.2">
      <c r="A148" s="84"/>
      <c r="B148" s="107"/>
      <c r="C148" s="85"/>
      <c r="D148" s="85"/>
      <c r="E148" s="86"/>
      <c r="F148" s="16">
        <f>IF(E148="","",DATEDIF(E148,$I$7,"Y"))</f>
      </c>
      <c r="G148" s="85"/>
      <c r="H148" s="85"/>
      <c r="I148" s="87"/>
      <c r="J148" s="85"/>
      <c r="K148" s="85"/>
      <c r="L148" s="10"/>
      <c r="M148" s="10"/>
      <c r="N148" s="10"/>
      <c r="O148" s="10"/>
      <c r="P148" s="85"/>
      <c r="Q148" s="88"/>
      <c r="R148" s="3">
        <f>IFERROR(VLOOKUP(TablaEnero[[#This Row],[BARRIO]],SECTOR!$A:$B,2,0),"")</f>
      </c>
      <c r="S148" s="89"/>
      <c r="T148" s="90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6"/>
      <c r="AZ148" s="120">
        <f>COUNTIF(U148:AY148,"A")</f>
      </c>
      <c r="BA148" s="121">
        <f>COUNTIF(U148:AY148,"F")</f>
      </c>
      <c r="BB148" s="119">
        <f>COUNTIF(U148:AY148,"E")</f>
      </c>
    </row>
    <row r="149" spans="1:54" x14ac:dyDescent="0.2">
      <c r="A149" s="84"/>
      <c r="B149" s="107"/>
      <c r="C149" s="85"/>
      <c r="D149" s="85"/>
      <c r="E149" s="86"/>
      <c r="F149" s="16">
        <f>IF(E149="","",DATEDIF(E149,$I$7,"Y"))</f>
      </c>
      <c r="G149" s="85"/>
      <c r="H149" s="85"/>
      <c r="I149" s="87"/>
      <c r="J149" s="85"/>
      <c r="K149" s="85"/>
      <c r="L149" s="10"/>
      <c r="M149" s="10"/>
      <c r="N149" s="10"/>
      <c r="O149" s="10"/>
      <c r="P149" s="85"/>
      <c r="Q149" s="88"/>
      <c r="R149" s="3">
        <f>IFERROR(VLOOKUP(TablaEnero[[#This Row],[BARRIO]],SECTOR!$A:$B,2,0),"")</f>
      </c>
      <c r="S149" s="89"/>
      <c r="T149" s="90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6"/>
      <c r="AZ149" s="120">
        <f>COUNTIF(U149:AY149,"A")</f>
      </c>
      <c r="BA149" s="121">
        <f>COUNTIF(U149:AY149,"F")</f>
      </c>
      <c r="BB149" s="119">
        <f>COUNTIF(U149:AY149,"E")</f>
      </c>
    </row>
    <row r="150" spans="1:54" x14ac:dyDescent="0.2">
      <c r="A150" s="84"/>
      <c r="B150" s="107"/>
      <c r="C150" s="85"/>
      <c r="D150" s="85"/>
      <c r="E150" s="86"/>
      <c r="F150" s="16">
        <f>IF(E150="","",DATEDIF(E150,$I$7,"Y"))</f>
      </c>
      <c r="G150" s="85"/>
      <c r="H150" s="85"/>
      <c r="I150" s="87"/>
      <c r="J150" s="85"/>
      <c r="K150" s="85"/>
      <c r="L150" s="10"/>
      <c r="M150" s="10"/>
      <c r="N150" s="10"/>
      <c r="O150" s="10"/>
      <c r="P150" s="85"/>
      <c r="Q150" s="88"/>
      <c r="R150" s="3">
        <f>IFERROR(VLOOKUP(TablaEnero[[#This Row],[BARRIO]],SECTOR!$A:$B,2,0),"")</f>
      </c>
      <c r="S150" s="89"/>
      <c r="T150" s="90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6"/>
      <c r="AZ150" s="120">
        <f>COUNTIF(U150:AY150,"A")</f>
      </c>
      <c r="BA150" s="121">
        <f>COUNTIF(U150:AY150,"F")</f>
      </c>
      <c r="BB150" s="119">
        <f>COUNTIF(U150:AY150,"E")</f>
      </c>
    </row>
    <row r="151" spans="1:54" x14ac:dyDescent="0.2">
      <c r="A151" s="84"/>
      <c r="B151" s="107"/>
      <c r="C151" s="85"/>
      <c r="D151" s="85"/>
      <c r="E151" s="86"/>
      <c r="F151" s="16">
        <f>IF(E151="","",DATEDIF(E151,$I$7,"Y"))</f>
      </c>
      <c r="G151" s="85"/>
      <c r="H151" s="85"/>
      <c r="I151" s="87"/>
      <c r="J151" s="85"/>
      <c r="K151" s="85"/>
      <c r="L151" s="10"/>
      <c r="M151" s="10"/>
      <c r="N151" s="10"/>
      <c r="O151" s="10"/>
      <c r="P151" s="85"/>
      <c r="Q151" s="88"/>
      <c r="R151" s="3">
        <f>IFERROR(VLOOKUP(TablaEnero[[#This Row],[BARRIO]],SECTOR!$A:$B,2,0),"")</f>
      </c>
      <c r="S151" s="89"/>
      <c r="T151" s="90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6"/>
      <c r="AZ151" s="120">
        <f>COUNTIF(U151:AY151,"A")</f>
      </c>
      <c r="BA151" s="121">
        <f>COUNTIF(U151:AY151,"F")</f>
      </c>
      <c r="BB151" s="119">
        <f>COUNTIF(U151:AY151,"E")</f>
      </c>
    </row>
    <row r="152" spans="1:54" x14ac:dyDescent="0.2">
      <c r="A152" s="84"/>
      <c r="B152" s="107"/>
      <c r="C152" s="85"/>
      <c r="D152" s="85"/>
      <c r="E152" s="86"/>
      <c r="F152" s="16">
        <f>IF(E152="","",DATEDIF(E152,$I$7,"Y"))</f>
      </c>
      <c r="G152" s="85"/>
      <c r="H152" s="85"/>
      <c r="I152" s="87"/>
      <c r="J152" s="85"/>
      <c r="K152" s="85"/>
      <c r="L152" s="10"/>
      <c r="M152" s="10"/>
      <c r="N152" s="10"/>
      <c r="O152" s="10"/>
      <c r="P152" s="85"/>
      <c r="Q152" s="88"/>
      <c r="R152" s="3">
        <f>IFERROR(VLOOKUP(TablaEnero[[#This Row],[BARRIO]],SECTOR!$A:$B,2,0),"")</f>
      </c>
      <c r="S152" s="89"/>
      <c r="T152" s="90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6"/>
      <c r="AZ152" s="120">
        <f>COUNTIF(U152:AY152,"A")</f>
      </c>
      <c r="BA152" s="121">
        <f>COUNTIF(U152:AY152,"F")</f>
      </c>
      <c r="BB152" s="119">
        <f>COUNTIF(U152:AY152,"E")</f>
      </c>
    </row>
    <row r="153" spans="1:54" x14ac:dyDescent="0.2">
      <c r="A153" s="84"/>
      <c r="B153" s="107"/>
      <c r="C153" s="85"/>
      <c r="D153" s="85"/>
      <c r="E153" s="86"/>
      <c r="F153" s="16">
        <f>IF(E153="","",DATEDIF(E153,$I$7,"Y"))</f>
      </c>
      <c r="G153" s="85"/>
      <c r="H153" s="85"/>
      <c r="I153" s="87"/>
      <c r="J153" s="85"/>
      <c r="K153" s="85"/>
      <c r="L153" s="10"/>
      <c r="M153" s="10"/>
      <c r="N153" s="10"/>
      <c r="O153" s="10"/>
      <c r="P153" s="85"/>
      <c r="Q153" s="88"/>
      <c r="R153" s="3">
        <f>IFERROR(VLOOKUP(TablaEnero[[#This Row],[BARRIO]],SECTOR!$A:$B,2,0),"")</f>
      </c>
      <c r="S153" s="89"/>
      <c r="T153" s="90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6"/>
      <c r="AZ153" s="120">
        <f>COUNTIF(U153:AY153,"A")</f>
      </c>
      <c r="BA153" s="121">
        <f>COUNTIF(U153:AY153,"F")</f>
      </c>
      <c r="BB153" s="119">
        <f>COUNTIF(U153:AY153,"E")</f>
      </c>
    </row>
    <row r="154" spans="1:54" x14ac:dyDescent="0.2">
      <c r="A154" s="84"/>
      <c r="B154" s="107"/>
      <c r="C154" s="85"/>
      <c r="D154" s="85"/>
      <c r="E154" s="86"/>
      <c r="F154" s="16">
        <f>IF(E154="","",DATEDIF(E154,$I$7,"Y"))</f>
      </c>
      <c r="G154" s="85"/>
      <c r="H154" s="85"/>
      <c r="I154" s="87"/>
      <c r="J154" s="85"/>
      <c r="K154" s="85"/>
      <c r="L154" s="10"/>
      <c r="M154" s="10"/>
      <c r="N154" s="10"/>
      <c r="O154" s="10"/>
      <c r="P154" s="85"/>
      <c r="Q154" s="88"/>
      <c r="R154" s="3">
        <f>IFERROR(VLOOKUP(TablaEnero[[#This Row],[BARRIO]],SECTOR!$A:$B,2,0),"")</f>
      </c>
      <c r="S154" s="89"/>
      <c r="T154" s="90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6"/>
      <c r="AZ154" s="120">
        <f>COUNTIF(U154:AY154,"A")</f>
      </c>
      <c r="BA154" s="121">
        <f>COUNTIF(U154:AY154,"F")</f>
      </c>
      <c r="BB154" s="119">
        <f>COUNTIF(U154:AY154,"E")</f>
      </c>
    </row>
    <row r="155" spans="1:54" x14ac:dyDescent="0.2">
      <c r="A155" s="84"/>
      <c r="B155" s="107"/>
      <c r="C155" s="85"/>
      <c r="D155" s="85"/>
      <c r="E155" s="86"/>
      <c r="F155" s="16">
        <f>IF(E155="","",DATEDIF(E155,$I$7,"Y"))</f>
      </c>
      <c r="G155" s="85"/>
      <c r="H155" s="85"/>
      <c r="I155" s="87"/>
      <c r="J155" s="85"/>
      <c r="K155" s="85"/>
      <c r="L155" s="10"/>
      <c r="M155" s="10"/>
      <c r="N155" s="10"/>
      <c r="O155" s="10"/>
      <c r="P155" s="85"/>
      <c r="Q155" s="88"/>
      <c r="R155" s="3">
        <f>IFERROR(VLOOKUP(TablaEnero[[#This Row],[BARRIO]],SECTOR!$A:$B,2,0),"")</f>
      </c>
      <c r="S155" s="89"/>
      <c r="T155" s="90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6"/>
      <c r="AZ155" s="120">
        <f>COUNTIF(U155:AY155,"A")</f>
      </c>
      <c r="BA155" s="121">
        <f>COUNTIF(U155:AY155,"F")</f>
      </c>
      <c r="BB155" s="119">
        <f>COUNTIF(U155:AY155,"E")</f>
      </c>
    </row>
    <row r="156" spans="1:54" x14ac:dyDescent="0.2">
      <c r="A156" s="84"/>
      <c r="B156" s="107"/>
      <c r="C156" s="85"/>
      <c r="D156" s="85"/>
      <c r="E156" s="86"/>
      <c r="F156" s="16">
        <f>IF(E156="","",DATEDIF(E156,$I$7,"Y"))</f>
      </c>
      <c r="G156" s="85"/>
      <c r="H156" s="85"/>
      <c r="I156" s="87"/>
      <c r="J156" s="85"/>
      <c r="K156" s="85"/>
      <c r="L156" s="10"/>
      <c r="M156" s="10"/>
      <c r="N156" s="10"/>
      <c r="O156" s="10"/>
      <c r="P156" s="85"/>
      <c r="Q156" s="88"/>
      <c r="R156" s="3">
        <f>IFERROR(VLOOKUP(TablaEnero[[#This Row],[BARRIO]],SECTOR!$A:$B,2,0),"")</f>
      </c>
      <c r="S156" s="89"/>
      <c r="T156" s="90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6"/>
      <c r="AZ156" s="120">
        <f>COUNTIF(U156:AY156,"A")</f>
      </c>
      <c r="BA156" s="121">
        <f>COUNTIF(U156:AY156,"F")</f>
      </c>
      <c r="BB156" s="119">
        <f>COUNTIF(U156:AY156,"E")</f>
      </c>
    </row>
    <row r="157" spans="1:54" x14ac:dyDescent="0.2">
      <c r="A157" s="84"/>
      <c r="B157" s="107"/>
      <c r="C157" s="85"/>
      <c r="D157" s="85"/>
      <c r="E157" s="86"/>
      <c r="F157" s="16">
        <f>IF(E157="","",DATEDIF(E157,$I$7,"Y"))</f>
      </c>
      <c r="G157" s="85"/>
      <c r="H157" s="85"/>
      <c r="I157" s="87"/>
      <c r="J157" s="85"/>
      <c r="K157" s="85"/>
      <c r="L157" s="10"/>
      <c r="M157" s="10"/>
      <c r="N157" s="10"/>
      <c r="O157" s="10"/>
      <c r="P157" s="85"/>
      <c r="Q157" s="88"/>
      <c r="R157" s="3">
        <f>IFERROR(VLOOKUP(TablaEnero[[#This Row],[BARRIO]],SECTOR!$A:$B,2,0),"")</f>
      </c>
      <c r="S157" s="89"/>
      <c r="T157" s="90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6"/>
      <c r="AZ157" s="120">
        <f>COUNTIF(U157:AY157,"A")</f>
      </c>
      <c r="BA157" s="121">
        <f>COUNTIF(U157:AY157,"F")</f>
      </c>
      <c r="BB157" s="119">
        <f>COUNTIF(U157:AY157,"E")</f>
      </c>
    </row>
    <row r="158" spans="1:54" x14ac:dyDescent="0.2">
      <c r="A158" s="84"/>
      <c r="B158" s="107"/>
      <c r="C158" s="85"/>
      <c r="D158" s="85"/>
      <c r="E158" s="86"/>
      <c r="F158" s="16">
        <f>IF(E158="","",DATEDIF(E158,$I$7,"Y"))</f>
      </c>
      <c r="G158" s="85"/>
      <c r="H158" s="85"/>
      <c r="I158" s="87"/>
      <c r="J158" s="85"/>
      <c r="K158" s="85"/>
      <c r="L158" s="10"/>
      <c r="M158" s="10"/>
      <c r="N158" s="10"/>
      <c r="O158" s="10"/>
      <c r="P158" s="85"/>
      <c r="Q158" s="88"/>
      <c r="R158" s="3">
        <f>IFERROR(VLOOKUP(TablaEnero[[#This Row],[BARRIO]],SECTOR!$A:$B,2,0),"")</f>
      </c>
      <c r="S158" s="89"/>
      <c r="T158" s="90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6"/>
      <c r="AZ158" s="120">
        <f>COUNTIF(U158:AY158,"A")</f>
      </c>
      <c r="BA158" s="121">
        <f>COUNTIF(U158:AY158,"F")</f>
      </c>
      <c r="BB158" s="119">
        <f>COUNTIF(U158:AY158,"E")</f>
      </c>
    </row>
    <row r="159" spans="1:54" x14ac:dyDescent="0.2">
      <c r="A159" s="84"/>
      <c r="B159" s="107"/>
      <c r="C159" s="85"/>
      <c r="D159" s="85"/>
      <c r="E159" s="86"/>
      <c r="F159" s="16">
        <f>IF(E159="","",DATEDIF(E159,$I$7,"Y"))</f>
      </c>
      <c r="G159" s="85"/>
      <c r="H159" s="85"/>
      <c r="I159" s="87"/>
      <c r="J159" s="85"/>
      <c r="K159" s="85"/>
      <c r="L159" s="10"/>
      <c r="M159" s="10"/>
      <c r="N159" s="10"/>
      <c r="O159" s="10"/>
      <c r="P159" s="85"/>
      <c r="Q159" s="88"/>
      <c r="R159" s="3">
        <f>IFERROR(VLOOKUP(TablaEnero[[#This Row],[BARRIO]],SECTOR!$A:$B,2,0),"")</f>
      </c>
      <c r="S159" s="89"/>
      <c r="T159" s="90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6"/>
      <c r="AZ159" s="120">
        <f>COUNTIF(U159:AY159,"A")</f>
      </c>
      <c r="BA159" s="121">
        <f>COUNTIF(U159:AY159,"F")</f>
      </c>
      <c r="BB159" s="119">
        <f>COUNTIF(U159:AY159,"E")</f>
      </c>
    </row>
    <row r="160" spans="1:54" x14ac:dyDescent="0.2">
      <c r="A160" s="84"/>
      <c r="B160" s="107"/>
      <c r="C160" s="85"/>
      <c r="D160" s="85"/>
      <c r="E160" s="86"/>
      <c r="F160" s="16">
        <f>IF(E160="","",DATEDIF(E160,$I$7,"Y"))</f>
      </c>
      <c r="G160" s="85"/>
      <c r="H160" s="85"/>
      <c r="I160" s="87"/>
      <c r="J160" s="85"/>
      <c r="K160" s="85"/>
      <c r="L160" s="10"/>
      <c r="M160" s="10"/>
      <c r="N160" s="10"/>
      <c r="O160" s="10"/>
      <c r="P160" s="85"/>
      <c r="Q160" s="88"/>
      <c r="R160" s="3">
        <f>IFERROR(VLOOKUP(TablaEnero[[#This Row],[BARRIO]],SECTOR!$A:$B,2,0),"")</f>
      </c>
      <c r="S160" s="89"/>
      <c r="T160" s="90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6"/>
      <c r="AZ160" s="120">
        <f>COUNTIF(U160:AY160,"A")</f>
      </c>
      <c r="BA160" s="121">
        <f>COUNTIF(U160:AY160,"F")</f>
      </c>
      <c r="BB160" s="119">
        <f>COUNTIF(U160:AY160,"E")</f>
      </c>
    </row>
    <row r="161" spans="1:54" x14ac:dyDescent="0.2">
      <c r="A161" s="84"/>
      <c r="B161" s="107"/>
      <c r="C161" s="85"/>
      <c r="D161" s="85"/>
      <c r="E161" s="86"/>
      <c r="F161" s="16">
        <f>IF(E161="","",DATEDIF(E161,$I$7,"Y"))</f>
      </c>
      <c r="G161" s="85"/>
      <c r="H161" s="85"/>
      <c r="I161" s="87"/>
      <c r="J161" s="85"/>
      <c r="K161" s="85"/>
      <c r="L161" s="10"/>
      <c r="M161" s="10"/>
      <c r="N161" s="10"/>
      <c r="O161" s="10"/>
      <c r="P161" s="85"/>
      <c r="Q161" s="88"/>
      <c r="R161" s="3">
        <f>IFERROR(VLOOKUP(TablaEnero[[#This Row],[BARRIO]],SECTOR!$A:$B,2,0),"")</f>
      </c>
      <c r="S161" s="89"/>
      <c r="T161" s="90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6"/>
      <c r="AZ161" s="120">
        <f>COUNTIF(U161:AY161,"A")</f>
      </c>
      <c r="BA161" s="121">
        <f>COUNTIF(U161:AY161,"F")</f>
      </c>
      <c r="BB161" s="119">
        <f>COUNTIF(U161:AY161,"E")</f>
      </c>
    </row>
    <row r="162" spans="1:54" x14ac:dyDescent="0.2">
      <c r="A162" s="84"/>
      <c r="B162" s="107"/>
      <c r="C162" s="85"/>
      <c r="D162" s="85"/>
      <c r="E162" s="86"/>
      <c r="F162" s="16">
        <f>IF(E162="","",DATEDIF(E162,$I$7,"Y"))</f>
      </c>
      <c r="G162" s="85"/>
      <c r="H162" s="85"/>
      <c r="I162" s="87"/>
      <c r="J162" s="85"/>
      <c r="K162" s="85"/>
      <c r="L162" s="10"/>
      <c r="M162" s="10"/>
      <c r="N162" s="10"/>
      <c r="O162" s="10"/>
      <c r="P162" s="85"/>
      <c r="Q162" s="88"/>
      <c r="R162" s="3">
        <f>IFERROR(VLOOKUP(TablaEnero[[#This Row],[BARRIO]],SECTOR!$A:$B,2,0),"")</f>
      </c>
      <c r="S162" s="89"/>
      <c r="T162" s="90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6"/>
      <c r="AZ162" s="120">
        <f>COUNTIF(U162:AY162,"A")</f>
      </c>
      <c r="BA162" s="121">
        <f>COUNTIF(U162:AY162,"F")</f>
      </c>
      <c r="BB162" s="119">
        <f>COUNTIF(U162:AY162,"E")</f>
      </c>
    </row>
    <row r="163" spans="1:54" x14ac:dyDescent="0.2">
      <c r="A163" s="84"/>
      <c r="B163" s="107"/>
      <c r="C163" s="85"/>
      <c r="D163" s="85"/>
      <c r="E163" s="86"/>
      <c r="F163" s="16">
        <f>IF(E163="","",DATEDIF(E163,$I$7,"Y"))</f>
      </c>
      <c r="G163" s="85"/>
      <c r="H163" s="85"/>
      <c r="I163" s="87"/>
      <c r="J163" s="85"/>
      <c r="K163" s="85"/>
      <c r="L163" s="10"/>
      <c r="M163" s="10"/>
      <c r="N163" s="10"/>
      <c r="O163" s="10"/>
      <c r="P163" s="85"/>
      <c r="Q163" s="88"/>
      <c r="R163" s="3">
        <f>IFERROR(VLOOKUP(TablaEnero[[#This Row],[BARRIO]],SECTOR!$A:$B,2,0),"")</f>
      </c>
      <c r="S163" s="89"/>
      <c r="T163" s="90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6"/>
      <c r="AZ163" s="120">
        <f>COUNTIF(U163:AY163,"A")</f>
      </c>
      <c r="BA163" s="121">
        <f>COUNTIF(U163:AY163,"F")</f>
      </c>
      <c r="BB163" s="119">
        <f>COUNTIF(U163:AY163,"E")</f>
      </c>
    </row>
    <row r="164" spans="1:54" x14ac:dyDescent="0.2">
      <c r="A164" s="84"/>
      <c r="B164" s="107"/>
      <c r="C164" s="85"/>
      <c r="D164" s="85"/>
      <c r="E164" s="86"/>
      <c r="F164" s="16">
        <f>IF(E164="","",DATEDIF(E164,$I$7,"Y"))</f>
      </c>
      <c r="G164" s="85"/>
      <c r="H164" s="85"/>
      <c r="I164" s="87"/>
      <c r="J164" s="85"/>
      <c r="K164" s="85"/>
      <c r="L164" s="10"/>
      <c r="M164" s="10"/>
      <c r="N164" s="10"/>
      <c r="O164" s="10"/>
      <c r="P164" s="85"/>
      <c r="Q164" s="88"/>
      <c r="R164" s="3">
        <f>IFERROR(VLOOKUP(TablaEnero[[#This Row],[BARRIO]],SECTOR!$A:$B,2,0),"")</f>
      </c>
      <c r="S164" s="89"/>
      <c r="T164" s="90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6"/>
      <c r="AZ164" s="120">
        <f>COUNTIF(U164:AY164,"A")</f>
      </c>
      <c r="BA164" s="121">
        <f>COUNTIF(U164:AY164,"F")</f>
      </c>
      <c r="BB164" s="119">
        <f>COUNTIF(U164:AY164,"E")</f>
      </c>
    </row>
    <row r="165" spans="1:54" x14ac:dyDescent="0.2">
      <c r="A165" s="84"/>
      <c r="B165" s="107"/>
      <c r="C165" s="85"/>
      <c r="D165" s="85"/>
      <c r="E165" s="86"/>
      <c r="F165" s="16">
        <f>IF(E165="","",DATEDIF(E165,$I$7,"Y"))</f>
      </c>
      <c r="G165" s="85"/>
      <c r="H165" s="85"/>
      <c r="I165" s="87"/>
      <c r="J165" s="85"/>
      <c r="K165" s="85"/>
      <c r="L165" s="10"/>
      <c r="M165" s="10"/>
      <c r="N165" s="10"/>
      <c r="O165" s="10"/>
      <c r="P165" s="85"/>
      <c r="Q165" s="88"/>
      <c r="R165" s="3">
        <f>IFERROR(VLOOKUP(TablaEnero[[#This Row],[BARRIO]],SECTOR!$A:$B,2,0),"")</f>
      </c>
      <c r="S165" s="89"/>
      <c r="T165" s="90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6"/>
      <c r="AZ165" s="120">
        <f>COUNTIF(U165:AY165,"A")</f>
      </c>
      <c r="BA165" s="121">
        <f>COUNTIF(U165:AY165,"F")</f>
      </c>
      <c r="BB165" s="119">
        <f>COUNTIF(U165:AY165,"E")</f>
      </c>
    </row>
    <row r="166" spans="1:54" x14ac:dyDescent="0.2">
      <c r="A166" s="84"/>
      <c r="B166" s="107"/>
      <c r="C166" s="85"/>
      <c r="D166" s="85"/>
      <c r="E166" s="86"/>
      <c r="F166" s="16">
        <f>IF(E166="","",DATEDIF(E166,$I$7,"Y"))</f>
      </c>
      <c r="G166" s="85"/>
      <c r="H166" s="85"/>
      <c r="I166" s="87"/>
      <c r="J166" s="85"/>
      <c r="K166" s="85"/>
      <c r="L166" s="10"/>
      <c r="M166" s="10"/>
      <c r="N166" s="10"/>
      <c r="O166" s="10"/>
      <c r="P166" s="85"/>
      <c r="Q166" s="88"/>
      <c r="R166" s="3">
        <f>IFERROR(VLOOKUP(TablaEnero[[#This Row],[BARRIO]],SECTOR!$A:$B,2,0),"")</f>
      </c>
      <c r="S166" s="89"/>
      <c r="T166" s="90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6"/>
      <c r="AZ166" s="120">
        <f>COUNTIF(U166:AY166,"A")</f>
      </c>
      <c r="BA166" s="121">
        <f>COUNTIF(U166:AY166,"F")</f>
      </c>
      <c r="BB166" s="119">
        <f>COUNTIF(U166:AY166,"E")</f>
      </c>
    </row>
    <row r="167" spans="1:54" x14ac:dyDescent="0.2">
      <c r="A167" s="84"/>
      <c r="B167" s="107"/>
      <c r="C167" s="85"/>
      <c r="D167" s="85"/>
      <c r="E167" s="86"/>
      <c r="F167" s="16">
        <f>IF(E167="","",DATEDIF(E167,$I$7,"Y"))</f>
      </c>
      <c r="G167" s="85"/>
      <c r="H167" s="85"/>
      <c r="I167" s="87"/>
      <c r="J167" s="85"/>
      <c r="K167" s="85"/>
      <c r="L167" s="10"/>
      <c r="M167" s="10"/>
      <c r="N167" s="10"/>
      <c r="O167" s="10"/>
      <c r="P167" s="85"/>
      <c r="Q167" s="88"/>
      <c r="R167" s="3">
        <f>IFERROR(VLOOKUP(TablaEnero[[#This Row],[BARRIO]],SECTOR!$A:$B,2,0),"")</f>
      </c>
      <c r="S167" s="89"/>
      <c r="T167" s="90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6"/>
      <c r="AZ167" s="120">
        <f>COUNTIF(U167:AY167,"A")</f>
      </c>
      <c r="BA167" s="121">
        <f>COUNTIF(U167:AY167,"F")</f>
      </c>
      <c r="BB167" s="119">
        <f>COUNTIF(U167:AY167,"E")</f>
      </c>
    </row>
    <row r="168" spans="1:54" x14ac:dyDescent="0.2">
      <c r="A168" s="84"/>
      <c r="B168" s="107"/>
      <c r="C168" s="85"/>
      <c r="D168" s="85"/>
      <c r="E168" s="86"/>
      <c r="F168" s="16">
        <f>IF(E168="","",DATEDIF(E168,$I$7,"Y"))</f>
      </c>
      <c r="G168" s="85"/>
      <c r="H168" s="85"/>
      <c r="I168" s="87"/>
      <c r="J168" s="85"/>
      <c r="K168" s="85"/>
      <c r="L168" s="2"/>
      <c r="M168" s="2"/>
      <c r="N168" s="10"/>
      <c r="O168" s="2"/>
      <c r="P168" s="85"/>
      <c r="Q168" s="88"/>
      <c r="R168" s="3">
        <f>IFERROR(VLOOKUP(TablaEnero[[#This Row],[BARRIO]],SECTOR!$A:$B,2,0),"")</f>
      </c>
      <c r="S168" s="89"/>
      <c r="T168" s="90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6"/>
      <c r="AZ168" s="120">
        <f>COUNTIF(U168:AY168,"A")</f>
      </c>
      <c r="BA168" s="121">
        <f>COUNTIF(U168:AY168,"F")</f>
      </c>
      <c r="BB168" s="119">
        <f>COUNTIF(U168:AY168,"E")</f>
      </c>
    </row>
    <row r="169" spans="1:54" x14ac:dyDescent="0.2">
      <c r="A169" s="84"/>
      <c r="B169" s="85"/>
      <c r="C169" s="85"/>
      <c r="D169" s="85"/>
      <c r="E169" s="86"/>
      <c r="F169" s="16">
        <f>IF(E169="","",DATEDIF(E169,$I$7,"Y"))</f>
      </c>
      <c r="G169" s="85"/>
      <c r="H169" s="85"/>
      <c r="I169" s="87"/>
      <c r="J169" s="85"/>
      <c r="K169" s="85"/>
      <c r="L169" s="10"/>
      <c r="M169" s="10"/>
      <c r="N169" s="10"/>
      <c r="O169" s="10"/>
      <c r="P169" s="85"/>
      <c r="Q169" s="88"/>
      <c r="R169" s="3">
        <f>IFERROR(VLOOKUP(TablaEnero[[#This Row],[BARRIO]],SECTOR!$A:$B,2,0),"")</f>
      </c>
      <c r="S169" s="89"/>
      <c r="T169" s="90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6"/>
      <c r="AZ169" s="30">
        <f>COUNTIF(U169:AY169,"A")</f>
      </c>
      <c r="BA169" s="32">
        <f>COUNTIF(U169:AY169,"F")</f>
      </c>
      <c r="BB169" s="119">
        <f>COUNTIF(U169:AY169,"E")</f>
      </c>
    </row>
    <row r="170" spans="1:54" x14ac:dyDescent="0.2">
      <c r="A170" s="84"/>
      <c r="B170" s="85"/>
      <c r="C170" s="85"/>
      <c r="D170" s="85"/>
      <c r="E170" s="86"/>
      <c r="F170" s="16">
        <f>IF(E170="","",DATEDIF(E170,$I$7,"Y"))</f>
      </c>
      <c r="G170" s="85"/>
      <c r="H170" s="85"/>
      <c r="I170" s="87"/>
      <c r="J170" s="85"/>
      <c r="K170" s="85"/>
      <c r="L170" s="10"/>
      <c r="M170" s="10"/>
      <c r="N170" s="10"/>
      <c r="O170" s="10"/>
      <c r="P170" s="85"/>
      <c r="Q170" s="88"/>
      <c r="R170" s="3">
        <f>IFERROR(VLOOKUP(TablaEnero[[#This Row],[BARRIO]],SECTOR!$A:$B,2,0),"")</f>
      </c>
      <c r="S170" s="89"/>
      <c r="T170" s="90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6"/>
      <c r="AZ170" s="120">
        <f>COUNTIF(U170:AY170,"A")</f>
      </c>
      <c r="BA170" s="121">
        <f>COUNTIF(U170:AY170,"F")</f>
      </c>
      <c r="BB170" s="119">
        <f>COUNTIF(U170:AY170,"E")</f>
      </c>
    </row>
    <row r="171" spans="1:54" x14ac:dyDescent="0.2">
      <c r="A171" s="84"/>
      <c r="B171" s="85"/>
      <c r="C171" s="85"/>
      <c r="D171" s="85"/>
      <c r="E171" s="86"/>
      <c r="F171" s="16">
        <f>IF(E171="","",DATEDIF(E171,$I$7,"Y"))</f>
      </c>
      <c r="G171" s="85"/>
      <c r="H171" s="85"/>
      <c r="I171" s="87"/>
      <c r="J171" s="85"/>
      <c r="K171" s="85"/>
      <c r="L171" s="10"/>
      <c r="M171" s="10"/>
      <c r="N171" s="10"/>
      <c r="O171" s="10"/>
      <c r="P171" s="85"/>
      <c r="Q171" s="88"/>
      <c r="R171" s="3">
        <f>IFERROR(VLOOKUP(TablaEnero[[#This Row],[BARRIO]],SECTOR!$A:$B,2,0),"")</f>
      </c>
      <c r="S171" s="89"/>
      <c r="T171" s="90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6"/>
      <c r="AZ171" s="120">
        <f>COUNTIF(U171:AY171,"A")</f>
      </c>
      <c r="BA171" s="121">
        <f>COUNTIF(U171:AY171,"F")</f>
      </c>
      <c r="BB171" s="119">
        <f>COUNTIF(U171:AY171,"E")</f>
      </c>
    </row>
    <row r="172" spans="1:54" x14ac:dyDescent="0.2">
      <c r="A172" s="84"/>
      <c r="B172" s="85"/>
      <c r="C172" s="85"/>
      <c r="D172" s="85"/>
      <c r="E172" s="86"/>
      <c r="F172" s="16">
        <f>IF(E172="","",DATEDIF(E172,$I$7,"Y"))</f>
      </c>
      <c r="G172" s="85"/>
      <c r="H172" s="85"/>
      <c r="I172" s="87"/>
      <c r="J172" s="85"/>
      <c r="K172" s="85"/>
      <c r="L172" s="10"/>
      <c r="M172" s="10"/>
      <c r="N172" s="10"/>
      <c r="O172" s="10"/>
      <c r="P172" s="85"/>
      <c r="Q172" s="88"/>
      <c r="R172" s="3">
        <f>IFERROR(VLOOKUP(TablaEnero[[#This Row],[BARRIO]],SECTOR!$A:$B,2,0),"")</f>
      </c>
      <c r="S172" s="89"/>
      <c r="T172" s="90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6"/>
      <c r="AZ172" s="120">
        <f>COUNTIF(U172:AY172,"A")</f>
      </c>
      <c r="BA172" s="121">
        <f>COUNTIF(U172:AY172,"F")</f>
      </c>
      <c r="BB172" s="119">
        <f>COUNTIF(U172:AY172,"E")</f>
      </c>
    </row>
    <row r="173" spans="1:54" x14ac:dyDescent="0.2">
      <c r="A173" s="84"/>
      <c r="B173" s="85"/>
      <c r="C173" s="85"/>
      <c r="D173" s="85"/>
      <c r="E173" s="86"/>
      <c r="F173" s="16">
        <f>IF(E173="","",DATEDIF(E173,$I$7,"Y"))</f>
      </c>
      <c r="G173" s="85"/>
      <c r="H173" s="85"/>
      <c r="I173" s="87"/>
      <c r="J173" s="85"/>
      <c r="K173" s="85"/>
      <c r="L173" s="10"/>
      <c r="M173" s="10"/>
      <c r="N173" s="10"/>
      <c r="O173" s="10"/>
      <c r="P173" s="85"/>
      <c r="Q173" s="88"/>
      <c r="R173" s="3">
        <f>IFERROR(VLOOKUP(TablaEnero[[#This Row],[BARRIO]],SECTOR!$A:$B,2,0),"")</f>
      </c>
      <c r="S173" s="89"/>
      <c r="T173" s="90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6"/>
      <c r="AZ173" s="120">
        <f>COUNTIF(U173:AY173,"A")</f>
      </c>
      <c r="BA173" s="121">
        <f>COUNTIF(U173:AY173,"F")</f>
      </c>
      <c r="BB173" s="119">
        <f>COUNTIF(U173:AY173,"E")</f>
      </c>
    </row>
    <row r="174" spans="1:54" x14ac:dyDescent="0.2">
      <c r="A174" s="84"/>
      <c r="B174" s="85"/>
      <c r="C174" s="85"/>
      <c r="D174" s="85"/>
      <c r="E174" s="86"/>
      <c r="F174" s="16">
        <f>IF(E174="","",DATEDIF(E174,$I$7,"Y"))</f>
      </c>
      <c r="G174" s="85"/>
      <c r="H174" s="85"/>
      <c r="I174" s="87"/>
      <c r="J174" s="85"/>
      <c r="K174" s="85"/>
      <c r="L174" s="10"/>
      <c r="M174" s="10"/>
      <c r="N174" s="10"/>
      <c r="O174" s="10"/>
      <c r="P174" s="85"/>
      <c r="Q174" s="88"/>
      <c r="R174" s="3">
        <f>IFERROR(VLOOKUP(TablaEnero[[#This Row],[BARRIO]],SECTOR!$A:$B,2,0),"")</f>
      </c>
      <c r="S174" s="89"/>
      <c r="T174" s="90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6"/>
      <c r="AZ174" s="120">
        <f>COUNTIF(U174:AY174,"A")</f>
      </c>
      <c r="BA174" s="121">
        <f>COUNTIF(U174:AY174,"F")</f>
      </c>
      <c r="BB174" s="119">
        <f>COUNTIF(U174:AY174,"E")</f>
      </c>
    </row>
    <row r="175" spans="1:54" x14ac:dyDescent="0.2">
      <c r="A175" s="84"/>
      <c r="B175" s="85"/>
      <c r="C175" s="85"/>
      <c r="D175" s="85"/>
      <c r="E175" s="86"/>
      <c r="F175" s="16">
        <f>IF(E175="","",DATEDIF(E175,$I$7,"Y"))</f>
      </c>
      <c r="G175" s="85"/>
      <c r="H175" s="85"/>
      <c r="I175" s="87"/>
      <c r="J175" s="85"/>
      <c r="K175" s="85"/>
      <c r="L175" s="10"/>
      <c r="M175" s="10"/>
      <c r="N175" s="10"/>
      <c r="O175" s="10"/>
      <c r="P175" s="85"/>
      <c r="Q175" s="88"/>
      <c r="R175" s="3">
        <f>IFERROR(VLOOKUP(TablaEnero[[#This Row],[BARRIO]],SECTOR!$A:$B,2,0),"")</f>
      </c>
      <c r="S175" s="89"/>
      <c r="T175" s="90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6"/>
      <c r="AZ175" s="120">
        <f>COUNTIF(U175:AY175,"A")</f>
      </c>
      <c r="BA175" s="121">
        <f>COUNTIF(U175:AY175,"F")</f>
      </c>
      <c r="BB175" s="119">
        <f>COUNTIF(U175:AY175,"E")</f>
      </c>
    </row>
    <row r="176" spans="1:54" x14ac:dyDescent="0.2">
      <c r="A176" s="84"/>
      <c r="B176" s="85"/>
      <c r="C176" s="85"/>
      <c r="D176" s="85"/>
      <c r="E176" s="86"/>
      <c r="F176" s="16">
        <f>IF(E176="","",DATEDIF(E176,$I$7,"Y"))</f>
      </c>
      <c r="G176" s="85"/>
      <c r="H176" s="85"/>
      <c r="I176" s="87"/>
      <c r="J176" s="85"/>
      <c r="K176" s="85"/>
      <c r="L176" s="10"/>
      <c r="M176" s="10"/>
      <c r="N176" s="10"/>
      <c r="O176" s="10"/>
      <c r="P176" s="85"/>
      <c r="Q176" s="88"/>
      <c r="R176" s="3">
        <f>IFERROR(VLOOKUP(TablaEnero[[#This Row],[BARRIO]],SECTOR!$A:$B,2,0),"")</f>
      </c>
      <c r="S176" s="89"/>
      <c r="T176" s="90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6"/>
      <c r="AZ176" s="120">
        <f>COUNTIF(U176:AY176,"A")</f>
      </c>
      <c r="BA176" s="121">
        <f>COUNTIF(U176:AY176,"F")</f>
      </c>
      <c r="BB176" s="119">
        <f>COUNTIF(U176:AY176,"E")</f>
      </c>
    </row>
    <row r="177" spans="1:54" x14ac:dyDescent="0.2">
      <c r="A177" s="84"/>
      <c r="B177" s="85"/>
      <c r="C177" s="85"/>
      <c r="D177" s="85"/>
      <c r="E177" s="86"/>
      <c r="F177" s="16">
        <f>IF(E177="","",DATEDIF(E177,$I$7,"Y"))</f>
      </c>
      <c r="G177" s="85"/>
      <c r="H177" s="85"/>
      <c r="I177" s="87"/>
      <c r="J177" s="85"/>
      <c r="K177" s="85"/>
      <c r="L177" s="10"/>
      <c r="M177" s="10"/>
      <c r="N177" s="10"/>
      <c r="O177" s="10"/>
      <c r="P177" s="85"/>
      <c r="Q177" s="88"/>
      <c r="R177" s="3">
        <f>IFERROR(VLOOKUP(TablaEnero[[#This Row],[BARRIO]],SECTOR!$A:$B,2,0),"")</f>
      </c>
      <c r="S177" s="89"/>
      <c r="T177" s="90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6"/>
      <c r="AZ177" s="120">
        <f>COUNTIF(U177:AY177,"A")</f>
      </c>
      <c r="BA177" s="121">
        <f>COUNTIF(U177:AY177,"F")</f>
      </c>
      <c r="BB177" s="119">
        <f>COUNTIF(U177:AY177,"E")</f>
      </c>
    </row>
    <row r="178" spans="1:54" x14ac:dyDescent="0.2">
      <c r="A178" s="84"/>
      <c r="B178" s="85"/>
      <c r="C178" s="85"/>
      <c r="D178" s="85"/>
      <c r="E178" s="86"/>
      <c r="F178" s="16">
        <f>IF(E178="","",DATEDIF(E178,$I$7,"Y"))</f>
      </c>
      <c r="G178" s="85"/>
      <c r="H178" s="85"/>
      <c r="I178" s="87"/>
      <c r="J178" s="85"/>
      <c r="K178" s="85"/>
      <c r="L178" s="10"/>
      <c r="M178" s="10"/>
      <c r="N178" s="10"/>
      <c r="O178" s="10"/>
      <c r="P178" s="85"/>
      <c r="Q178" s="88"/>
      <c r="R178" s="3">
        <f>IFERROR(VLOOKUP(TablaEnero[[#This Row],[BARRIO]],SECTOR!$A:$B,2,0),"")</f>
      </c>
      <c r="S178" s="89"/>
      <c r="T178" s="90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6"/>
      <c r="AZ178" s="120">
        <f>COUNTIF(U178:AY178,"A")</f>
      </c>
      <c r="BA178" s="121">
        <f>COUNTIF(U178:AY178,"F")</f>
      </c>
      <c r="BB178" s="119">
        <f>COUNTIF(U178:AY178,"E")</f>
      </c>
    </row>
    <row r="179" spans="1:54" x14ac:dyDescent="0.2">
      <c r="A179" s="84"/>
      <c r="B179" s="85"/>
      <c r="C179" s="85"/>
      <c r="D179" s="85"/>
      <c r="E179" s="86"/>
      <c r="F179" s="16">
        <f>IF(E179="","",DATEDIF(E179,$I$7,"Y"))</f>
      </c>
      <c r="G179" s="85"/>
      <c r="H179" s="85"/>
      <c r="I179" s="87"/>
      <c r="J179" s="85"/>
      <c r="K179" s="85"/>
      <c r="L179" s="10"/>
      <c r="M179" s="10"/>
      <c r="N179" s="10"/>
      <c r="O179" s="10"/>
      <c r="P179" s="85"/>
      <c r="Q179" s="88"/>
      <c r="R179" s="3">
        <f>IFERROR(VLOOKUP(TablaEnero[[#This Row],[BARRIO]],SECTOR!$A:$B,2,0),"")</f>
      </c>
      <c r="S179" s="89"/>
      <c r="T179" s="90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6"/>
      <c r="AZ179" s="120">
        <f>COUNTIF(U179:AY179,"A")</f>
      </c>
      <c r="BA179" s="121">
        <f>COUNTIF(U179:AY179,"F")</f>
      </c>
      <c r="BB179" s="119">
        <f>COUNTIF(U179:AY179,"E")</f>
      </c>
    </row>
    <row r="180" spans="1:54" x14ac:dyDescent="0.2">
      <c r="A180" s="84"/>
      <c r="B180" s="85"/>
      <c r="C180" s="85"/>
      <c r="D180" s="85"/>
      <c r="E180" s="86"/>
      <c r="F180" s="16">
        <f>IF(E180="","",DATEDIF(E180,$I$7,"Y"))</f>
      </c>
      <c r="G180" s="85"/>
      <c r="H180" s="85"/>
      <c r="I180" s="87"/>
      <c r="J180" s="85"/>
      <c r="K180" s="85"/>
      <c r="L180" s="10"/>
      <c r="M180" s="10"/>
      <c r="N180" s="10"/>
      <c r="O180" s="10"/>
      <c r="P180" s="85"/>
      <c r="Q180" s="88"/>
      <c r="R180" s="3">
        <f>IFERROR(VLOOKUP(TablaEnero[[#This Row],[BARRIO]],SECTOR!$A:$B,2,0),"")</f>
      </c>
      <c r="S180" s="89"/>
      <c r="T180" s="90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6"/>
      <c r="AZ180" s="120">
        <f>COUNTIF(U180:AY180,"A")</f>
      </c>
      <c r="BA180" s="121">
        <f>COUNTIF(U180:AY180,"F")</f>
      </c>
      <c r="BB180" s="119">
        <f>COUNTIF(U180:AY180,"E")</f>
      </c>
    </row>
    <row r="181" spans="1:54" x14ac:dyDescent="0.2">
      <c r="A181" s="84"/>
      <c r="B181" s="85"/>
      <c r="C181" s="85"/>
      <c r="D181" s="85"/>
      <c r="E181" s="86"/>
      <c r="F181" s="16">
        <f>IF(E181="","",DATEDIF(E181,$I$7,"Y"))</f>
      </c>
      <c r="G181" s="85"/>
      <c r="H181" s="85"/>
      <c r="I181" s="87"/>
      <c r="J181" s="85"/>
      <c r="K181" s="85"/>
      <c r="L181" s="10"/>
      <c r="M181" s="10"/>
      <c r="N181" s="10"/>
      <c r="O181" s="10"/>
      <c r="P181" s="85"/>
      <c r="Q181" s="88"/>
      <c r="R181" s="3">
        <f>IFERROR(VLOOKUP(TablaEnero[[#This Row],[BARRIO]],SECTOR!$A:$B,2,0),"")</f>
      </c>
      <c r="S181" s="89"/>
      <c r="T181" s="90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6"/>
      <c r="AZ181" s="120">
        <f>COUNTIF(U181:AY181,"A")</f>
      </c>
      <c r="BA181" s="121">
        <f>COUNTIF(U181:AY181,"F")</f>
      </c>
      <c r="BB181" s="119">
        <f>COUNTIF(U181:AY181,"E")</f>
      </c>
    </row>
    <row r="182" spans="1:54" x14ac:dyDescent="0.2">
      <c r="A182" s="84"/>
      <c r="B182" s="85"/>
      <c r="C182" s="85"/>
      <c r="D182" s="85"/>
      <c r="E182" s="86"/>
      <c r="F182" s="16">
        <f>IF(E182="","",DATEDIF(E182,$I$7,"Y"))</f>
      </c>
      <c r="G182" s="85"/>
      <c r="H182" s="85"/>
      <c r="I182" s="87"/>
      <c r="J182" s="85"/>
      <c r="K182" s="85"/>
      <c r="L182" s="10"/>
      <c r="M182" s="10"/>
      <c r="N182" s="10"/>
      <c r="O182" s="10"/>
      <c r="P182" s="85"/>
      <c r="Q182" s="88"/>
      <c r="R182" s="3">
        <f>IFERROR(VLOOKUP(TablaEnero[[#This Row],[BARRIO]],SECTOR!$A:$B,2,0),"")</f>
      </c>
      <c r="S182" s="89"/>
      <c r="T182" s="90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6"/>
      <c r="AZ182" s="120">
        <f>COUNTIF(U182:AY182,"A")</f>
      </c>
      <c r="BA182" s="121">
        <f>COUNTIF(U182:AY182,"F")</f>
      </c>
      <c r="BB182" s="119">
        <f>COUNTIF(U182:AY182,"E")</f>
      </c>
    </row>
    <row r="183" spans="1:54" x14ac:dyDescent="0.2">
      <c r="A183" s="84"/>
      <c r="B183" s="85"/>
      <c r="C183" s="85"/>
      <c r="D183" s="85"/>
      <c r="E183" s="86"/>
      <c r="F183" s="16">
        <f>IF(E183="","",DATEDIF(E183,$I$7,"Y"))</f>
      </c>
      <c r="G183" s="85"/>
      <c r="H183" s="85"/>
      <c r="I183" s="87"/>
      <c r="J183" s="85"/>
      <c r="K183" s="85"/>
      <c r="L183" s="10"/>
      <c r="M183" s="10"/>
      <c r="N183" s="10"/>
      <c r="O183" s="10"/>
      <c r="P183" s="85"/>
      <c r="Q183" s="88"/>
      <c r="R183" s="3">
        <f>IFERROR(VLOOKUP(TablaEnero[[#This Row],[BARRIO]],SECTOR!$A:$B,2,0),"")</f>
      </c>
      <c r="S183" s="89"/>
      <c r="T183" s="90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6"/>
      <c r="AZ183" s="120">
        <f>COUNTIF(U183:AY183,"A")</f>
      </c>
      <c r="BA183" s="121">
        <f>COUNTIF(U183:AY183,"F")</f>
      </c>
      <c r="BB183" s="119">
        <f>COUNTIF(U183:AY183,"E")</f>
      </c>
    </row>
    <row r="184" spans="1:54" x14ac:dyDescent="0.2">
      <c r="A184" s="84"/>
      <c r="B184" s="85"/>
      <c r="C184" s="85"/>
      <c r="D184" s="85"/>
      <c r="E184" s="86"/>
      <c r="F184" s="16">
        <f>IF(E184="","",DATEDIF(E184,$I$7,"Y"))</f>
      </c>
      <c r="G184" s="85"/>
      <c r="H184" s="85"/>
      <c r="I184" s="87"/>
      <c r="J184" s="85"/>
      <c r="K184" s="85"/>
      <c r="L184" s="10"/>
      <c r="M184" s="10"/>
      <c r="N184" s="10"/>
      <c r="O184" s="10"/>
      <c r="P184" s="85"/>
      <c r="Q184" s="88"/>
      <c r="R184" s="3">
        <f>IFERROR(VLOOKUP(TablaEnero[[#This Row],[BARRIO]],SECTOR!$A:$B,2,0),"")</f>
      </c>
      <c r="S184" s="89"/>
      <c r="T184" s="90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6"/>
      <c r="AZ184" s="120">
        <f>COUNTIF(U184:AY184,"A")</f>
      </c>
      <c r="BA184" s="121">
        <f>COUNTIF(U184:AY184,"F")</f>
      </c>
      <c r="BB184" s="119">
        <f>COUNTIF(U184:AY184,"E")</f>
      </c>
    </row>
    <row r="185" spans="1:54" x14ac:dyDescent="0.2">
      <c r="A185" s="84"/>
      <c r="B185" s="85"/>
      <c r="C185" s="85"/>
      <c r="D185" s="85"/>
      <c r="E185" s="86"/>
      <c r="F185" s="16">
        <f>IF(E185="","",DATEDIF(E185,$I$7,"Y"))</f>
      </c>
      <c r="G185" s="85"/>
      <c r="H185" s="85"/>
      <c r="I185" s="87"/>
      <c r="J185" s="85"/>
      <c r="K185" s="85"/>
      <c r="L185" s="10"/>
      <c r="M185" s="10"/>
      <c r="N185" s="10"/>
      <c r="O185" s="10"/>
      <c r="P185" s="85"/>
      <c r="Q185" s="88"/>
      <c r="R185" s="3">
        <f>IFERROR(VLOOKUP(TablaEnero[[#This Row],[BARRIO]],SECTOR!$A:$B,2,0),"")</f>
      </c>
      <c r="S185" s="89"/>
      <c r="T185" s="90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6"/>
      <c r="AZ185" s="120">
        <f>COUNTIF(U185:AY185,"A")</f>
      </c>
      <c r="BA185" s="121">
        <f>COUNTIF(U185:AY185,"F")</f>
      </c>
      <c r="BB185" s="119">
        <f>COUNTIF(U185:AY185,"E")</f>
      </c>
    </row>
    <row r="186" spans="1:54" x14ac:dyDescent="0.2">
      <c r="A186" s="84"/>
      <c r="B186" s="85"/>
      <c r="C186" s="85"/>
      <c r="D186" s="85"/>
      <c r="E186" s="86"/>
      <c r="F186" s="16">
        <f>IF(E186="","",DATEDIF(E186,$I$7,"Y"))</f>
      </c>
      <c r="G186" s="85"/>
      <c r="H186" s="85"/>
      <c r="I186" s="87"/>
      <c r="J186" s="85"/>
      <c r="K186" s="85"/>
      <c r="L186" s="10"/>
      <c r="M186" s="10"/>
      <c r="N186" s="10"/>
      <c r="O186" s="10"/>
      <c r="P186" s="85"/>
      <c r="Q186" s="88"/>
      <c r="R186" s="3">
        <f>IFERROR(VLOOKUP(TablaEnero[[#This Row],[BARRIO]],SECTOR!$A:$B,2,0),"")</f>
      </c>
      <c r="S186" s="89"/>
      <c r="T186" s="90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6"/>
      <c r="AZ186" s="120">
        <f>COUNTIF(U186:AY186,"A")</f>
      </c>
      <c r="BA186" s="121">
        <f>COUNTIF(U186:AY186,"F")</f>
      </c>
      <c r="BB186" s="119">
        <f>COUNTIF(U186:AY186,"E")</f>
      </c>
    </row>
    <row r="187" spans="1:54" x14ac:dyDescent="0.2">
      <c r="A187" s="84"/>
      <c r="B187" s="85"/>
      <c r="C187" s="85"/>
      <c r="D187" s="85"/>
      <c r="E187" s="86"/>
      <c r="F187" s="16">
        <f>IF(E187="","",DATEDIF(E187,$I$7,"Y"))</f>
      </c>
      <c r="G187" s="85"/>
      <c r="H187" s="85"/>
      <c r="I187" s="87"/>
      <c r="J187" s="85"/>
      <c r="K187" s="85"/>
      <c r="L187" s="10"/>
      <c r="M187" s="10"/>
      <c r="N187" s="10"/>
      <c r="O187" s="10"/>
      <c r="P187" s="85"/>
      <c r="Q187" s="88"/>
      <c r="R187" s="3">
        <f>IFERROR(VLOOKUP(TablaEnero[[#This Row],[BARRIO]],SECTOR!$A:$B,2,0),"")</f>
      </c>
      <c r="S187" s="89"/>
      <c r="T187" s="90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6"/>
      <c r="AZ187" s="120">
        <f>COUNTIF(U187:AY187,"A")</f>
      </c>
      <c r="BA187" s="121">
        <f>COUNTIF(U187:AY187,"F")</f>
      </c>
      <c r="BB187" s="119">
        <f>COUNTIF(U187:AY187,"E")</f>
      </c>
    </row>
    <row r="188" spans="1:54" x14ac:dyDescent="0.2">
      <c r="A188" s="84"/>
      <c r="B188" s="85"/>
      <c r="C188" s="85"/>
      <c r="D188" s="85"/>
      <c r="E188" s="86"/>
      <c r="F188" s="16">
        <f>IF(E188="","",DATEDIF(E188,$I$7,"Y"))</f>
      </c>
      <c r="G188" s="85"/>
      <c r="H188" s="85"/>
      <c r="I188" s="87"/>
      <c r="J188" s="85"/>
      <c r="K188" s="85"/>
      <c r="L188" s="10"/>
      <c r="M188" s="10"/>
      <c r="N188" s="10"/>
      <c r="O188" s="10"/>
      <c r="P188" s="85"/>
      <c r="Q188" s="88"/>
      <c r="R188" s="3">
        <f>IFERROR(VLOOKUP(TablaEnero[[#This Row],[BARRIO]],SECTOR!$A:$B,2,0),"")</f>
      </c>
      <c r="S188" s="89"/>
      <c r="T188" s="90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6"/>
      <c r="AZ188" s="120">
        <f>COUNTIF(U188:AY188,"A")</f>
      </c>
      <c r="BA188" s="121">
        <f>COUNTIF(U188:AY188,"F")</f>
      </c>
      <c r="BB188" s="119">
        <f>COUNTIF(U188:AY188,"E")</f>
      </c>
    </row>
    <row r="189" spans="1:54" x14ac:dyDescent="0.2">
      <c r="A189" s="84"/>
      <c r="B189" s="85"/>
      <c r="C189" s="85"/>
      <c r="D189" s="85"/>
      <c r="E189" s="86"/>
      <c r="F189" s="16">
        <f>IF(E189="","",DATEDIF(E189,$I$7,"Y"))</f>
      </c>
      <c r="G189" s="85"/>
      <c r="H189" s="85"/>
      <c r="I189" s="87"/>
      <c r="J189" s="85"/>
      <c r="K189" s="85"/>
      <c r="L189" s="10"/>
      <c r="M189" s="10"/>
      <c r="N189" s="10"/>
      <c r="O189" s="10"/>
      <c r="P189" s="85"/>
      <c r="Q189" s="88"/>
      <c r="R189" s="3">
        <f>IFERROR(VLOOKUP(TablaEnero[[#This Row],[BARRIO]],SECTOR!$A:$B,2,0),"")</f>
      </c>
      <c r="S189" s="89"/>
      <c r="T189" s="90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6"/>
      <c r="AZ189" s="120">
        <f>COUNTIF(U189:AY189,"A")</f>
      </c>
      <c r="BA189" s="121">
        <f>COUNTIF(U189:AY189,"F")</f>
      </c>
      <c r="BB189" s="119">
        <f>COUNTIF(U189:AY189,"E")</f>
      </c>
    </row>
    <row r="190" spans="1:54" x14ac:dyDescent="0.2">
      <c r="A190" s="84"/>
      <c r="B190" s="85"/>
      <c r="C190" s="85"/>
      <c r="D190" s="85"/>
      <c r="E190" s="86"/>
      <c r="F190" s="16">
        <f>IF(E190="","",DATEDIF(E190,$I$7,"Y"))</f>
      </c>
      <c r="G190" s="85"/>
      <c r="H190" s="85"/>
      <c r="I190" s="87"/>
      <c r="J190" s="85"/>
      <c r="K190" s="85"/>
      <c r="L190" s="10"/>
      <c r="M190" s="10"/>
      <c r="N190" s="10"/>
      <c r="O190" s="10"/>
      <c r="P190" s="85"/>
      <c r="Q190" s="88"/>
      <c r="R190" s="3">
        <f>IFERROR(VLOOKUP(TablaEnero[[#This Row],[BARRIO]],SECTOR!$A:$B,2,0),"")</f>
      </c>
      <c r="S190" s="89"/>
      <c r="T190" s="90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6"/>
      <c r="AZ190" s="120">
        <f>COUNTIF(U190:AY190,"A")</f>
      </c>
      <c r="BA190" s="121">
        <f>COUNTIF(U190:AY190,"F")</f>
      </c>
      <c r="BB190" s="119">
        <f>COUNTIF(U190:AY190,"E")</f>
      </c>
    </row>
    <row r="191" spans="1:54" x14ac:dyDescent="0.2">
      <c r="A191" s="84"/>
      <c r="B191" s="85"/>
      <c r="C191" s="85"/>
      <c r="D191" s="85"/>
      <c r="E191" s="86"/>
      <c r="F191" s="16">
        <f>IF(E191="","",DATEDIF(E191,$I$7,"Y"))</f>
      </c>
      <c r="G191" s="85"/>
      <c r="H191" s="85"/>
      <c r="I191" s="87"/>
      <c r="J191" s="85"/>
      <c r="K191" s="85"/>
      <c r="L191" s="10"/>
      <c r="M191" s="10"/>
      <c r="N191" s="10"/>
      <c r="O191" s="10"/>
      <c r="P191" s="85"/>
      <c r="Q191" s="88"/>
      <c r="R191" s="3">
        <f>IFERROR(VLOOKUP(TablaEnero[[#This Row],[BARRIO]],SECTOR!$A:$B,2,0),"")</f>
      </c>
      <c r="S191" s="89"/>
      <c r="T191" s="90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6"/>
      <c r="AZ191" s="120">
        <f>COUNTIF(U191:AY191,"A")</f>
      </c>
      <c r="BA191" s="121">
        <f>COUNTIF(U191:AY191,"F")</f>
      </c>
      <c r="BB191" s="119">
        <f>COUNTIF(U191:AY191,"E")</f>
      </c>
    </row>
    <row r="192" spans="1:54" x14ac:dyDescent="0.2">
      <c r="A192" s="84"/>
      <c r="B192" s="85"/>
      <c r="C192" s="85"/>
      <c r="D192" s="85"/>
      <c r="E192" s="86"/>
      <c r="F192" s="16">
        <f>IF(E192="","",DATEDIF(E192,$I$7,"Y"))</f>
      </c>
      <c r="G192" s="85"/>
      <c r="H192" s="85"/>
      <c r="I192" s="87"/>
      <c r="J192" s="85"/>
      <c r="K192" s="85"/>
      <c r="L192" s="10"/>
      <c r="M192" s="10"/>
      <c r="N192" s="10"/>
      <c r="O192" s="10"/>
      <c r="P192" s="85"/>
      <c r="Q192" s="88"/>
      <c r="R192" s="3">
        <f>IFERROR(VLOOKUP(TablaEnero[[#This Row],[BARRIO]],SECTOR!$A:$B,2,0),"")</f>
      </c>
      <c r="S192" s="89"/>
      <c r="T192" s="90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6"/>
      <c r="AZ192" s="120">
        <f>COUNTIF(U192:AY192,"A")</f>
      </c>
      <c r="BA192" s="121">
        <f>COUNTIF(U192:AY192,"F")</f>
      </c>
      <c r="BB192" s="119">
        <f>COUNTIF(U192:AY192,"E")</f>
      </c>
    </row>
    <row r="193" spans="1:54" x14ac:dyDescent="0.2">
      <c r="A193" s="84"/>
      <c r="B193" s="85"/>
      <c r="C193" s="85"/>
      <c r="D193" s="85"/>
      <c r="E193" s="86"/>
      <c r="F193" s="16">
        <f>IF(E193="","",DATEDIF(E193,$I$7,"Y"))</f>
      </c>
      <c r="G193" s="85"/>
      <c r="H193" s="85"/>
      <c r="I193" s="87"/>
      <c r="J193" s="85"/>
      <c r="K193" s="85"/>
      <c r="L193" s="10"/>
      <c r="M193" s="10"/>
      <c r="N193" s="10"/>
      <c r="O193" s="10"/>
      <c r="P193" s="85"/>
      <c r="Q193" s="88"/>
      <c r="R193" s="3">
        <f>IFERROR(VLOOKUP(TablaEnero[[#This Row],[BARRIO]],SECTOR!$A:$B,2,0),"")</f>
      </c>
      <c r="S193" s="89"/>
      <c r="T193" s="90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6"/>
      <c r="AZ193" s="120">
        <f>COUNTIF(U193:AY193,"A")</f>
      </c>
      <c r="BA193" s="121">
        <f>COUNTIF(U193:AY193,"F")</f>
      </c>
      <c r="BB193" s="119">
        <f>COUNTIF(U193:AY193,"E")</f>
      </c>
    </row>
    <row r="194" spans="1:54" x14ac:dyDescent="0.2">
      <c r="A194" s="84"/>
      <c r="B194" s="85"/>
      <c r="C194" s="85"/>
      <c r="D194" s="85"/>
      <c r="E194" s="86"/>
      <c r="F194" s="16">
        <f>IF(E194="","",DATEDIF(E194,$I$7,"Y"))</f>
      </c>
      <c r="G194" s="85"/>
      <c r="H194" s="85"/>
      <c r="I194" s="87"/>
      <c r="J194" s="85"/>
      <c r="K194" s="85"/>
      <c r="L194" s="10"/>
      <c r="M194" s="10"/>
      <c r="N194" s="10"/>
      <c r="O194" s="10"/>
      <c r="P194" s="85"/>
      <c r="Q194" s="88"/>
      <c r="R194" s="3">
        <f>IFERROR(VLOOKUP(TablaEnero[[#This Row],[BARRIO]],SECTOR!$A:$B,2,0),"")</f>
      </c>
      <c r="S194" s="89"/>
      <c r="T194" s="90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6"/>
      <c r="AZ194" s="120">
        <f>COUNTIF(U194:AY194,"A")</f>
      </c>
      <c r="BA194" s="121">
        <f>COUNTIF(U194:AY194,"F")</f>
      </c>
      <c r="BB194" s="119">
        <f>COUNTIF(U194:AY194,"E")</f>
      </c>
    </row>
    <row r="195" spans="1:54" x14ac:dyDescent="0.2">
      <c r="A195" s="84"/>
      <c r="B195" s="85"/>
      <c r="C195" s="85"/>
      <c r="D195" s="85"/>
      <c r="E195" s="86"/>
      <c r="F195" s="16">
        <f>IF(E195="","",DATEDIF(E195,$I$7,"Y"))</f>
      </c>
      <c r="G195" s="85"/>
      <c r="H195" s="85"/>
      <c r="I195" s="87"/>
      <c r="J195" s="85"/>
      <c r="K195" s="85"/>
      <c r="L195" s="10"/>
      <c r="M195" s="10"/>
      <c r="N195" s="10"/>
      <c r="O195" s="10"/>
      <c r="P195" s="85"/>
      <c r="Q195" s="88"/>
      <c r="R195" s="3">
        <f>IFERROR(VLOOKUP(TablaEnero[[#This Row],[BARRIO]],SECTOR!$A:$B,2,0),"")</f>
      </c>
      <c r="S195" s="89"/>
      <c r="T195" s="90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6"/>
      <c r="AZ195" s="120">
        <f>COUNTIF(U195:AY195,"A")</f>
      </c>
      <c r="BA195" s="121">
        <f>COUNTIF(U195:AY195,"F")</f>
      </c>
      <c r="BB195" s="119">
        <f>COUNTIF(U195:AY195,"E")</f>
      </c>
    </row>
    <row r="196" spans="1:54" x14ac:dyDescent="0.2">
      <c r="A196" s="84"/>
      <c r="B196" s="85"/>
      <c r="C196" s="85"/>
      <c r="D196" s="85"/>
      <c r="E196" s="86"/>
      <c r="F196" s="16">
        <f>IF(E196="","",DATEDIF(E196,$I$7,"Y"))</f>
      </c>
      <c r="G196" s="85"/>
      <c r="H196" s="85"/>
      <c r="I196" s="87"/>
      <c r="J196" s="85"/>
      <c r="K196" s="85"/>
      <c r="L196" s="10"/>
      <c r="M196" s="10"/>
      <c r="N196" s="10"/>
      <c r="O196" s="10"/>
      <c r="P196" s="85"/>
      <c r="Q196" s="88"/>
      <c r="R196" s="3">
        <f>IFERROR(VLOOKUP(TablaEnero[[#This Row],[BARRIO]],SECTOR!$A:$B,2,0),"")</f>
      </c>
      <c r="S196" s="89"/>
      <c r="T196" s="90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6"/>
      <c r="AZ196" s="120">
        <f>COUNTIF(U196:AY196,"A")</f>
      </c>
      <c r="BA196" s="121">
        <f>COUNTIF(U196:AY196,"F")</f>
      </c>
      <c r="BB196" s="119">
        <f>COUNTIF(U196:AY196,"E")</f>
      </c>
    </row>
    <row r="197" spans="1:54" x14ac:dyDescent="0.2">
      <c r="A197" s="84"/>
      <c r="B197" s="85"/>
      <c r="C197" s="85"/>
      <c r="D197" s="85"/>
      <c r="E197" s="86"/>
      <c r="F197" s="16">
        <f>IF(E197="","",DATEDIF(E197,$I$7,"Y"))</f>
      </c>
      <c r="G197" s="85"/>
      <c r="H197" s="85"/>
      <c r="I197" s="87"/>
      <c r="J197" s="85"/>
      <c r="K197" s="85"/>
      <c r="L197" s="10"/>
      <c r="M197" s="10"/>
      <c r="N197" s="10"/>
      <c r="O197" s="10"/>
      <c r="P197" s="85"/>
      <c r="Q197" s="88"/>
      <c r="R197" s="3">
        <f>IFERROR(VLOOKUP(TablaEnero[[#This Row],[BARRIO]],SECTOR!$A:$B,2,0),"")</f>
      </c>
      <c r="S197" s="89"/>
      <c r="T197" s="90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6"/>
      <c r="AZ197" s="120">
        <f>COUNTIF(U197:AY197,"A")</f>
      </c>
      <c r="BA197" s="121">
        <f>COUNTIF(U197:AY197,"F")</f>
      </c>
      <c r="BB197" s="119">
        <f>COUNTIF(U197:AY197,"E")</f>
      </c>
    </row>
    <row r="198" spans="1:54" x14ac:dyDescent="0.2">
      <c r="A198" s="84"/>
      <c r="B198" s="85"/>
      <c r="C198" s="85"/>
      <c r="D198" s="85"/>
      <c r="E198" s="86"/>
      <c r="F198" s="16">
        <f>IF(E198="","",DATEDIF(E198,$I$7,"Y"))</f>
      </c>
      <c r="G198" s="85"/>
      <c r="H198" s="85"/>
      <c r="I198" s="87"/>
      <c r="J198" s="85"/>
      <c r="K198" s="85"/>
      <c r="L198" s="10"/>
      <c r="M198" s="10"/>
      <c r="N198" s="10"/>
      <c r="O198" s="10"/>
      <c r="P198" s="85"/>
      <c r="Q198" s="88"/>
      <c r="R198" s="3">
        <f>IFERROR(VLOOKUP(TablaEnero[[#This Row],[BARRIO]],SECTOR!$A:$B,2,0),"")</f>
      </c>
      <c r="S198" s="89"/>
      <c r="T198" s="90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6"/>
      <c r="AZ198" s="120">
        <f>COUNTIF(U198:AY198,"A")</f>
      </c>
      <c r="BA198" s="121">
        <f>COUNTIF(U198:AY198,"F")</f>
      </c>
      <c r="BB198" s="119">
        <f>COUNTIF(U198:AY198,"E")</f>
      </c>
    </row>
    <row r="199" spans="1:54" x14ac:dyDescent="0.2">
      <c r="A199" s="84"/>
      <c r="B199" s="85"/>
      <c r="C199" s="85"/>
      <c r="D199" s="85"/>
      <c r="E199" s="86"/>
      <c r="F199" s="16">
        <f>IF(E199="","",DATEDIF(E199,$I$7,"Y"))</f>
      </c>
      <c r="G199" s="85"/>
      <c r="H199" s="85"/>
      <c r="I199" s="87"/>
      <c r="J199" s="85"/>
      <c r="K199" s="85"/>
      <c r="L199" s="10"/>
      <c r="M199" s="10"/>
      <c r="N199" s="10"/>
      <c r="O199" s="10"/>
      <c r="P199" s="85"/>
      <c r="Q199" s="88"/>
      <c r="R199" s="3">
        <f>IFERROR(VLOOKUP(TablaEnero[[#This Row],[BARRIO]],SECTOR!$A:$B,2,0),"")</f>
      </c>
      <c r="S199" s="89"/>
      <c r="T199" s="90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6"/>
      <c r="AZ199" s="120">
        <f>COUNTIF(U199:AY199,"A")</f>
      </c>
      <c r="BA199" s="121">
        <f>COUNTIF(U199:AY199,"F")</f>
      </c>
      <c r="BB199" s="119">
        <f>COUNTIF(U199:AY199,"E")</f>
      </c>
    </row>
    <row r="200" spans="1:54" x14ac:dyDescent="0.2">
      <c r="A200" s="84"/>
      <c r="B200" s="85"/>
      <c r="C200" s="85"/>
      <c r="D200" s="85"/>
      <c r="E200" s="86"/>
      <c r="F200" s="16">
        <f>IF(E200="","",DATEDIF(E200,$I$7,"Y"))</f>
      </c>
      <c r="G200" s="85"/>
      <c r="H200" s="85"/>
      <c r="I200" s="87"/>
      <c r="J200" s="85"/>
      <c r="K200" s="85"/>
      <c r="L200" s="10"/>
      <c r="M200" s="10"/>
      <c r="N200" s="10"/>
      <c r="O200" s="10"/>
      <c r="P200" s="85"/>
      <c r="Q200" s="88"/>
      <c r="R200" s="3">
        <f>IFERROR(VLOOKUP(TablaEnero[[#This Row],[BARRIO]],SECTOR!$A:$B,2,0),"")</f>
      </c>
      <c r="S200" s="89"/>
      <c r="T200" s="90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6"/>
      <c r="AZ200" s="120">
        <f>COUNTIF(U200:AY200,"A")</f>
      </c>
      <c r="BA200" s="121">
        <f>COUNTIF(U200:AY200,"F")</f>
      </c>
      <c r="BB200" s="119">
        <f>COUNTIF(U200:AY200,"E")</f>
      </c>
    </row>
    <row r="201" spans="1:54" x14ac:dyDescent="0.2">
      <c r="A201" s="84"/>
      <c r="B201" s="85"/>
      <c r="C201" s="85"/>
      <c r="D201" s="85"/>
      <c r="E201" s="86"/>
      <c r="F201" s="16">
        <f>IF(E201="","",DATEDIF(E201,$I$7,"Y"))</f>
      </c>
      <c r="G201" s="85"/>
      <c r="H201" s="85"/>
      <c r="I201" s="87"/>
      <c r="J201" s="85"/>
      <c r="K201" s="85"/>
      <c r="L201" s="10"/>
      <c r="M201" s="10"/>
      <c r="N201" s="10"/>
      <c r="O201" s="10"/>
      <c r="P201" s="85"/>
      <c r="Q201" s="88"/>
      <c r="R201" s="3">
        <f>IFERROR(VLOOKUP(TablaEnero[[#This Row],[BARRIO]],SECTOR!$A:$B,2,0),"")</f>
      </c>
      <c r="S201" s="89"/>
      <c r="T201" s="90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6"/>
      <c r="AZ201" s="120">
        <f>COUNTIF(U201:AY201,"A")</f>
      </c>
      <c r="BA201" s="121">
        <f>COUNTIF(U201:AY201,"F")</f>
      </c>
      <c r="BB201" s="119">
        <f>COUNTIF(U201:AY201,"E")</f>
      </c>
    </row>
    <row r="202" spans="1:54" x14ac:dyDescent="0.2">
      <c r="A202" s="84"/>
      <c r="B202" s="85"/>
      <c r="C202" s="85"/>
      <c r="D202" s="85"/>
      <c r="E202" s="86"/>
      <c r="F202" s="16">
        <f>IF(E202="","",DATEDIF(E202,$I$7,"Y"))</f>
      </c>
      <c r="G202" s="85"/>
      <c r="H202" s="85"/>
      <c r="I202" s="87"/>
      <c r="J202" s="85"/>
      <c r="K202" s="85"/>
      <c r="L202" s="10"/>
      <c r="M202" s="10"/>
      <c r="N202" s="10"/>
      <c r="O202" s="10"/>
      <c r="P202" s="85"/>
      <c r="Q202" s="88"/>
      <c r="R202" s="3">
        <f>IFERROR(VLOOKUP(TablaEnero[[#This Row],[BARRIO]],SECTOR!$A:$B,2,0),"")</f>
      </c>
      <c r="S202" s="89"/>
      <c r="T202" s="90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6"/>
      <c r="AZ202" s="120">
        <f>COUNTIF(U202:AY202,"A")</f>
      </c>
      <c r="BA202" s="121">
        <f>COUNTIF(U202:AY202,"F")</f>
      </c>
      <c r="BB202" s="119">
        <f>COUNTIF(U202:AY202,"E")</f>
      </c>
    </row>
    <row r="203" spans="1:54" x14ac:dyDescent="0.2">
      <c r="A203" s="84"/>
      <c r="B203" s="85"/>
      <c r="C203" s="85"/>
      <c r="D203" s="85"/>
      <c r="E203" s="86"/>
      <c r="F203" s="16">
        <f>IF(E203="","",DATEDIF(E203,$I$7,"Y"))</f>
      </c>
      <c r="G203" s="85"/>
      <c r="H203" s="85"/>
      <c r="I203" s="87"/>
      <c r="J203" s="85"/>
      <c r="K203" s="85"/>
      <c r="L203" s="10"/>
      <c r="M203" s="10"/>
      <c r="N203" s="10"/>
      <c r="O203" s="10"/>
      <c r="P203" s="85"/>
      <c r="Q203" s="88"/>
      <c r="R203" s="3">
        <f>IFERROR(VLOOKUP(TablaEnero[[#This Row],[BARRIO]],SECTOR!$A:$B,2,0),"")</f>
      </c>
      <c r="S203" s="89"/>
      <c r="T203" s="90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6"/>
      <c r="AZ203" s="120">
        <f>COUNTIF(U203:AY203,"A")</f>
      </c>
      <c r="BA203" s="121">
        <f>COUNTIF(U203:AY203,"F")</f>
      </c>
      <c r="BB203" s="119">
        <f>COUNTIF(U203:AY203,"E")</f>
      </c>
    </row>
    <row r="204" spans="1:54" x14ac:dyDescent="0.2">
      <c r="A204" s="84"/>
      <c r="B204" s="85"/>
      <c r="C204" s="85"/>
      <c r="D204" s="85"/>
      <c r="E204" s="86"/>
      <c r="F204" s="16">
        <f>IF(E204="","",DATEDIF(E204,$I$7,"Y"))</f>
      </c>
      <c r="G204" s="85"/>
      <c r="H204" s="85"/>
      <c r="I204" s="87"/>
      <c r="J204" s="85"/>
      <c r="K204" s="85"/>
      <c r="L204" s="10"/>
      <c r="M204" s="10"/>
      <c r="N204" s="10"/>
      <c r="O204" s="10"/>
      <c r="P204" s="85"/>
      <c r="Q204" s="88"/>
      <c r="R204" s="3">
        <f>IFERROR(VLOOKUP(TablaEnero[[#This Row],[BARRIO]],SECTOR!$A:$B,2,0),"")</f>
      </c>
      <c r="S204" s="89"/>
      <c r="T204" s="90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6"/>
      <c r="AZ204" s="120">
        <f>COUNTIF(U204:AY204,"A")</f>
      </c>
      <c r="BA204" s="121">
        <f>COUNTIF(U204:AY204,"F")</f>
      </c>
      <c r="BB204" s="119">
        <f>COUNTIF(U204:AY204,"E")</f>
      </c>
    </row>
    <row r="205" spans="1:54" x14ac:dyDescent="0.2">
      <c r="A205" s="84"/>
      <c r="B205" s="85"/>
      <c r="C205" s="85"/>
      <c r="D205" s="85"/>
      <c r="E205" s="86"/>
      <c r="F205" s="16">
        <f>IF(E205="","",DATEDIF(E205,$I$7,"Y"))</f>
      </c>
      <c r="G205" s="85"/>
      <c r="H205" s="85"/>
      <c r="I205" s="87"/>
      <c r="J205" s="85"/>
      <c r="K205" s="85"/>
      <c r="L205" s="10"/>
      <c r="M205" s="10"/>
      <c r="N205" s="10"/>
      <c r="O205" s="10"/>
      <c r="P205" s="85"/>
      <c r="Q205" s="88"/>
      <c r="R205" s="3">
        <f>IFERROR(VLOOKUP(TablaEnero[[#This Row],[BARRIO]],SECTOR!$A:$B,2,0),"")</f>
      </c>
      <c r="S205" s="89"/>
      <c r="T205" s="90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6"/>
      <c r="AZ205" s="120">
        <f>COUNTIF(U205:AY205,"A")</f>
      </c>
      <c r="BA205" s="121">
        <f>COUNTIF(U205:AY205,"F")</f>
      </c>
      <c r="BB205" s="119">
        <f>COUNTIF(U205:AY205,"E")</f>
      </c>
    </row>
    <row r="206" spans="1:54" x14ac:dyDescent="0.2">
      <c r="A206" s="84"/>
      <c r="B206" s="85"/>
      <c r="C206" s="85"/>
      <c r="D206" s="85"/>
      <c r="E206" s="86"/>
      <c r="F206" s="16">
        <f>IF(E206="","",DATEDIF(E206,$I$7,"Y"))</f>
      </c>
      <c r="G206" s="85"/>
      <c r="H206" s="85"/>
      <c r="I206" s="87"/>
      <c r="J206" s="85"/>
      <c r="K206" s="85"/>
      <c r="L206" s="10"/>
      <c r="M206" s="10"/>
      <c r="N206" s="10"/>
      <c r="O206" s="10"/>
      <c r="P206" s="85"/>
      <c r="Q206" s="88"/>
      <c r="R206" s="3">
        <f>IFERROR(VLOOKUP(TablaEnero[[#This Row],[BARRIO]],SECTOR!$A:$B,2,0),"")</f>
      </c>
      <c r="S206" s="89"/>
      <c r="T206" s="90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6"/>
      <c r="AZ206" s="120">
        <f>COUNTIF(U206:AY206,"A")</f>
      </c>
      <c r="BA206" s="121">
        <f>COUNTIF(U206:AY206,"F")</f>
      </c>
      <c r="BB206" s="119">
        <f>COUNTIF(U206:AY206,"E")</f>
      </c>
    </row>
    <row r="207" spans="1:54" x14ac:dyDescent="0.2">
      <c r="A207" s="84"/>
      <c r="B207" s="85"/>
      <c r="C207" s="85"/>
      <c r="D207" s="85"/>
      <c r="E207" s="86"/>
      <c r="F207" s="16">
        <f>IF(E207="","",DATEDIF(E207,$I$7,"Y"))</f>
      </c>
      <c r="G207" s="85"/>
      <c r="H207" s="85"/>
      <c r="I207" s="87"/>
      <c r="J207" s="85"/>
      <c r="K207" s="85"/>
      <c r="L207" s="10"/>
      <c r="M207" s="10"/>
      <c r="N207" s="10"/>
      <c r="O207" s="10"/>
      <c r="P207" s="85"/>
      <c r="Q207" s="88"/>
      <c r="R207" s="3">
        <f>IFERROR(VLOOKUP(TablaEnero[[#This Row],[BARRIO]],SECTOR!$A:$B,2,0),"")</f>
      </c>
      <c r="S207" s="89"/>
      <c r="T207" s="90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6"/>
      <c r="AZ207" s="120">
        <f>COUNTIF(U207:AY207,"A")</f>
      </c>
      <c r="BA207" s="121">
        <f>COUNTIF(U207:AY207,"F")</f>
      </c>
      <c r="BB207" s="119">
        <f>COUNTIF(U207:AY207,"E")</f>
      </c>
    </row>
    <row r="208" spans="1:54" x14ac:dyDescent="0.2">
      <c r="A208" s="84"/>
      <c r="B208" s="85"/>
      <c r="C208" s="85"/>
      <c r="D208" s="85"/>
      <c r="E208" s="86"/>
      <c r="F208" s="16">
        <f>IF(E208="","",DATEDIF(E208,$I$7,"Y"))</f>
      </c>
      <c r="G208" s="85"/>
      <c r="H208" s="85"/>
      <c r="I208" s="87"/>
      <c r="J208" s="85"/>
      <c r="K208" s="85"/>
      <c r="L208" s="10"/>
      <c r="M208" s="10"/>
      <c r="N208" s="10"/>
      <c r="O208" s="10"/>
      <c r="P208" s="85"/>
      <c r="Q208" s="88"/>
      <c r="R208" s="3">
        <f>IFERROR(VLOOKUP(TablaEnero[[#This Row],[BARRIO]],SECTOR!$A:$B,2,0),"")</f>
      </c>
      <c r="S208" s="89"/>
      <c r="T208" s="90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6"/>
      <c r="AZ208" s="120">
        <f>COUNTIF(U208:AY208,"A")</f>
      </c>
      <c r="BA208" s="121">
        <f>COUNTIF(U208:AY208,"F")</f>
      </c>
      <c r="BB208" s="119">
        <f>COUNTIF(U208:AY208,"E")</f>
      </c>
    </row>
    <row r="209" spans="1:54" x14ac:dyDescent="0.2">
      <c r="A209" s="84"/>
      <c r="B209" s="85"/>
      <c r="C209" s="85"/>
      <c r="D209" s="85"/>
      <c r="E209" s="86"/>
      <c r="F209" s="16">
        <f>IF(E209="","",DATEDIF(E209,$I$7,"Y"))</f>
      </c>
      <c r="G209" s="85"/>
      <c r="H209" s="85"/>
      <c r="I209" s="87"/>
      <c r="J209" s="85"/>
      <c r="K209" s="85"/>
      <c r="L209" s="10"/>
      <c r="M209" s="10"/>
      <c r="N209" s="10"/>
      <c r="O209" s="10"/>
      <c r="P209" s="85"/>
      <c r="Q209" s="88"/>
      <c r="R209" s="3">
        <f>IFERROR(VLOOKUP(TablaEnero[[#This Row],[BARRIO]],SECTOR!$A:$B,2,0),"")</f>
      </c>
      <c r="S209" s="89"/>
      <c r="T209" s="90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6"/>
      <c r="AZ209" s="120">
        <f>COUNTIF(U209:AY209,"A")</f>
      </c>
      <c r="BA209" s="121">
        <f>COUNTIF(U209:AY209,"F")</f>
      </c>
      <c r="BB209" s="119">
        <f>COUNTIF(U209:AY209,"E")</f>
      </c>
    </row>
    <row r="210" spans="1:54" x14ac:dyDescent="0.2">
      <c r="A210" s="84"/>
      <c r="B210" s="85"/>
      <c r="C210" s="85"/>
      <c r="D210" s="85"/>
      <c r="E210" s="86"/>
      <c r="F210" s="16">
        <f>IF(E210="","",DATEDIF(E210,$I$7,"Y"))</f>
      </c>
      <c r="G210" s="85"/>
      <c r="H210" s="85"/>
      <c r="I210" s="87"/>
      <c r="J210" s="85"/>
      <c r="K210" s="85"/>
      <c r="L210" s="10"/>
      <c r="M210" s="10"/>
      <c r="N210" s="10"/>
      <c r="O210" s="10"/>
      <c r="P210" s="85"/>
      <c r="Q210" s="88"/>
      <c r="R210" s="3">
        <f>IFERROR(VLOOKUP(TablaEnero[[#This Row],[BARRIO]],SECTOR!$A:$B,2,0),"")</f>
      </c>
      <c r="S210" s="89"/>
      <c r="T210" s="90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6"/>
      <c r="AZ210" s="120">
        <f>COUNTIF(U210:AY210,"A")</f>
      </c>
      <c r="BA210" s="121">
        <f>COUNTIF(U210:AY210,"F")</f>
      </c>
      <c r="BB210" s="119">
        <f>COUNTIF(U210:AY210,"E")</f>
      </c>
    </row>
    <row r="211" spans="1:54" x14ac:dyDescent="0.2">
      <c r="A211" s="84"/>
      <c r="B211" s="85"/>
      <c r="C211" s="85"/>
      <c r="D211" s="85"/>
      <c r="E211" s="86"/>
      <c r="F211" s="16">
        <f>IF(E211="","",DATEDIF(E211,$I$7,"Y"))</f>
      </c>
      <c r="G211" s="85"/>
      <c r="H211" s="85"/>
      <c r="I211" s="87"/>
      <c r="J211" s="85"/>
      <c r="K211" s="85"/>
      <c r="L211" s="10"/>
      <c r="M211" s="10"/>
      <c r="N211" s="10"/>
      <c r="O211" s="10"/>
      <c r="P211" s="85"/>
      <c r="Q211" s="88"/>
      <c r="R211" s="3">
        <f>IFERROR(VLOOKUP(TablaEnero[[#This Row],[BARRIO]],SECTOR!$A:$B,2,0),"")</f>
      </c>
      <c r="S211" s="89"/>
      <c r="T211" s="90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6"/>
      <c r="AZ211" s="120">
        <f>COUNTIF(U211:AY211,"A")</f>
      </c>
      <c r="BA211" s="121">
        <f>COUNTIF(U211:AY211,"F")</f>
      </c>
      <c r="BB211" s="119">
        <f>COUNTIF(U211:AY211,"E")</f>
      </c>
    </row>
    <row r="212" spans="1:54" x14ac:dyDescent="0.2">
      <c r="A212" s="84"/>
      <c r="B212" s="85"/>
      <c r="C212" s="85"/>
      <c r="D212" s="85"/>
      <c r="E212" s="86"/>
      <c r="F212" s="16">
        <f>IF(E212="","",DATEDIF(E212,$I$7,"Y"))</f>
      </c>
      <c r="G212" s="85"/>
      <c r="H212" s="85"/>
      <c r="I212" s="87"/>
      <c r="J212" s="85"/>
      <c r="K212" s="85"/>
      <c r="L212" s="10"/>
      <c r="M212" s="10"/>
      <c r="N212" s="10"/>
      <c r="O212" s="10"/>
      <c r="P212" s="85"/>
      <c r="Q212" s="88"/>
      <c r="R212" s="3">
        <f>IFERROR(VLOOKUP(TablaEnero[[#This Row],[BARRIO]],SECTOR!$A:$B,2,0),"")</f>
      </c>
      <c r="S212" s="89"/>
      <c r="T212" s="90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6"/>
      <c r="AZ212" s="120">
        <f>COUNTIF(U212:AY212,"A")</f>
      </c>
      <c r="BA212" s="121">
        <f>COUNTIF(U212:AY212,"F")</f>
      </c>
      <c r="BB212" s="119">
        <f>COUNTIF(U212:AY212,"E")</f>
      </c>
    </row>
    <row r="213" spans="1:54" x14ac:dyDescent="0.2">
      <c r="A213" s="84"/>
      <c r="B213" s="85"/>
      <c r="C213" s="85"/>
      <c r="D213" s="85"/>
      <c r="E213" s="86"/>
      <c r="F213" s="16">
        <f>IF(E213="","",DATEDIF(E213,$I$7,"Y"))</f>
      </c>
      <c r="G213" s="85"/>
      <c r="H213" s="85"/>
      <c r="I213" s="87"/>
      <c r="J213" s="85"/>
      <c r="K213" s="85"/>
      <c r="L213" s="10"/>
      <c r="M213" s="10"/>
      <c r="N213" s="10"/>
      <c r="O213" s="10"/>
      <c r="P213" s="85"/>
      <c r="Q213" s="88"/>
      <c r="R213" s="3">
        <f>IFERROR(VLOOKUP(TablaEnero[[#This Row],[BARRIO]],SECTOR!$A:$B,2,0),"")</f>
      </c>
      <c r="S213" s="89"/>
      <c r="T213" s="90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6"/>
      <c r="AZ213" s="120">
        <f>COUNTIF(U213:AY213,"A")</f>
      </c>
      <c r="BA213" s="121">
        <f>COUNTIF(U213:AY213,"F")</f>
      </c>
      <c r="BB213" s="119">
        <f>COUNTIF(U213:AY213,"E")</f>
      </c>
    </row>
    <row r="214" spans="1:54" x14ac:dyDescent="0.2">
      <c r="A214" s="84"/>
      <c r="B214" s="85"/>
      <c r="C214" s="85"/>
      <c r="D214" s="85"/>
      <c r="E214" s="86"/>
      <c r="F214" s="16">
        <f>IF(E214="","",DATEDIF(E214,$I$7,"Y"))</f>
      </c>
      <c r="G214" s="85"/>
      <c r="H214" s="85"/>
      <c r="I214" s="87"/>
      <c r="J214" s="85"/>
      <c r="K214" s="85"/>
      <c r="L214" s="10"/>
      <c r="M214" s="10"/>
      <c r="N214" s="10"/>
      <c r="O214" s="10"/>
      <c r="P214" s="85"/>
      <c r="Q214" s="88"/>
      <c r="R214" s="3">
        <f>IFERROR(VLOOKUP(TablaEnero[[#This Row],[BARRIO]],SECTOR!$A:$B,2,0),"")</f>
      </c>
      <c r="S214" s="89"/>
      <c r="T214" s="90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6"/>
      <c r="AZ214" s="120">
        <f>COUNTIF(U214:AY214,"A")</f>
      </c>
      <c r="BA214" s="121">
        <f>COUNTIF(U214:AY214,"F")</f>
      </c>
      <c r="BB214" s="119">
        <f>COUNTIF(U214:AY214,"E")</f>
      </c>
    </row>
    <row r="215" spans="1:54" x14ac:dyDescent="0.2">
      <c r="A215" s="84"/>
      <c r="B215" s="85"/>
      <c r="C215" s="85"/>
      <c r="D215" s="85"/>
      <c r="E215" s="86"/>
      <c r="F215" s="16">
        <f>IF(E215="","",DATEDIF(E215,$I$7,"Y"))</f>
      </c>
      <c r="G215" s="85"/>
      <c r="H215" s="85"/>
      <c r="I215" s="87"/>
      <c r="J215" s="85"/>
      <c r="K215" s="85"/>
      <c r="L215" s="10"/>
      <c r="M215" s="10"/>
      <c r="N215" s="10"/>
      <c r="O215" s="10"/>
      <c r="P215" s="85"/>
      <c r="Q215" s="88"/>
      <c r="R215" s="3">
        <f>IFERROR(VLOOKUP(TablaEnero[[#This Row],[BARRIO]],SECTOR!$A:$B,2,0),"")</f>
      </c>
      <c r="S215" s="89"/>
      <c r="T215" s="90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6"/>
      <c r="AZ215" s="120">
        <f>COUNTIF(U215:AY215,"A")</f>
      </c>
      <c r="BA215" s="121">
        <f>COUNTIF(U215:AY215,"F")</f>
      </c>
      <c r="BB215" s="119">
        <f>COUNTIF(U215:AY215,"E")</f>
      </c>
    </row>
    <row r="216" spans="1:54" x14ac:dyDescent="0.2">
      <c r="A216" s="84"/>
      <c r="B216" s="85"/>
      <c r="C216" s="85"/>
      <c r="D216" s="85"/>
      <c r="E216" s="86"/>
      <c r="F216" s="16">
        <f>IF(E216="","",DATEDIF(E216,$I$7,"Y"))</f>
      </c>
      <c r="G216" s="85"/>
      <c r="H216" s="85"/>
      <c r="I216" s="87"/>
      <c r="J216" s="85"/>
      <c r="K216" s="85"/>
      <c r="L216" s="10"/>
      <c r="M216" s="10"/>
      <c r="N216" s="10"/>
      <c r="O216" s="10"/>
      <c r="P216" s="85"/>
      <c r="Q216" s="88"/>
      <c r="R216" s="3">
        <f>IFERROR(VLOOKUP(TablaEnero[[#This Row],[BARRIO]],SECTOR!$A:$B,2,0),"")</f>
      </c>
      <c r="S216" s="89"/>
      <c r="T216" s="90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6"/>
      <c r="AZ216" s="120">
        <f>COUNTIF(U216:AY216,"A")</f>
      </c>
      <c r="BA216" s="121">
        <f>COUNTIF(U216:AY216,"F")</f>
      </c>
      <c r="BB216" s="119">
        <f>COUNTIF(U216:AY216,"E")</f>
      </c>
    </row>
    <row r="217" spans="1:54" x14ac:dyDescent="0.2">
      <c r="A217" s="84"/>
      <c r="B217" s="85"/>
      <c r="C217" s="85"/>
      <c r="D217" s="85"/>
      <c r="E217" s="86"/>
      <c r="F217" s="16">
        <f>IF(E217="","",DATEDIF(E217,$I$7,"Y"))</f>
      </c>
      <c r="G217" s="85"/>
      <c r="H217" s="85"/>
      <c r="I217" s="87"/>
      <c r="J217" s="85"/>
      <c r="K217" s="85"/>
      <c r="L217" s="10"/>
      <c r="M217" s="10"/>
      <c r="N217" s="10"/>
      <c r="O217" s="10"/>
      <c r="P217" s="85"/>
      <c r="Q217" s="88"/>
      <c r="R217" s="3">
        <f>IFERROR(VLOOKUP(TablaEnero[[#This Row],[BARRIO]],SECTOR!$A:$B,2,0),"")</f>
      </c>
      <c r="S217" s="89"/>
      <c r="T217" s="90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6"/>
      <c r="AZ217" s="120">
        <f>COUNTIF(U217:AY217,"A")</f>
      </c>
      <c r="BA217" s="121">
        <f>COUNTIF(U217:AY217,"F")</f>
      </c>
      <c r="BB217" s="119">
        <f>COUNTIF(U217:AY217,"E")</f>
      </c>
    </row>
    <row r="218" spans="1:54" x14ac:dyDescent="0.2">
      <c r="A218" s="84"/>
      <c r="B218" s="85"/>
      <c r="C218" s="85"/>
      <c r="D218" s="85"/>
      <c r="E218" s="86"/>
      <c r="F218" s="16">
        <f>IF(E218="","",DATEDIF(E218,$I$7,"Y"))</f>
      </c>
      <c r="G218" s="85"/>
      <c r="H218" s="85"/>
      <c r="I218" s="87"/>
      <c r="J218" s="85"/>
      <c r="K218" s="85"/>
      <c r="L218" s="10"/>
      <c r="M218" s="10"/>
      <c r="N218" s="10"/>
      <c r="O218" s="10"/>
      <c r="P218" s="85"/>
      <c r="Q218" s="88"/>
      <c r="R218" s="3">
        <f>IFERROR(VLOOKUP(TablaEnero[[#This Row],[BARRIO]],SECTOR!$A:$B,2,0),"")</f>
      </c>
      <c r="S218" s="89"/>
      <c r="T218" s="90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6"/>
      <c r="AZ218" s="120">
        <f>COUNTIF(U218:AY218,"A")</f>
      </c>
      <c r="BA218" s="121">
        <f>COUNTIF(U218:AY218,"F")</f>
      </c>
      <c r="BB218" s="119">
        <f>COUNTIF(U218:AY218,"E")</f>
      </c>
    </row>
    <row r="219" spans="1:54" x14ac:dyDescent="0.2">
      <c r="A219" s="84"/>
      <c r="B219" s="85"/>
      <c r="C219" s="85"/>
      <c r="D219" s="85"/>
      <c r="E219" s="86"/>
      <c r="F219" s="16">
        <f>IF(E219="","",DATEDIF(E219,$I$7,"Y"))</f>
      </c>
      <c r="G219" s="85"/>
      <c r="H219" s="85"/>
      <c r="I219" s="87"/>
      <c r="J219" s="85"/>
      <c r="K219" s="85"/>
      <c r="L219" s="10"/>
      <c r="M219" s="10"/>
      <c r="N219" s="10"/>
      <c r="O219" s="10"/>
      <c r="P219" s="85"/>
      <c r="Q219" s="88"/>
      <c r="R219" s="3">
        <f>IFERROR(VLOOKUP(TablaEnero[[#This Row],[BARRIO]],SECTOR!$A:$B,2,0),"")</f>
      </c>
      <c r="S219" s="89"/>
      <c r="T219" s="90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6"/>
      <c r="AZ219" s="120">
        <f>COUNTIF(U219:AY219,"A")</f>
      </c>
      <c r="BA219" s="121">
        <f>COUNTIF(U219:AY219,"F")</f>
      </c>
      <c r="BB219" s="119">
        <f>COUNTIF(U219:AY219,"E")</f>
      </c>
    </row>
    <row r="220" spans="1:54" x14ac:dyDescent="0.2">
      <c r="A220" s="84"/>
      <c r="B220" s="85"/>
      <c r="C220" s="85"/>
      <c r="D220" s="85"/>
      <c r="E220" s="86"/>
      <c r="F220" s="16">
        <f>IF(E220="","",DATEDIF(E220,$I$7,"Y"))</f>
      </c>
      <c r="G220" s="85"/>
      <c r="H220" s="85"/>
      <c r="I220" s="87"/>
      <c r="J220" s="85"/>
      <c r="K220" s="85"/>
      <c r="L220" s="10"/>
      <c r="M220" s="10"/>
      <c r="N220" s="10"/>
      <c r="O220" s="10"/>
      <c r="P220" s="85"/>
      <c r="Q220" s="88"/>
      <c r="R220" s="3">
        <f>IFERROR(VLOOKUP(TablaEnero[[#This Row],[BARRIO]],SECTOR!$A:$B,2,0),"")</f>
      </c>
      <c r="S220" s="89"/>
      <c r="T220" s="90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6"/>
      <c r="AZ220" s="120">
        <f>COUNTIF(U220:AY220,"A")</f>
      </c>
      <c r="BA220" s="121">
        <f>COUNTIF(U220:AY220,"F")</f>
      </c>
      <c r="BB220" s="119">
        <f>COUNTIF(U220:AY220,"E")</f>
      </c>
    </row>
    <row r="221" spans="1:54" x14ac:dyDescent="0.2">
      <c r="A221" s="84"/>
      <c r="B221" s="85"/>
      <c r="C221" s="85"/>
      <c r="D221" s="85"/>
      <c r="E221" s="86"/>
      <c r="F221" s="16">
        <f>IF(E221="","",DATEDIF(E221,$I$7,"Y"))</f>
      </c>
      <c r="G221" s="85"/>
      <c r="H221" s="85"/>
      <c r="I221" s="87"/>
      <c r="J221" s="85"/>
      <c r="K221" s="85"/>
      <c r="L221" s="10"/>
      <c r="M221" s="10"/>
      <c r="N221" s="10"/>
      <c r="O221" s="10"/>
      <c r="P221" s="85"/>
      <c r="Q221" s="88"/>
      <c r="R221" s="3">
        <f>IFERROR(VLOOKUP(TablaEnero[[#This Row],[BARRIO]],SECTOR!$A:$B,2,0),"")</f>
      </c>
      <c r="S221" s="89"/>
      <c r="T221" s="90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6"/>
      <c r="AZ221" s="120">
        <f>COUNTIF(U221:AY221,"A")</f>
      </c>
      <c r="BA221" s="121">
        <f>COUNTIF(U221:AY221,"F")</f>
      </c>
      <c r="BB221" s="119">
        <f>COUNTIF(U221:AY221,"E")</f>
      </c>
    </row>
    <row r="222" spans="1:54" x14ac:dyDescent="0.2">
      <c r="A222" s="84"/>
      <c r="B222" s="85"/>
      <c r="C222" s="85"/>
      <c r="D222" s="85"/>
      <c r="E222" s="86"/>
      <c r="F222" s="16">
        <f>IF(E222="","",DATEDIF(E222,$I$7,"Y"))</f>
      </c>
      <c r="G222" s="85"/>
      <c r="H222" s="85"/>
      <c r="I222" s="87"/>
      <c r="J222" s="85"/>
      <c r="K222" s="85"/>
      <c r="L222" s="10"/>
      <c r="M222" s="10"/>
      <c r="N222" s="10"/>
      <c r="O222" s="10"/>
      <c r="P222" s="85"/>
      <c r="Q222" s="88"/>
      <c r="R222" s="3">
        <f>IFERROR(VLOOKUP(TablaEnero[[#This Row],[BARRIO]],SECTOR!$A:$B,2,0),"")</f>
      </c>
      <c r="S222" s="89"/>
      <c r="T222" s="90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6"/>
      <c r="AZ222" s="120">
        <f>COUNTIF(U222:AY222,"A")</f>
      </c>
      <c r="BA222" s="121">
        <f>COUNTIF(U222:AY222,"F")</f>
      </c>
      <c r="BB222" s="119">
        <f>COUNTIF(U222:AY222,"E")</f>
      </c>
    </row>
    <row r="223" spans="1:54" x14ac:dyDescent="0.2">
      <c r="A223" s="84"/>
      <c r="B223" s="85"/>
      <c r="C223" s="85"/>
      <c r="D223" s="85"/>
      <c r="E223" s="86"/>
      <c r="F223" s="16">
        <f>IF(E223="","",DATEDIF(E223,$I$7,"Y"))</f>
      </c>
      <c r="G223" s="85"/>
      <c r="H223" s="85"/>
      <c r="I223" s="87"/>
      <c r="J223" s="85"/>
      <c r="K223" s="85"/>
      <c r="L223" s="10"/>
      <c r="M223" s="10"/>
      <c r="N223" s="10"/>
      <c r="O223" s="10"/>
      <c r="P223" s="85"/>
      <c r="Q223" s="88"/>
      <c r="R223" s="3">
        <f>IFERROR(VLOOKUP(TablaEnero[[#This Row],[BARRIO]],SECTOR!$A:$B,2,0),"")</f>
      </c>
      <c r="S223" s="89"/>
      <c r="T223" s="90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6"/>
      <c r="AZ223" s="120">
        <f>COUNTIF(U223:AY223,"A")</f>
      </c>
      <c r="BA223" s="121">
        <f>COUNTIF(U223:AY223,"F")</f>
      </c>
      <c r="BB223" s="119">
        <f>COUNTIF(U223:AY223,"E")</f>
      </c>
    </row>
    <row r="224" spans="1:54" x14ac:dyDescent="0.2">
      <c r="A224" s="84"/>
      <c r="B224" s="85"/>
      <c r="C224" s="85"/>
      <c r="D224" s="85"/>
      <c r="E224" s="86"/>
      <c r="F224" s="16">
        <f>IF(E224="","",DATEDIF(E224,$I$7,"Y"))</f>
      </c>
      <c r="G224" s="85"/>
      <c r="H224" s="85"/>
      <c r="I224" s="87"/>
      <c r="J224" s="85"/>
      <c r="K224" s="85"/>
      <c r="L224" s="10"/>
      <c r="M224" s="10"/>
      <c r="N224" s="10"/>
      <c r="O224" s="10"/>
      <c r="P224" s="85"/>
      <c r="Q224" s="88"/>
      <c r="R224" s="3">
        <f>IFERROR(VLOOKUP(TablaEnero[[#This Row],[BARRIO]],SECTOR!$A:$B,2,0),"")</f>
      </c>
      <c r="S224" s="89"/>
      <c r="T224" s="90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6"/>
      <c r="AZ224" s="120">
        <f>COUNTIF(U224:AY224,"A")</f>
      </c>
      <c r="BA224" s="121">
        <f>COUNTIF(U224:AY224,"F")</f>
      </c>
      <c r="BB224" s="119">
        <f>COUNTIF(U224:AY224,"E")</f>
      </c>
    </row>
    <row r="225" spans="1:54" x14ac:dyDescent="0.2">
      <c r="A225" s="84"/>
      <c r="B225" s="85"/>
      <c r="C225" s="85"/>
      <c r="D225" s="85"/>
      <c r="E225" s="86"/>
      <c r="F225" s="16">
        <f>IF(E225="","",DATEDIF(E225,$I$7,"Y"))</f>
      </c>
      <c r="G225" s="85"/>
      <c r="H225" s="85"/>
      <c r="I225" s="87"/>
      <c r="J225" s="85"/>
      <c r="K225" s="85"/>
      <c r="L225" s="10"/>
      <c r="M225" s="10"/>
      <c r="N225" s="10"/>
      <c r="O225" s="10"/>
      <c r="P225" s="85"/>
      <c r="Q225" s="88"/>
      <c r="R225" s="3">
        <f>IFERROR(VLOOKUP(TablaEnero[[#This Row],[BARRIO]],SECTOR!$A:$B,2,0),"")</f>
      </c>
      <c r="S225" s="89"/>
      <c r="T225" s="90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6"/>
      <c r="AZ225" s="120">
        <f>COUNTIF(U225:AY225,"A")</f>
      </c>
      <c r="BA225" s="121">
        <f>COUNTIF(U225:AY225,"F")</f>
      </c>
      <c r="BB225" s="119">
        <f>COUNTIF(U225:AY225,"E")</f>
      </c>
    </row>
    <row r="226" spans="1:54" x14ac:dyDescent="0.2">
      <c r="A226" s="84"/>
      <c r="B226" s="85"/>
      <c r="C226" s="85"/>
      <c r="D226" s="85"/>
      <c r="E226" s="86"/>
      <c r="F226" s="16">
        <f>IF(E226="","",DATEDIF(E226,$I$7,"Y"))</f>
      </c>
      <c r="G226" s="85"/>
      <c r="H226" s="85"/>
      <c r="I226" s="87"/>
      <c r="J226" s="85"/>
      <c r="K226" s="85"/>
      <c r="L226" s="10"/>
      <c r="M226" s="10"/>
      <c r="N226" s="10"/>
      <c r="O226" s="10"/>
      <c r="P226" s="85"/>
      <c r="Q226" s="88"/>
      <c r="R226" s="3">
        <f>IFERROR(VLOOKUP(TablaEnero[[#This Row],[BARRIO]],SECTOR!$A:$B,2,0),"")</f>
      </c>
      <c r="S226" s="89"/>
      <c r="T226" s="90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6"/>
      <c r="AZ226" s="120">
        <f>COUNTIF(U226:AY226,"A")</f>
      </c>
      <c r="BA226" s="121">
        <f>COUNTIF(U226:AY226,"F")</f>
      </c>
      <c r="BB226" s="119">
        <f>COUNTIF(U226:AY226,"E")</f>
      </c>
    </row>
    <row r="227" spans="1:54" x14ac:dyDescent="0.2">
      <c r="A227" s="84"/>
      <c r="B227" s="85"/>
      <c r="C227" s="85"/>
      <c r="D227" s="85"/>
      <c r="E227" s="86"/>
      <c r="F227" s="16">
        <f>IF(E227="","",DATEDIF(E227,$I$7,"Y"))</f>
      </c>
      <c r="G227" s="85"/>
      <c r="H227" s="85"/>
      <c r="I227" s="87"/>
      <c r="J227" s="85"/>
      <c r="K227" s="85"/>
      <c r="L227" s="10"/>
      <c r="M227" s="10"/>
      <c r="N227" s="10"/>
      <c r="O227" s="10"/>
      <c r="P227" s="85"/>
      <c r="Q227" s="88"/>
      <c r="R227" s="3">
        <f>IFERROR(VLOOKUP(TablaEnero[[#This Row],[BARRIO]],SECTOR!$A:$B,2,0),"")</f>
      </c>
      <c r="S227" s="89"/>
      <c r="T227" s="90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6"/>
      <c r="AZ227" s="120">
        <f>COUNTIF(U227:AY227,"A")</f>
      </c>
      <c r="BA227" s="121">
        <f>COUNTIF(U227:AY227,"F")</f>
      </c>
      <c r="BB227" s="119">
        <f>COUNTIF(U227:AY227,"E")</f>
      </c>
    </row>
    <row r="228" spans="1:54" x14ac:dyDescent="0.2">
      <c r="A228" s="84"/>
      <c r="B228" s="85"/>
      <c r="C228" s="85"/>
      <c r="D228" s="85"/>
      <c r="E228" s="86"/>
      <c r="F228" s="16">
        <f>IF(E228="","",DATEDIF(E228,$I$7,"Y"))</f>
      </c>
      <c r="G228" s="85"/>
      <c r="H228" s="85"/>
      <c r="I228" s="87"/>
      <c r="J228" s="85"/>
      <c r="K228" s="85"/>
      <c r="L228" s="10"/>
      <c r="M228" s="10"/>
      <c r="N228" s="10"/>
      <c r="O228" s="10"/>
      <c r="P228" s="85"/>
      <c r="Q228" s="88"/>
      <c r="R228" s="3">
        <f>IFERROR(VLOOKUP(TablaEnero[[#This Row],[BARRIO]],SECTOR!$A:$B,2,0),"")</f>
      </c>
      <c r="S228" s="89"/>
      <c r="T228" s="90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6"/>
      <c r="AZ228" s="120">
        <f>COUNTIF(U228:AY228,"A")</f>
      </c>
      <c r="BA228" s="121">
        <f>COUNTIF(U228:AY228,"F")</f>
      </c>
      <c r="BB228" s="119">
        <f>COUNTIF(U228:AY228,"E")</f>
      </c>
    </row>
    <row r="229" spans="1:54" x14ac:dyDescent="0.2">
      <c r="A229" s="84"/>
      <c r="B229" s="85"/>
      <c r="C229" s="85"/>
      <c r="D229" s="85"/>
      <c r="E229" s="86"/>
      <c r="F229" s="16">
        <f>IF(E229="","",DATEDIF(E229,$I$7,"Y"))</f>
      </c>
      <c r="G229" s="85"/>
      <c r="H229" s="85"/>
      <c r="I229" s="87"/>
      <c r="J229" s="85"/>
      <c r="K229" s="85"/>
      <c r="L229" s="10"/>
      <c r="M229" s="10"/>
      <c r="N229" s="10"/>
      <c r="O229" s="10"/>
      <c r="P229" s="85"/>
      <c r="Q229" s="88"/>
      <c r="R229" s="3">
        <f>IFERROR(VLOOKUP(TablaEnero[[#This Row],[BARRIO]],SECTOR!$A:$B,2,0),"")</f>
      </c>
      <c r="S229" s="89"/>
      <c r="T229" s="90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6"/>
      <c r="AZ229" s="120">
        <f>COUNTIF(U229:AY229,"A")</f>
      </c>
      <c r="BA229" s="121">
        <f>COUNTIF(U229:AY229,"F")</f>
      </c>
      <c r="BB229" s="119">
        <f>COUNTIF(U229:AY229,"E")</f>
      </c>
    </row>
    <row r="230" spans="1:54" x14ac:dyDescent="0.2">
      <c r="A230" s="84"/>
      <c r="B230" s="85"/>
      <c r="C230" s="85"/>
      <c r="D230" s="85"/>
      <c r="E230" s="86"/>
      <c r="F230" s="16">
        <f>IF(E230="","",DATEDIF(E230,$I$7,"Y"))</f>
      </c>
      <c r="G230" s="85"/>
      <c r="H230" s="85"/>
      <c r="I230" s="87"/>
      <c r="J230" s="85"/>
      <c r="K230" s="85"/>
      <c r="L230" s="10"/>
      <c r="M230" s="10"/>
      <c r="N230" s="10"/>
      <c r="O230" s="10"/>
      <c r="P230" s="85"/>
      <c r="Q230" s="88"/>
      <c r="R230" s="3">
        <f>IFERROR(VLOOKUP(TablaEnero[[#This Row],[BARRIO]],SECTOR!$A:$B,2,0),"")</f>
      </c>
      <c r="S230" s="89"/>
      <c r="T230" s="90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6"/>
      <c r="AZ230" s="120">
        <f>COUNTIF(U230:AY230,"A")</f>
      </c>
      <c r="BA230" s="121">
        <f>COUNTIF(U230:AY230,"F")</f>
      </c>
      <c r="BB230" s="119">
        <f>COUNTIF(U230:AY230,"E")</f>
      </c>
    </row>
    <row r="231" spans="1:54" x14ac:dyDescent="0.2">
      <c r="A231" s="84"/>
      <c r="B231" s="85"/>
      <c r="C231" s="85"/>
      <c r="D231" s="85"/>
      <c r="E231" s="86"/>
      <c r="F231" s="16">
        <f>IF(E231="","",DATEDIF(E231,$I$7,"Y"))</f>
      </c>
      <c r="G231" s="85"/>
      <c r="H231" s="85"/>
      <c r="I231" s="87"/>
      <c r="J231" s="85"/>
      <c r="K231" s="85"/>
      <c r="L231" s="10"/>
      <c r="M231" s="10"/>
      <c r="N231" s="10"/>
      <c r="O231" s="10"/>
      <c r="P231" s="85"/>
      <c r="Q231" s="88"/>
      <c r="R231" s="3">
        <f>IFERROR(VLOOKUP(TablaEnero[[#This Row],[BARRIO]],SECTOR!$A:$B,2,0),"")</f>
      </c>
      <c r="S231" s="89"/>
      <c r="T231" s="90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6"/>
      <c r="AZ231" s="120">
        <f>COUNTIF(U231:AY231,"A")</f>
      </c>
      <c r="BA231" s="121">
        <f>COUNTIF(U231:AY231,"F")</f>
      </c>
      <c r="BB231" s="119">
        <f>COUNTIF(U231:AY231,"E")</f>
      </c>
    </row>
    <row r="232" spans="1:54" x14ac:dyDescent="0.2">
      <c r="A232" s="84"/>
      <c r="B232" s="85"/>
      <c r="C232" s="85"/>
      <c r="D232" s="85"/>
      <c r="E232" s="86"/>
      <c r="F232" s="16">
        <f>IF(E232="","",DATEDIF(E232,$I$7,"Y"))</f>
      </c>
      <c r="G232" s="85"/>
      <c r="H232" s="85"/>
      <c r="I232" s="87"/>
      <c r="J232" s="85"/>
      <c r="K232" s="85"/>
      <c r="L232" s="10"/>
      <c r="M232" s="10"/>
      <c r="N232" s="10"/>
      <c r="O232" s="10"/>
      <c r="P232" s="85"/>
      <c r="Q232" s="88"/>
      <c r="R232" s="3">
        <f>IFERROR(VLOOKUP(TablaEnero[[#This Row],[BARRIO]],SECTOR!$A:$B,2,0),"")</f>
      </c>
      <c r="S232" s="89"/>
      <c r="T232" s="90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6"/>
      <c r="AZ232" s="120">
        <f>COUNTIF(U232:AY232,"A")</f>
      </c>
      <c r="BA232" s="121">
        <f>COUNTIF(U232:AY232,"F")</f>
      </c>
      <c r="BB232" s="119">
        <f>COUNTIF(U232:AY232,"E")</f>
      </c>
    </row>
    <row r="233" spans="1:54" x14ac:dyDescent="0.2">
      <c r="A233" s="84"/>
      <c r="B233" s="85"/>
      <c r="C233" s="85"/>
      <c r="D233" s="85"/>
      <c r="E233" s="86"/>
      <c r="F233" s="16">
        <f>IF(E233="","",DATEDIF(E233,$I$7,"Y"))</f>
      </c>
      <c r="G233" s="85"/>
      <c r="H233" s="85"/>
      <c r="I233" s="87"/>
      <c r="J233" s="85"/>
      <c r="K233" s="85"/>
      <c r="L233" s="10"/>
      <c r="M233" s="10"/>
      <c r="N233" s="10"/>
      <c r="O233" s="10"/>
      <c r="P233" s="85"/>
      <c r="Q233" s="88"/>
      <c r="R233" s="3">
        <f>IFERROR(VLOOKUP(TablaEnero[[#This Row],[BARRIO]],SECTOR!$A:$B,2,0),"")</f>
      </c>
      <c r="S233" s="89"/>
      <c r="T233" s="90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6"/>
      <c r="AZ233" s="120">
        <f>COUNTIF(U233:AY233,"A")</f>
      </c>
      <c r="BA233" s="121">
        <f>COUNTIF(U233:AY233,"F")</f>
      </c>
      <c r="BB233" s="119">
        <f>COUNTIF(U233:AY233,"E")</f>
      </c>
    </row>
    <row r="234" spans="1:54" x14ac:dyDescent="0.2">
      <c r="A234" s="84"/>
      <c r="B234" s="85"/>
      <c r="C234" s="85"/>
      <c r="D234" s="85"/>
      <c r="E234" s="86"/>
      <c r="F234" s="16">
        <f>IF(E234="","",DATEDIF(E234,$I$7,"Y"))</f>
      </c>
      <c r="G234" s="85"/>
      <c r="H234" s="85"/>
      <c r="I234" s="87"/>
      <c r="J234" s="85"/>
      <c r="K234" s="85"/>
      <c r="L234" s="10"/>
      <c r="M234" s="10"/>
      <c r="N234" s="10"/>
      <c r="O234" s="10"/>
      <c r="P234" s="85"/>
      <c r="Q234" s="88"/>
      <c r="R234" s="3">
        <f>IFERROR(VLOOKUP(TablaEnero[[#This Row],[BARRIO]],SECTOR!$A:$B,2,0),"")</f>
      </c>
      <c r="S234" s="89"/>
      <c r="T234" s="90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6"/>
      <c r="AZ234" s="120">
        <f>COUNTIF(U234:AY234,"A")</f>
      </c>
      <c r="BA234" s="121">
        <f>COUNTIF(U234:AY234,"F")</f>
      </c>
      <c r="BB234" s="119">
        <f>COUNTIF(U234:AY234,"E")</f>
      </c>
    </row>
    <row r="235" spans="1:54" x14ac:dyDescent="0.2">
      <c r="A235" s="84"/>
      <c r="B235" s="85"/>
      <c r="C235" s="85"/>
      <c r="D235" s="85"/>
      <c r="E235" s="86"/>
      <c r="F235" s="16">
        <f>IF(E235="","",DATEDIF(E235,$I$7,"Y"))</f>
      </c>
      <c r="G235" s="85"/>
      <c r="H235" s="85"/>
      <c r="I235" s="87"/>
      <c r="J235" s="85"/>
      <c r="K235" s="85"/>
      <c r="L235" s="10"/>
      <c r="M235" s="10"/>
      <c r="N235" s="10"/>
      <c r="O235" s="10"/>
      <c r="P235" s="85"/>
      <c r="Q235" s="88"/>
      <c r="R235" s="3">
        <f>IFERROR(VLOOKUP(TablaEnero[[#This Row],[BARRIO]],SECTOR!$A:$B,2,0),"")</f>
      </c>
      <c r="S235" s="89"/>
      <c r="T235" s="90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6"/>
      <c r="AZ235" s="120">
        <f>COUNTIF(U235:AY235,"A")</f>
      </c>
      <c r="BA235" s="121">
        <f>COUNTIF(U235:AY235,"F")</f>
      </c>
      <c r="BB235" s="119">
        <f>COUNTIF(U235:AY235,"E")</f>
      </c>
    </row>
    <row r="236" spans="1:54" x14ac:dyDescent="0.2">
      <c r="A236" s="84"/>
      <c r="B236" s="85"/>
      <c r="C236" s="85"/>
      <c r="D236" s="85"/>
      <c r="E236" s="86"/>
      <c r="F236" s="16">
        <f>IF(E236="","",DATEDIF(E236,$I$7,"Y"))</f>
      </c>
      <c r="G236" s="85"/>
      <c r="H236" s="85"/>
      <c r="I236" s="87"/>
      <c r="J236" s="85"/>
      <c r="K236" s="85"/>
      <c r="L236" s="10"/>
      <c r="M236" s="10"/>
      <c r="N236" s="10"/>
      <c r="O236" s="10"/>
      <c r="P236" s="85"/>
      <c r="Q236" s="88"/>
      <c r="R236" s="3">
        <f>IFERROR(VLOOKUP(TablaEnero[[#This Row],[BARRIO]],SECTOR!$A:$B,2,0),"")</f>
      </c>
      <c r="S236" s="89"/>
      <c r="T236" s="90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6"/>
      <c r="AZ236" s="120">
        <f>COUNTIF(U236:AY236,"A")</f>
      </c>
      <c r="BA236" s="121">
        <f>COUNTIF(U236:AY236,"F")</f>
      </c>
      <c r="BB236" s="119">
        <f>COUNTIF(U236:AY236,"E")</f>
      </c>
    </row>
    <row r="237" spans="1:54" x14ac:dyDescent="0.2">
      <c r="A237" s="84"/>
      <c r="B237" s="85"/>
      <c r="C237" s="85"/>
      <c r="D237" s="85"/>
      <c r="E237" s="86"/>
      <c r="F237" s="16">
        <f>IF(E237="","",DATEDIF(E237,$I$7,"Y"))</f>
      </c>
      <c r="G237" s="85"/>
      <c r="H237" s="85"/>
      <c r="I237" s="87"/>
      <c r="J237" s="85"/>
      <c r="K237" s="85"/>
      <c r="L237" s="10"/>
      <c r="M237" s="10"/>
      <c r="N237" s="10"/>
      <c r="O237" s="10"/>
      <c r="P237" s="85"/>
      <c r="Q237" s="88"/>
      <c r="R237" s="3">
        <f>IFERROR(VLOOKUP(TablaEnero[[#This Row],[BARRIO]],SECTOR!$A:$B,2,0),"")</f>
      </c>
      <c r="S237" s="89"/>
      <c r="T237" s="90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6"/>
      <c r="AZ237" s="120">
        <f>COUNTIF(U237:AY237,"A")</f>
      </c>
      <c r="BA237" s="121">
        <f>COUNTIF(U237:AY237,"F")</f>
      </c>
      <c r="BB237" s="119">
        <f>COUNTIF(U237:AY237,"E")</f>
      </c>
    </row>
    <row r="238" spans="1:54" x14ac:dyDescent="0.2">
      <c r="A238" s="84"/>
      <c r="B238" s="85"/>
      <c r="C238" s="85"/>
      <c r="D238" s="85"/>
      <c r="E238" s="86"/>
      <c r="F238" s="16">
        <f>IF(E238="","",DATEDIF(E238,$I$7,"Y"))</f>
      </c>
      <c r="G238" s="85"/>
      <c r="H238" s="85"/>
      <c r="I238" s="87"/>
      <c r="J238" s="85"/>
      <c r="K238" s="85"/>
      <c r="L238" s="10"/>
      <c r="M238" s="10"/>
      <c r="N238" s="10"/>
      <c r="O238" s="10"/>
      <c r="P238" s="85"/>
      <c r="Q238" s="88"/>
      <c r="R238" s="3">
        <f>IFERROR(VLOOKUP(TablaEnero[[#This Row],[BARRIO]],SECTOR!$A:$B,2,0),"")</f>
      </c>
      <c r="S238" s="89"/>
      <c r="T238" s="90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6"/>
      <c r="AZ238" s="120">
        <f>COUNTIF(U238:AY238,"A")</f>
      </c>
      <c r="BA238" s="121">
        <f>COUNTIF(U238:AY238,"F")</f>
      </c>
      <c r="BB238" s="119">
        <f>COUNTIF(U238:AY238,"E")</f>
      </c>
    </row>
    <row r="239" spans="1:54" x14ac:dyDescent="0.2">
      <c r="A239" s="84"/>
      <c r="B239" s="85"/>
      <c r="C239" s="85"/>
      <c r="D239" s="85"/>
      <c r="E239" s="86"/>
      <c r="F239" s="16">
        <f>IF(E239="","",DATEDIF(E239,$I$7,"Y"))</f>
      </c>
      <c r="G239" s="85"/>
      <c r="H239" s="85"/>
      <c r="I239" s="87"/>
      <c r="J239" s="85"/>
      <c r="K239" s="85"/>
      <c r="L239" s="10"/>
      <c r="M239" s="10"/>
      <c r="N239" s="10"/>
      <c r="O239" s="10"/>
      <c r="P239" s="85"/>
      <c r="Q239" s="88"/>
      <c r="R239" s="3">
        <f>IFERROR(VLOOKUP(TablaEnero[[#This Row],[BARRIO]],SECTOR!$A:$B,2,0),"")</f>
      </c>
      <c r="S239" s="89"/>
      <c r="T239" s="90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6"/>
      <c r="AZ239" s="120">
        <f>COUNTIF(U239:AY239,"A")</f>
      </c>
      <c r="BA239" s="121">
        <f>COUNTIF(U239:AY239,"F")</f>
      </c>
      <c r="BB239" s="119">
        <f>COUNTIF(U239:AY239,"E")</f>
      </c>
    </row>
    <row r="240" spans="1:54" x14ac:dyDescent="0.2">
      <c r="A240" s="84"/>
      <c r="B240" s="85"/>
      <c r="C240" s="85"/>
      <c r="D240" s="85"/>
      <c r="E240" s="86"/>
      <c r="F240" s="16">
        <f>IF(E240="","",DATEDIF(E240,$I$7,"Y"))</f>
      </c>
      <c r="G240" s="85"/>
      <c r="H240" s="85"/>
      <c r="I240" s="87"/>
      <c r="J240" s="85"/>
      <c r="K240" s="85"/>
      <c r="L240" s="10"/>
      <c r="M240" s="10"/>
      <c r="N240" s="10"/>
      <c r="O240" s="10"/>
      <c r="P240" s="85"/>
      <c r="Q240" s="88"/>
      <c r="R240" s="3">
        <f>IFERROR(VLOOKUP(TablaEnero[[#This Row],[BARRIO]],SECTOR!$A:$B,2,0),"")</f>
      </c>
      <c r="S240" s="89"/>
      <c r="T240" s="90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6"/>
      <c r="AZ240" s="120">
        <f>COUNTIF(U240:AY240,"A")</f>
      </c>
      <c r="BA240" s="121">
        <f>COUNTIF(U240:AY240,"F")</f>
      </c>
      <c r="BB240" s="119">
        <f>COUNTIF(U240:AY240,"E")</f>
      </c>
    </row>
    <row r="241" spans="1:54" x14ac:dyDescent="0.2">
      <c r="A241" s="84"/>
      <c r="B241" s="85"/>
      <c r="C241" s="85"/>
      <c r="D241" s="85"/>
      <c r="E241" s="86"/>
      <c r="F241" s="16">
        <f>IF(E241="","",DATEDIF(E241,$I$7,"Y"))</f>
      </c>
      <c r="G241" s="85"/>
      <c r="H241" s="85"/>
      <c r="I241" s="87"/>
      <c r="J241" s="85"/>
      <c r="K241" s="85"/>
      <c r="L241" s="10"/>
      <c r="M241" s="10"/>
      <c r="N241" s="10"/>
      <c r="O241" s="10"/>
      <c r="P241" s="85"/>
      <c r="Q241" s="88"/>
      <c r="R241" s="3">
        <f>IFERROR(VLOOKUP(TablaEnero[[#This Row],[BARRIO]],SECTOR!$A:$B,2,0),"")</f>
      </c>
      <c r="S241" s="89"/>
      <c r="T241" s="90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6"/>
      <c r="AZ241" s="120">
        <f>COUNTIF(U241:AY241,"A")</f>
      </c>
      <c r="BA241" s="121">
        <f>COUNTIF(U241:AY241,"F")</f>
      </c>
      <c r="BB241" s="119">
        <f>COUNTIF(U241:AY241,"E")</f>
      </c>
    </row>
    <row r="242" spans="1:54" x14ac:dyDescent="0.2">
      <c r="A242" s="84"/>
      <c r="B242" s="85"/>
      <c r="C242" s="85"/>
      <c r="D242" s="85"/>
      <c r="E242" s="86"/>
      <c r="F242" s="16">
        <f>IF(E242="","",DATEDIF(E242,$I$7,"Y"))</f>
      </c>
      <c r="G242" s="85"/>
      <c r="H242" s="85"/>
      <c r="I242" s="87"/>
      <c r="J242" s="85"/>
      <c r="K242" s="85"/>
      <c r="L242" s="10"/>
      <c r="M242" s="10"/>
      <c r="N242" s="10"/>
      <c r="O242" s="10"/>
      <c r="P242" s="85"/>
      <c r="Q242" s="88"/>
      <c r="R242" s="3">
        <f>IFERROR(VLOOKUP(TablaEnero[[#This Row],[BARRIO]],SECTOR!$A:$B,2,0),"")</f>
      </c>
      <c r="S242" s="89"/>
      <c r="T242" s="90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6"/>
      <c r="AZ242" s="120">
        <f>COUNTIF(U242:AY242,"A")</f>
      </c>
      <c r="BA242" s="121">
        <f>COUNTIF(U242:AY242,"F")</f>
      </c>
      <c r="BB242" s="119">
        <f>COUNTIF(U242:AY242,"E")</f>
      </c>
    </row>
    <row r="243" spans="1:54" x14ac:dyDescent="0.2">
      <c r="A243" s="84"/>
      <c r="B243" s="85"/>
      <c r="C243" s="85"/>
      <c r="D243" s="85"/>
      <c r="E243" s="86"/>
      <c r="F243" s="16">
        <f>IF(E243="","",DATEDIF(E243,$I$7,"Y"))</f>
      </c>
      <c r="G243" s="85"/>
      <c r="H243" s="85"/>
      <c r="I243" s="87"/>
      <c r="J243" s="85"/>
      <c r="K243" s="85"/>
      <c r="L243" s="10"/>
      <c r="M243" s="10"/>
      <c r="N243" s="10"/>
      <c r="O243" s="10"/>
      <c r="P243" s="85"/>
      <c r="Q243" s="88"/>
      <c r="R243" s="3">
        <f>IFERROR(VLOOKUP(TablaEnero[[#This Row],[BARRIO]],SECTOR!$A:$B,2,0),"")</f>
      </c>
      <c r="S243" s="89"/>
      <c r="T243" s="90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6"/>
      <c r="AZ243" s="120">
        <f>COUNTIF(U243:AY243,"A")</f>
      </c>
      <c r="BA243" s="121">
        <f>COUNTIF(U243:AY243,"F")</f>
      </c>
      <c r="BB243" s="119">
        <f>COUNTIF(U243:AY243,"E")</f>
      </c>
    </row>
    <row r="244" spans="1:54" x14ac:dyDescent="0.2">
      <c r="A244" s="84"/>
      <c r="B244" s="85"/>
      <c r="C244" s="85"/>
      <c r="D244" s="85"/>
      <c r="E244" s="86"/>
      <c r="F244" s="16">
        <f>IF(E244="","",DATEDIF(E244,$I$7,"Y"))</f>
      </c>
      <c r="G244" s="85"/>
      <c r="H244" s="85"/>
      <c r="I244" s="87"/>
      <c r="J244" s="85"/>
      <c r="K244" s="85"/>
      <c r="L244" s="10"/>
      <c r="M244" s="10"/>
      <c r="N244" s="10"/>
      <c r="O244" s="10"/>
      <c r="P244" s="85"/>
      <c r="Q244" s="88"/>
      <c r="R244" s="3">
        <f>IFERROR(VLOOKUP(TablaEnero[[#This Row],[BARRIO]],SECTOR!$A:$B,2,0),"")</f>
      </c>
      <c r="S244" s="89"/>
      <c r="T244" s="90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6"/>
      <c r="AZ244" s="120">
        <f>COUNTIF(U244:AY244,"A")</f>
      </c>
      <c r="BA244" s="121">
        <f>COUNTIF(U244:AY244,"F")</f>
      </c>
      <c r="BB244" s="119">
        <f>COUNTIF(U244:AY244,"E")</f>
      </c>
    </row>
    <row r="245" spans="1:54" x14ac:dyDescent="0.2">
      <c r="A245" s="84"/>
      <c r="B245" s="85"/>
      <c r="C245" s="85"/>
      <c r="D245" s="85"/>
      <c r="E245" s="86"/>
      <c r="F245" s="16">
        <f>IF(E245="","",DATEDIF(E245,$I$7,"Y"))</f>
      </c>
      <c r="G245" s="85"/>
      <c r="H245" s="85"/>
      <c r="I245" s="87"/>
      <c r="J245" s="85"/>
      <c r="K245" s="85"/>
      <c r="L245" s="10"/>
      <c r="M245" s="10"/>
      <c r="N245" s="10"/>
      <c r="O245" s="10"/>
      <c r="P245" s="85"/>
      <c r="Q245" s="88"/>
      <c r="R245" s="3">
        <f>IFERROR(VLOOKUP(TablaEnero[[#This Row],[BARRIO]],SECTOR!$A:$B,2,0),"")</f>
      </c>
      <c r="S245" s="89"/>
      <c r="T245" s="90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6"/>
      <c r="AZ245" s="120">
        <f>COUNTIF(U245:AY245,"A")</f>
      </c>
      <c r="BA245" s="121">
        <f>COUNTIF(U245:AY245,"F")</f>
      </c>
      <c r="BB245" s="119">
        <f>COUNTIF(U245:AY245,"E")</f>
      </c>
    </row>
    <row r="246" spans="1:54" x14ac:dyDescent="0.2">
      <c r="A246" s="84"/>
      <c r="B246" s="85"/>
      <c r="C246" s="85"/>
      <c r="D246" s="85"/>
      <c r="E246" s="86"/>
      <c r="F246" s="16">
        <f>IF(E246="","",DATEDIF(E246,$I$7,"Y"))</f>
      </c>
      <c r="G246" s="85"/>
      <c r="H246" s="85"/>
      <c r="I246" s="87"/>
      <c r="J246" s="85"/>
      <c r="K246" s="85"/>
      <c r="L246" s="10"/>
      <c r="M246" s="10"/>
      <c r="N246" s="10"/>
      <c r="O246" s="10"/>
      <c r="P246" s="85"/>
      <c r="Q246" s="88"/>
      <c r="R246" s="3">
        <f>IFERROR(VLOOKUP(TablaEnero[[#This Row],[BARRIO]],SECTOR!$A:$B,2,0),"")</f>
      </c>
      <c r="S246" s="89"/>
      <c r="T246" s="90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6"/>
      <c r="AZ246" s="120">
        <f>COUNTIF(U246:AY246,"A")</f>
      </c>
      <c r="BA246" s="121">
        <f>COUNTIF(U246:AY246,"F")</f>
      </c>
      <c r="BB246" s="119">
        <f>COUNTIF(U246:AY246,"E")</f>
      </c>
    </row>
    <row r="247" spans="1:54" x14ac:dyDescent="0.2">
      <c r="A247" s="84"/>
      <c r="B247" s="85"/>
      <c r="C247" s="85"/>
      <c r="D247" s="85"/>
      <c r="E247" s="86"/>
      <c r="F247" s="16">
        <f>IF(E247="","",DATEDIF(E247,$I$7,"Y"))</f>
      </c>
      <c r="G247" s="85"/>
      <c r="H247" s="85"/>
      <c r="I247" s="87"/>
      <c r="J247" s="85"/>
      <c r="K247" s="85"/>
      <c r="L247" s="10"/>
      <c r="M247" s="10"/>
      <c r="N247" s="10"/>
      <c r="O247" s="10"/>
      <c r="P247" s="85"/>
      <c r="Q247" s="88"/>
      <c r="R247" s="3">
        <f>IFERROR(VLOOKUP(TablaEnero[[#This Row],[BARRIO]],SECTOR!$A:$B,2,0),"")</f>
      </c>
      <c r="S247" s="89"/>
      <c r="T247" s="90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6"/>
      <c r="AZ247" s="120">
        <f>COUNTIF(U247:AY247,"A")</f>
      </c>
      <c r="BA247" s="121">
        <f>COUNTIF(U247:AY247,"F")</f>
      </c>
      <c r="BB247" s="119">
        <f>COUNTIF(U247:AY247,"E")</f>
      </c>
    </row>
    <row r="248" spans="1:54" x14ac:dyDescent="0.2">
      <c r="A248" s="84"/>
      <c r="B248" s="85"/>
      <c r="C248" s="85"/>
      <c r="D248" s="85"/>
      <c r="E248" s="86"/>
      <c r="F248" s="16">
        <f>IF(E248="","",DATEDIF(E248,$I$7,"Y"))</f>
      </c>
      <c r="G248" s="85"/>
      <c r="H248" s="85"/>
      <c r="I248" s="87"/>
      <c r="J248" s="85"/>
      <c r="K248" s="85"/>
      <c r="L248" s="10"/>
      <c r="M248" s="10"/>
      <c r="N248" s="10"/>
      <c r="O248" s="10"/>
      <c r="P248" s="85"/>
      <c r="Q248" s="88"/>
      <c r="R248" s="3">
        <f>IFERROR(VLOOKUP(TablaEnero[[#This Row],[BARRIO]],SECTOR!$A:$B,2,0),"")</f>
      </c>
      <c r="S248" s="89"/>
      <c r="T248" s="90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6"/>
      <c r="AZ248" s="120">
        <f>COUNTIF(U248:AY248,"A")</f>
      </c>
      <c r="BA248" s="121">
        <f>COUNTIF(U248:AY248,"F")</f>
      </c>
      <c r="BB248" s="119">
        <f>COUNTIF(U248:AY248,"E")</f>
      </c>
    </row>
    <row r="249" spans="1:54" x14ac:dyDescent="0.2">
      <c r="A249" s="84"/>
      <c r="B249" s="85"/>
      <c r="C249" s="85"/>
      <c r="D249" s="85"/>
      <c r="E249" s="86"/>
      <c r="F249" s="16">
        <f>IF(E249="","",DATEDIF(E249,$I$7,"Y"))</f>
      </c>
      <c r="G249" s="85"/>
      <c r="H249" s="85"/>
      <c r="I249" s="87"/>
      <c r="J249" s="85"/>
      <c r="K249" s="85"/>
      <c r="L249" s="10"/>
      <c r="M249" s="10"/>
      <c r="N249" s="10"/>
      <c r="O249" s="10"/>
      <c r="P249" s="85"/>
      <c r="Q249" s="88"/>
      <c r="R249" s="3">
        <f>IFERROR(VLOOKUP(TablaEnero[[#This Row],[BARRIO]],SECTOR!$A:$B,2,0),"")</f>
      </c>
      <c r="S249" s="89"/>
      <c r="T249" s="90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6"/>
      <c r="AZ249" s="120">
        <f>COUNTIF(U249:AY249,"A")</f>
      </c>
      <c r="BA249" s="121">
        <f>COUNTIF(U249:AY249,"F")</f>
      </c>
      <c r="BB249" s="119">
        <f>COUNTIF(U249:AY249,"E")</f>
      </c>
    </row>
    <row r="250" spans="1:54" x14ac:dyDescent="0.2">
      <c r="A250" s="84"/>
      <c r="B250" s="85"/>
      <c r="C250" s="85"/>
      <c r="D250" s="85"/>
      <c r="E250" s="86"/>
      <c r="F250" s="16">
        <f>IF(E250="","",DATEDIF(E250,$I$7,"Y"))</f>
      </c>
      <c r="G250" s="85"/>
      <c r="H250" s="85"/>
      <c r="I250" s="87"/>
      <c r="J250" s="85"/>
      <c r="K250" s="85"/>
      <c r="L250" s="10"/>
      <c r="M250" s="10"/>
      <c r="N250" s="10"/>
      <c r="O250" s="10"/>
      <c r="P250" s="85"/>
      <c r="Q250" s="88"/>
      <c r="R250" s="3">
        <f>IFERROR(VLOOKUP(TablaEnero[[#This Row],[BARRIO]],SECTOR!$A:$B,2,0),"")</f>
      </c>
      <c r="S250" s="89"/>
      <c r="T250" s="90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6"/>
      <c r="AZ250" s="120">
        <f>COUNTIF(U250:AY250,"A")</f>
      </c>
      <c r="BA250" s="121">
        <f>COUNTIF(U250:AY250,"F")</f>
      </c>
      <c r="BB250" s="119">
        <f>COUNTIF(U250:AY250,"E")</f>
      </c>
    </row>
    <row r="251" spans="1:54" x14ac:dyDescent="0.2">
      <c r="A251" s="84"/>
      <c r="B251" s="85"/>
      <c r="C251" s="85"/>
      <c r="D251" s="85"/>
      <c r="E251" s="86"/>
      <c r="F251" s="16">
        <f>IF(E251="","",DATEDIF(E251,$I$7,"Y"))</f>
      </c>
      <c r="G251" s="85"/>
      <c r="H251" s="85"/>
      <c r="I251" s="87"/>
      <c r="J251" s="85"/>
      <c r="K251" s="85"/>
      <c r="L251" s="10"/>
      <c r="M251" s="10"/>
      <c r="N251" s="10"/>
      <c r="O251" s="10"/>
      <c r="P251" s="85"/>
      <c r="Q251" s="88"/>
      <c r="R251" s="3">
        <f>IFERROR(VLOOKUP(TablaEnero[[#This Row],[BARRIO]],SECTOR!$A:$B,2,0),"")</f>
      </c>
      <c r="S251" s="89"/>
      <c r="T251" s="90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6"/>
      <c r="AZ251" s="120">
        <f>COUNTIF(U251:AY251,"A")</f>
      </c>
      <c r="BA251" s="121">
        <f>COUNTIF(U251:AY251,"F")</f>
      </c>
      <c r="BB251" s="119">
        <f>COUNTIF(U251:AY251,"E")</f>
      </c>
    </row>
    <row r="252" spans="1:54" x14ac:dyDescent="0.2">
      <c r="A252" s="84"/>
      <c r="B252" s="85"/>
      <c r="C252" s="85"/>
      <c r="D252" s="85"/>
      <c r="E252" s="86"/>
      <c r="F252" s="16">
        <f>IF(E252="","",DATEDIF(E252,$I$7,"Y"))</f>
      </c>
      <c r="G252" s="85"/>
      <c r="H252" s="85"/>
      <c r="I252" s="87"/>
      <c r="J252" s="85"/>
      <c r="K252" s="85"/>
      <c r="L252" s="10"/>
      <c r="M252" s="10"/>
      <c r="N252" s="10"/>
      <c r="O252" s="10"/>
      <c r="P252" s="85"/>
      <c r="Q252" s="88"/>
      <c r="R252" s="3">
        <f>IFERROR(VLOOKUP(TablaEnero[[#This Row],[BARRIO]],SECTOR!$A:$B,2,0),"")</f>
      </c>
      <c r="S252" s="89"/>
      <c r="T252" s="90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6"/>
      <c r="AZ252" s="120">
        <f>COUNTIF(U252:AY252,"A")</f>
      </c>
      <c r="BA252" s="121">
        <f>COUNTIF(U252:AY252,"F")</f>
      </c>
      <c r="BB252" s="119">
        <f>COUNTIF(U252:AY252,"E")</f>
      </c>
    </row>
    <row r="253" spans="1:54" x14ac:dyDescent="0.2">
      <c r="A253" s="84"/>
      <c r="B253" s="85"/>
      <c r="C253" s="85"/>
      <c r="D253" s="85"/>
      <c r="E253" s="86"/>
      <c r="F253" s="16">
        <f>IF(E253="","",DATEDIF(E253,$I$7,"Y"))</f>
      </c>
      <c r="G253" s="85"/>
      <c r="H253" s="85"/>
      <c r="I253" s="87"/>
      <c r="J253" s="85"/>
      <c r="K253" s="85"/>
      <c r="L253" s="10"/>
      <c r="M253" s="10"/>
      <c r="N253" s="10"/>
      <c r="O253" s="10"/>
      <c r="P253" s="85"/>
      <c r="Q253" s="88"/>
      <c r="R253" s="3">
        <f>IFERROR(VLOOKUP(TablaEnero[[#This Row],[BARRIO]],SECTOR!$A:$B,2,0),"")</f>
      </c>
      <c r="S253" s="89"/>
      <c r="T253" s="90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6"/>
      <c r="AZ253" s="120">
        <f>COUNTIF(U253:AY253,"A")</f>
      </c>
      <c r="BA253" s="121">
        <f>COUNTIF(U253:AY253,"F")</f>
      </c>
      <c r="BB253" s="119">
        <f>COUNTIF(U253:AY253,"E")</f>
      </c>
    </row>
    <row r="254" spans="1:54" x14ac:dyDescent="0.2">
      <c r="A254" s="84"/>
      <c r="B254" s="85"/>
      <c r="C254" s="85"/>
      <c r="D254" s="85"/>
      <c r="E254" s="86"/>
      <c r="F254" s="16">
        <f>IF(E254="","",DATEDIF(E254,$I$7,"Y"))</f>
      </c>
      <c r="G254" s="85"/>
      <c r="H254" s="85"/>
      <c r="I254" s="87"/>
      <c r="J254" s="85"/>
      <c r="K254" s="85"/>
      <c r="L254" s="10"/>
      <c r="M254" s="10"/>
      <c r="N254" s="10"/>
      <c r="O254" s="10"/>
      <c r="P254" s="85"/>
      <c r="Q254" s="88"/>
      <c r="R254" s="3">
        <f>IFERROR(VLOOKUP(TablaEnero[[#This Row],[BARRIO]],SECTOR!$A:$B,2,0),"")</f>
      </c>
      <c r="S254" s="89"/>
      <c r="T254" s="90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6"/>
      <c r="AZ254" s="120">
        <f>COUNTIF(U254:AY254,"A")</f>
      </c>
      <c r="BA254" s="121">
        <f>COUNTIF(U254:AY254,"F")</f>
      </c>
      <c r="BB254" s="119">
        <f>COUNTIF(U254:AY254,"E")</f>
      </c>
    </row>
    <row r="255" spans="1:54" x14ac:dyDescent="0.2">
      <c r="A255" s="84"/>
      <c r="B255" s="85"/>
      <c r="C255" s="85"/>
      <c r="D255" s="85"/>
      <c r="E255" s="86"/>
      <c r="F255" s="16">
        <f>IF(E255="","",DATEDIF(E255,$I$7,"Y"))</f>
      </c>
      <c r="G255" s="85"/>
      <c r="H255" s="85"/>
      <c r="I255" s="87"/>
      <c r="J255" s="85"/>
      <c r="K255" s="85"/>
      <c r="L255" s="10"/>
      <c r="M255" s="10"/>
      <c r="N255" s="10"/>
      <c r="O255" s="10"/>
      <c r="P255" s="85"/>
      <c r="Q255" s="88"/>
      <c r="R255" s="3">
        <f>IFERROR(VLOOKUP(TablaEnero[[#This Row],[BARRIO]],SECTOR!$A:$B,2,0),"")</f>
      </c>
      <c r="S255" s="89"/>
      <c r="T255" s="90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6"/>
      <c r="AZ255" s="120">
        <f>COUNTIF(U255:AY255,"A")</f>
      </c>
      <c r="BA255" s="121">
        <f>COUNTIF(U255:AY255,"F")</f>
      </c>
      <c r="BB255" s="119">
        <f>COUNTIF(U255:AY255,"E")</f>
      </c>
    </row>
    <row r="256" spans="1:54" x14ac:dyDescent="0.2">
      <c r="A256" s="84"/>
      <c r="B256" s="85"/>
      <c r="C256" s="85"/>
      <c r="D256" s="85"/>
      <c r="E256" s="86"/>
      <c r="F256" s="16">
        <f>IF(E256="","",DATEDIF(E256,$I$7,"Y"))</f>
      </c>
      <c r="G256" s="85"/>
      <c r="H256" s="85"/>
      <c r="I256" s="87"/>
      <c r="J256" s="85"/>
      <c r="K256" s="85"/>
      <c r="L256" s="10"/>
      <c r="M256" s="10"/>
      <c r="N256" s="10"/>
      <c r="O256" s="10"/>
      <c r="P256" s="85"/>
      <c r="Q256" s="88"/>
      <c r="R256" s="3">
        <f>IFERROR(VLOOKUP(TablaEnero[[#This Row],[BARRIO]],SECTOR!$A:$B,2,0),"")</f>
      </c>
      <c r="S256" s="89"/>
      <c r="T256" s="90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6"/>
      <c r="AZ256" s="120">
        <f>COUNTIF(U256:AY256,"A")</f>
      </c>
      <c r="BA256" s="121">
        <f>COUNTIF(U256:AY256,"F")</f>
      </c>
      <c r="BB256" s="119">
        <f>COUNTIF(U256:AY256,"E")</f>
      </c>
    </row>
    <row r="257" spans="1:54" x14ac:dyDescent="0.2">
      <c r="A257" s="84"/>
      <c r="B257" s="85"/>
      <c r="C257" s="85"/>
      <c r="D257" s="85"/>
      <c r="E257" s="86"/>
      <c r="F257" s="16">
        <f>IF(E257="","",DATEDIF(E257,$I$7,"Y"))</f>
      </c>
      <c r="G257" s="85"/>
      <c r="H257" s="85"/>
      <c r="I257" s="87"/>
      <c r="J257" s="85"/>
      <c r="K257" s="85"/>
      <c r="L257" s="10"/>
      <c r="M257" s="10"/>
      <c r="N257" s="10"/>
      <c r="O257" s="10"/>
      <c r="P257" s="85"/>
      <c r="Q257" s="88"/>
      <c r="R257" s="3">
        <f>IFERROR(VLOOKUP(TablaEnero[[#This Row],[BARRIO]],SECTOR!$A:$B,2,0),"")</f>
      </c>
      <c r="S257" s="89"/>
      <c r="T257" s="90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6"/>
      <c r="AZ257" s="120">
        <f>COUNTIF(U257:AY257,"A")</f>
      </c>
      <c r="BA257" s="121">
        <f>COUNTIF(U257:AY257,"F")</f>
      </c>
      <c r="BB257" s="119">
        <f>COUNTIF(U257:AY257,"E")</f>
      </c>
    </row>
    <row r="258" spans="1:54" x14ac:dyDescent="0.2">
      <c r="A258" s="84"/>
      <c r="B258" s="85"/>
      <c r="C258" s="85"/>
      <c r="D258" s="85"/>
      <c r="E258" s="86"/>
      <c r="F258" s="16">
        <f>IF(E258="","",DATEDIF(E258,$I$7,"Y"))</f>
      </c>
      <c r="G258" s="85"/>
      <c r="H258" s="85"/>
      <c r="I258" s="87"/>
      <c r="J258" s="85"/>
      <c r="K258" s="85"/>
      <c r="L258" s="10"/>
      <c r="M258" s="10"/>
      <c r="N258" s="10"/>
      <c r="O258" s="10"/>
      <c r="P258" s="85"/>
      <c r="Q258" s="88"/>
      <c r="R258" s="3">
        <f>IFERROR(VLOOKUP(TablaEnero[[#This Row],[BARRIO]],SECTOR!$A:$B,2,0),"")</f>
      </c>
      <c r="S258" s="89"/>
      <c r="T258" s="90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6"/>
      <c r="AZ258" s="120">
        <f>COUNTIF(U258:AY258,"A")</f>
      </c>
      <c r="BA258" s="121">
        <f>COUNTIF(U258:AY258,"F")</f>
      </c>
      <c r="BB258" s="119">
        <f>COUNTIF(U258:AY258,"E")</f>
      </c>
    </row>
    <row r="259" spans="1:54" x14ac:dyDescent="0.2">
      <c r="A259" s="84"/>
      <c r="B259" s="85"/>
      <c r="C259" s="85"/>
      <c r="D259" s="85"/>
      <c r="E259" s="86"/>
      <c r="F259" s="16">
        <f>IF(E259="","",DATEDIF(E259,$I$7,"Y"))</f>
      </c>
      <c r="G259" s="85"/>
      <c r="H259" s="85"/>
      <c r="I259" s="87"/>
      <c r="J259" s="85"/>
      <c r="K259" s="85"/>
      <c r="L259" s="10"/>
      <c r="M259" s="10"/>
      <c r="N259" s="10"/>
      <c r="O259" s="10"/>
      <c r="P259" s="85"/>
      <c r="Q259" s="88"/>
      <c r="R259" s="3">
        <f>IFERROR(VLOOKUP(TablaEnero[[#This Row],[BARRIO]],SECTOR!$A:$B,2,0),"")</f>
      </c>
      <c r="S259" s="89"/>
      <c r="T259" s="90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6"/>
      <c r="AZ259" s="120">
        <f>COUNTIF(U259:AY259,"A")</f>
      </c>
      <c r="BA259" s="121">
        <f>COUNTIF(U259:AY259,"F")</f>
      </c>
      <c r="BB259" s="119">
        <f>COUNTIF(U259:AY259,"E")</f>
      </c>
    </row>
    <row r="260" spans="1:54" x14ac:dyDescent="0.2">
      <c r="A260" s="84"/>
      <c r="B260" s="85"/>
      <c r="C260" s="85"/>
      <c r="D260" s="85"/>
      <c r="E260" s="86"/>
      <c r="F260" s="16">
        <f>IF(E260="","",DATEDIF(E260,$I$7,"Y"))</f>
      </c>
      <c r="G260" s="85"/>
      <c r="H260" s="85"/>
      <c r="I260" s="87"/>
      <c r="J260" s="85"/>
      <c r="K260" s="85"/>
      <c r="L260" s="10"/>
      <c r="M260" s="10"/>
      <c r="N260" s="10"/>
      <c r="O260" s="10"/>
      <c r="P260" s="85"/>
      <c r="Q260" s="88"/>
      <c r="R260" s="3">
        <f>IFERROR(VLOOKUP(TablaEnero[[#This Row],[BARRIO]],SECTOR!$A:$B,2,0),"")</f>
      </c>
      <c r="S260" s="89"/>
      <c r="T260" s="90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6"/>
      <c r="AZ260" s="120">
        <f>COUNTIF(U260:AY260,"A")</f>
      </c>
      <c r="BA260" s="121">
        <f>COUNTIF(U260:AY260,"F")</f>
      </c>
      <c r="BB260" s="119">
        <f>COUNTIF(U260:AY260,"E")</f>
      </c>
    </row>
    <row r="261" spans="1:54" x14ac:dyDescent="0.2">
      <c r="A261" s="84"/>
      <c r="B261" s="85"/>
      <c r="C261" s="85"/>
      <c r="D261" s="85"/>
      <c r="E261" s="86"/>
      <c r="F261" s="16">
        <f>IF(E261="","",DATEDIF(E261,$I$7,"Y"))</f>
      </c>
      <c r="G261" s="85"/>
      <c r="H261" s="85"/>
      <c r="I261" s="87"/>
      <c r="J261" s="85"/>
      <c r="K261" s="85"/>
      <c r="L261" s="10"/>
      <c r="M261" s="10"/>
      <c r="N261" s="10"/>
      <c r="O261" s="10"/>
      <c r="P261" s="85"/>
      <c r="Q261" s="88"/>
      <c r="R261" s="3">
        <f>IFERROR(VLOOKUP(TablaEnero[[#This Row],[BARRIO]],SECTOR!$A:$B,2,0),"")</f>
      </c>
      <c r="S261" s="89"/>
      <c r="T261" s="90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6"/>
      <c r="AZ261" s="120">
        <f>COUNTIF(U261:AY261,"A")</f>
      </c>
      <c r="BA261" s="121">
        <f>COUNTIF(U261:AY261,"F")</f>
      </c>
      <c r="BB261" s="119">
        <f>COUNTIF(U261:AY261,"E")</f>
      </c>
    </row>
    <row r="262" spans="1:54" x14ac:dyDescent="0.2">
      <c r="A262" s="84"/>
      <c r="B262" s="85"/>
      <c r="C262" s="85"/>
      <c r="D262" s="85"/>
      <c r="E262" s="86"/>
      <c r="F262" s="16">
        <f>IF(E262="","",DATEDIF(E262,$I$7,"Y"))</f>
      </c>
      <c r="G262" s="85"/>
      <c r="H262" s="85"/>
      <c r="I262" s="87"/>
      <c r="J262" s="85"/>
      <c r="K262" s="85"/>
      <c r="L262" s="10"/>
      <c r="M262" s="10"/>
      <c r="N262" s="10"/>
      <c r="O262" s="10"/>
      <c r="P262" s="85"/>
      <c r="Q262" s="88"/>
      <c r="R262" s="3">
        <f>IFERROR(VLOOKUP(TablaEnero[[#This Row],[BARRIO]],SECTOR!$A:$B,2,0),"")</f>
      </c>
      <c r="S262" s="89"/>
      <c r="T262" s="90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6"/>
      <c r="AZ262" s="120">
        <f>COUNTIF(U262:AY262,"A")</f>
      </c>
      <c r="BA262" s="121">
        <f>COUNTIF(U262:AY262,"F")</f>
      </c>
      <c r="BB262" s="119">
        <f>COUNTIF(U262:AY262,"E")</f>
      </c>
    </row>
    <row r="263" spans="1:54" x14ac:dyDescent="0.2">
      <c r="A263" s="84"/>
      <c r="B263" s="85"/>
      <c r="C263" s="85"/>
      <c r="D263" s="85"/>
      <c r="E263" s="86"/>
      <c r="F263" s="16">
        <f>IF(E263="","",DATEDIF(E263,$I$7,"Y"))</f>
      </c>
      <c r="G263" s="85"/>
      <c r="H263" s="85"/>
      <c r="I263" s="87"/>
      <c r="J263" s="85"/>
      <c r="K263" s="85"/>
      <c r="L263" s="10"/>
      <c r="M263" s="10"/>
      <c r="N263" s="10"/>
      <c r="O263" s="10"/>
      <c r="P263" s="85"/>
      <c r="Q263" s="88"/>
      <c r="R263" s="3">
        <f>IFERROR(VLOOKUP(TablaEnero[[#This Row],[BARRIO]],SECTOR!$A:$B,2,0),"")</f>
      </c>
      <c r="S263" s="89"/>
      <c r="T263" s="90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6"/>
      <c r="AZ263" s="120">
        <f>COUNTIF(U263:AY263,"A")</f>
      </c>
      <c r="BA263" s="121">
        <f>COUNTIF(U263:AY263,"F")</f>
      </c>
      <c r="BB263" s="119">
        <f>COUNTIF(U263:AY263,"E")</f>
      </c>
    </row>
    <row r="264" spans="1:54" x14ac:dyDescent="0.2">
      <c r="A264" s="84"/>
      <c r="B264" s="85"/>
      <c r="C264" s="85"/>
      <c r="D264" s="85"/>
      <c r="E264" s="86"/>
      <c r="F264" s="16">
        <f>IF(E264="","",DATEDIF(E264,$I$7,"Y"))</f>
      </c>
      <c r="G264" s="85"/>
      <c r="H264" s="85"/>
      <c r="I264" s="87"/>
      <c r="J264" s="85"/>
      <c r="K264" s="85"/>
      <c r="L264" s="10"/>
      <c r="M264" s="10"/>
      <c r="N264" s="10"/>
      <c r="O264" s="10"/>
      <c r="P264" s="85"/>
      <c r="Q264" s="88"/>
      <c r="R264" s="3">
        <f>IFERROR(VLOOKUP(TablaEnero[[#This Row],[BARRIO]],SECTOR!$A:$B,2,0),"")</f>
      </c>
      <c r="S264" s="89"/>
      <c r="T264" s="90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6"/>
      <c r="AZ264" s="120">
        <f>COUNTIF(U264:AY264,"A")</f>
      </c>
      <c r="BA264" s="121">
        <f>COUNTIF(U264:AY264,"F")</f>
      </c>
      <c r="BB264" s="119">
        <f>COUNTIF(U264:AY264,"E")</f>
      </c>
    </row>
    <row r="265" spans="1:54" x14ac:dyDescent="0.2">
      <c r="A265" s="84"/>
      <c r="B265" s="85"/>
      <c r="C265" s="85"/>
      <c r="D265" s="85"/>
      <c r="E265" s="86"/>
      <c r="F265" s="16">
        <f>IF(E265="","",DATEDIF(E265,$I$7,"Y"))</f>
      </c>
      <c r="G265" s="85"/>
      <c r="H265" s="85"/>
      <c r="I265" s="87"/>
      <c r="J265" s="85"/>
      <c r="K265" s="85"/>
      <c r="L265" s="10"/>
      <c r="M265" s="10"/>
      <c r="N265" s="10"/>
      <c r="O265" s="10"/>
      <c r="P265" s="85"/>
      <c r="Q265" s="88"/>
      <c r="R265" s="3">
        <f>IFERROR(VLOOKUP(TablaEnero[[#This Row],[BARRIO]],SECTOR!$A:$B,2,0),"")</f>
      </c>
      <c r="S265" s="89"/>
      <c r="T265" s="90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6"/>
      <c r="AZ265" s="120">
        <f>COUNTIF(U265:AY265,"A")</f>
      </c>
      <c r="BA265" s="121">
        <f>COUNTIF(U265:AY265,"F")</f>
      </c>
      <c r="BB265" s="119">
        <f>COUNTIF(U265:AY265,"E")</f>
      </c>
    </row>
    <row r="266" spans="1:54" x14ac:dyDescent="0.2">
      <c r="A266" s="84"/>
      <c r="B266" s="85"/>
      <c r="C266" s="85"/>
      <c r="D266" s="85"/>
      <c r="E266" s="86"/>
      <c r="F266" s="16">
        <f>IF(E266="","",DATEDIF(E266,$I$7,"Y"))</f>
      </c>
      <c r="G266" s="85"/>
      <c r="H266" s="85"/>
      <c r="I266" s="87"/>
      <c r="J266" s="85"/>
      <c r="K266" s="85"/>
      <c r="L266" s="10"/>
      <c r="M266" s="10"/>
      <c r="N266" s="10"/>
      <c r="O266" s="10"/>
      <c r="P266" s="85"/>
      <c r="Q266" s="88"/>
      <c r="R266" s="3">
        <f>IFERROR(VLOOKUP(TablaEnero[[#This Row],[BARRIO]],SECTOR!$A:$B,2,0),"")</f>
      </c>
      <c r="S266" s="89"/>
      <c r="T266" s="90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6"/>
      <c r="AZ266" s="120">
        <f>COUNTIF(U266:AY266,"A")</f>
      </c>
      <c r="BA266" s="121">
        <f>COUNTIF(U266:AY266,"F")</f>
      </c>
      <c r="BB266" s="119">
        <f>COUNTIF(U266:AY266,"E")</f>
      </c>
    </row>
    <row r="267" spans="1:54" x14ac:dyDescent="0.2">
      <c r="A267" s="84"/>
      <c r="B267" s="85"/>
      <c r="C267" s="85"/>
      <c r="D267" s="85"/>
      <c r="E267" s="86"/>
      <c r="F267" s="16">
        <f>IF(E267="","",DATEDIF(E267,$I$7,"Y"))</f>
      </c>
      <c r="G267" s="85"/>
      <c r="H267" s="85"/>
      <c r="I267" s="87"/>
      <c r="J267" s="85"/>
      <c r="K267" s="85"/>
      <c r="L267" s="10"/>
      <c r="M267" s="10"/>
      <c r="N267" s="10"/>
      <c r="O267" s="10"/>
      <c r="P267" s="85"/>
      <c r="Q267" s="88"/>
      <c r="R267" s="3">
        <f>IFERROR(VLOOKUP(TablaEnero[[#This Row],[BARRIO]],SECTOR!$A:$B,2,0),"")</f>
      </c>
      <c r="S267" s="89"/>
      <c r="T267" s="90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6"/>
      <c r="AZ267" s="120">
        <f>COUNTIF(U267:AY267,"A")</f>
      </c>
      <c r="BA267" s="121">
        <f>COUNTIF(U267:AY267,"F")</f>
      </c>
      <c r="BB267" s="119">
        <f>COUNTIF(U267:AY267,"E")</f>
      </c>
    </row>
    <row r="268" spans="1:54" x14ac:dyDescent="0.2">
      <c r="A268" s="84"/>
      <c r="B268" s="85"/>
      <c r="C268" s="85"/>
      <c r="D268" s="85"/>
      <c r="E268" s="86"/>
      <c r="F268" s="16">
        <f>IF(E268="","",DATEDIF(E268,$I$7,"Y"))</f>
      </c>
      <c r="G268" s="85"/>
      <c r="H268" s="85"/>
      <c r="I268" s="87"/>
      <c r="J268" s="85"/>
      <c r="K268" s="85"/>
      <c r="L268" s="10"/>
      <c r="M268" s="10"/>
      <c r="N268" s="10"/>
      <c r="O268" s="10"/>
      <c r="P268" s="85"/>
      <c r="Q268" s="88"/>
      <c r="R268" s="3">
        <f>IFERROR(VLOOKUP(TablaEnero[[#This Row],[BARRIO]],SECTOR!$A:$B,2,0),"")</f>
      </c>
      <c r="S268" s="89"/>
      <c r="T268" s="90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6"/>
      <c r="AZ268" s="120">
        <f>COUNTIF(U268:AY268,"A")</f>
      </c>
      <c r="BA268" s="121">
        <f>COUNTIF(U268:AY268,"F")</f>
      </c>
      <c r="BB268" s="119">
        <f>COUNTIF(U268:AY268,"E")</f>
      </c>
    </row>
    <row r="269" spans="1:54" x14ac:dyDescent="0.2">
      <c r="A269" s="84"/>
      <c r="B269" s="85"/>
      <c r="C269" s="85"/>
      <c r="D269" s="85"/>
      <c r="E269" s="86"/>
      <c r="F269" s="16">
        <f>IF(E269="","",DATEDIF(E269,$I$7,"Y"))</f>
      </c>
      <c r="G269" s="85"/>
      <c r="H269" s="85"/>
      <c r="I269" s="87"/>
      <c r="J269" s="85"/>
      <c r="K269" s="85"/>
      <c r="L269" s="10"/>
      <c r="M269" s="10"/>
      <c r="N269" s="10"/>
      <c r="O269" s="10"/>
      <c r="P269" s="85"/>
      <c r="Q269" s="88"/>
      <c r="R269" s="3">
        <f>IFERROR(VLOOKUP(TablaEnero[[#This Row],[BARRIO]],SECTOR!$A:$B,2,0),"")</f>
      </c>
      <c r="S269" s="89"/>
      <c r="T269" s="90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6"/>
      <c r="AZ269" s="120">
        <f>COUNTIF(U269:AY269,"A")</f>
      </c>
      <c r="BA269" s="121">
        <f>COUNTIF(U269:AY269,"F")</f>
      </c>
      <c r="BB269" s="119">
        <f>COUNTIF(U269:AY269,"E")</f>
      </c>
    </row>
    <row r="270" spans="1:54" x14ac:dyDescent="0.2">
      <c r="A270" s="84"/>
      <c r="B270" s="85"/>
      <c r="C270" s="85"/>
      <c r="D270" s="85"/>
      <c r="E270" s="86"/>
      <c r="F270" s="16">
        <f>IF(E270="","",DATEDIF(E270,$I$7,"Y"))</f>
      </c>
      <c r="G270" s="85"/>
      <c r="H270" s="85"/>
      <c r="I270" s="87"/>
      <c r="J270" s="85"/>
      <c r="K270" s="85"/>
      <c r="L270" s="10"/>
      <c r="M270" s="10"/>
      <c r="N270" s="10"/>
      <c r="O270" s="10"/>
      <c r="P270" s="85"/>
      <c r="Q270" s="88"/>
      <c r="R270" s="3">
        <f>IFERROR(VLOOKUP(TablaEnero[[#This Row],[BARRIO]],SECTOR!$A:$B,2,0),"")</f>
      </c>
      <c r="S270" s="89"/>
      <c r="T270" s="90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6"/>
      <c r="AZ270" s="120">
        <f>COUNTIF(U270:AY270,"A")</f>
      </c>
      <c r="BA270" s="121">
        <f>COUNTIF(U270:AY270,"F")</f>
      </c>
      <c r="BB270" s="119">
        <f>COUNTIF(U270:AY270,"E")</f>
      </c>
    </row>
    <row r="271" spans="1:54" x14ac:dyDescent="0.2">
      <c r="A271" s="84"/>
      <c r="B271" s="85"/>
      <c r="C271" s="85"/>
      <c r="D271" s="85"/>
      <c r="E271" s="86"/>
      <c r="F271" s="16">
        <f>IF(E271="","",DATEDIF(E271,$I$7,"Y"))</f>
      </c>
      <c r="G271" s="85"/>
      <c r="H271" s="85"/>
      <c r="I271" s="87"/>
      <c r="J271" s="85"/>
      <c r="K271" s="85"/>
      <c r="L271" s="10"/>
      <c r="M271" s="10"/>
      <c r="N271" s="10"/>
      <c r="O271" s="10"/>
      <c r="P271" s="85"/>
      <c r="Q271" s="88"/>
      <c r="R271" s="3">
        <f>IFERROR(VLOOKUP(TablaEnero[[#This Row],[BARRIO]],SECTOR!$A:$B,2,0),"")</f>
      </c>
      <c r="S271" s="89"/>
      <c r="T271" s="90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6"/>
      <c r="AZ271" s="120">
        <f>COUNTIF(U271:AY271,"A")</f>
      </c>
      <c r="BA271" s="121">
        <f>COUNTIF(U271:AY271,"F")</f>
      </c>
      <c r="BB271" s="119">
        <f>COUNTIF(U271:AY271,"E")</f>
      </c>
    </row>
    <row r="272" spans="1:54" x14ac:dyDescent="0.2">
      <c r="A272" s="84"/>
      <c r="B272" s="85"/>
      <c r="C272" s="85"/>
      <c r="D272" s="85"/>
      <c r="E272" s="86"/>
      <c r="F272" s="16">
        <f>IF(E272="","",DATEDIF(E272,$I$7,"Y"))</f>
      </c>
      <c r="G272" s="85"/>
      <c r="H272" s="85"/>
      <c r="I272" s="87"/>
      <c r="J272" s="85"/>
      <c r="K272" s="85"/>
      <c r="L272" s="10"/>
      <c r="M272" s="10"/>
      <c r="N272" s="10"/>
      <c r="O272" s="10"/>
      <c r="P272" s="85"/>
      <c r="Q272" s="88"/>
      <c r="R272" s="3">
        <f>IFERROR(VLOOKUP(TablaEnero[[#This Row],[BARRIO]],SECTOR!$A:$B,2,0),"")</f>
      </c>
      <c r="S272" s="89"/>
      <c r="T272" s="90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6"/>
      <c r="AZ272" s="120">
        <f>COUNTIF(U272:AY272,"A")</f>
      </c>
      <c r="BA272" s="121">
        <f>COUNTIF(U272:AY272,"F")</f>
      </c>
      <c r="BB272" s="119">
        <f>COUNTIF(U272:AY272,"E")</f>
      </c>
    </row>
    <row r="273" spans="1:54" x14ac:dyDescent="0.2">
      <c r="A273" s="84"/>
      <c r="B273" s="85"/>
      <c r="C273" s="85"/>
      <c r="D273" s="85"/>
      <c r="E273" s="86"/>
      <c r="F273" s="16">
        <f>IF(E273="","",DATEDIF(E273,$I$7,"Y"))</f>
      </c>
      <c r="G273" s="85"/>
      <c r="H273" s="85"/>
      <c r="I273" s="87"/>
      <c r="J273" s="85"/>
      <c r="K273" s="85"/>
      <c r="L273" s="10"/>
      <c r="M273" s="10"/>
      <c r="N273" s="10"/>
      <c r="O273" s="10"/>
      <c r="P273" s="85"/>
      <c r="Q273" s="88"/>
      <c r="R273" s="3">
        <f>IFERROR(VLOOKUP(TablaEnero[[#This Row],[BARRIO]],SECTOR!$A:$B,2,0),"")</f>
      </c>
      <c r="S273" s="89"/>
      <c r="T273" s="90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6"/>
      <c r="AZ273" s="120">
        <f>COUNTIF(U273:AY273,"A")</f>
      </c>
      <c r="BA273" s="121">
        <f>COUNTIF(U273:AY273,"F")</f>
      </c>
      <c r="BB273" s="119">
        <f>COUNTIF(U273:AY273,"E")</f>
      </c>
    </row>
    <row r="274" spans="1:54" x14ac:dyDescent="0.2">
      <c r="A274" s="84"/>
      <c r="B274" s="85"/>
      <c r="C274" s="85"/>
      <c r="D274" s="85"/>
      <c r="E274" s="86"/>
      <c r="F274" s="16">
        <f>IF(E274="","",DATEDIF(E274,$I$7,"Y"))</f>
      </c>
      <c r="G274" s="85"/>
      <c r="H274" s="85"/>
      <c r="I274" s="87"/>
      <c r="J274" s="85"/>
      <c r="K274" s="85"/>
      <c r="L274" s="10"/>
      <c r="M274" s="10"/>
      <c r="N274" s="10"/>
      <c r="O274" s="10"/>
      <c r="P274" s="85"/>
      <c r="Q274" s="88"/>
      <c r="R274" s="3">
        <f>IFERROR(VLOOKUP(TablaEnero[[#This Row],[BARRIO]],SECTOR!$A:$B,2,0),"")</f>
      </c>
      <c r="S274" s="89"/>
      <c r="T274" s="90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6"/>
      <c r="AZ274" s="120">
        <f>COUNTIF(U274:AY274,"A")</f>
      </c>
      <c r="BA274" s="121">
        <f>COUNTIF(U274:AY274,"F")</f>
      </c>
      <c r="BB274" s="119">
        <f>COUNTIF(U274:AY274,"E")</f>
      </c>
    </row>
    <row r="275" spans="1:54" x14ac:dyDescent="0.2">
      <c r="A275" s="84"/>
      <c r="B275" s="85"/>
      <c r="C275" s="85"/>
      <c r="D275" s="85"/>
      <c r="E275" s="86"/>
      <c r="F275" s="16">
        <f>IF(E275="","",DATEDIF(E275,$I$7,"Y"))</f>
      </c>
      <c r="G275" s="85"/>
      <c r="H275" s="85"/>
      <c r="I275" s="87"/>
      <c r="J275" s="85"/>
      <c r="K275" s="85"/>
      <c r="L275" s="10"/>
      <c r="M275" s="10"/>
      <c r="N275" s="10"/>
      <c r="O275" s="10"/>
      <c r="P275" s="85"/>
      <c r="Q275" s="88"/>
      <c r="R275" s="3">
        <f>IFERROR(VLOOKUP(TablaEnero[[#This Row],[BARRIO]],SECTOR!$A:$B,2,0),"")</f>
      </c>
      <c r="S275" s="89"/>
      <c r="T275" s="90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6"/>
      <c r="AZ275" s="120">
        <f>COUNTIF(U275:AY275,"A")</f>
      </c>
      <c r="BA275" s="121">
        <f>COUNTIF(U275:AY275,"F")</f>
      </c>
      <c r="BB275" s="119">
        <f>COUNTIF(U275:AY275,"E")</f>
      </c>
    </row>
    <row r="276" spans="1:54" x14ac:dyDescent="0.2">
      <c r="A276" s="84"/>
      <c r="B276" s="85"/>
      <c r="C276" s="85"/>
      <c r="D276" s="85"/>
      <c r="E276" s="86"/>
      <c r="F276" s="16">
        <f>IF(E276="","",DATEDIF(E276,$I$7,"Y"))</f>
      </c>
      <c r="G276" s="85"/>
      <c r="H276" s="85"/>
      <c r="I276" s="87"/>
      <c r="J276" s="85"/>
      <c r="K276" s="85"/>
      <c r="L276" s="10"/>
      <c r="M276" s="10"/>
      <c r="N276" s="10"/>
      <c r="O276" s="10"/>
      <c r="P276" s="85"/>
      <c r="Q276" s="88"/>
      <c r="R276" s="3">
        <f>IFERROR(VLOOKUP(TablaEnero[[#This Row],[BARRIO]],SECTOR!$A:$B,2,0),"")</f>
      </c>
      <c r="S276" s="89"/>
      <c r="T276" s="90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6"/>
      <c r="AZ276" s="120">
        <f>COUNTIF(U276:AY276,"A")</f>
      </c>
      <c r="BA276" s="121">
        <f>COUNTIF(U276:AY276,"F")</f>
      </c>
      <c r="BB276" s="119">
        <f>COUNTIF(U276:AY276,"E")</f>
      </c>
    </row>
    <row r="277" spans="1:54" x14ac:dyDescent="0.2">
      <c r="A277" s="84"/>
      <c r="B277" s="85"/>
      <c r="C277" s="85"/>
      <c r="D277" s="85"/>
      <c r="E277" s="86"/>
      <c r="F277" s="16">
        <f>IF(E277="","",DATEDIF(E277,$I$7,"Y"))</f>
      </c>
      <c r="G277" s="85"/>
      <c r="H277" s="85"/>
      <c r="I277" s="87"/>
      <c r="J277" s="85"/>
      <c r="K277" s="85"/>
      <c r="L277" s="10"/>
      <c r="M277" s="10"/>
      <c r="N277" s="10"/>
      <c r="O277" s="10"/>
      <c r="P277" s="85"/>
      <c r="Q277" s="88"/>
      <c r="R277" s="3">
        <f>IFERROR(VLOOKUP(TablaEnero[[#This Row],[BARRIO]],SECTOR!$A:$B,2,0),"")</f>
      </c>
      <c r="S277" s="89"/>
      <c r="T277" s="90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6"/>
      <c r="AZ277" s="120">
        <f>COUNTIF(U277:AY277,"A")</f>
      </c>
      <c r="BA277" s="121">
        <f>COUNTIF(U277:AY277,"F")</f>
      </c>
      <c r="BB277" s="119">
        <f>COUNTIF(U277:AY277,"E")</f>
      </c>
    </row>
    <row r="278" spans="1:54" x14ac:dyDescent="0.2">
      <c r="A278" s="84"/>
      <c r="B278" s="85"/>
      <c r="C278" s="85"/>
      <c r="D278" s="85"/>
      <c r="E278" s="86"/>
      <c r="F278" s="16">
        <f>IF(E278="","",DATEDIF(E278,$I$7,"Y"))</f>
      </c>
      <c r="G278" s="85"/>
      <c r="H278" s="85"/>
      <c r="I278" s="87"/>
      <c r="J278" s="85"/>
      <c r="K278" s="85"/>
      <c r="L278" s="10"/>
      <c r="M278" s="10"/>
      <c r="N278" s="10"/>
      <c r="O278" s="10"/>
      <c r="P278" s="85"/>
      <c r="Q278" s="88"/>
      <c r="R278" s="3">
        <f>IFERROR(VLOOKUP(TablaEnero[[#This Row],[BARRIO]],SECTOR!$A:$B,2,0),"")</f>
      </c>
      <c r="S278" s="89"/>
      <c r="T278" s="90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6"/>
      <c r="AZ278" s="120">
        <f>COUNTIF(U278:AY278,"A")</f>
      </c>
      <c r="BA278" s="121">
        <f>COUNTIF(U278:AY278,"F")</f>
      </c>
      <c r="BB278" s="119">
        <f>COUNTIF(U278:AY278,"E")</f>
      </c>
    </row>
    <row r="279" spans="1:54" x14ac:dyDescent="0.2">
      <c r="A279" s="84"/>
      <c r="B279" s="85"/>
      <c r="C279" s="85"/>
      <c r="D279" s="85"/>
      <c r="E279" s="86"/>
      <c r="F279" s="16">
        <f>IF(E279="","",DATEDIF(E279,$I$7,"Y"))</f>
      </c>
      <c r="G279" s="85"/>
      <c r="H279" s="85"/>
      <c r="I279" s="87"/>
      <c r="J279" s="85"/>
      <c r="K279" s="85"/>
      <c r="L279" s="10"/>
      <c r="M279" s="10"/>
      <c r="N279" s="10"/>
      <c r="O279" s="10"/>
      <c r="P279" s="85"/>
      <c r="Q279" s="88"/>
      <c r="R279" s="3">
        <f>IFERROR(VLOOKUP(TablaEnero[[#This Row],[BARRIO]],SECTOR!$A:$B,2,0),"")</f>
      </c>
      <c r="S279" s="89"/>
      <c r="T279" s="90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6"/>
      <c r="AZ279" s="120">
        <f>COUNTIF(U279:AY279,"A")</f>
      </c>
      <c r="BA279" s="121">
        <f>COUNTIF(U279:AY279,"F")</f>
      </c>
      <c r="BB279" s="119">
        <f>COUNTIF(U279:AY279,"E")</f>
      </c>
    </row>
    <row r="280" spans="1:54" x14ac:dyDescent="0.2">
      <c r="A280" s="84"/>
      <c r="B280" s="85"/>
      <c r="C280" s="85"/>
      <c r="D280" s="85"/>
      <c r="E280" s="86"/>
      <c r="F280" s="16">
        <f>IF(E280="","",DATEDIF(E280,$I$7,"Y"))</f>
      </c>
      <c r="G280" s="85"/>
      <c r="H280" s="85"/>
      <c r="I280" s="87"/>
      <c r="J280" s="85"/>
      <c r="K280" s="85"/>
      <c r="L280" s="10"/>
      <c r="M280" s="10"/>
      <c r="N280" s="10"/>
      <c r="O280" s="10"/>
      <c r="P280" s="85"/>
      <c r="Q280" s="88"/>
      <c r="R280" s="3">
        <f>IFERROR(VLOOKUP(TablaEnero[[#This Row],[BARRIO]],SECTOR!$A:$B,2,0),"")</f>
      </c>
      <c r="S280" s="89"/>
      <c r="T280" s="90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6"/>
      <c r="AZ280" s="120">
        <f>COUNTIF(U280:AY280,"A")</f>
      </c>
      <c r="BA280" s="121">
        <f>COUNTIF(U280:AY280,"F")</f>
      </c>
      <c r="BB280" s="119">
        <f>COUNTIF(U280:AY280,"E")</f>
      </c>
    </row>
    <row r="281" spans="1:54" x14ac:dyDescent="0.2">
      <c r="A281" s="84"/>
      <c r="B281" s="85"/>
      <c r="C281" s="85"/>
      <c r="D281" s="85"/>
      <c r="E281" s="86"/>
      <c r="F281" s="16">
        <f>IF(E281="","",DATEDIF(E281,$I$7,"Y"))</f>
      </c>
      <c r="G281" s="85"/>
      <c r="H281" s="85"/>
      <c r="I281" s="87"/>
      <c r="J281" s="85"/>
      <c r="K281" s="85"/>
      <c r="L281" s="10"/>
      <c r="M281" s="10"/>
      <c r="N281" s="10"/>
      <c r="O281" s="10"/>
      <c r="P281" s="85"/>
      <c r="Q281" s="88"/>
      <c r="R281" s="3">
        <f>IFERROR(VLOOKUP(TablaEnero[[#This Row],[BARRIO]],SECTOR!$A:$B,2,0),"")</f>
      </c>
      <c r="S281" s="89"/>
      <c r="T281" s="90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6"/>
      <c r="AZ281" s="120">
        <f>COUNTIF(U281:AY281,"A")</f>
      </c>
      <c r="BA281" s="121">
        <f>COUNTIF(U281:AY281,"F")</f>
      </c>
      <c r="BB281" s="119">
        <f>COUNTIF(U281:AY281,"E")</f>
      </c>
    </row>
    <row r="282" spans="1:54" x14ac:dyDescent="0.2">
      <c r="A282" s="84"/>
      <c r="B282" s="85"/>
      <c r="C282" s="85"/>
      <c r="D282" s="85"/>
      <c r="E282" s="86"/>
      <c r="F282" s="16">
        <f>IF(E282="","",DATEDIF(E282,$I$7,"Y"))</f>
      </c>
      <c r="G282" s="85"/>
      <c r="H282" s="85"/>
      <c r="I282" s="87"/>
      <c r="J282" s="85"/>
      <c r="K282" s="85"/>
      <c r="L282" s="10"/>
      <c r="M282" s="10"/>
      <c r="N282" s="10"/>
      <c r="O282" s="10"/>
      <c r="P282" s="85"/>
      <c r="Q282" s="88"/>
      <c r="R282" s="3">
        <f>IFERROR(VLOOKUP(TablaEnero[[#This Row],[BARRIO]],SECTOR!$A:$B,2,0),"")</f>
      </c>
      <c r="S282" s="89"/>
      <c r="T282" s="90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6"/>
      <c r="AZ282" s="120">
        <f>COUNTIF(U282:AY282,"A")</f>
      </c>
      <c r="BA282" s="121">
        <f>COUNTIF(U282:AY282,"F")</f>
      </c>
      <c r="BB282" s="119">
        <f>COUNTIF(U282:AY282,"E")</f>
      </c>
    </row>
    <row r="283" spans="1:54" x14ac:dyDescent="0.2">
      <c r="A283" s="84"/>
      <c r="B283" s="85"/>
      <c r="C283" s="85"/>
      <c r="D283" s="85"/>
      <c r="E283" s="86"/>
      <c r="F283" s="16">
        <f>IF(E283="","",DATEDIF(E283,$I$7,"Y"))</f>
      </c>
      <c r="G283" s="85"/>
      <c r="H283" s="85"/>
      <c r="I283" s="87"/>
      <c r="J283" s="85"/>
      <c r="K283" s="85"/>
      <c r="L283" s="10"/>
      <c r="M283" s="10"/>
      <c r="N283" s="10"/>
      <c r="O283" s="10"/>
      <c r="P283" s="85"/>
      <c r="Q283" s="88"/>
      <c r="R283" s="3">
        <f>IFERROR(VLOOKUP(TablaEnero[[#This Row],[BARRIO]],SECTOR!$A:$B,2,0),"")</f>
      </c>
      <c r="S283" s="89"/>
      <c r="T283" s="90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6"/>
      <c r="AZ283" s="120">
        <f>COUNTIF(U283:AY283,"A")</f>
      </c>
      <c r="BA283" s="121">
        <f>COUNTIF(U283:AY283,"F")</f>
      </c>
      <c r="BB283" s="119">
        <f>COUNTIF(U283:AY283,"E")</f>
      </c>
    </row>
    <row r="284" spans="1:54" x14ac:dyDescent="0.2">
      <c r="A284" s="84"/>
      <c r="B284" s="85"/>
      <c r="C284" s="85"/>
      <c r="D284" s="85"/>
      <c r="E284" s="86"/>
      <c r="F284" s="16">
        <f>IF(E284="","",DATEDIF(E284,$I$7,"Y"))</f>
      </c>
      <c r="G284" s="85"/>
      <c r="H284" s="85"/>
      <c r="I284" s="87"/>
      <c r="J284" s="85"/>
      <c r="K284" s="85"/>
      <c r="L284" s="10"/>
      <c r="M284" s="10"/>
      <c r="N284" s="10"/>
      <c r="O284" s="10"/>
      <c r="P284" s="85"/>
      <c r="Q284" s="88"/>
      <c r="R284" s="3">
        <f>IFERROR(VLOOKUP(TablaEnero[[#This Row],[BARRIO]],SECTOR!$A:$B,2,0),"")</f>
      </c>
      <c r="S284" s="89"/>
      <c r="T284" s="90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6"/>
      <c r="AZ284" s="120">
        <f>COUNTIF(U284:AY284,"A")</f>
      </c>
      <c r="BA284" s="121">
        <f>COUNTIF(U284:AY284,"F")</f>
      </c>
      <c r="BB284" s="119">
        <f>COUNTIF(U284:AY284,"E")</f>
      </c>
    </row>
    <row r="285" spans="1:54" x14ac:dyDescent="0.2">
      <c r="A285" s="84"/>
      <c r="B285" s="85"/>
      <c r="C285" s="85"/>
      <c r="D285" s="85"/>
      <c r="E285" s="86"/>
      <c r="F285" s="16">
        <f>IF(E285="","",DATEDIF(E285,$I$7,"Y"))</f>
      </c>
      <c r="G285" s="85"/>
      <c r="H285" s="85"/>
      <c r="I285" s="87"/>
      <c r="J285" s="85"/>
      <c r="K285" s="85"/>
      <c r="L285" s="10"/>
      <c r="M285" s="10"/>
      <c r="N285" s="10"/>
      <c r="O285" s="10"/>
      <c r="P285" s="85"/>
      <c r="Q285" s="88"/>
      <c r="R285" s="3">
        <f>IFERROR(VLOOKUP(TablaEnero[[#This Row],[BARRIO]],SECTOR!$A:$B,2,0),"")</f>
      </c>
      <c r="S285" s="89"/>
      <c r="T285" s="90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6"/>
      <c r="AZ285" s="120">
        <f>COUNTIF(U285:AY285,"A")</f>
      </c>
      <c r="BA285" s="121">
        <f>COUNTIF(U285:AY285,"F")</f>
      </c>
      <c r="BB285" s="119">
        <f>COUNTIF(U285:AY285,"E")</f>
      </c>
    </row>
    <row r="286" spans="1:54" x14ac:dyDescent="0.2">
      <c r="A286" s="84"/>
      <c r="B286" s="85"/>
      <c r="C286" s="85"/>
      <c r="D286" s="85"/>
      <c r="E286" s="86"/>
      <c r="F286" s="16">
        <f>IF(E286="","",DATEDIF(E286,$I$7,"Y"))</f>
      </c>
      <c r="G286" s="85"/>
      <c r="H286" s="85"/>
      <c r="I286" s="87"/>
      <c r="J286" s="85"/>
      <c r="K286" s="85"/>
      <c r="L286" s="10"/>
      <c r="M286" s="10"/>
      <c r="N286" s="10"/>
      <c r="O286" s="10"/>
      <c r="P286" s="85"/>
      <c r="Q286" s="88"/>
      <c r="R286" s="3">
        <f>IFERROR(VLOOKUP(TablaEnero[[#This Row],[BARRIO]],SECTOR!$A:$B,2,0),"")</f>
      </c>
      <c r="S286" s="89"/>
      <c r="T286" s="90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6"/>
      <c r="AZ286" s="120">
        <f>COUNTIF(U286:AY286,"A")</f>
      </c>
      <c r="BA286" s="121">
        <f>COUNTIF(U286:AY286,"F")</f>
      </c>
      <c r="BB286" s="119">
        <f>COUNTIF(U286:AY286,"E")</f>
      </c>
    </row>
    <row r="287" spans="1:54" x14ac:dyDescent="0.2">
      <c r="A287" s="84"/>
      <c r="B287" s="85"/>
      <c r="C287" s="85"/>
      <c r="D287" s="85"/>
      <c r="E287" s="86"/>
      <c r="F287" s="16">
        <f>IF(E287="","",DATEDIF(E287,$I$7,"Y"))</f>
      </c>
      <c r="G287" s="85"/>
      <c r="H287" s="85"/>
      <c r="I287" s="87"/>
      <c r="J287" s="85"/>
      <c r="K287" s="85"/>
      <c r="L287" s="10"/>
      <c r="M287" s="10"/>
      <c r="N287" s="10"/>
      <c r="O287" s="10"/>
      <c r="P287" s="85"/>
      <c r="Q287" s="88"/>
      <c r="R287" s="3">
        <f>IFERROR(VLOOKUP(TablaEnero[[#This Row],[BARRIO]],SECTOR!$A:$B,2,0),"")</f>
      </c>
      <c r="S287" s="89"/>
      <c r="T287" s="90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6"/>
      <c r="AZ287" s="120">
        <f>COUNTIF(U287:AY287,"A")</f>
      </c>
      <c r="BA287" s="121">
        <f>COUNTIF(U287:AY287,"F")</f>
      </c>
      <c r="BB287" s="119">
        <f>COUNTIF(U287:AY287,"E")</f>
      </c>
    </row>
    <row r="288" spans="1:54" x14ac:dyDescent="0.2">
      <c r="A288" s="84"/>
      <c r="B288" s="85"/>
      <c r="C288" s="85"/>
      <c r="D288" s="85"/>
      <c r="E288" s="86"/>
      <c r="F288" s="16">
        <f>IF(E288="","",DATEDIF(E288,$I$7,"Y"))</f>
      </c>
      <c r="G288" s="85"/>
      <c r="H288" s="85"/>
      <c r="I288" s="87"/>
      <c r="J288" s="85"/>
      <c r="K288" s="85"/>
      <c r="L288" s="10"/>
      <c r="M288" s="10"/>
      <c r="N288" s="10"/>
      <c r="O288" s="10"/>
      <c r="P288" s="85"/>
      <c r="Q288" s="88"/>
      <c r="R288" s="3">
        <f>IFERROR(VLOOKUP(TablaEnero[[#This Row],[BARRIO]],SECTOR!$A:$B,2,0),"")</f>
      </c>
      <c r="S288" s="89"/>
      <c r="T288" s="90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6"/>
      <c r="AZ288" s="120">
        <f>COUNTIF(U288:AY288,"A")</f>
      </c>
      <c r="BA288" s="121">
        <f>COUNTIF(U288:AY288,"F")</f>
      </c>
      <c r="BB288" s="119">
        <f>COUNTIF(U288:AY288,"E")</f>
      </c>
    </row>
    <row r="289" spans="1:54" x14ac:dyDescent="0.2">
      <c r="A289" s="84"/>
      <c r="B289" s="85"/>
      <c r="C289" s="85"/>
      <c r="D289" s="85"/>
      <c r="E289" s="86"/>
      <c r="F289" s="16">
        <f>IF(E289="","",DATEDIF(E289,$I$7,"Y"))</f>
      </c>
      <c r="G289" s="85"/>
      <c r="H289" s="85"/>
      <c r="I289" s="87"/>
      <c r="J289" s="85"/>
      <c r="K289" s="85"/>
      <c r="L289" s="10"/>
      <c r="M289" s="10"/>
      <c r="N289" s="10"/>
      <c r="O289" s="10"/>
      <c r="P289" s="85"/>
      <c r="Q289" s="88"/>
      <c r="R289" s="3">
        <f>IFERROR(VLOOKUP(TablaEnero[[#This Row],[BARRIO]],SECTOR!$A:$B,2,0),"")</f>
      </c>
      <c r="S289" s="89"/>
      <c r="T289" s="90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6"/>
      <c r="AZ289" s="120">
        <f>COUNTIF(U289:AY289,"A")</f>
      </c>
      <c r="BA289" s="121">
        <f>COUNTIF(U289:AY289,"F")</f>
      </c>
      <c r="BB289" s="119">
        <f>COUNTIF(U289:AY289,"E")</f>
      </c>
    </row>
    <row r="290" spans="1:54" x14ac:dyDescent="0.2">
      <c r="A290" s="84"/>
      <c r="B290" s="85"/>
      <c r="C290" s="85"/>
      <c r="D290" s="85"/>
      <c r="E290" s="86"/>
      <c r="F290" s="16">
        <f>IF(E290="","",DATEDIF(E290,$I$7,"Y"))</f>
      </c>
      <c r="G290" s="85"/>
      <c r="H290" s="85"/>
      <c r="I290" s="87"/>
      <c r="J290" s="85"/>
      <c r="K290" s="85"/>
      <c r="L290" s="10"/>
      <c r="M290" s="10"/>
      <c r="N290" s="10"/>
      <c r="O290" s="10"/>
      <c r="P290" s="85"/>
      <c r="Q290" s="88"/>
      <c r="R290" s="3">
        <f>IFERROR(VLOOKUP(TablaEnero[[#This Row],[BARRIO]],SECTOR!$A:$B,2,0),"")</f>
      </c>
      <c r="S290" s="89"/>
      <c r="T290" s="90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6"/>
      <c r="AZ290" s="120">
        <f>COUNTIF(U290:AY290,"A")</f>
      </c>
      <c r="BA290" s="121">
        <f>COUNTIF(U290:AY290,"F")</f>
      </c>
      <c r="BB290" s="119">
        <f>COUNTIF(U290:AY290,"E")</f>
      </c>
    </row>
    <row r="291" spans="1:54" x14ac:dyDescent="0.2">
      <c r="A291" s="84"/>
      <c r="B291" s="85"/>
      <c r="C291" s="85"/>
      <c r="D291" s="85"/>
      <c r="E291" s="86"/>
      <c r="F291" s="16">
        <f>IF(E291="","",DATEDIF(E291,$I$7,"Y"))</f>
      </c>
      <c r="G291" s="85"/>
      <c r="H291" s="85"/>
      <c r="I291" s="87"/>
      <c r="J291" s="85"/>
      <c r="K291" s="85"/>
      <c r="L291" s="10"/>
      <c r="M291" s="10"/>
      <c r="N291" s="10"/>
      <c r="O291" s="10"/>
      <c r="P291" s="85"/>
      <c r="Q291" s="88"/>
      <c r="R291" s="3">
        <f>IFERROR(VLOOKUP(TablaEnero[[#This Row],[BARRIO]],SECTOR!$A:$B,2,0),"")</f>
      </c>
      <c r="S291" s="89"/>
      <c r="T291" s="90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6"/>
      <c r="AZ291" s="120">
        <f>COUNTIF(U291:AY291,"A")</f>
      </c>
      <c r="BA291" s="121">
        <f>COUNTIF(U291:AY291,"F")</f>
      </c>
      <c r="BB291" s="119">
        <f>COUNTIF(U291:AY291,"E")</f>
      </c>
    </row>
    <row r="292" spans="1:54" x14ac:dyDescent="0.2">
      <c r="A292" s="84"/>
      <c r="B292" s="85"/>
      <c r="C292" s="85"/>
      <c r="D292" s="85"/>
      <c r="E292" s="86"/>
      <c r="F292" s="16">
        <f>IF(E292="","",DATEDIF(E292,$I$7,"Y"))</f>
      </c>
      <c r="G292" s="85"/>
      <c r="H292" s="85"/>
      <c r="I292" s="87"/>
      <c r="J292" s="85"/>
      <c r="K292" s="85"/>
      <c r="L292" s="10"/>
      <c r="M292" s="10"/>
      <c r="N292" s="10"/>
      <c r="O292" s="10"/>
      <c r="P292" s="85"/>
      <c r="Q292" s="88"/>
      <c r="R292" s="3">
        <f>IFERROR(VLOOKUP(TablaEnero[[#This Row],[BARRIO]],SECTOR!$A:$B,2,0),"")</f>
      </c>
      <c r="S292" s="89"/>
      <c r="T292" s="90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6"/>
      <c r="AZ292" s="120">
        <f>COUNTIF(U292:AY292,"A")</f>
      </c>
      <c r="BA292" s="121">
        <f>COUNTIF(U292:AY292,"F")</f>
      </c>
      <c r="BB292" s="119">
        <f>COUNTIF(U292:AY292,"E")</f>
      </c>
    </row>
    <row r="293" spans="1:54" x14ac:dyDescent="0.2">
      <c r="A293" s="84"/>
      <c r="B293" s="85"/>
      <c r="C293" s="85"/>
      <c r="D293" s="85"/>
      <c r="E293" s="86"/>
      <c r="F293" s="16">
        <f>IF(E293="","",DATEDIF(E293,$I$7,"Y"))</f>
      </c>
      <c r="G293" s="85"/>
      <c r="H293" s="85"/>
      <c r="I293" s="87"/>
      <c r="J293" s="85"/>
      <c r="K293" s="85"/>
      <c r="L293" s="10"/>
      <c r="M293" s="10"/>
      <c r="N293" s="10"/>
      <c r="O293" s="10"/>
      <c r="P293" s="85"/>
      <c r="Q293" s="88"/>
      <c r="R293" s="3">
        <f>IFERROR(VLOOKUP(TablaEnero[[#This Row],[BARRIO]],SECTOR!$A:$B,2,0),"")</f>
      </c>
      <c r="S293" s="89"/>
      <c r="T293" s="90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6"/>
      <c r="AZ293" s="120">
        <f>COUNTIF(U293:AY293,"A")</f>
      </c>
      <c r="BA293" s="121">
        <f>COUNTIF(U293:AY293,"F")</f>
      </c>
      <c r="BB293" s="119">
        <f>COUNTIF(U293:AY293,"E")</f>
      </c>
    </row>
    <row r="294" spans="1:54" x14ac:dyDescent="0.2">
      <c r="A294" s="84"/>
      <c r="B294" s="85"/>
      <c r="C294" s="85"/>
      <c r="D294" s="85"/>
      <c r="E294" s="86"/>
      <c r="F294" s="16">
        <f>IF(E294="","",DATEDIF(E294,$I$7,"Y"))</f>
      </c>
      <c r="G294" s="85"/>
      <c r="H294" s="85"/>
      <c r="I294" s="87"/>
      <c r="J294" s="85"/>
      <c r="K294" s="85"/>
      <c r="L294" s="10"/>
      <c r="M294" s="10"/>
      <c r="N294" s="10"/>
      <c r="O294" s="10"/>
      <c r="P294" s="85"/>
      <c r="Q294" s="88"/>
      <c r="R294" s="3">
        <f>IFERROR(VLOOKUP(TablaEnero[[#This Row],[BARRIO]],SECTOR!$A:$B,2,0),"")</f>
      </c>
      <c r="S294" s="89"/>
      <c r="T294" s="90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6"/>
      <c r="AZ294" s="120">
        <f>COUNTIF(U294:AY294,"A")</f>
      </c>
      <c r="BA294" s="121">
        <f>COUNTIF(U294:AY294,"F")</f>
      </c>
      <c r="BB294" s="119">
        <f>COUNTIF(U294:AY294,"E")</f>
      </c>
    </row>
    <row r="295" spans="1:54" x14ac:dyDescent="0.2">
      <c r="A295" s="84"/>
      <c r="B295" s="85"/>
      <c r="C295" s="85"/>
      <c r="D295" s="85"/>
      <c r="E295" s="86"/>
      <c r="F295" s="16">
        <f>IF(E295="","",DATEDIF(E295,$I$7,"Y"))</f>
      </c>
      <c r="G295" s="85"/>
      <c r="H295" s="85"/>
      <c r="I295" s="87"/>
      <c r="J295" s="85"/>
      <c r="K295" s="85"/>
      <c r="L295" s="10"/>
      <c r="M295" s="10"/>
      <c r="N295" s="10"/>
      <c r="O295" s="10"/>
      <c r="P295" s="85"/>
      <c r="Q295" s="88"/>
      <c r="R295" s="3">
        <f>IFERROR(VLOOKUP(TablaEnero[[#This Row],[BARRIO]],SECTOR!$A:$B,2,0),"")</f>
      </c>
      <c r="S295" s="89"/>
      <c r="T295" s="90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6"/>
      <c r="AZ295" s="120">
        <f>COUNTIF(U295:AY295,"A")</f>
      </c>
      <c r="BA295" s="121">
        <f>COUNTIF(U295:AY295,"F")</f>
      </c>
      <c r="BB295" s="119">
        <f>COUNTIF(U295:AY295,"E")</f>
      </c>
    </row>
    <row r="296" spans="1:54" x14ac:dyDescent="0.2">
      <c r="A296" s="84"/>
      <c r="B296" s="85"/>
      <c r="C296" s="85"/>
      <c r="D296" s="85"/>
      <c r="E296" s="86"/>
      <c r="F296" s="16">
        <f>IF(E296="","",DATEDIF(E296,$I$7,"Y"))</f>
      </c>
      <c r="G296" s="85"/>
      <c r="H296" s="85"/>
      <c r="I296" s="87"/>
      <c r="J296" s="85"/>
      <c r="K296" s="85"/>
      <c r="L296" s="10"/>
      <c r="M296" s="10"/>
      <c r="N296" s="10"/>
      <c r="O296" s="10"/>
      <c r="P296" s="85"/>
      <c r="Q296" s="88"/>
      <c r="R296" s="3">
        <f>IFERROR(VLOOKUP(TablaEnero[[#This Row],[BARRIO]],SECTOR!$A:$B,2,0),"")</f>
      </c>
      <c r="S296" s="89"/>
      <c r="T296" s="90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6"/>
      <c r="AZ296" s="120">
        <f>COUNTIF(U296:AY296,"A")</f>
      </c>
      <c r="BA296" s="121">
        <f>COUNTIF(U296:AY296,"F")</f>
      </c>
      <c r="BB296" s="119">
        <f>COUNTIF(U296:AY296,"E")</f>
      </c>
    </row>
    <row r="297" spans="1:54" x14ac:dyDescent="0.2">
      <c r="A297" s="84"/>
      <c r="B297" s="85"/>
      <c r="C297" s="85"/>
      <c r="D297" s="85"/>
      <c r="E297" s="86"/>
      <c r="F297" s="16">
        <f>IF(E297="","",DATEDIF(E297,$I$7,"Y"))</f>
      </c>
      <c r="G297" s="85"/>
      <c r="H297" s="85"/>
      <c r="I297" s="87"/>
      <c r="J297" s="85"/>
      <c r="K297" s="85"/>
      <c r="L297" s="10"/>
      <c r="M297" s="10"/>
      <c r="N297" s="10"/>
      <c r="O297" s="10"/>
      <c r="P297" s="85"/>
      <c r="Q297" s="88"/>
      <c r="R297" s="3">
        <f>IFERROR(VLOOKUP(TablaEnero[[#This Row],[BARRIO]],SECTOR!$A:$B,2,0),"")</f>
      </c>
      <c r="S297" s="89"/>
      <c r="T297" s="90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6"/>
      <c r="AZ297" s="120">
        <f>COUNTIF(U297:AY297,"A")</f>
      </c>
      <c r="BA297" s="121">
        <f>COUNTIF(U297:AY297,"F")</f>
      </c>
      <c r="BB297" s="119">
        <f>COUNTIF(U297:AY297,"E")</f>
      </c>
    </row>
    <row r="298" spans="1:54" x14ac:dyDescent="0.2">
      <c r="A298" s="84"/>
      <c r="B298" s="85"/>
      <c r="C298" s="85"/>
      <c r="D298" s="85"/>
      <c r="E298" s="86"/>
      <c r="F298" s="16">
        <f>IF(E298="","",DATEDIF(E298,$I$7,"Y"))</f>
      </c>
      <c r="G298" s="85"/>
      <c r="H298" s="85"/>
      <c r="I298" s="87"/>
      <c r="J298" s="85"/>
      <c r="K298" s="85"/>
      <c r="L298" s="10"/>
      <c r="M298" s="10"/>
      <c r="N298" s="10"/>
      <c r="O298" s="10"/>
      <c r="P298" s="85"/>
      <c r="Q298" s="88"/>
      <c r="R298" s="3">
        <f>IFERROR(VLOOKUP(TablaEnero[[#This Row],[BARRIO]],SECTOR!$A:$B,2,0),"")</f>
      </c>
      <c r="S298" s="89"/>
      <c r="T298" s="90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6"/>
      <c r="AZ298" s="120">
        <f>COUNTIF(U298:AY298,"A")</f>
      </c>
      <c r="BA298" s="121">
        <f>COUNTIF(U298:AY298,"F")</f>
      </c>
      <c r="BB298" s="119">
        <f>COUNTIF(U298:AY298,"E")</f>
      </c>
    </row>
    <row r="299" spans="1:54" x14ac:dyDescent="0.2">
      <c r="A299" s="84"/>
      <c r="B299" s="85"/>
      <c r="C299" s="85"/>
      <c r="D299" s="85"/>
      <c r="E299" s="86"/>
      <c r="F299" s="16">
        <f>IF(E299="","",DATEDIF(E299,$I$7,"Y"))</f>
      </c>
      <c r="G299" s="85"/>
      <c r="H299" s="85"/>
      <c r="I299" s="87"/>
      <c r="J299" s="85"/>
      <c r="K299" s="85"/>
      <c r="L299" s="10"/>
      <c r="M299" s="10"/>
      <c r="N299" s="10"/>
      <c r="O299" s="10"/>
      <c r="P299" s="85"/>
      <c r="Q299" s="88"/>
      <c r="R299" s="3">
        <f>IFERROR(VLOOKUP(TablaEnero[[#This Row],[BARRIO]],SECTOR!$A:$B,2,0),"")</f>
      </c>
      <c r="S299" s="89"/>
      <c r="T299" s="90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6"/>
      <c r="AZ299" s="120">
        <f>COUNTIF(U299:AY299,"A")</f>
      </c>
      <c r="BA299" s="121">
        <f>COUNTIF(U299:AY299,"F")</f>
      </c>
      <c r="BB299" s="119">
        <f>COUNTIF(U299:AY299,"E")</f>
      </c>
    </row>
    <row r="300" spans="1:54" x14ac:dyDescent="0.2">
      <c r="A300" s="84"/>
      <c r="B300" s="85"/>
      <c r="C300" s="85"/>
      <c r="D300" s="85"/>
      <c r="E300" s="86"/>
      <c r="F300" s="16">
        <f>IF(E300="","",DATEDIF(E300,$I$7,"Y"))</f>
      </c>
      <c r="G300" s="85"/>
      <c r="H300" s="85"/>
      <c r="I300" s="87"/>
      <c r="J300" s="85"/>
      <c r="K300" s="85"/>
      <c r="L300" s="10"/>
      <c r="M300" s="10"/>
      <c r="N300" s="10"/>
      <c r="O300" s="10"/>
      <c r="P300" s="85"/>
      <c r="Q300" s="88"/>
      <c r="R300" s="3">
        <f>IFERROR(VLOOKUP(TablaEnero[[#This Row],[BARRIO]],SECTOR!$A:$B,2,0),"")</f>
      </c>
      <c r="S300" s="89"/>
      <c r="T300" s="90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6"/>
      <c r="AZ300" s="120">
        <f>COUNTIF(U300:AY300,"A")</f>
      </c>
      <c r="BA300" s="121">
        <f>COUNTIF(U300:AY300,"F")</f>
      </c>
      <c r="BB300" s="119">
        <f>COUNTIF(U300:AY300,"E")</f>
      </c>
    </row>
    <row r="301" spans="1:54" x14ac:dyDescent="0.2">
      <c r="A301" s="84"/>
      <c r="B301" s="85"/>
      <c r="C301" s="85"/>
      <c r="D301" s="85"/>
      <c r="E301" s="86"/>
      <c r="F301" s="16">
        <f>IF(E301="","",DATEDIF(E301,$I$7,"Y"))</f>
      </c>
      <c r="G301" s="85"/>
      <c r="H301" s="85"/>
      <c r="I301" s="87"/>
      <c r="J301" s="85"/>
      <c r="K301" s="85"/>
      <c r="L301" s="10"/>
      <c r="M301" s="10"/>
      <c r="N301" s="10"/>
      <c r="O301" s="10"/>
      <c r="P301" s="85"/>
      <c r="Q301" s="88"/>
      <c r="R301" s="3">
        <f>IFERROR(VLOOKUP(TablaEnero[[#This Row],[BARRIO]],SECTOR!$A:$B,2,0),"")</f>
      </c>
      <c r="S301" s="89"/>
      <c r="T301" s="90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6"/>
      <c r="AZ301" s="120">
        <f>COUNTIF(U301:AY301,"A")</f>
      </c>
      <c r="BA301" s="121">
        <f>COUNTIF(U301:AY301,"F")</f>
      </c>
      <c r="BB301" s="119">
        <f>COUNTIF(U301:AY301,"E")</f>
      </c>
    </row>
    <row r="302" spans="1:54" x14ac:dyDescent="0.2">
      <c r="A302" s="84"/>
      <c r="B302" s="85"/>
      <c r="C302" s="85"/>
      <c r="D302" s="85"/>
      <c r="E302" s="86"/>
      <c r="F302" s="16">
        <f>IF(E302="","",DATEDIF(E302,$I$7,"Y"))</f>
      </c>
      <c r="G302" s="85"/>
      <c r="H302" s="85"/>
      <c r="I302" s="87"/>
      <c r="J302" s="85"/>
      <c r="K302" s="85"/>
      <c r="L302" s="10"/>
      <c r="M302" s="10"/>
      <c r="N302" s="10"/>
      <c r="O302" s="10"/>
      <c r="P302" s="85"/>
      <c r="Q302" s="88"/>
      <c r="R302" s="3">
        <f>IFERROR(VLOOKUP(TablaEnero[[#This Row],[BARRIO]],SECTOR!$A:$B,2,0),"")</f>
      </c>
      <c r="S302" s="89"/>
      <c r="T302" s="90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6"/>
      <c r="AZ302" s="120">
        <f>COUNTIF(U302:AY302,"A")</f>
      </c>
      <c r="BA302" s="121">
        <f>COUNTIF(U302:AY302,"F")</f>
      </c>
      <c r="BB302" s="119">
        <f>COUNTIF(U302:AY302,"E")</f>
      </c>
    </row>
    <row r="303" spans="1:54" x14ac:dyDescent="0.2">
      <c r="A303" s="84"/>
      <c r="B303" s="85"/>
      <c r="C303" s="85"/>
      <c r="D303" s="85"/>
      <c r="E303" s="86"/>
      <c r="F303" s="16">
        <f>IF(E303="","",DATEDIF(E303,$I$7,"Y"))</f>
      </c>
      <c r="G303" s="85"/>
      <c r="H303" s="85"/>
      <c r="I303" s="87"/>
      <c r="J303" s="85"/>
      <c r="K303" s="85"/>
      <c r="L303" s="10"/>
      <c r="M303" s="10"/>
      <c r="N303" s="10"/>
      <c r="O303" s="10"/>
      <c r="P303" s="85"/>
      <c r="Q303" s="88"/>
      <c r="R303" s="3">
        <f>IFERROR(VLOOKUP(TablaEnero[[#This Row],[BARRIO]],SECTOR!$A:$B,2,0),"")</f>
      </c>
      <c r="S303" s="89"/>
      <c r="T303" s="90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6"/>
      <c r="AZ303" s="120">
        <f>COUNTIF(U303:AY303,"A")</f>
      </c>
      <c r="BA303" s="121">
        <f>COUNTIF(U303:AY303,"F")</f>
      </c>
      <c r="BB303" s="119">
        <f>COUNTIF(U303:AY303,"E")</f>
      </c>
    </row>
    <row r="304" spans="1:54" x14ac:dyDescent="0.2">
      <c r="A304" s="84"/>
      <c r="B304" s="85"/>
      <c r="C304" s="85"/>
      <c r="D304" s="85"/>
      <c r="E304" s="86"/>
      <c r="F304" s="16">
        <f>IF(E304="","",DATEDIF(E304,$I$7,"Y"))</f>
      </c>
      <c r="G304" s="85"/>
      <c r="H304" s="85"/>
      <c r="I304" s="87"/>
      <c r="J304" s="85"/>
      <c r="K304" s="85"/>
      <c r="L304" s="10"/>
      <c r="M304" s="10"/>
      <c r="N304" s="10"/>
      <c r="O304" s="10"/>
      <c r="P304" s="85"/>
      <c r="Q304" s="88"/>
      <c r="R304" s="3">
        <f>IFERROR(VLOOKUP(TablaEnero[[#This Row],[BARRIO]],SECTOR!$A:$B,2,0),"")</f>
      </c>
      <c r="S304" s="89"/>
      <c r="T304" s="90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6"/>
      <c r="AZ304" s="120">
        <f>COUNTIF(U304:AY304,"A")</f>
      </c>
      <c r="BA304" s="121">
        <f>COUNTIF(U304:AY304,"F")</f>
      </c>
      <c r="BB304" s="119">
        <f>COUNTIF(U304:AY304,"E")</f>
      </c>
    </row>
    <row r="305" spans="1:54" x14ac:dyDescent="0.2">
      <c r="A305" s="84"/>
      <c r="B305" s="85"/>
      <c r="C305" s="85"/>
      <c r="D305" s="85"/>
      <c r="E305" s="86"/>
      <c r="F305" s="16">
        <f>IF(E305="","",DATEDIF(E305,$I$7,"Y"))</f>
      </c>
      <c r="G305" s="85"/>
      <c r="H305" s="85"/>
      <c r="I305" s="87"/>
      <c r="J305" s="85"/>
      <c r="K305" s="85"/>
      <c r="L305" s="10"/>
      <c r="M305" s="10"/>
      <c r="N305" s="10"/>
      <c r="O305" s="10"/>
      <c r="P305" s="85"/>
      <c r="Q305" s="88"/>
      <c r="R305" s="3">
        <f>IFERROR(VLOOKUP(TablaEnero[[#This Row],[BARRIO]],SECTOR!$A:$B,2,0),"")</f>
      </c>
      <c r="S305" s="89"/>
      <c r="T305" s="90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6"/>
      <c r="AZ305" s="120">
        <f>COUNTIF(U305:AY305,"A")</f>
      </c>
      <c r="BA305" s="121">
        <f>COUNTIF(U305:AY305,"F")</f>
      </c>
      <c r="BB305" s="119">
        <f>COUNTIF(U305:AY305,"E")</f>
      </c>
    </row>
    <row r="306" spans="1:54" x14ac:dyDescent="0.2">
      <c r="A306" s="84"/>
      <c r="B306" s="85"/>
      <c r="C306" s="85"/>
      <c r="D306" s="85"/>
      <c r="E306" s="86"/>
      <c r="F306" s="16">
        <f>IF(E306="","",DATEDIF(E306,$I$7,"Y"))</f>
      </c>
      <c r="G306" s="85"/>
      <c r="H306" s="85"/>
      <c r="I306" s="87"/>
      <c r="J306" s="85"/>
      <c r="K306" s="85"/>
      <c r="L306" s="10"/>
      <c r="M306" s="10"/>
      <c r="N306" s="10"/>
      <c r="O306" s="10"/>
      <c r="P306" s="85"/>
      <c r="Q306" s="88"/>
      <c r="R306" s="3">
        <f>IFERROR(VLOOKUP(TablaEnero[[#This Row],[BARRIO]],SECTOR!$A:$B,2,0),"")</f>
      </c>
      <c r="S306" s="89"/>
      <c r="T306" s="90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6"/>
      <c r="AZ306" s="120">
        <f>COUNTIF(U306:AY306,"A")</f>
      </c>
      <c r="BA306" s="121">
        <f>COUNTIF(U306:AY306,"F")</f>
      </c>
      <c r="BB306" s="119">
        <f>COUNTIF(U306:AY306,"E")</f>
      </c>
    </row>
    <row r="307" spans="1:54" x14ac:dyDescent="0.2">
      <c r="A307" s="84"/>
      <c r="B307" s="85"/>
      <c r="C307" s="85"/>
      <c r="D307" s="85"/>
      <c r="E307" s="86"/>
      <c r="F307" s="16">
        <f>IF(E307="","",DATEDIF(E307,$I$7,"Y"))</f>
      </c>
      <c r="G307" s="85"/>
      <c r="H307" s="85"/>
      <c r="I307" s="87"/>
      <c r="J307" s="85"/>
      <c r="K307" s="85"/>
      <c r="L307" s="10"/>
      <c r="M307" s="10"/>
      <c r="N307" s="10"/>
      <c r="O307" s="10"/>
      <c r="P307" s="85"/>
      <c r="Q307" s="88"/>
      <c r="R307" s="3">
        <f>IFERROR(VLOOKUP(TablaEnero[[#This Row],[BARRIO]],SECTOR!$A:$B,2,0),"")</f>
      </c>
      <c r="S307" s="89"/>
      <c r="T307" s="90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6"/>
      <c r="AZ307" s="120">
        <f>COUNTIF(U307:AY307,"A")</f>
      </c>
      <c r="BA307" s="121">
        <f>COUNTIF(U307:AY307,"F")</f>
      </c>
      <c r="BB307" s="119">
        <f>COUNTIF(U307:AY307,"E")</f>
      </c>
    </row>
    <row r="308" spans="1:54" x14ac:dyDescent="0.2">
      <c r="A308" s="84"/>
      <c r="B308" s="85"/>
      <c r="C308" s="85"/>
      <c r="D308" s="85"/>
      <c r="E308" s="86"/>
      <c r="F308" s="16">
        <f>IF(E308="","",DATEDIF(E308,$I$7,"Y"))</f>
      </c>
      <c r="G308" s="85"/>
      <c r="H308" s="85"/>
      <c r="I308" s="87"/>
      <c r="J308" s="85"/>
      <c r="K308" s="85"/>
      <c r="L308" s="10"/>
      <c r="M308" s="10"/>
      <c r="N308" s="10"/>
      <c r="O308" s="10"/>
      <c r="P308" s="85"/>
      <c r="Q308" s="88"/>
      <c r="R308" s="3">
        <f>IFERROR(VLOOKUP(TablaEnero[[#This Row],[BARRIO]],SECTOR!$A:$B,2,0),"")</f>
      </c>
      <c r="S308" s="89"/>
      <c r="T308" s="90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6"/>
      <c r="AZ308" s="120">
        <f>COUNTIF(U308:AY308,"A")</f>
      </c>
      <c r="BA308" s="121">
        <f>COUNTIF(U308:AY308,"F")</f>
      </c>
      <c r="BB308" s="119">
        <f>COUNTIF(U308:AY308,"E")</f>
      </c>
    </row>
    <row r="309" spans="1:54" x14ac:dyDescent="0.2">
      <c r="A309" s="84"/>
      <c r="B309" s="85"/>
      <c r="C309" s="85"/>
      <c r="D309" s="85"/>
      <c r="E309" s="86"/>
      <c r="F309" s="16">
        <f>IF(E309="","",DATEDIF(E309,$I$7,"Y"))</f>
      </c>
      <c r="G309" s="85"/>
      <c r="H309" s="85"/>
      <c r="I309" s="87"/>
      <c r="J309" s="85"/>
      <c r="K309" s="85"/>
      <c r="L309" s="10"/>
      <c r="M309" s="10"/>
      <c r="N309" s="10"/>
      <c r="O309" s="10"/>
      <c r="P309" s="85"/>
      <c r="Q309" s="88"/>
      <c r="R309" s="3">
        <f>IFERROR(VLOOKUP(TablaEnero[[#This Row],[BARRIO]],SECTOR!$A:$B,2,0),"")</f>
      </c>
      <c r="S309" s="89"/>
      <c r="T309" s="90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6"/>
      <c r="AZ309" s="120">
        <f>COUNTIF(U309:AY309,"A")</f>
      </c>
      <c r="BA309" s="121">
        <f>COUNTIF(U309:AY309,"F")</f>
      </c>
      <c r="BB309" s="119">
        <f>COUNTIF(U309:AY309,"E")</f>
      </c>
    </row>
    <row r="310" spans="1:54" x14ac:dyDescent="0.2">
      <c r="A310" s="84"/>
      <c r="B310" s="85"/>
      <c r="C310" s="85"/>
      <c r="D310" s="85"/>
      <c r="E310" s="86"/>
      <c r="F310" s="16">
        <f>IF(E310="","",DATEDIF(E310,$I$7,"Y"))</f>
      </c>
      <c r="G310" s="85"/>
      <c r="H310" s="85"/>
      <c r="I310" s="87"/>
      <c r="J310" s="85"/>
      <c r="K310" s="85"/>
      <c r="L310" s="10"/>
      <c r="M310" s="10"/>
      <c r="N310" s="10"/>
      <c r="O310" s="10"/>
      <c r="P310" s="85"/>
      <c r="Q310" s="88"/>
      <c r="R310" s="3">
        <f>IFERROR(VLOOKUP(TablaEnero[[#This Row],[BARRIO]],SECTOR!$A:$B,2,0),"")</f>
      </c>
      <c r="S310" s="89"/>
      <c r="T310" s="90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6"/>
      <c r="AZ310" s="120">
        <f>COUNTIF(U310:AY310,"A")</f>
      </c>
      <c r="BA310" s="121">
        <f>COUNTIF(U310:AY310,"F")</f>
      </c>
      <c r="BB310" s="119">
        <f>COUNTIF(U310:AY310,"E")</f>
      </c>
    </row>
    <row r="311" spans="1:54" x14ac:dyDescent="0.2">
      <c r="A311" s="84"/>
      <c r="B311" s="85"/>
      <c r="C311" s="85"/>
      <c r="D311" s="85"/>
      <c r="E311" s="86"/>
      <c r="F311" s="16">
        <f>IF(E311="","",DATEDIF(E311,$I$7,"Y"))</f>
      </c>
      <c r="G311" s="85"/>
      <c r="H311" s="85"/>
      <c r="I311" s="87"/>
      <c r="J311" s="85"/>
      <c r="K311" s="85"/>
      <c r="L311" s="10"/>
      <c r="M311" s="10"/>
      <c r="N311" s="10"/>
      <c r="O311" s="10"/>
      <c r="P311" s="85"/>
      <c r="Q311" s="88"/>
      <c r="R311" s="3">
        <f>IFERROR(VLOOKUP(TablaEnero[[#This Row],[BARRIO]],SECTOR!$A:$B,2,0),"")</f>
      </c>
      <c r="S311" s="89"/>
      <c r="T311" s="90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6"/>
      <c r="AZ311" s="120">
        <f>COUNTIF(U311:AY311,"A")</f>
      </c>
      <c r="BA311" s="121">
        <f>COUNTIF(U311:AY311,"F")</f>
      </c>
      <c r="BB311" s="119">
        <f>COUNTIF(U311:AY311,"E")</f>
      </c>
    </row>
    <row r="312" spans="1:54" x14ac:dyDescent="0.2">
      <c r="A312" s="84"/>
      <c r="B312" s="85"/>
      <c r="C312" s="85"/>
      <c r="D312" s="85"/>
      <c r="E312" s="86"/>
      <c r="F312" s="16">
        <f>IF(E312="","",DATEDIF(E312,$I$7,"Y"))</f>
      </c>
      <c r="G312" s="85"/>
      <c r="H312" s="85"/>
      <c r="I312" s="87"/>
      <c r="J312" s="85"/>
      <c r="K312" s="85"/>
      <c r="L312" s="10"/>
      <c r="M312" s="10"/>
      <c r="N312" s="10"/>
      <c r="O312" s="10"/>
      <c r="P312" s="85"/>
      <c r="Q312" s="88"/>
      <c r="R312" s="3">
        <f>IFERROR(VLOOKUP(TablaEnero[[#This Row],[BARRIO]],SECTOR!$A:$B,2,0),"")</f>
      </c>
      <c r="S312" s="89"/>
      <c r="T312" s="90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6"/>
      <c r="AZ312" s="120">
        <f>COUNTIF(U312:AY312,"A")</f>
      </c>
      <c r="BA312" s="121">
        <f>COUNTIF(U312:AY312,"F")</f>
      </c>
      <c r="BB312" s="119">
        <f>COUNTIF(U312:AY312,"E")</f>
      </c>
    </row>
    <row r="313" spans="1:54" x14ac:dyDescent="0.2">
      <c r="A313" s="84"/>
      <c r="B313" s="85"/>
      <c r="C313" s="85"/>
      <c r="D313" s="85"/>
      <c r="E313" s="86"/>
      <c r="F313" s="16">
        <f>IF(E313="","",DATEDIF(E313,$I$7,"Y"))</f>
      </c>
      <c r="G313" s="85"/>
      <c r="H313" s="85"/>
      <c r="I313" s="87"/>
      <c r="J313" s="85"/>
      <c r="K313" s="85"/>
      <c r="L313" s="10"/>
      <c r="M313" s="10"/>
      <c r="N313" s="10"/>
      <c r="O313" s="10"/>
      <c r="P313" s="85"/>
      <c r="Q313" s="88"/>
      <c r="R313" s="3">
        <f>IFERROR(VLOOKUP(TablaEnero[[#This Row],[BARRIO]],SECTOR!$A:$B,2,0),"")</f>
      </c>
      <c r="S313" s="89"/>
      <c r="T313" s="90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6"/>
      <c r="AZ313" s="120">
        <f>COUNTIF(U313:AY313,"A")</f>
      </c>
      <c r="BA313" s="121">
        <f>COUNTIF(U313:AY313,"F")</f>
      </c>
      <c r="BB313" s="119">
        <f>COUNTIF(U313:AY313,"E")</f>
      </c>
    </row>
    <row r="314" spans="1:54" x14ac:dyDescent="0.2">
      <c r="A314" s="84"/>
      <c r="B314" s="85"/>
      <c r="C314" s="85"/>
      <c r="D314" s="85"/>
      <c r="E314" s="86"/>
      <c r="F314" s="16">
        <f>IF(E314="","",DATEDIF(E314,$I$7,"Y"))</f>
      </c>
      <c r="G314" s="85"/>
      <c r="H314" s="85"/>
      <c r="I314" s="87"/>
      <c r="J314" s="85"/>
      <c r="K314" s="85"/>
      <c r="L314" s="10"/>
      <c r="M314" s="10"/>
      <c r="N314" s="10"/>
      <c r="O314" s="10"/>
      <c r="P314" s="85"/>
      <c r="Q314" s="88"/>
      <c r="R314" s="3">
        <f>IFERROR(VLOOKUP(TablaEnero[[#This Row],[BARRIO]],SECTOR!$A:$B,2,0),"")</f>
      </c>
      <c r="S314" s="89"/>
      <c r="T314" s="90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6"/>
      <c r="AZ314" s="120">
        <f>COUNTIF(U314:AY314,"A")</f>
      </c>
      <c r="BA314" s="121">
        <f>COUNTIF(U314:AY314,"F")</f>
      </c>
      <c r="BB314" s="119">
        <f>COUNTIF(U314:AY314,"E")</f>
      </c>
    </row>
    <row r="315" spans="1:54" x14ac:dyDescent="0.2">
      <c r="A315" s="84"/>
      <c r="B315" s="85"/>
      <c r="C315" s="85"/>
      <c r="D315" s="85"/>
      <c r="E315" s="86"/>
      <c r="F315" s="16">
        <f>IF(E315="","",DATEDIF(E315,$I$7,"Y"))</f>
      </c>
      <c r="G315" s="85"/>
      <c r="H315" s="85"/>
      <c r="I315" s="87"/>
      <c r="J315" s="85"/>
      <c r="K315" s="85"/>
      <c r="L315" s="10"/>
      <c r="M315" s="10"/>
      <c r="N315" s="10"/>
      <c r="O315" s="10"/>
      <c r="P315" s="85"/>
      <c r="Q315" s="88"/>
      <c r="R315" s="3">
        <f>IFERROR(VLOOKUP(TablaEnero[[#This Row],[BARRIO]],SECTOR!$A:$B,2,0),"")</f>
      </c>
      <c r="S315" s="89"/>
      <c r="T315" s="90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6"/>
      <c r="AZ315" s="120">
        <f>COUNTIF(U315:AY315,"A")</f>
      </c>
      <c r="BA315" s="121">
        <f>COUNTIF(U315:AY315,"F")</f>
      </c>
      <c r="BB315" s="119">
        <f>COUNTIF(U315:AY315,"E")</f>
      </c>
    </row>
    <row r="316" spans="1:54" x14ac:dyDescent="0.2">
      <c r="A316" s="84"/>
      <c r="B316" s="85"/>
      <c r="C316" s="85"/>
      <c r="D316" s="85"/>
      <c r="E316" s="86"/>
      <c r="F316" s="16">
        <f>IF(E316="","",DATEDIF(E316,$I$7,"Y"))</f>
      </c>
      <c r="G316" s="85"/>
      <c r="H316" s="85"/>
      <c r="I316" s="87"/>
      <c r="J316" s="85"/>
      <c r="K316" s="85"/>
      <c r="L316" s="10"/>
      <c r="M316" s="10"/>
      <c r="N316" s="10"/>
      <c r="O316" s="10"/>
      <c r="P316" s="85"/>
      <c r="Q316" s="88"/>
      <c r="R316" s="3">
        <f>IFERROR(VLOOKUP(TablaEnero[[#This Row],[BARRIO]],SECTOR!$A:$B,2,0),"")</f>
      </c>
      <c r="S316" s="89"/>
      <c r="T316" s="90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6"/>
      <c r="AZ316" s="120">
        <f>COUNTIF(U316:AY316,"A")</f>
      </c>
      <c r="BA316" s="121">
        <f>COUNTIF(U316:AY316,"F")</f>
      </c>
      <c r="BB316" s="119">
        <f>COUNTIF(U316:AY316,"E")</f>
      </c>
    </row>
    <row r="317" spans="1:54" x14ac:dyDescent="0.2">
      <c r="A317" s="84"/>
      <c r="B317" s="85"/>
      <c r="C317" s="85"/>
      <c r="D317" s="85"/>
      <c r="E317" s="86"/>
      <c r="F317" s="16">
        <f>IF(E317="","",DATEDIF(E317,$I$7,"Y"))</f>
      </c>
      <c r="G317" s="85"/>
      <c r="H317" s="85"/>
      <c r="I317" s="87"/>
      <c r="J317" s="85"/>
      <c r="K317" s="85"/>
      <c r="L317" s="10"/>
      <c r="M317" s="10"/>
      <c r="N317" s="10"/>
      <c r="O317" s="10"/>
      <c r="P317" s="85"/>
      <c r="Q317" s="88"/>
      <c r="R317" s="3">
        <f>IFERROR(VLOOKUP(TablaEnero[[#This Row],[BARRIO]],SECTOR!$A:$B,2,0),"")</f>
      </c>
      <c r="S317" s="89"/>
      <c r="T317" s="90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6"/>
      <c r="AZ317" s="120">
        <f>COUNTIF(U317:AY317,"A")</f>
      </c>
      <c r="BA317" s="121">
        <f>COUNTIF(U317:AY317,"F")</f>
      </c>
      <c r="BB317" s="119">
        <f>COUNTIF(U317:AY317,"E")</f>
      </c>
    </row>
    <row r="318" spans="1:54" x14ac:dyDescent="0.2">
      <c r="A318" s="84"/>
      <c r="B318" s="85"/>
      <c r="C318" s="85"/>
      <c r="D318" s="85"/>
      <c r="E318" s="86"/>
      <c r="F318" s="16">
        <f>IF(E318="","",DATEDIF(E318,$I$7,"Y"))</f>
      </c>
      <c r="G318" s="85"/>
      <c r="H318" s="85"/>
      <c r="I318" s="87"/>
      <c r="J318" s="85"/>
      <c r="K318" s="85"/>
      <c r="L318" s="10"/>
      <c r="M318" s="10"/>
      <c r="N318" s="10"/>
      <c r="O318" s="10"/>
      <c r="P318" s="85"/>
      <c r="Q318" s="88"/>
      <c r="R318" s="3">
        <f>IFERROR(VLOOKUP(TablaEnero[[#This Row],[BARRIO]],SECTOR!$A:$B,2,0),"")</f>
      </c>
      <c r="S318" s="89"/>
      <c r="T318" s="90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6"/>
      <c r="AZ318" s="120">
        <f>COUNTIF(U318:AY318,"A")</f>
      </c>
      <c r="BA318" s="121">
        <f>COUNTIF(U318:AY318,"F")</f>
      </c>
      <c r="BB318" s="119">
        <f>COUNTIF(U318:AY318,"E")</f>
      </c>
    </row>
    <row r="319" spans="1:54" x14ac:dyDescent="0.2">
      <c r="A319" s="84"/>
      <c r="B319" s="85"/>
      <c r="C319" s="85"/>
      <c r="D319" s="85"/>
      <c r="E319" s="86"/>
      <c r="F319" s="16">
        <f>IF(E319="","",DATEDIF(E319,$I$7,"Y"))</f>
      </c>
      <c r="G319" s="85"/>
      <c r="H319" s="85"/>
      <c r="I319" s="87"/>
      <c r="J319" s="85"/>
      <c r="K319" s="85"/>
      <c r="L319" s="10"/>
      <c r="M319" s="10"/>
      <c r="N319" s="10"/>
      <c r="O319" s="10"/>
      <c r="P319" s="85"/>
      <c r="Q319" s="88"/>
      <c r="R319" s="3">
        <f>IFERROR(VLOOKUP(TablaEnero[[#This Row],[BARRIO]],SECTOR!$A:$B,2,0),"")</f>
      </c>
      <c r="S319" s="89"/>
      <c r="T319" s="90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6"/>
      <c r="AZ319" s="120">
        <f>COUNTIF(U319:AY319,"A")</f>
      </c>
      <c r="BA319" s="121">
        <f>COUNTIF(U319:AY319,"F")</f>
      </c>
      <c r="BB319" s="119">
        <f>COUNTIF(U319:AY319,"E")</f>
      </c>
    </row>
    <row r="320" spans="1:54" x14ac:dyDescent="0.2">
      <c r="A320" s="84"/>
      <c r="B320" s="85"/>
      <c r="C320" s="85"/>
      <c r="D320" s="85"/>
      <c r="E320" s="86"/>
      <c r="F320" s="16">
        <f>IF(E320="","",DATEDIF(E320,$I$7,"Y"))</f>
      </c>
      <c r="G320" s="85"/>
      <c r="H320" s="85"/>
      <c r="I320" s="87"/>
      <c r="J320" s="85"/>
      <c r="K320" s="85"/>
      <c r="L320" s="10"/>
      <c r="M320" s="10"/>
      <c r="N320" s="10"/>
      <c r="O320" s="10"/>
      <c r="P320" s="85"/>
      <c r="Q320" s="88"/>
      <c r="R320" s="3">
        <f>IFERROR(VLOOKUP(TablaEnero[[#This Row],[BARRIO]],SECTOR!$A:$B,2,0),"")</f>
      </c>
      <c r="S320" s="89"/>
      <c r="T320" s="90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6"/>
      <c r="AZ320" s="120">
        <f>COUNTIF(U320:AY320,"A")</f>
      </c>
      <c r="BA320" s="121">
        <f>COUNTIF(U320:AY320,"F")</f>
      </c>
      <c r="BB320" s="119">
        <f>COUNTIF(U320:AY320,"E")</f>
      </c>
    </row>
    <row r="321" spans="1:54" x14ac:dyDescent="0.2">
      <c r="A321" s="84"/>
      <c r="B321" s="85"/>
      <c r="C321" s="85"/>
      <c r="D321" s="85"/>
      <c r="E321" s="86"/>
      <c r="F321" s="16">
        <f>IF(E321="","",DATEDIF(E321,$I$7,"Y"))</f>
      </c>
      <c r="G321" s="85"/>
      <c r="H321" s="85"/>
      <c r="I321" s="87"/>
      <c r="J321" s="85"/>
      <c r="K321" s="85"/>
      <c r="L321" s="10"/>
      <c r="M321" s="10"/>
      <c r="N321" s="10"/>
      <c r="O321" s="10"/>
      <c r="P321" s="85"/>
      <c r="Q321" s="88"/>
      <c r="R321" s="3">
        <f>IFERROR(VLOOKUP(TablaEnero[[#This Row],[BARRIO]],SECTOR!$A:$B,2,0),"")</f>
      </c>
      <c r="S321" s="89"/>
      <c r="T321" s="90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6"/>
      <c r="AZ321" s="120">
        <f>COUNTIF(U321:AY321,"A")</f>
      </c>
      <c r="BA321" s="121">
        <f>COUNTIF(U321:AY321,"F")</f>
      </c>
      <c r="BB321" s="119">
        <f>COUNTIF(U321:AY321,"E")</f>
      </c>
    </row>
    <row r="322" spans="1:54" x14ac:dyDescent="0.2">
      <c r="A322" s="84"/>
      <c r="B322" s="85"/>
      <c r="C322" s="85"/>
      <c r="D322" s="85"/>
      <c r="E322" s="86"/>
      <c r="F322" s="16">
        <f>IF(E322="","",DATEDIF(E322,$I$7,"Y"))</f>
      </c>
      <c r="G322" s="85"/>
      <c r="H322" s="85"/>
      <c r="I322" s="87"/>
      <c r="J322" s="85"/>
      <c r="K322" s="85"/>
      <c r="L322" s="10"/>
      <c r="M322" s="10"/>
      <c r="N322" s="10"/>
      <c r="O322" s="10"/>
      <c r="P322" s="85"/>
      <c r="Q322" s="88"/>
      <c r="R322" s="3">
        <f>IFERROR(VLOOKUP(TablaEnero[[#This Row],[BARRIO]],SECTOR!$A:$B,2,0),"")</f>
      </c>
      <c r="S322" s="89"/>
      <c r="T322" s="90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6"/>
      <c r="AZ322" s="120">
        <f>COUNTIF(U322:AY322,"A")</f>
      </c>
      <c r="BA322" s="121">
        <f>COUNTIF(U322:AY322,"F")</f>
      </c>
      <c r="BB322" s="119">
        <f>COUNTIF(U322:AY322,"E")</f>
      </c>
    </row>
    <row r="323" spans="1:54" x14ac:dyDescent="0.2">
      <c r="A323" s="84"/>
      <c r="B323" s="85"/>
      <c r="C323" s="85"/>
      <c r="D323" s="85"/>
      <c r="E323" s="86"/>
      <c r="F323" s="16">
        <f>IF(E323="","",DATEDIF(E323,$I$7,"Y"))</f>
      </c>
      <c r="G323" s="85"/>
      <c r="H323" s="85"/>
      <c r="I323" s="87"/>
      <c r="J323" s="85"/>
      <c r="K323" s="85"/>
      <c r="L323" s="10"/>
      <c r="M323" s="10"/>
      <c r="N323" s="10"/>
      <c r="O323" s="10"/>
      <c r="P323" s="85"/>
      <c r="Q323" s="88"/>
      <c r="R323" s="3">
        <f>IFERROR(VLOOKUP(TablaEnero[[#This Row],[BARRIO]],SECTOR!$A:$B,2,0),"")</f>
      </c>
      <c r="S323" s="89"/>
      <c r="T323" s="90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6"/>
      <c r="AZ323" s="120">
        <f>COUNTIF(U323:AY323,"A")</f>
      </c>
      <c r="BA323" s="121">
        <f>COUNTIF(U323:AY323,"F")</f>
      </c>
      <c r="BB323" s="119">
        <f>COUNTIF(U323:AY323,"E")</f>
      </c>
    </row>
    <row r="324" spans="1:54" x14ac:dyDescent="0.2">
      <c r="A324" s="84"/>
      <c r="B324" s="85"/>
      <c r="C324" s="85"/>
      <c r="D324" s="85"/>
      <c r="E324" s="86"/>
      <c r="F324" s="16">
        <f>IF(E324="","",DATEDIF(E324,$I$7,"Y"))</f>
      </c>
      <c r="G324" s="85"/>
      <c r="H324" s="85"/>
      <c r="I324" s="87"/>
      <c r="J324" s="85"/>
      <c r="K324" s="85"/>
      <c r="L324" s="10"/>
      <c r="M324" s="10"/>
      <c r="N324" s="10"/>
      <c r="O324" s="10"/>
      <c r="P324" s="85"/>
      <c r="Q324" s="88"/>
      <c r="R324" s="3">
        <f>IFERROR(VLOOKUP(TablaEnero[[#This Row],[BARRIO]],SECTOR!$A:$B,2,0),"")</f>
      </c>
      <c r="S324" s="89"/>
      <c r="T324" s="90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6"/>
      <c r="AZ324" s="120">
        <f>COUNTIF(U324:AY324,"A")</f>
      </c>
      <c r="BA324" s="121">
        <f>COUNTIF(U324:AY324,"F")</f>
      </c>
      <c r="BB324" s="119">
        <f>COUNTIF(U324:AY324,"E")</f>
      </c>
    </row>
    <row r="325" spans="1:54" x14ac:dyDescent="0.2">
      <c r="A325" s="84"/>
      <c r="B325" s="85"/>
      <c r="C325" s="85"/>
      <c r="D325" s="85"/>
      <c r="E325" s="86"/>
      <c r="F325" s="16">
        <f>IF(E325="","",DATEDIF(E325,$I$7,"Y"))</f>
      </c>
      <c r="G325" s="85"/>
      <c r="H325" s="85"/>
      <c r="I325" s="87"/>
      <c r="J325" s="85"/>
      <c r="K325" s="85"/>
      <c r="L325" s="10"/>
      <c r="M325" s="10"/>
      <c r="N325" s="10"/>
      <c r="O325" s="10"/>
      <c r="P325" s="85"/>
      <c r="Q325" s="88"/>
      <c r="R325" s="3">
        <f>IFERROR(VLOOKUP(TablaEnero[[#This Row],[BARRIO]],SECTOR!$A:$B,2,0),"")</f>
      </c>
      <c r="S325" s="89"/>
      <c r="T325" s="90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6"/>
      <c r="AZ325" s="120">
        <f>COUNTIF(U325:AY325,"A")</f>
      </c>
      <c r="BA325" s="121">
        <f>COUNTIF(U325:AY325,"F")</f>
      </c>
      <c r="BB325" s="119">
        <f>COUNTIF(U325:AY325,"E")</f>
      </c>
    </row>
    <row r="326" spans="1:54" x14ac:dyDescent="0.2">
      <c r="A326" s="84"/>
      <c r="B326" s="85"/>
      <c r="C326" s="85"/>
      <c r="D326" s="85"/>
      <c r="E326" s="86"/>
      <c r="F326" s="16">
        <f>IF(E326="","",DATEDIF(E326,$I$7,"Y"))</f>
      </c>
      <c r="G326" s="85"/>
      <c r="H326" s="85"/>
      <c r="I326" s="87"/>
      <c r="J326" s="85"/>
      <c r="K326" s="85"/>
      <c r="L326" s="10"/>
      <c r="M326" s="10"/>
      <c r="N326" s="10"/>
      <c r="O326" s="10"/>
      <c r="P326" s="85"/>
      <c r="Q326" s="88"/>
      <c r="R326" s="3">
        <f>IFERROR(VLOOKUP(TablaEnero[[#This Row],[BARRIO]],SECTOR!$A:$B,2,0),"")</f>
      </c>
      <c r="S326" s="89"/>
      <c r="T326" s="90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6"/>
      <c r="AZ326" s="120">
        <f>COUNTIF(U326:AY326,"A")</f>
      </c>
      <c r="BA326" s="121">
        <f>COUNTIF(U326:AY326,"F")</f>
      </c>
      <c r="BB326" s="119">
        <f>COUNTIF(U326:AY326,"E")</f>
      </c>
    </row>
    <row r="327" spans="1:54" x14ac:dyDescent="0.2">
      <c r="A327" s="84"/>
      <c r="B327" s="85"/>
      <c r="C327" s="85"/>
      <c r="D327" s="85"/>
      <c r="E327" s="86"/>
      <c r="F327" s="16">
        <f>IF(E327="","",DATEDIF(E327,$I$7,"Y"))</f>
      </c>
      <c r="G327" s="85"/>
      <c r="H327" s="85"/>
      <c r="I327" s="87"/>
      <c r="J327" s="85"/>
      <c r="K327" s="85"/>
      <c r="L327" s="10"/>
      <c r="M327" s="10"/>
      <c r="N327" s="10"/>
      <c r="O327" s="10"/>
      <c r="P327" s="85"/>
      <c r="Q327" s="88"/>
      <c r="R327" s="3">
        <f>IFERROR(VLOOKUP(TablaEnero[[#This Row],[BARRIO]],SECTOR!$A:$B,2,0),"")</f>
      </c>
      <c r="S327" s="89"/>
      <c r="T327" s="90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6"/>
      <c r="AZ327" s="120">
        <f>COUNTIF(U327:AY327,"A")</f>
      </c>
      <c r="BA327" s="121">
        <f>COUNTIF(U327:AY327,"F")</f>
      </c>
      <c r="BB327" s="119">
        <f>COUNTIF(U327:AY327,"E")</f>
      </c>
    </row>
    <row r="328" spans="1:54" x14ac:dyDescent="0.2">
      <c r="A328" s="84"/>
      <c r="B328" s="85"/>
      <c r="C328" s="85"/>
      <c r="D328" s="85"/>
      <c r="E328" s="86"/>
      <c r="F328" s="16">
        <f>IF(E328="","",DATEDIF(E328,$I$7,"Y"))</f>
      </c>
      <c r="G328" s="85"/>
      <c r="H328" s="85"/>
      <c r="I328" s="87"/>
      <c r="J328" s="85"/>
      <c r="K328" s="85"/>
      <c r="L328" s="10"/>
      <c r="M328" s="10"/>
      <c r="N328" s="10"/>
      <c r="O328" s="10"/>
      <c r="P328" s="85"/>
      <c r="Q328" s="88"/>
      <c r="R328" s="3">
        <f>IFERROR(VLOOKUP(TablaEnero[[#This Row],[BARRIO]],SECTOR!$A:$B,2,0),"")</f>
      </c>
      <c r="S328" s="89"/>
      <c r="T328" s="90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6"/>
      <c r="AZ328" s="120">
        <f>COUNTIF(U328:AY328,"A")</f>
      </c>
      <c r="BA328" s="121">
        <f>COUNTIF(U328:AY328,"F")</f>
      </c>
      <c r="BB328" s="119">
        <f>COUNTIF(U328:AY328,"E")</f>
      </c>
    </row>
    <row r="329" spans="1:54" x14ac:dyDescent="0.2">
      <c r="A329" s="84"/>
      <c r="B329" s="85"/>
      <c r="C329" s="85"/>
      <c r="D329" s="85"/>
      <c r="E329" s="86"/>
      <c r="F329" s="16">
        <f>IF(E329="","",DATEDIF(E329,$I$7,"Y"))</f>
      </c>
      <c r="G329" s="85"/>
      <c r="H329" s="85"/>
      <c r="I329" s="87"/>
      <c r="J329" s="85"/>
      <c r="K329" s="85"/>
      <c r="L329" s="10"/>
      <c r="M329" s="10"/>
      <c r="N329" s="10"/>
      <c r="O329" s="10"/>
      <c r="P329" s="85"/>
      <c r="Q329" s="88"/>
      <c r="R329" s="3">
        <f>IFERROR(VLOOKUP(TablaEnero[[#This Row],[BARRIO]],SECTOR!$A:$B,2,0),"")</f>
      </c>
      <c r="S329" s="89"/>
      <c r="T329" s="90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6"/>
      <c r="AZ329" s="120">
        <f>COUNTIF(U329:AY329,"A")</f>
      </c>
      <c r="BA329" s="121">
        <f>COUNTIF(U329:AY329,"F")</f>
      </c>
      <c r="BB329" s="119">
        <f>COUNTIF(U329:AY329,"E")</f>
      </c>
    </row>
    <row r="330" spans="1:54" x14ac:dyDescent="0.2">
      <c r="A330" s="84"/>
      <c r="B330" s="85"/>
      <c r="C330" s="85"/>
      <c r="D330" s="85"/>
      <c r="E330" s="86"/>
      <c r="F330" s="16">
        <f>IF(E330="","",DATEDIF(E330,$I$7,"Y"))</f>
      </c>
      <c r="G330" s="85"/>
      <c r="H330" s="85"/>
      <c r="I330" s="87"/>
      <c r="J330" s="85"/>
      <c r="K330" s="85"/>
      <c r="L330" s="10"/>
      <c r="M330" s="10"/>
      <c r="N330" s="10"/>
      <c r="O330" s="10"/>
      <c r="P330" s="85"/>
      <c r="Q330" s="88"/>
      <c r="R330" s="3">
        <f>IFERROR(VLOOKUP(TablaEnero[[#This Row],[BARRIO]],SECTOR!$A:$B,2,0),"")</f>
      </c>
      <c r="S330" s="89"/>
      <c r="T330" s="90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6"/>
      <c r="AZ330" s="120">
        <f>COUNTIF(U330:AY330,"A")</f>
      </c>
      <c r="BA330" s="121">
        <f>COUNTIF(U330:AY330,"F")</f>
      </c>
      <c r="BB330" s="119">
        <f>COUNTIF(U330:AY330,"E")</f>
      </c>
    </row>
    <row r="331" spans="1:54" x14ac:dyDescent="0.2">
      <c r="A331" s="84"/>
      <c r="B331" s="85"/>
      <c r="C331" s="85"/>
      <c r="D331" s="85"/>
      <c r="E331" s="86"/>
      <c r="F331" s="16">
        <f>IF(E331="","",DATEDIF(E331,$I$7,"Y"))</f>
      </c>
      <c r="G331" s="85"/>
      <c r="H331" s="85"/>
      <c r="I331" s="87"/>
      <c r="J331" s="85"/>
      <c r="K331" s="85"/>
      <c r="L331" s="10"/>
      <c r="M331" s="10"/>
      <c r="N331" s="10"/>
      <c r="O331" s="10"/>
      <c r="P331" s="85"/>
      <c r="Q331" s="88"/>
      <c r="R331" s="3">
        <f>IFERROR(VLOOKUP(TablaEnero[[#This Row],[BARRIO]],SECTOR!$A:$B,2,0),"")</f>
      </c>
      <c r="S331" s="89"/>
      <c r="T331" s="90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6"/>
      <c r="AZ331" s="120">
        <f>COUNTIF(U331:AY331,"A")</f>
      </c>
      <c r="BA331" s="121">
        <f>COUNTIF(U331:AY331,"F")</f>
      </c>
      <c r="BB331" s="119">
        <f>COUNTIF(U331:AY331,"E")</f>
      </c>
    </row>
    <row r="332" spans="1:54" x14ac:dyDescent="0.2">
      <c r="A332" s="84"/>
      <c r="B332" s="85"/>
      <c r="C332" s="85"/>
      <c r="D332" s="85"/>
      <c r="E332" s="86"/>
      <c r="F332" s="16">
        <f>IF(E332="","",DATEDIF(E332,$I$7,"Y"))</f>
      </c>
      <c r="G332" s="85"/>
      <c r="H332" s="85"/>
      <c r="I332" s="87"/>
      <c r="J332" s="85"/>
      <c r="K332" s="85"/>
      <c r="L332" s="10"/>
      <c r="M332" s="10"/>
      <c r="N332" s="10"/>
      <c r="O332" s="10"/>
      <c r="P332" s="85"/>
      <c r="Q332" s="88"/>
      <c r="R332" s="3">
        <f>IFERROR(VLOOKUP(TablaEnero[[#This Row],[BARRIO]],SECTOR!$A:$B,2,0),"")</f>
      </c>
      <c r="S332" s="89"/>
      <c r="T332" s="90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6"/>
      <c r="AZ332" s="120">
        <f>COUNTIF(U332:AY332,"A")</f>
      </c>
      <c r="BA332" s="121">
        <f>COUNTIF(U332:AY332,"F")</f>
      </c>
      <c r="BB332" s="119">
        <f>COUNTIF(U332:AY332,"E")</f>
      </c>
    </row>
    <row r="333" spans="1:54" x14ac:dyDescent="0.2">
      <c r="A333" s="84"/>
      <c r="B333" s="85"/>
      <c r="C333" s="85"/>
      <c r="D333" s="85"/>
      <c r="E333" s="86"/>
      <c r="F333" s="16">
        <f>IF(E333="","",DATEDIF(E333,$I$7,"Y"))</f>
      </c>
      <c r="G333" s="85"/>
      <c r="H333" s="85"/>
      <c r="I333" s="87"/>
      <c r="J333" s="85"/>
      <c r="K333" s="85"/>
      <c r="L333" s="10"/>
      <c r="M333" s="10"/>
      <c r="N333" s="10"/>
      <c r="O333" s="10"/>
      <c r="P333" s="85"/>
      <c r="Q333" s="88"/>
      <c r="R333" s="3">
        <f>IFERROR(VLOOKUP(TablaEnero[[#This Row],[BARRIO]],SECTOR!$A:$B,2,0),"")</f>
      </c>
      <c r="S333" s="89"/>
      <c r="T333" s="90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6"/>
      <c r="AZ333" s="120">
        <f>COUNTIF(U333:AY333,"A")</f>
      </c>
      <c r="BA333" s="121">
        <f>COUNTIF(U333:AY333,"F")</f>
      </c>
      <c r="BB333" s="119">
        <f>COUNTIF(U333:AY333,"E")</f>
      </c>
    </row>
    <row r="334" spans="1:54" x14ac:dyDescent="0.2">
      <c r="A334" s="84"/>
      <c r="B334" s="85"/>
      <c r="C334" s="85"/>
      <c r="D334" s="85"/>
      <c r="E334" s="86"/>
      <c r="F334" s="16">
        <f>IF(E334="","",DATEDIF(E334,$I$7,"Y"))</f>
      </c>
      <c r="G334" s="85"/>
      <c r="H334" s="85"/>
      <c r="I334" s="87"/>
      <c r="J334" s="85"/>
      <c r="K334" s="85"/>
      <c r="L334" s="10"/>
      <c r="M334" s="10"/>
      <c r="N334" s="10"/>
      <c r="O334" s="10"/>
      <c r="P334" s="85"/>
      <c r="Q334" s="88"/>
      <c r="R334" s="3">
        <f>IFERROR(VLOOKUP(TablaEnero[[#This Row],[BARRIO]],SECTOR!$A:$B,2,0),"")</f>
      </c>
      <c r="S334" s="89"/>
      <c r="T334" s="90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6"/>
      <c r="AZ334" s="120">
        <f>COUNTIF(U334:AY334,"A")</f>
      </c>
      <c r="BA334" s="121">
        <f>COUNTIF(U334:AY334,"F")</f>
      </c>
      <c r="BB334" s="119">
        <f>COUNTIF(U334:AY334,"E")</f>
      </c>
    </row>
    <row r="335" spans="1:54" x14ac:dyDescent="0.2">
      <c r="A335" s="84"/>
      <c r="B335" s="85"/>
      <c r="C335" s="85"/>
      <c r="D335" s="85"/>
      <c r="E335" s="86"/>
      <c r="F335" s="16">
        <f>IF(E335="","",DATEDIF(E335,$I$7,"Y"))</f>
      </c>
      <c r="G335" s="85"/>
      <c r="H335" s="85"/>
      <c r="I335" s="87"/>
      <c r="J335" s="85"/>
      <c r="K335" s="85"/>
      <c r="L335" s="10"/>
      <c r="M335" s="10"/>
      <c r="N335" s="10"/>
      <c r="O335" s="10"/>
      <c r="P335" s="85"/>
      <c r="Q335" s="88"/>
      <c r="R335" s="3">
        <f>IFERROR(VLOOKUP(TablaEnero[[#This Row],[BARRIO]],SECTOR!$A:$B,2,0),"")</f>
      </c>
      <c r="S335" s="89"/>
      <c r="T335" s="90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6"/>
      <c r="AZ335" s="120">
        <f>COUNTIF(U335:AY335,"A")</f>
      </c>
      <c r="BA335" s="121">
        <f>COUNTIF(U335:AY335,"F")</f>
      </c>
      <c r="BB335" s="119">
        <f>COUNTIF(U335:AY335,"E")</f>
      </c>
    </row>
    <row r="336" spans="1:54" x14ac:dyDescent="0.2">
      <c r="A336" s="84"/>
      <c r="B336" s="85"/>
      <c r="C336" s="85"/>
      <c r="D336" s="85"/>
      <c r="E336" s="86"/>
      <c r="F336" s="16">
        <f>IF(E336="","",DATEDIF(E336,$I$7,"Y"))</f>
      </c>
      <c r="G336" s="85"/>
      <c r="H336" s="85"/>
      <c r="I336" s="87"/>
      <c r="J336" s="85"/>
      <c r="K336" s="85"/>
      <c r="L336" s="10"/>
      <c r="M336" s="10"/>
      <c r="N336" s="10"/>
      <c r="O336" s="10"/>
      <c r="P336" s="85"/>
      <c r="Q336" s="88"/>
      <c r="R336" s="3">
        <f>IFERROR(VLOOKUP(TablaEnero[[#This Row],[BARRIO]],SECTOR!$A:$B,2,0),"")</f>
      </c>
      <c r="S336" s="89"/>
      <c r="T336" s="90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6"/>
      <c r="AZ336" s="120">
        <f>COUNTIF(U336:AY336,"A")</f>
      </c>
      <c r="BA336" s="121">
        <f>COUNTIF(U336:AY336,"F")</f>
      </c>
      <c r="BB336" s="119">
        <f>COUNTIF(U336:AY336,"E")</f>
      </c>
    </row>
    <row r="337" spans="1:54" x14ac:dyDescent="0.2">
      <c r="A337" s="84"/>
      <c r="B337" s="85"/>
      <c r="C337" s="85"/>
      <c r="D337" s="85"/>
      <c r="E337" s="86"/>
      <c r="F337" s="16">
        <f>IF(E337="","",DATEDIF(E337,$I$7,"Y"))</f>
      </c>
      <c r="G337" s="85"/>
      <c r="H337" s="85"/>
      <c r="I337" s="87"/>
      <c r="J337" s="85"/>
      <c r="K337" s="85"/>
      <c r="L337" s="10"/>
      <c r="M337" s="10"/>
      <c r="N337" s="10"/>
      <c r="O337" s="10"/>
      <c r="P337" s="85"/>
      <c r="Q337" s="88"/>
      <c r="R337" s="3">
        <f>IFERROR(VLOOKUP(TablaEnero[[#This Row],[BARRIO]],SECTOR!$A:$B,2,0),"")</f>
      </c>
      <c r="S337" s="89"/>
      <c r="T337" s="90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6"/>
      <c r="AZ337" s="120">
        <f>COUNTIF(U337:AY337,"A")</f>
      </c>
      <c r="BA337" s="121">
        <f>COUNTIF(U337:AY337,"F")</f>
      </c>
      <c r="BB337" s="119">
        <f>COUNTIF(U337:AY337,"E")</f>
      </c>
    </row>
    <row r="338" spans="1:54" x14ac:dyDescent="0.2">
      <c r="A338" s="84"/>
      <c r="B338" s="85"/>
      <c r="C338" s="85"/>
      <c r="D338" s="85"/>
      <c r="E338" s="86"/>
      <c r="F338" s="16">
        <f>IF(E338="","",DATEDIF(E338,$I$7,"Y"))</f>
      </c>
      <c r="G338" s="85"/>
      <c r="H338" s="85"/>
      <c r="I338" s="87"/>
      <c r="J338" s="85"/>
      <c r="K338" s="85"/>
      <c r="L338" s="10"/>
      <c r="M338" s="10"/>
      <c r="N338" s="10"/>
      <c r="O338" s="10"/>
      <c r="P338" s="85"/>
      <c r="Q338" s="88"/>
      <c r="R338" s="3">
        <f>IFERROR(VLOOKUP(TablaEnero[[#This Row],[BARRIO]],SECTOR!$A:$B,2,0),"")</f>
      </c>
      <c r="S338" s="89"/>
      <c r="T338" s="90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6"/>
      <c r="AZ338" s="120">
        <f>COUNTIF(U338:AY338,"A")</f>
      </c>
      <c r="BA338" s="121">
        <f>COUNTIF(U338:AY338,"F")</f>
      </c>
      <c r="BB338" s="119">
        <f>COUNTIF(U338:AY338,"E")</f>
      </c>
    </row>
    <row r="339" spans="1:54" x14ac:dyDescent="0.2">
      <c r="A339" s="84"/>
      <c r="B339" s="85"/>
      <c r="C339" s="85"/>
      <c r="D339" s="85"/>
      <c r="E339" s="86"/>
      <c r="F339" s="16">
        <f>IF(E339="","",DATEDIF(E339,$I$7,"Y"))</f>
      </c>
      <c r="G339" s="85"/>
      <c r="H339" s="85"/>
      <c r="I339" s="87"/>
      <c r="J339" s="85"/>
      <c r="K339" s="85"/>
      <c r="L339" s="10"/>
      <c r="M339" s="10"/>
      <c r="N339" s="10"/>
      <c r="O339" s="10"/>
      <c r="P339" s="85"/>
      <c r="Q339" s="88"/>
      <c r="R339" s="3">
        <f>IFERROR(VLOOKUP(TablaEnero[[#This Row],[BARRIO]],SECTOR!$A:$B,2,0),"")</f>
      </c>
      <c r="S339" s="89"/>
      <c r="T339" s="90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6"/>
      <c r="AZ339" s="120">
        <f>COUNTIF(U339:AY339,"A")</f>
      </c>
      <c r="BA339" s="121">
        <f>COUNTIF(U339:AY339,"F")</f>
      </c>
      <c r="BB339" s="119">
        <f>COUNTIF(U339:AY339,"E")</f>
      </c>
    </row>
    <row r="340" spans="1:54" x14ac:dyDescent="0.2">
      <c r="A340" s="84"/>
      <c r="B340" s="85"/>
      <c r="C340" s="85"/>
      <c r="D340" s="85"/>
      <c r="E340" s="86"/>
      <c r="F340" s="16">
        <f>IF(E340="","",DATEDIF(E340,$I$7,"Y"))</f>
      </c>
      <c r="G340" s="85"/>
      <c r="H340" s="85"/>
      <c r="I340" s="87"/>
      <c r="J340" s="85"/>
      <c r="K340" s="85"/>
      <c r="L340" s="10"/>
      <c r="M340" s="10"/>
      <c r="N340" s="10"/>
      <c r="O340" s="10"/>
      <c r="P340" s="85"/>
      <c r="Q340" s="88"/>
      <c r="R340" s="3">
        <f>IFERROR(VLOOKUP(TablaEnero[[#This Row],[BARRIO]],SECTOR!$A:$B,2,0),"")</f>
      </c>
      <c r="S340" s="89"/>
      <c r="T340" s="90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6"/>
      <c r="AZ340" s="120">
        <f>COUNTIF(U340:AY340,"A")</f>
      </c>
      <c r="BA340" s="121">
        <f>COUNTIF(U340:AY340,"F")</f>
      </c>
      <c r="BB340" s="119">
        <f>COUNTIF(U340:AY340,"E")</f>
      </c>
    </row>
    <row r="341" spans="1:54" x14ac:dyDescent="0.2">
      <c r="A341" s="84"/>
      <c r="B341" s="85"/>
      <c r="C341" s="85"/>
      <c r="D341" s="85"/>
      <c r="E341" s="86"/>
      <c r="F341" s="16">
        <f>IF(E341="","",DATEDIF(E341,$I$7,"Y"))</f>
      </c>
      <c r="G341" s="85"/>
      <c r="H341" s="85"/>
      <c r="I341" s="87"/>
      <c r="J341" s="85"/>
      <c r="K341" s="85"/>
      <c r="L341" s="10"/>
      <c r="M341" s="10"/>
      <c r="N341" s="10"/>
      <c r="O341" s="10"/>
      <c r="P341" s="85"/>
      <c r="Q341" s="88"/>
      <c r="R341" s="3">
        <f>IFERROR(VLOOKUP(TablaEnero[[#This Row],[BARRIO]],SECTOR!$A:$B,2,0),"")</f>
      </c>
      <c r="S341" s="89"/>
      <c r="T341" s="90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6"/>
      <c r="AZ341" s="120">
        <f>COUNTIF(U341:AY341,"A")</f>
      </c>
      <c r="BA341" s="121">
        <f>COUNTIF(U341:AY341,"F")</f>
      </c>
      <c r="BB341" s="119">
        <f>COUNTIF(U341:AY341,"E")</f>
      </c>
    </row>
    <row r="342" spans="1:54" x14ac:dyDescent="0.2">
      <c r="A342" s="84"/>
      <c r="B342" s="85"/>
      <c r="C342" s="85"/>
      <c r="D342" s="85"/>
      <c r="E342" s="86"/>
      <c r="F342" s="16">
        <f>IF(E342="","",DATEDIF(E342,$I$7,"Y"))</f>
      </c>
      <c r="G342" s="85"/>
      <c r="H342" s="85"/>
      <c r="I342" s="87"/>
      <c r="J342" s="85"/>
      <c r="K342" s="85"/>
      <c r="L342" s="10"/>
      <c r="M342" s="10"/>
      <c r="N342" s="10"/>
      <c r="O342" s="10"/>
      <c r="P342" s="85"/>
      <c r="Q342" s="88"/>
      <c r="R342" s="3">
        <f>IFERROR(VLOOKUP(TablaEnero[[#This Row],[BARRIO]],SECTOR!$A:$B,2,0),"")</f>
      </c>
      <c r="S342" s="89"/>
      <c r="T342" s="90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6"/>
      <c r="AZ342" s="120">
        <f>COUNTIF(U342:AY342,"A")</f>
      </c>
      <c r="BA342" s="121">
        <f>COUNTIF(U342:AY342,"F")</f>
      </c>
      <c r="BB342" s="119">
        <f>COUNTIF(U342:AY342,"E")</f>
      </c>
    </row>
    <row r="343" spans="1:54" x14ac:dyDescent="0.2">
      <c r="A343" s="84"/>
      <c r="B343" s="85"/>
      <c r="C343" s="85"/>
      <c r="D343" s="85"/>
      <c r="E343" s="86"/>
      <c r="F343" s="16">
        <f>IF(E343="","",DATEDIF(E343,$I$7,"Y"))</f>
      </c>
      <c r="G343" s="85"/>
      <c r="H343" s="85"/>
      <c r="I343" s="87"/>
      <c r="J343" s="85"/>
      <c r="K343" s="85"/>
      <c r="L343" s="10"/>
      <c r="M343" s="10"/>
      <c r="N343" s="10"/>
      <c r="O343" s="10"/>
      <c r="P343" s="85"/>
      <c r="Q343" s="88"/>
      <c r="R343" s="3">
        <f>IFERROR(VLOOKUP(TablaEnero[[#This Row],[BARRIO]],SECTOR!$A:$B,2,0),"")</f>
      </c>
      <c r="S343" s="89"/>
      <c r="T343" s="90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6"/>
      <c r="AZ343" s="120">
        <f>COUNTIF(U343:AY343,"A")</f>
      </c>
      <c r="BA343" s="121">
        <f>COUNTIF(U343:AY343,"F")</f>
      </c>
      <c r="BB343" s="119">
        <f>COUNTIF(U343:AY343,"E")</f>
      </c>
    </row>
    <row r="344" spans="1:54" x14ac:dyDescent="0.2">
      <c r="A344" s="84"/>
      <c r="B344" s="85"/>
      <c r="C344" s="85"/>
      <c r="D344" s="85"/>
      <c r="E344" s="86"/>
      <c r="F344" s="16">
        <f>IF(E344="","",DATEDIF(E344,$I$7,"Y"))</f>
      </c>
      <c r="G344" s="85"/>
      <c r="H344" s="85"/>
      <c r="I344" s="87"/>
      <c r="J344" s="85"/>
      <c r="K344" s="85"/>
      <c r="L344" s="10"/>
      <c r="M344" s="10"/>
      <c r="N344" s="10"/>
      <c r="O344" s="10"/>
      <c r="P344" s="85"/>
      <c r="Q344" s="88"/>
      <c r="R344" s="3">
        <f>IFERROR(VLOOKUP(TablaEnero[[#This Row],[BARRIO]],SECTOR!$A:$B,2,0),"")</f>
      </c>
      <c r="S344" s="89"/>
      <c r="T344" s="90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6"/>
      <c r="AZ344" s="120">
        <f>COUNTIF(U344:AY344,"A")</f>
      </c>
      <c r="BA344" s="121">
        <f>COUNTIF(U344:AY344,"F")</f>
      </c>
      <c r="BB344" s="119">
        <f>COUNTIF(U344:AY344,"E")</f>
      </c>
    </row>
    <row r="345" spans="1:54" x14ac:dyDescent="0.2">
      <c r="A345" s="84"/>
      <c r="B345" s="85"/>
      <c r="C345" s="85"/>
      <c r="D345" s="85"/>
      <c r="E345" s="86"/>
      <c r="F345" s="16">
        <f>IF(E345="","",DATEDIF(E345,$I$7,"Y"))</f>
      </c>
      <c r="G345" s="85"/>
      <c r="H345" s="85"/>
      <c r="I345" s="87"/>
      <c r="J345" s="85"/>
      <c r="K345" s="85"/>
      <c r="L345" s="10"/>
      <c r="M345" s="10"/>
      <c r="N345" s="10"/>
      <c r="O345" s="10"/>
      <c r="P345" s="85"/>
      <c r="Q345" s="88"/>
      <c r="R345" s="3">
        <f>IFERROR(VLOOKUP(TablaEnero[[#This Row],[BARRIO]],SECTOR!$A:$B,2,0),"")</f>
      </c>
      <c r="S345" s="89"/>
      <c r="T345" s="90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6"/>
      <c r="AZ345" s="120">
        <f>COUNTIF(U345:AY345,"A")</f>
      </c>
      <c r="BA345" s="121">
        <f>COUNTIF(U345:AY345,"F")</f>
      </c>
      <c r="BB345" s="119">
        <f>COUNTIF(U345:AY345,"E")</f>
      </c>
    </row>
    <row r="346" spans="1:54" x14ac:dyDescent="0.2">
      <c r="A346" s="84"/>
      <c r="B346" s="85"/>
      <c r="C346" s="85"/>
      <c r="D346" s="85"/>
      <c r="E346" s="86"/>
      <c r="F346" s="16">
        <f>IF(E346="","",DATEDIF(E346,$I$7,"Y"))</f>
      </c>
      <c r="G346" s="85"/>
      <c r="H346" s="85"/>
      <c r="I346" s="87"/>
      <c r="J346" s="85"/>
      <c r="K346" s="85"/>
      <c r="L346" s="10"/>
      <c r="M346" s="10"/>
      <c r="N346" s="10"/>
      <c r="O346" s="10"/>
      <c r="P346" s="85"/>
      <c r="Q346" s="88"/>
      <c r="R346" s="3">
        <f>IFERROR(VLOOKUP(TablaEnero[[#This Row],[BARRIO]],SECTOR!$A:$B,2,0),"")</f>
      </c>
      <c r="S346" s="89"/>
      <c r="T346" s="90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6"/>
      <c r="AZ346" s="120">
        <f>COUNTIF(U346:AY346,"A")</f>
      </c>
      <c r="BA346" s="121">
        <f>COUNTIF(U346:AY346,"F")</f>
      </c>
      <c r="BB346" s="119">
        <f>COUNTIF(U346:AY346,"E")</f>
      </c>
    </row>
    <row r="347" spans="1:54" x14ac:dyDescent="0.2">
      <c r="A347" s="84"/>
      <c r="B347" s="85"/>
      <c r="C347" s="85"/>
      <c r="D347" s="85"/>
      <c r="E347" s="86"/>
      <c r="F347" s="16">
        <f>IF(E347="","",DATEDIF(E347,$I$7,"Y"))</f>
      </c>
      <c r="G347" s="85"/>
      <c r="H347" s="85"/>
      <c r="I347" s="87"/>
      <c r="J347" s="85"/>
      <c r="K347" s="85"/>
      <c r="L347" s="10"/>
      <c r="M347" s="10"/>
      <c r="N347" s="10"/>
      <c r="O347" s="10"/>
      <c r="P347" s="85"/>
      <c r="Q347" s="88"/>
      <c r="R347" s="3">
        <f>IFERROR(VLOOKUP(TablaEnero[[#This Row],[BARRIO]],SECTOR!$A:$B,2,0),"")</f>
      </c>
      <c r="S347" s="89"/>
      <c r="T347" s="90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6"/>
      <c r="AZ347" s="120">
        <f>COUNTIF(U347:AY347,"A")</f>
      </c>
      <c r="BA347" s="121">
        <f>COUNTIF(U347:AY347,"F")</f>
      </c>
      <c r="BB347" s="119">
        <f>COUNTIF(U347:AY347,"E")</f>
      </c>
    </row>
    <row r="348" spans="1:54" x14ac:dyDescent="0.2">
      <c r="A348" s="84"/>
      <c r="B348" s="85"/>
      <c r="C348" s="85"/>
      <c r="D348" s="85"/>
      <c r="E348" s="86"/>
      <c r="F348" s="16">
        <f>IF(E348="","",DATEDIF(E348,$I$7,"Y"))</f>
      </c>
      <c r="G348" s="85"/>
      <c r="H348" s="85"/>
      <c r="I348" s="87"/>
      <c r="J348" s="85"/>
      <c r="K348" s="85"/>
      <c r="L348" s="10"/>
      <c r="M348" s="10"/>
      <c r="N348" s="10"/>
      <c r="O348" s="10"/>
      <c r="P348" s="85"/>
      <c r="Q348" s="88"/>
      <c r="R348" s="3">
        <f>IFERROR(VLOOKUP(TablaEnero[[#This Row],[BARRIO]],SECTOR!$A:$B,2,0),"")</f>
      </c>
      <c r="S348" s="89"/>
      <c r="T348" s="90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6"/>
      <c r="AZ348" s="120">
        <f>COUNTIF(U348:AY348,"A")</f>
      </c>
      <c r="BA348" s="121">
        <f>COUNTIF(U348:AY348,"F")</f>
      </c>
      <c r="BB348" s="119">
        <f>COUNTIF(U348:AY348,"E")</f>
      </c>
    </row>
    <row r="349" spans="1:54" x14ac:dyDescent="0.2">
      <c r="A349" s="84"/>
      <c r="B349" s="85"/>
      <c r="C349" s="85"/>
      <c r="D349" s="85"/>
      <c r="E349" s="86"/>
      <c r="F349" s="16">
        <f>IF(E349="","",DATEDIF(E349,$I$7,"Y"))</f>
      </c>
      <c r="G349" s="85"/>
      <c r="H349" s="85"/>
      <c r="I349" s="87"/>
      <c r="J349" s="85"/>
      <c r="K349" s="85"/>
      <c r="L349" s="10"/>
      <c r="M349" s="10"/>
      <c r="N349" s="10"/>
      <c r="O349" s="10"/>
      <c r="P349" s="85"/>
      <c r="Q349" s="88"/>
      <c r="R349" s="3">
        <f>IFERROR(VLOOKUP(TablaEnero[[#This Row],[BARRIO]],SECTOR!$A:$B,2,0),"")</f>
      </c>
      <c r="S349" s="89"/>
      <c r="T349" s="90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6"/>
      <c r="AZ349" s="120">
        <f>COUNTIF(U349:AY349,"A")</f>
      </c>
      <c r="BA349" s="121">
        <f>COUNTIF(U349:AY349,"F")</f>
      </c>
      <c r="BB349" s="119">
        <f>COUNTIF(U349:AY349,"E")</f>
      </c>
    </row>
    <row r="350" spans="1:54" x14ac:dyDescent="0.2">
      <c r="A350" s="84"/>
      <c r="B350" s="85"/>
      <c r="C350" s="85"/>
      <c r="D350" s="85"/>
      <c r="E350" s="86"/>
      <c r="F350" s="16">
        <f>IF(E350="","",DATEDIF(E350,$I$7,"Y"))</f>
      </c>
      <c r="G350" s="85"/>
      <c r="H350" s="85"/>
      <c r="I350" s="87"/>
      <c r="J350" s="85"/>
      <c r="K350" s="85"/>
      <c r="L350" s="10"/>
      <c r="M350" s="10"/>
      <c r="N350" s="10"/>
      <c r="O350" s="10"/>
      <c r="P350" s="85"/>
      <c r="Q350" s="88"/>
      <c r="R350" s="3">
        <f>IFERROR(VLOOKUP(TablaEnero[[#This Row],[BARRIO]],SECTOR!$A:$B,2,0),"")</f>
      </c>
      <c r="S350" s="89"/>
      <c r="T350" s="90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6"/>
      <c r="AZ350" s="120">
        <f>COUNTIF(U350:AY350,"A")</f>
      </c>
      <c r="BA350" s="121">
        <f>COUNTIF(U350:AY350,"F")</f>
      </c>
      <c r="BB350" s="119">
        <f>COUNTIF(U350:AY350,"E")</f>
      </c>
    </row>
    <row r="351" spans="1:54" x14ac:dyDescent="0.2">
      <c r="A351" s="84"/>
      <c r="B351" s="85"/>
      <c r="C351" s="85"/>
      <c r="D351" s="85"/>
      <c r="E351" s="86"/>
      <c r="F351" s="16">
        <f>IF(E351="","",DATEDIF(E351,$I$7,"Y"))</f>
      </c>
      <c r="G351" s="85"/>
      <c r="H351" s="85"/>
      <c r="I351" s="87"/>
      <c r="J351" s="85"/>
      <c r="K351" s="85"/>
      <c r="L351" s="10"/>
      <c r="M351" s="10"/>
      <c r="N351" s="10"/>
      <c r="O351" s="10"/>
      <c r="P351" s="85"/>
      <c r="Q351" s="88"/>
      <c r="R351" s="3">
        <f>IFERROR(VLOOKUP(TablaEnero[[#This Row],[BARRIO]],SECTOR!$A:$B,2,0),"")</f>
      </c>
      <c r="S351" s="89"/>
      <c r="T351" s="90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6"/>
      <c r="AZ351" s="120">
        <f>COUNTIF(U351:AY351,"A")</f>
      </c>
      <c r="BA351" s="121">
        <f>COUNTIF(U351:AY351,"F")</f>
      </c>
      <c r="BB351" s="119">
        <f>COUNTIF(U351:AY351,"E")</f>
      </c>
    </row>
    <row r="352" spans="1:54" x14ac:dyDescent="0.2">
      <c r="A352" s="84"/>
      <c r="B352" s="85"/>
      <c r="C352" s="85"/>
      <c r="D352" s="85"/>
      <c r="E352" s="86"/>
      <c r="F352" s="16">
        <f>IF(E352="","",DATEDIF(E352,$I$7,"Y"))</f>
      </c>
      <c r="G352" s="85"/>
      <c r="H352" s="85"/>
      <c r="I352" s="87"/>
      <c r="J352" s="85"/>
      <c r="K352" s="85"/>
      <c r="L352" s="10"/>
      <c r="M352" s="10"/>
      <c r="N352" s="10"/>
      <c r="O352" s="10"/>
      <c r="P352" s="85"/>
      <c r="Q352" s="88"/>
      <c r="R352" s="3">
        <f>IFERROR(VLOOKUP(TablaEnero[[#This Row],[BARRIO]],SECTOR!$A:$B,2,0),"")</f>
      </c>
      <c r="S352" s="89"/>
      <c r="T352" s="90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6"/>
      <c r="AZ352" s="120">
        <f>COUNTIF(U352:AY352,"A")</f>
      </c>
      <c r="BA352" s="121">
        <f>COUNTIF(U352:AY352,"F")</f>
      </c>
      <c r="BB352" s="119">
        <f>COUNTIF(U352:AY352,"E")</f>
      </c>
    </row>
    <row r="353" spans="1:54" x14ac:dyDescent="0.2">
      <c r="A353" s="84"/>
      <c r="B353" s="85"/>
      <c r="C353" s="85"/>
      <c r="D353" s="85"/>
      <c r="E353" s="86"/>
      <c r="F353" s="16">
        <f>IF(E353="","",DATEDIF(E353,$I$7,"Y"))</f>
      </c>
      <c r="G353" s="85"/>
      <c r="H353" s="85"/>
      <c r="I353" s="87"/>
      <c r="J353" s="85"/>
      <c r="K353" s="85"/>
      <c r="L353" s="10"/>
      <c r="M353" s="10"/>
      <c r="N353" s="10"/>
      <c r="O353" s="10"/>
      <c r="P353" s="85"/>
      <c r="Q353" s="88"/>
      <c r="R353" s="3">
        <f>IFERROR(VLOOKUP(TablaEnero[[#This Row],[BARRIO]],SECTOR!$A:$B,2,0),"")</f>
      </c>
      <c r="S353" s="89"/>
      <c r="T353" s="90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6"/>
      <c r="AZ353" s="120">
        <f>COUNTIF(U353:AY353,"A")</f>
      </c>
      <c r="BA353" s="121">
        <f>COUNTIF(U353:AY353,"F")</f>
      </c>
      <c r="BB353" s="119">
        <f>COUNTIF(U353:AY353,"E")</f>
      </c>
    </row>
    <row r="354" spans="1:54" x14ac:dyDescent="0.2">
      <c r="A354" s="84"/>
      <c r="B354" s="85"/>
      <c r="C354" s="85"/>
      <c r="D354" s="85"/>
      <c r="E354" s="86"/>
      <c r="F354" s="16">
        <f>IF(E354="","",DATEDIF(E354,$I$7,"Y"))</f>
      </c>
      <c r="G354" s="85"/>
      <c r="H354" s="85"/>
      <c r="I354" s="87"/>
      <c r="J354" s="85"/>
      <c r="K354" s="85"/>
      <c r="L354" s="10"/>
      <c r="M354" s="10"/>
      <c r="N354" s="10"/>
      <c r="O354" s="10"/>
      <c r="P354" s="85"/>
      <c r="Q354" s="88"/>
      <c r="R354" s="3">
        <f>IFERROR(VLOOKUP(TablaEnero[[#This Row],[BARRIO]],SECTOR!$A:$B,2,0),"")</f>
      </c>
      <c r="S354" s="89"/>
      <c r="T354" s="90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6"/>
      <c r="AZ354" s="120">
        <f>COUNTIF(U354:AY354,"A")</f>
      </c>
      <c r="BA354" s="121">
        <f>COUNTIF(U354:AY354,"F")</f>
      </c>
      <c r="BB354" s="119">
        <f>COUNTIF(U354:AY354,"E")</f>
      </c>
    </row>
    <row r="355" spans="1:54" x14ac:dyDescent="0.2">
      <c r="A355" s="84"/>
      <c r="B355" s="85"/>
      <c r="C355" s="85"/>
      <c r="D355" s="85"/>
      <c r="E355" s="86"/>
      <c r="F355" s="16">
        <f>IF(E355="","",DATEDIF(E355,$I$7,"Y"))</f>
      </c>
      <c r="G355" s="85"/>
      <c r="H355" s="85"/>
      <c r="I355" s="87"/>
      <c r="J355" s="85"/>
      <c r="K355" s="85"/>
      <c r="L355" s="10"/>
      <c r="M355" s="10"/>
      <c r="N355" s="10"/>
      <c r="O355" s="10"/>
      <c r="P355" s="85"/>
      <c r="Q355" s="88"/>
      <c r="R355" s="3">
        <f>IFERROR(VLOOKUP(TablaEnero[[#This Row],[BARRIO]],SECTOR!$A:$B,2,0),"")</f>
      </c>
      <c r="S355" s="89"/>
      <c r="T355" s="90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6"/>
      <c r="AZ355" s="120">
        <f>COUNTIF(U355:AY355,"A")</f>
      </c>
      <c r="BA355" s="121">
        <f>COUNTIF(U355:AY355,"F")</f>
      </c>
      <c r="BB355" s="119">
        <f>COUNTIF(U355:AY355,"E")</f>
      </c>
    </row>
    <row r="356" spans="1:54" x14ac:dyDescent="0.2">
      <c r="A356" s="84"/>
      <c r="B356" s="85"/>
      <c r="C356" s="85"/>
      <c r="D356" s="85"/>
      <c r="E356" s="86"/>
      <c r="F356" s="16">
        <f>IF(E356="","",DATEDIF(E356,$I$7,"Y"))</f>
      </c>
      <c r="G356" s="85"/>
      <c r="H356" s="85"/>
      <c r="I356" s="87"/>
      <c r="J356" s="85"/>
      <c r="K356" s="85"/>
      <c r="L356" s="10"/>
      <c r="M356" s="10"/>
      <c r="N356" s="10"/>
      <c r="O356" s="10"/>
      <c r="P356" s="85"/>
      <c r="Q356" s="88"/>
      <c r="R356" s="3">
        <f>IFERROR(VLOOKUP(TablaEnero[[#This Row],[BARRIO]],SECTOR!$A:$B,2,0),"")</f>
      </c>
      <c r="S356" s="89"/>
      <c r="T356" s="90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6"/>
      <c r="AZ356" s="120">
        <f>COUNTIF(U356:AY356,"A")</f>
      </c>
      <c r="BA356" s="121">
        <f>COUNTIF(U356:AY356,"F")</f>
      </c>
      <c r="BB356" s="119">
        <f>COUNTIF(U356:AY356,"E")</f>
      </c>
    </row>
    <row r="357" spans="1:54" x14ac:dyDescent="0.2">
      <c r="A357" s="84"/>
      <c r="B357" s="85"/>
      <c r="C357" s="85"/>
      <c r="D357" s="85"/>
      <c r="E357" s="86"/>
      <c r="F357" s="16">
        <f>IF(E357="","",DATEDIF(E357,$I$7,"Y"))</f>
      </c>
      <c r="G357" s="85"/>
      <c r="H357" s="85"/>
      <c r="I357" s="87"/>
      <c r="J357" s="85"/>
      <c r="K357" s="85"/>
      <c r="L357" s="10"/>
      <c r="M357" s="10"/>
      <c r="N357" s="10"/>
      <c r="O357" s="10"/>
      <c r="P357" s="85"/>
      <c r="Q357" s="88"/>
      <c r="R357" s="3">
        <f>IFERROR(VLOOKUP(TablaEnero[[#This Row],[BARRIO]],SECTOR!$A:$B,2,0),"")</f>
      </c>
      <c r="S357" s="89"/>
      <c r="T357" s="90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6"/>
      <c r="AZ357" s="120">
        <f>COUNTIF(U357:AY357,"A")</f>
      </c>
      <c r="BA357" s="121">
        <f>COUNTIF(U357:AY357,"F")</f>
      </c>
      <c r="BB357" s="119">
        <f>COUNTIF(U357:AY357,"E")</f>
      </c>
    </row>
    <row r="358" spans="1:54" x14ac:dyDescent="0.2">
      <c r="A358" s="84"/>
      <c r="B358" s="85"/>
      <c r="C358" s="85"/>
      <c r="D358" s="85"/>
      <c r="E358" s="86"/>
      <c r="F358" s="16">
        <f>IF(E358="","",DATEDIF(E358,$I$7,"Y"))</f>
      </c>
      <c r="G358" s="85"/>
      <c r="H358" s="85"/>
      <c r="I358" s="87"/>
      <c r="J358" s="85"/>
      <c r="K358" s="85"/>
      <c r="L358" s="10"/>
      <c r="M358" s="10"/>
      <c r="N358" s="10"/>
      <c r="O358" s="10"/>
      <c r="P358" s="85"/>
      <c r="Q358" s="88"/>
      <c r="R358" s="3">
        <f>IFERROR(VLOOKUP(TablaEnero[[#This Row],[BARRIO]],SECTOR!$A:$B,2,0),"")</f>
      </c>
      <c r="S358" s="89"/>
      <c r="T358" s="90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6"/>
      <c r="AZ358" s="120">
        <f>COUNTIF(U358:AY358,"A")</f>
      </c>
      <c r="BA358" s="121">
        <f>COUNTIF(U358:AY358,"F")</f>
      </c>
      <c r="BB358" s="119">
        <f>COUNTIF(U358:AY358,"E")</f>
      </c>
    </row>
    <row r="359" spans="1:54" x14ac:dyDescent="0.2">
      <c r="A359" s="84"/>
      <c r="B359" s="85"/>
      <c r="C359" s="85"/>
      <c r="D359" s="85"/>
      <c r="E359" s="86"/>
      <c r="F359" s="16">
        <f>IF(E359="","",DATEDIF(E359,$I$7,"Y"))</f>
      </c>
      <c r="G359" s="85"/>
      <c r="H359" s="85"/>
      <c r="I359" s="87"/>
      <c r="J359" s="85"/>
      <c r="K359" s="85"/>
      <c r="L359" s="10"/>
      <c r="M359" s="10"/>
      <c r="N359" s="10"/>
      <c r="O359" s="10"/>
      <c r="P359" s="85"/>
      <c r="Q359" s="88"/>
      <c r="R359" s="3">
        <f>IFERROR(VLOOKUP(TablaEnero[[#This Row],[BARRIO]],SECTOR!$A:$B,2,0),"")</f>
      </c>
      <c r="S359" s="89"/>
      <c r="T359" s="90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6"/>
      <c r="AZ359" s="120">
        <f>COUNTIF(U359:AY359,"A")</f>
      </c>
      <c r="BA359" s="121">
        <f>COUNTIF(U359:AY359,"F")</f>
      </c>
      <c r="BB359" s="119">
        <f>COUNTIF(U359:AY359,"E")</f>
      </c>
    </row>
    <row r="360" spans="1:54" x14ac:dyDescent="0.2">
      <c r="A360" s="84"/>
      <c r="B360" s="85"/>
      <c r="C360" s="85"/>
      <c r="D360" s="85"/>
      <c r="E360" s="86"/>
      <c r="F360" s="16">
        <f>IF(E360="","",DATEDIF(E360,$I$7,"Y"))</f>
      </c>
      <c r="G360" s="85"/>
      <c r="H360" s="85"/>
      <c r="I360" s="87"/>
      <c r="J360" s="85"/>
      <c r="K360" s="85"/>
      <c r="L360" s="10"/>
      <c r="M360" s="10"/>
      <c r="N360" s="10"/>
      <c r="O360" s="10"/>
      <c r="P360" s="85"/>
      <c r="Q360" s="88"/>
      <c r="R360" s="3">
        <f>IFERROR(VLOOKUP(TablaEnero[[#This Row],[BARRIO]],SECTOR!$A:$B,2,0),"")</f>
      </c>
      <c r="S360" s="89"/>
      <c r="T360" s="90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6"/>
      <c r="AZ360" s="120">
        <f>COUNTIF(U360:AY360,"A")</f>
      </c>
      <c r="BA360" s="121">
        <f>COUNTIF(U360:AY360,"F")</f>
      </c>
      <c r="BB360" s="119">
        <f>COUNTIF(U360:AY360,"E")</f>
      </c>
    </row>
    <row r="361" spans="1:54" x14ac:dyDescent="0.2">
      <c r="A361" s="84"/>
      <c r="B361" s="85"/>
      <c r="C361" s="85"/>
      <c r="D361" s="85"/>
      <c r="E361" s="86"/>
      <c r="F361" s="16">
        <f>IF(E361="","",DATEDIF(E361,$I$7,"Y"))</f>
      </c>
      <c r="G361" s="85"/>
      <c r="H361" s="85"/>
      <c r="I361" s="87"/>
      <c r="J361" s="85"/>
      <c r="K361" s="85"/>
      <c r="L361" s="10"/>
      <c r="M361" s="10"/>
      <c r="N361" s="10"/>
      <c r="O361" s="10"/>
      <c r="P361" s="85"/>
      <c r="Q361" s="88"/>
      <c r="R361" s="3">
        <f>IFERROR(VLOOKUP(TablaEnero[[#This Row],[BARRIO]],SECTOR!$A:$B,2,0),"")</f>
      </c>
      <c r="S361" s="89"/>
      <c r="T361" s="90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6"/>
      <c r="AZ361" s="120">
        <f>COUNTIF(U361:AY361,"A")</f>
      </c>
      <c r="BA361" s="121">
        <f>COUNTIF(U361:AY361,"F")</f>
      </c>
      <c r="BB361" s="119">
        <f>COUNTIF(U361:AY361,"E")</f>
      </c>
    </row>
    <row r="362" spans="1:54" x14ac:dyDescent="0.2">
      <c r="A362" s="84"/>
      <c r="B362" s="85"/>
      <c r="C362" s="85"/>
      <c r="D362" s="85"/>
      <c r="E362" s="86"/>
      <c r="F362" s="16">
        <f>IF(E362="","",DATEDIF(E362,$I$7,"Y"))</f>
      </c>
      <c r="G362" s="85"/>
      <c r="H362" s="85"/>
      <c r="I362" s="87"/>
      <c r="J362" s="85"/>
      <c r="K362" s="85"/>
      <c r="L362" s="10"/>
      <c r="M362" s="10"/>
      <c r="N362" s="10"/>
      <c r="O362" s="10"/>
      <c r="P362" s="85"/>
      <c r="Q362" s="88"/>
      <c r="R362" s="3">
        <f>IFERROR(VLOOKUP(TablaEnero[[#This Row],[BARRIO]],SECTOR!$A:$B,2,0),"")</f>
      </c>
      <c r="S362" s="89"/>
      <c r="T362" s="90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6"/>
      <c r="AZ362" s="120">
        <f>COUNTIF(U362:AY362,"A")</f>
      </c>
      <c r="BA362" s="121">
        <f>COUNTIF(U362:AY362,"F")</f>
      </c>
      <c r="BB362" s="119">
        <f>COUNTIF(U362:AY362,"E")</f>
      </c>
    </row>
    <row r="363" spans="1:54" x14ac:dyDescent="0.2">
      <c r="A363" s="84"/>
      <c r="B363" s="85"/>
      <c r="C363" s="85"/>
      <c r="D363" s="85"/>
      <c r="E363" s="86"/>
      <c r="F363" s="16">
        <f>IF(E363="","",DATEDIF(E363,$I$7,"Y"))</f>
      </c>
      <c r="G363" s="85"/>
      <c r="H363" s="85"/>
      <c r="I363" s="87"/>
      <c r="J363" s="85"/>
      <c r="K363" s="85"/>
      <c r="L363" s="10"/>
      <c r="M363" s="10"/>
      <c r="N363" s="10"/>
      <c r="O363" s="10"/>
      <c r="P363" s="85"/>
      <c r="Q363" s="88"/>
      <c r="R363" s="3">
        <f>IFERROR(VLOOKUP(TablaEnero[[#This Row],[BARRIO]],SECTOR!$A:$B,2,0),"")</f>
      </c>
      <c r="S363" s="89"/>
      <c r="T363" s="90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6"/>
      <c r="AZ363" s="120">
        <f>COUNTIF(U363:AY363,"A")</f>
      </c>
      <c r="BA363" s="121">
        <f>COUNTIF(U363:AY363,"F")</f>
      </c>
      <c r="BB363" s="119">
        <f>COUNTIF(U363:AY363,"E")</f>
      </c>
    </row>
    <row r="364" spans="1:54" x14ac:dyDescent="0.2">
      <c r="A364" s="84"/>
      <c r="B364" s="85"/>
      <c r="C364" s="85"/>
      <c r="D364" s="85"/>
      <c r="E364" s="86"/>
      <c r="F364" s="16">
        <f>IF(E364="","",DATEDIF(E364,$I$7,"Y"))</f>
      </c>
      <c r="G364" s="85"/>
      <c r="H364" s="85"/>
      <c r="I364" s="87"/>
      <c r="J364" s="85"/>
      <c r="K364" s="85"/>
      <c r="L364" s="10"/>
      <c r="M364" s="10"/>
      <c r="N364" s="10"/>
      <c r="O364" s="10"/>
      <c r="P364" s="85"/>
      <c r="Q364" s="88"/>
      <c r="R364" s="3">
        <f>IFERROR(VLOOKUP(TablaEnero[[#This Row],[BARRIO]],SECTOR!$A:$B,2,0),"")</f>
      </c>
      <c r="S364" s="89"/>
      <c r="T364" s="90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6"/>
      <c r="AZ364" s="120">
        <f>COUNTIF(U364:AY364,"A")</f>
      </c>
      <c r="BA364" s="121">
        <f>COUNTIF(U364:AY364,"F")</f>
      </c>
      <c r="BB364" s="119">
        <f>COUNTIF(U364:AY364,"E")</f>
      </c>
    </row>
    <row r="365" spans="1:54" x14ac:dyDescent="0.2">
      <c r="A365" s="84"/>
      <c r="B365" s="85"/>
      <c r="C365" s="85"/>
      <c r="D365" s="85"/>
      <c r="E365" s="86"/>
      <c r="F365" s="16">
        <f>IF(E365="","",DATEDIF(E365,$I$7,"Y"))</f>
      </c>
      <c r="G365" s="85"/>
      <c r="H365" s="85"/>
      <c r="I365" s="87"/>
      <c r="J365" s="85"/>
      <c r="K365" s="85"/>
      <c r="L365" s="10"/>
      <c r="M365" s="10"/>
      <c r="N365" s="10"/>
      <c r="O365" s="10"/>
      <c r="P365" s="85"/>
      <c r="Q365" s="88"/>
      <c r="R365" s="3">
        <f>IFERROR(VLOOKUP(TablaEnero[[#This Row],[BARRIO]],SECTOR!$A:$B,2,0),"")</f>
      </c>
      <c r="S365" s="89"/>
      <c r="T365" s="90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6"/>
      <c r="AZ365" s="120">
        <f>COUNTIF(U365:AY365,"A")</f>
      </c>
      <c r="BA365" s="121">
        <f>COUNTIF(U365:AY365,"F")</f>
      </c>
      <c r="BB365" s="119">
        <f>COUNTIF(U365:AY365,"E")</f>
      </c>
    </row>
    <row r="366" spans="1:54" x14ac:dyDescent="0.2">
      <c r="A366" s="84"/>
      <c r="B366" s="85"/>
      <c r="C366" s="85"/>
      <c r="D366" s="85"/>
      <c r="E366" s="86"/>
      <c r="F366" s="16">
        <f>IF(E366="","",DATEDIF(E366,$I$7,"Y"))</f>
      </c>
      <c r="G366" s="85"/>
      <c r="H366" s="85"/>
      <c r="I366" s="87"/>
      <c r="J366" s="85"/>
      <c r="K366" s="85"/>
      <c r="L366" s="10"/>
      <c r="M366" s="10"/>
      <c r="N366" s="10"/>
      <c r="O366" s="10"/>
      <c r="P366" s="85"/>
      <c r="Q366" s="88"/>
      <c r="R366" s="3">
        <f>IFERROR(VLOOKUP(TablaEnero[[#This Row],[BARRIO]],SECTOR!$A:$B,2,0),"")</f>
      </c>
      <c r="S366" s="89"/>
      <c r="T366" s="90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6"/>
      <c r="AZ366" s="120">
        <f>COUNTIF(U366:AY366,"A")</f>
      </c>
      <c r="BA366" s="121">
        <f>COUNTIF(U366:AY366,"F")</f>
      </c>
      <c r="BB366" s="119">
        <f>COUNTIF(U366:AY366,"E")</f>
      </c>
    </row>
    <row r="367" spans="1:54" x14ac:dyDescent="0.2">
      <c r="A367" s="84"/>
      <c r="B367" s="85"/>
      <c r="C367" s="85"/>
      <c r="D367" s="85"/>
      <c r="E367" s="86"/>
      <c r="F367" s="16">
        <f>IF(E367="","",DATEDIF(E367,$I$7,"Y"))</f>
      </c>
      <c r="G367" s="85"/>
      <c r="H367" s="85"/>
      <c r="I367" s="87"/>
      <c r="J367" s="85"/>
      <c r="K367" s="85"/>
      <c r="L367" s="10"/>
      <c r="M367" s="10"/>
      <c r="N367" s="10"/>
      <c r="O367" s="10"/>
      <c r="P367" s="85"/>
      <c r="Q367" s="88"/>
      <c r="R367" s="3">
        <f>IFERROR(VLOOKUP(TablaEnero[[#This Row],[BARRIO]],SECTOR!$A:$B,2,0),"")</f>
      </c>
      <c r="S367" s="89"/>
      <c r="T367" s="90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6"/>
      <c r="AZ367" s="120">
        <f>COUNTIF(U367:AY367,"A")</f>
      </c>
      <c r="BA367" s="121">
        <f>COUNTIF(U367:AY367,"F")</f>
      </c>
      <c r="BB367" s="119">
        <f>COUNTIF(U367:AY367,"E")</f>
      </c>
    </row>
    <row r="368" spans="1:54" x14ac:dyDescent="0.2">
      <c r="A368" s="84"/>
      <c r="B368" s="85"/>
      <c r="C368" s="85"/>
      <c r="D368" s="85"/>
      <c r="E368" s="86"/>
      <c r="F368" s="16">
        <f>IF(E368="","",DATEDIF(E368,$I$7,"Y"))</f>
      </c>
      <c r="G368" s="85"/>
      <c r="H368" s="85"/>
      <c r="I368" s="87"/>
      <c r="J368" s="85"/>
      <c r="K368" s="85"/>
      <c r="L368" s="10"/>
      <c r="M368" s="10"/>
      <c r="N368" s="10"/>
      <c r="O368" s="10"/>
      <c r="P368" s="85"/>
      <c r="Q368" s="88"/>
      <c r="R368" s="3">
        <f>IFERROR(VLOOKUP(TablaEnero[[#This Row],[BARRIO]],SECTOR!$A:$B,2,0),"")</f>
      </c>
      <c r="S368" s="89"/>
      <c r="T368" s="90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6"/>
      <c r="AZ368" s="120">
        <f>COUNTIF(U368:AY368,"A")</f>
      </c>
      <c r="BA368" s="121">
        <f>COUNTIF(U368:AY368,"F")</f>
      </c>
      <c r="BB368" s="119">
        <f>COUNTIF(U368:AY368,"E")</f>
      </c>
    </row>
    <row r="369" spans="1:54" x14ac:dyDescent="0.2">
      <c r="A369" s="84"/>
      <c r="B369" s="85"/>
      <c r="C369" s="85"/>
      <c r="D369" s="85"/>
      <c r="E369" s="86"/>
      <c r="F369" s="16">
        <f>IF(E369="","",DATEDIF(E369,$I$7,"Y"))</f>
      </c>
      <c r="G369" s="85"/>
      <c r="H369" s="85"/>
      <c r="I369" s="87"/>
      <c r="J369" s="85"/>
      <c r="K369" s="85"/>
      <c r="L369" s="10"/>
      <c r="M369" s="10"/>
      <c r="N369" s="10"/>
      <c r="O369" s="10"/>
      <c r="P369" s="85"/>
      <c r="Q369" s="88"/>
      <c r="R369" s="3">
        <f>IFERROR(VLOOKUP(TablaEnero[[#This Row],[BARRIO]],SECTOR!$A:$B,2,0),"")</f>
      </c>
      <c r="S369" s="89"/>
      <c r="T369" s="90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6"/>
      <c r="AZ369" s="120">
        <f>COUNTIF(U369:AY369,"A")</f>
      </c>
      <c r="BA369" s="121">
        <f>COUNTIF(U369:AY369,"F")</f>
      </c>
      <c r="BB369" s="119">
        <f>COUNTIF(U369:AY369,"E")</f>
      </c>
    </row>
    <row r="370" spans="1:54" x14ac:dyDescent="0.2">
      <c r="A370" s="84"/>
      <c r="B370" s="85"/>
      <c r="C370" s="85"/>
      <c r="D370" s="85"/>
      <c r="E370" s="86"/>
      <c r="F370" s="16">
        <f>IF(E370="","",DATEDIF(E370,$I$7,"Y"))</f>
      </c>
      <c r="G370" s="85"/>
      <c r="H370" s="85"/>
      <c r="I370" s="87"/>
      <c r="J370" s="85"/>
      <c r="K370" s="85"/>
      <c r="L370" s="10"/>
      <c r="M370" s="10"/>
      <c r="N370" s="10"/>
      <c r="O370" s="10"/>
      <c r="P370" s="85"/>
      <c r="Q370" s="88"/>
      <c r="R370" s="3">
        <f>IFERROR(VLOOKUP(TablaEnero[[#This Row],[BARRIO]],SECTOR!$A:$B,2,0),"")</f>
      </c>
      <c r="S370" s="89"/>
      <c r="T370" s="90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6"/>
      <c r="AZ370" s="120">
        <f>COUNTIF(U370:AY370,"A")</f>
      </c>
      <c r="BA370" s="121">
        <f>COUNTIF(U370:AY370,"F")</f>
      </c>
      <c r="BB370" s="119">
        <f>COUNTIF(U370:AY370,"E")</f>
      </c>
    </row>
    <row r="371" spans="1:54" x14ac:dyDescent="0.2">
      <c r="A371" s="84"/>
      <c r="B371" s="85"/>
      <c r="C371" s="85"/>
      <c r="D371" s="85"/>
      <c r="E371" s="86"/>
      <c r="F371" s="16">
        <f>IF(E371="","",DATEDIF(E371,$I$7,"Y"))</f>
      </c>
      <c r="G371" s="85"/>
      <c r="H371" s="85"/>
      <c r="I371" s="87"/>
      <c r="J371" s="85"/>
      <c r="K371" s="85"/>
      <c r="L371" s="10"/>
      <c r="M371" s="10"/>
      <c r="N371" s="10"/>
      <c r="O371" s="10"/>
      <c r="P371" s="85"/>
      <c r="Q371" s="88"/>
      <c r="R371" s="3">
        <f>IFERROR(VLOOKUP(TablaEnero[[#This Row],[BARRIO]],SECTOR!$A:$B,2,0),"")</f>
      </c>
      <c r="S371" s="89"/>
      <c r="T371" s="90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6"/>
      <c r="AZ371" s="120">
        <f>COUNTIF(U371:AY371,"A")</f>
      </c>
      <c r="BA371" s="121">
        <f>COUNTIF(U371:AY371,"F")</f>
      </c>
      <c r="BB371" s="119">
        <f>COUNTIF(U371:AY371,"E")</f>
      </c>
    </row>
    <row r="372" spans="1:54" x14ac:dyDescent="0.2">
      <c r="A372" s="84"/>
      <c r="B372" s="85"/>
      <c r="C372" s="85"/>
      <c r="D372" s="85"/>
      <c r="E372" s="86"/>
      <c r="F372" s="16">
        <f>IF(E372="","",DATEDIF(E372,$I$7,"Y"))</f>
      </c>
      <c r="G372" s="85"/>
      <c r="H372" s="85"/>
      <c r="I372" s="87"/>
      <c r="J372" s="85"/>
      <c r="K372" s="85"/>
      <c r="L372" s="10"/>
      <c r="M372" s="10"/>
      <c r="N372" s="10"/>
      <c r="O372" s="10"/>
      <c r="P372" s="85"/>
      <c r="Q372" s="88"/>
      <c r="R372" s="3">
        <f>IFERROR(VLOOKUP(TablaEnero[[#This Row],[BARRIO]],SECTOR!$A:$B,2,0),"")</f>
      </c>
      <c r="S372" s="89"/>
      <c r="T372" s="90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6"/>
      <c r="AZ372" s="120">
        <f>COUNTIF(U372:AY372,"A")</f>
      </c>
      <c r="BA372" s="121">
        <f>COUNTIF(U372:AY372,"F")</f>
      </c>
      <c r="BB372" s="119">
        <f>COUNTIF(U372:AY372,"E")</f>
      </c>
    </row>
    <row r="373" spans="1:54" x14ac:dyDescent="0.2">
      <c r="A373" s="84"/>
      <c r="B373" s="85"/>
      <c r="C373" s="85"/>
      <c r="D373" s="85"/>
      <c r="E373" s="86"/>
      <c r="F373" s="16">
        <f>IF(E373="","",DATEDIF(E373,$I$7,"Y"))</f>
      </c>
      <c r="G373" s="85"/>
      <c r="H373" s="85"/>
      <c r="I373" s="87"/>
      <c r="J373" s="85"/>
      <c r="K373" s="85"/>
      <c r="L373" s="10"/>
      <c r="M373" s="10"/>
      <c r="N373" s="10"/>
      <c r="O373" s="10"/>
      <c r="P373" s="85"/>
      <c r="Q373" s="88"/>
      <c r="R373" s="3">
        <f>IFERROR(VLOOKUP(TablaEnero[[#This Row],[BARRIO]],SECTOR!$A:$B,2,0),"")</f>
      </c>
      <c r="S373" s="89"/>
      <c r="T373" s="90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6"/>
      <c r="AZ373" s="120">
        <f>COUNTIF(U373:AY373,"A")</f>
      </c>
      <c r="BA373" s="121">
        <f>COUNTIF(U373:AY373,"F")</f>
      </c>
      <c r="BB373" s="119">
        <f>COUNTIF(U373:AY373,"E")</f>
      </c>
    </row>
    <row r="374" spans="1:54" x14ac:dyDescent="0.2">
      <c r="A374" s="84"/>
      <c r="B374" s="85"/>
      <c r="C374" s="85"/>
      <c r="D374" s="85"/>
      <c r="E374" s="86"/>
      <c r="F374" s="16">
        <f>IF(E374="","",DATEDIF(E374,$I$7,"Y"))</f>
      </c>
      <c r="G374" s="85"/>
      <c r="H374" s="85"/>
      <c r="I374" s="87"/>
      <c r="J374" s="85"/>
      <c r="K374" s="85"/>
      <c r="L374" s="10"/>
      <c r="M374" s="10"/>
      <c r="N374" s="10"/>
      <c r="O374" s="10"/>
      <c r="P374" s="85"/>
      <c r="Q374" s="88"/>
      <c r="R374" s="3">
        <f>IFERROR(VLOOKUP(TablaEnero[[#This Row],[BARRIO]],SECTOR!$A:$B,2,0),"")</f>
      </c>
      <c r="S374" s="89"/>
      <c r="T374" s="90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6"/>
      <c r="AZ374" s="120">
        <f>COUNTIF(U374:AY374,"A")</f>
      </c>
      <c r="BA374" s="121">
        <f>COUNTIF(U374:AY374,"F")</f>
      </c>
      <c r="BB374" s="119">
        <f>COUNTIF(U374:AY374,"E")</f>
      </c>
    </row>
    <row r="375" spans="1:54" x14ac:dyDescent="0.2">
      <c r="A375" s="84"/>
      <c r="B375" s="85"/>
      <c r="C375" s="85"/>
      <c r="D375" s="85"/>
      <c r="E375" s="86"/>
      <c r="F375" s="16">
        <f>IF(E375="","",DATEDIF(E375,$I$7,"Y"))</f>
      </c>
      <c r="G375" s="85"/>
      <c r="H375" s="85"/>
      <c r="I375" s="87"/>
      <c r="J375" s="85"/>
      <c r="K375" s="85"/>
      <c r="L375" s="10"/>
      <c r="M375" s="10"/>
      <c r="N375" s="10"/>
      <c r="O375" s="10"/>
      <c r="P375" s="85"/>
      <c r="Q375" s="88"/>
      <c r="R375" s="3">
        <f>IFERROR(VLOOKUP(TablaEnero[[#This Row],[BARRIO]],SECTOR!$A:$B,2,0),"")</f>
      </c>
      <c r="S375" s="89"/>
      <c r="T375" s="90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6"/>
      <c r="AZ375" s="120">
        <f>COUNTIF(U375:AY375,"A")</f>
      </c>
      <c r="BA375" s="121">
        <f>COUNTIF(U375:AY375,"F")</f>
      </c>
      <c r="BB375" s="119">
        <f>COUNTIF(U375:AY375,"E")</f>
      </c>
    </row>
    <row r="376" spans="1:54" x14ac:dyDescent="0.2">
      <c r="A376" s="84"/>
      <c r="B376" s="85"/>
      <c r="C376" s="85"/>
      <c r="D376" s="85"/>
      <c r="E376" s="86"/>
      <c r="F376" s="16">
        <f>IF(E376="","",DATEDIF(E376,$I$7,"Y"))</f>
      </c>
      <c r="G376" s="85"/>
      <c r="H376" s="85"/>
      <c r="I376" s="87"/>
      <c r="J376" s="85"/>
      <c r="K376" s="85"/>
      <c r="L376" s="10"/>
      <c r="M376" s="10"/>
      <c r="N376" s="10"/>
      <c r="O376" s="10"/>
      <c r="P376" s="85"/>
      <c r="Q376" s="88"/>
      <c r="R376" s="3">
        <f>IFERROR(VLOOKUP(TablaEnero[[#This Row],[BARRIO]],SECTOR!$A:$B,2,0),"")</f>
      </c>
      <c r="S376" s="89"/>
      <c r="T376" s="90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6"/>
      <c r="AZ376" s="120">
        <f>COUNTIF(U376:AY376,"A")</f>
      </c>
      <c r="BA376" s="121">
        <f>COUNTIF(U376:AY376,"F")</f>
      </c>
      <c r="BB376" s="119">
        <f>COUNTIF(U376:AY376,"E")</f>
      </c>
    </row>
    <row r="377" spans="1:54" x14ac:dyDescent="0.2">
      <c r="A377" s="84"/>
      <c r="B377" s="85"/>
      <c r="C377" s="85"/>
      <c r="D377" s="85"/>
      <c r="E377" s="86"/>
      <c r="F377" s="16">
        <f>IF(E377="","",DATEDIF(E377,$I$7,"Y"))</f>
      </c>
      <c r="G377" s="85"/>
      <c r="H377" s="85"/>
      <c r="I377" s="87"/>
      <c r="J377" s="85"/>
      <c r="K377" s="85"/>
      <c r="L377" s="10"/>
      <c r="M377" s="10"/>
      <c r="N377" s="10"/>
      <c r="O377" s="10"/>
      <c r="P377" s="85"/>
      <c r="Q377" s="88"/>
      <c r="R377" s="3">
        <f>IFERROR(VLOOKUP(TablaEnero[[#This Row],[BARRIO]],SECTOR!$A:$B,2,0),"")</f>
      </c>
      <c r="S377" s="89"/>
      <c r="T377" s="90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6"/>
      <c r="AZ377" s="120">
        <f>COUNTIF(U377:AY377,"A")</f>
      </c>
      <c r="BA377" s="121">
        <f>COUNTIF(U377:AY377,"F")</f>
      </c>
      <c r="BB377" s="119">
        <f>COUNTIF(U377:AY377,"E")</f>
      </c>
    </row>
    <row r="378" spans="1:54" x14ac:dyDescent="0.2">
      <c r="A378" s="84"/>
      <c r="B378" s="85"/>
      <c r="C378" s="85"/>
      <c r="D378" s="85"/>
      <c r="E378" s="86"/>
      <c r="F378" s="16">
        <f>IF(E378="","",DATEDIF(E378,$I$7,"Y"))</f>
      </c>
      <c r="G378" s="85"/>
      <c r="H378" s="85"/>
      <c r="I378" s="87"/>
      <c r="J378" s="85"/>
      <c r="K378" s="85"/>
      <c r="L378" s="10"/>
      <c r="M378" s="10"/>
      <c r="N378" s="10"/>
      <c r="O378" s="10"/>
      <c r="P378" s="85"/>
      <c r="Q378" s="88"/>
      <c r="R378" s="3">
        <f>IFERROR(VLOOKUP(TablaEnero[[#This Row],[BARRIO]],SECTOR!$A:$B,2,0),"")</f>
      </c>
      <c r="S378" s="89"/>
      <c r="T378" s="90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6"/>
      <c r="AZ378" s="120">
        <f>COUNTIF(U378:AY378,"A")</f>
      </c>
      <c r="BA378" s="121">
        <f>COUNTIF(U378:AY378,"F")</f>
      </c>
      <c r="BB378" s="119">
        <f>COUNTIF(U378:AY378,"E")</f>
      </c>
    </row>
    <row r="379" spans="1:54" x14ac:dyDescent="0.2">
      <c r="A379" s="84"/>
      <c r="B379" s="85"/>
      <c r="C379" s="85"/>
      <c r="D379" s="85"/>
      <c r="E379" s="86"/>
      <c r="F379" s="16">
        <f>IF(E379="","",DATEDIF(E379,$I$7,"Y"))</f>
      </c>
      <c r="G379" s="85"/>
      <c r="H379" s="85"/>
      <c r="I379" s="87"/>
      <c r="J379" s="85"/>
      <c r="K379" s="85"/>
      <c r="L379" s="10"/>
      <c r="M379" s="10"/>
      <c r="N379" s="10"/>
      <c r="O379" s="10"/>
      <c r="P379" s="85"/>
      <c r="Q379" s="88"/>
      <c r="R379" s="3">
        <f>IFERROR(VLOOKUP(TablaEnero[[#This Row],[BARRIO]],SECTOR!$A:$B,2,0),"")</f>
      </c>
      <c r="S379" s="89"/>
      <c r="T379" s="90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6"/>
      <c r="AZ379" s="120">
        <f>COUNTIF(U379:AY379,"A")</f>
      </c>
      <c r="BA379" s="121">
        <f>COUNTIF(U379:AY379,"F")</f>
      </c>
      <c r="BB379" s="119">
        <f>COUNTIF(U379:AY379,"E")</f>
      </c>
    </row>
    <row r="380" spans="1:54" x14ac:dyDescent="0.2">
      <c r="A380" s="84"/>
      <c r="B380" s="85"/>
      <c r="C380" s="85"/>
      <c r="D380" s="85"/>
      <c r="E380" s="86"/>
      <c r="F380" s="16">
        <f>IF(E380="","",DATEDIF(E380,$I$7,"Y"))</f>
      </c>
      <c r="G380" s="85"/>
      <c r="H380" s="85"/>
      <c r="I380" s="87"/>
      <c r="J380" s="85"/>
      <c r="K380" s="85"/>
      <c r="L380" s="10"/>
      <c r="M380" s="10"/>
      <c r="N380" s="10"/>
      <c r="O380" s="10"/>
      <c r="P380" s="85"/>
      <c r="Q380" s="88"/>
      <c r="R380" s="3">
        <f>IFERROR(VLOOKUP(TablaEnero[[#This Row],[BARRIO]],SECTOR!$A:$B,2,0),"")</f>
      </c>
      <c r="S380" s="89"/>
      <c r="T380" s="90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6"/>
      <c r="AZ380" s="120">
        <f>COUNTIF(U380:AY380,"A")</f>
      </c>
      <c r="BA380" s="121">
        <f>COUNTIF(U380:AY380,"F")</f>
      </c>
      <c r="BB380" s="119">
        <f>COUNTIF(U380:AY380,"E")</f>
      </c>
    </row>
    <row r="381" spans="1:54" x14ac:dyDescent="0.2">
      <c r="A381" s="84"/>
      <c r="B381" s="85"/>
      <c r="C381" s="85"/>
      <c r="D381" s="85"/>
      <c r="E381" s="86"/>
      <c r="F381" s="16">
        <f>IF(E381="","",DATEDIF(E381,$I$7,"Y"))</f>
      </c>
      <c r="G381" s="85"/>
      <c r="H381" s="85"/>
      <c r="I381" s="87"/>
      <c r="J381" s="85"/>
      <c r="K381" s="85"/>
      <c r="L381" s="10"/>
      <c r="M381" s="10"/>
      <c r="N381" s="10"/>
      <c r="O381" s="10"/>
      <c r="P381" s="85"/>
      <c r="Q381" s="88"/>
      <c r="R381" s="3">
        <f>IFERROR(VLOOKUP(TablaEnero[[#This Row],[BARRIO]],SECTOR!$A:$B,2,0),"")</f>
      </c>
      <c r="S381" s="89"/>
      <c r="T381" s="90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6"/>
      <c r="AZ381" s="120">
        <f>COUNTIF(U381:AY381,"A")</f>
      </c>
      <c r="BA381" s="121">
        <f>COUNTIF(U381:AY381,"F")</f>
      </c>
      <c r="BB381" s="119">
        <f>COUNTIF(U381:AY381,"E")</f>
      </c>
    </row>
    <row r="382" spans="1:54" x14ac:dyDescent="0.2">
      <c r="A382" s="84"/>
      <c r="B382" s="85"/>
      <c r="C382" s="85"/>
      <c r="D382" s="85"/>
      <c r="E382" s="86"/>
      <c r="F382" s="16">
        <f>IF(E382="","",DATEDIF(E382,$I$7,"Y"))</f>
      </c>
      <c r="G382" s="85"/>
      <c r="H382" s="85"/>
      <c r="I382" s="87"/>
      <c r="J382" s="85"/>
      <c r="K382" s="85"/>
      <c r="L382" s="10"/>
      <c r="M382" s="10"/>
      <c r="N382" s="10"/>
      <c r="O382" s="10"/>
      <c r="P382" s="85"/>
      <c r="Q382" s="88"/>
      <c r="R382" s="3">
        <f>IFERROR(VLOOKUP(TablaEnero[[#This Row],[BARRIO]],SECTOR!$A:$B,2,0),"")</f>
      </c>
      <c r="S382" s="89"/>
      <c r="T382" s="90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6"/>
      <c r="AZ382" s="120">
        <f>COUNTIF(U382:AY382,"A")</f>
      </c>
      <c r="BA382" s="121">
        <f>COUNTIF(U382:AY382,"F")</f>
      </c>
      <c r="BB382" s="119">
        <f>COUNTIF(U382:AY382,"E")</f>
      </c>
    </row>
    <row r="383" spans="1:54" x14ac:dyDescent="0.2">
      <c r="A383" s="84"/>
      <c r="B383" s="85"/>
      <c r="C383" s="85"/>
      <c r="D383" s="85"/>
      <c r="E383" s="86"/>
      <c r="F383" s="16">
        <f>IF(E383="","",DATEDIF(E383,$I$7,"Y"))</f>
      </c>
      <c r="G383" s="85"/>
      <c r="H383" s="85"/>
      <c r="I383" s="87"/>
      <c r="J383" s="85"/>
      <c r="K383" s="85"/>
      <c r="L383" s="10"/>
      <c r="M383" s="10"/>
      <c r="N383" s="10"/>
      <c r="O383" s="10"/>
      <c r="P383" s="85"/>
      <c r="Q383" s="88"/>
      <c r="R383" s="3">
        <f>IFERROR(VLOOKUP(TablaEnero[[#This Row],[BARRIO]],SECTOR!$A:$B,2,0),"")</f>
      </c>
      <c r="S383" s="89"/>
      <c r="T383" s="90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6"/>
      <c r="AZ383" s="120">
        <f>COUNTIF(U383:AY383,"A")</f>
      </c>
      <c r="BA383" s="121">
        <f>COUNTIF(U383:AY383,"F")</f>
      </c>
      <c r="BB383" s="119">
        <f>COUNTIF(U383:AY383,"E")</f>
      </c>
    </row>
    <row r="384" spans="1:54" x14ac:dyDescent="0.2">
      <c r="A384" s="84"/>
      <c r="B384" s="85"/>
      <c r="C384" s="85"/>
      <c r="D384" s="85"/>
      <c r="E384" s="86"/>
      <c r="F384" s="16">
        <f>IF(E384="","",DATEDIF(E384,$I$7,"Y"))</f>
      </c>
      <c r="G384" s="85"/>
      <c r="H384" s="85"/>
      <c r="I384" s="87"/>
      <c r="J384" s="85"/>
      <c r="K384" s="85"/>
      <c r="L384" s="10"/>
      <c r="M384" s="10"/>
      <c r="N384" s="10"/>
      <c r="O384" s="10"/>
      <c r="P384" s="85"/>
      <c r="Q384" s="88"/>
      <c r="R384" s="3">
        <f>IFERROR(VLOOKUP(TablaEnero[[#This Row],[BARRIO]],SECTOR!$A:$B,2,0),"")</f>
      </c>
      <c r="S384" s="89"/>
      <c r="T384" s="90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6"/>
      <c r="AZ384" s="120">
        <f>COUNTIF(U384:AY384,"A")</f>
      </c>
      <c r="BA384" s="121">
        <f>COUNTIF(U384:AY384,"F")</f>
      </c>
      <c r="BB384" s="119">
        <f>COUNTIF(U384:AY384,"E")</f>
      </c>
    </row>
    <row r="385" spans="1:54" x14ac:dyDescent="0.2">
      <c r="A385" s="84"/>
      <c r="B385" s="85"/>
      <c r="C385" s="85"/>
      <c r="D385" s="85"/>
      <c r="E385" s="86"/>
      <c r="F385" s="16">
        <f>IF(E385="","",DATEDIF(E385,$I$7,"Y"))</f>
      </c>
      <c r="G385" s="85"/>
      <c r="H385" s="85"/>
      <c r="I385" s="87"/>
      <c r="J385" s="85"/>
      <c r="K385" s="85"/>
      <c r="L385" s="10"/>
      <c r="M385" s="10"/>
      <c r="N385" s="10"/>
      <c r="O385" s="10"/>
      <c r="P385" s="85"/>
      <c r="Q385" s="88"/>
      <c r="R385" s="3">
        <f>IFERROR(VLOOKUP(TablaEnero[[#This Row],[BARRIO]],SECTOR!$A:$B,2,0),"")</f>
      </c>
      <c r="S385" s="89"/>
      <c r="T385" s="90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6"/>
      <c r="AZ385" s="120">
        <f>COUNTIF(U385:AY385,"A")</f>
      </c>
      <c r="BA385" s="121">
        <f>COUNTIF(U385:AY385,"F")</f>
      </c>
      <c r="BB385" s="119">
        <f>COUNTIF(U385:AY385,"E")</f>
      </c>
    </row>
    <row r="386" spans="1:54" x14ac:dyDescent="0.2">
      <c r="A386" s="84"/>
      <c r="B386" s="85"/>
      <c r="C386" s="85"/>
      <c r="D386" s="85"/>
      <c r="E386" s="86"/>
      <c r="F386" s="16">
        <f>IF(E386="","",DATEDIF(E386,$I$7,"Y"))</f>
      </c>
      <c r="G386" s="85"/>
      <c r="H386" s="85"/>
      <c r="I386" s="87"/>
      <c r="J386" s="85"/>
      <c r="K386" s="85"/>
      <c r="L386" s="10"/>
      <c r="M386" s="10"/>
      <c r="N386" s="10"/>
      <c r="O386" s="10"/>
      <c r="P386" s="85"/>
      <c r="Q386" s="88"/>
      <c r="R386" s="3">
        <f>IFERROR(VLOOKUP(TablaEnero[[#This Row],[BARRIO]],SECTOR!$A:$B,2,0),"")</f>
      </c>
      <c r="S386" s="89"/>
      <c r="T386" s="90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6"/>
      <c r="AZ386" s="120">
        <f>COUNTIF(U386:AY386,"A")</f>
      </c>
      <c r="BA386" s="121">
        <f>COUNTIF(U386:AY386,"F")</f>
      </c>
      <c r="BB386" s="119">
        <f>COUNTIF(U386:AY386,"E")</f>
      </c>
    </row>
    <row r="387" spans="1:54" x14ac:dyDescent="0.2">
      <c r="A387" s="84"/>
      <c r="B387" s="85"/>
      <c r="C387" s="85"/>
      <c r="D387" s="85"/>
      <c r="E387" s="86"/>
      <c r="F387" s="16">
        <f>IF(E387="","",DATEDIF(E387,$I$7,"Y"))</f>
      </c>
      <c r="G387" s="85"/>
      <c r="H387" s="85"/>
      <c r="I387" s="87"/>
      <c r="J387" s="85"/>
      <c r="K387" s="85"/>
      <c r="L387" s="10"/>
      <c r="M387" s="10"/>
      <c r="N387" s="10"/>
      <c r="O387" s="10"/>
      <c r="P387" s="85"/>
      <c r="Q387" s="88"/>
      <c r="R387" s="3">
        <f>IFERROR(VLOOKUP(TablaEnero[[#This Row],[BARRIO]],SECTOR!$A:$B,2,0),"")</f>
      </c>
      <c r="S387" s="89"/>
      <c r="T387" s="90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6"/>
      <c r="AZ387" s="120">
        <f>COUNTIF(U387:AY387,"A")</f>
      </c>
      <c r="BA387" s="121">
        <f>COUNTIF(U387:AY387,"F")</f>
      </c>
      <c r="BB387" s="119">
        <f>COUNTIF(U387:AY387,"E")</f>
      </c>
    </row>
    <row r="388" spans="1:54" x14ac:dyDescent="0.2">
      <c r="A388" s="84"/>
      <c r="B388" s="85"/>
      <c r="C388" s="85"/>
      <c r="D388" s="85"/>
      <c r="E388" s="86"/>
      <c r="F388" s="16">
        <f>IF(E388="","",DATEDIF(E388,$I$7,"Y"))</f>
      </c>
      <c r="G388" s="85"/>
      <c r="H388" s="85"/>
      <c r="I388" s="87"/>
      <c r="J388" s="85"/>
      <c r="K388" s="85"/>
      <c r="L388" s="10"/>
      <c r="M388" s="10"/>
      <c r="N388" s="10"/>
      <c r="O388" s="10"/>
      <c r="P388" s="85"/>
      <c r="Q388" s="88"/>
      <c r="R388" s="3">
        <f>IFERROR(VLOOKUP(TablaEnero[[#This Row],[BARRIO]],SECTOR!$A:$B,2,0),"")</f>
      </c>
      <c r="S388" s="89"/>
      <c r="T388" s="90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6"/>
      <c r="AZ388" s="120">
        <f>COUNTIF(U388:AY388,"A")</f>
      </c>
      <c r="BA388" s="121">
        <f>COUNTIF(U388:AY388,"F")</f>
      </c>
      <c r="BB388" s="119">
        <f>COUNTIF(U388:AY388,"E")</f>
      </c>
    </row>
    <row r="389" spans="1:54" x14ac:dyDescent="0.2">
      <c r="A389" s="84"/>
      <c r="B389" s="85"/>
      <c r="C389" s="85"/>
      <c r="D389" s="85"/>
      <c r="E389" s="86"/>
      <c r="F389" s="16">
        <f>IF(E389="","",DATEDIF(E389,$I$7,"Y"))</f>
      </c>
      <c r="G389" s="85"/>
      <c r="H389" s="85"/>
      <c r="I389" s="87"/>
      <c r="J389" s="85"/>
      <c r="K389" s="85"/>
      <c r="L389" s="10"/>
      <c r="M389" s="10"/>
      <c r="N389" s="10"/>
      <c r="O389" s="10"/>
      <c r="P389" s="85"/>
      <c r="Q389" s="88"/>
      <c r="R389" s="3">
        <f>IFERROR(VLOOKUP(TablaEnero[[#This Row],[BARRIO]],SECTOR!$A:$B,2,0),"")</f>
      </c>
      <c r="S389" s="89"/>
      <c r="T389" s="90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6"/>
      <c r="AZ389" s="120">
        <f>COUNTIF(U389:AY389,"A")</f>
      </c>
      <c r="BA389" s="121">
        <f>COUNTIF(U389:AY389,"F")</f>
      </c>
      <c r="BB389" s="119">
        <f>COUNTIF(U389:AY389,"E")</f>
      </c>
    </row>
    <row r="390" spans="1:54" x14ac:dyDescent="0.2">
      <c r="A390" s="84"/>
      <c r="B390" s="85"/>
      <c r="C390" s="85"/>
      <c r="D390" s="85"/>
      <c r="E390" s="86"/>
      <c r="F390" s="16">
        <f>IF(E390="","",DATEDIF(E390,$I$7,"Y"))</f>
      </c>
      <c r="G390" s="85"/>
      <c r="H390" s="85"/>
      <c r="I390" s="87"/>
      <c r="J390" s="85"/>
      <c r="K390" s="85"/>
      <c r="L390" s="10"/>
      <c r="M390" s="10"/>
      <c r="N390" s="10"/>
      <c r="O390" s="10"/>
      <c r="P390" s="85"/>
      <c r="Q390" s="88"/>
      <c r="R390" s="3">
        <f>IFERROR(VLOOKUP(TablaEnero[[#This Row],[BARRIO]],SECTOR!$A:$B,2,0),"")</f>
      </c>
      <c r="S390" s="89"/>
      <c r="T390" s="90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6"/>
      <c r="AZ390" s="120">
        <f>COUNTIF(U390:AY390,"A")</f>
      </c>
      <c r="BA390" s="121">
        <f>COUNTIF(U390:AY390,"F")</f>
      </c>
      <c r="BB390" s="119">
        <f>COUNTIF(U390:AY390,"E")</f>
      </c>
    </row>
    <row r="391" spans="1:54" x14ac:dyDescent="0.2">
      <c r="A391" s="84"/>
      <c r="B391" s="85"/>
      <c r="C391" s="85"/>
      <c r="D391" s="85"/>
      <c r="E391" s="86"/>
      <c r="F391" s="16">
        <f>IF(E391="","",DATEDIF(E391,$I$7,"Y"))</f>
      </c>
      <c r="G391" s="85"/>
      <c r="H391" s="85"/>
      <c r="I391" s="87"/>
      <c r="J391" s="85"/>
      <c r="K391" s="85"/>
      <c r="L391" s="10"/>
      <c r="M391" s="10"/>
      <c r="N391" s="10"/>
      <c r="O391" s="10"/>
      <c r="P391" s="85"/>
      <c r="Q391" s="88"/>
      <c r="R391" s="3">
        <f>IFERROR(VLOOKUP(TablaEnero[[#This Row],[BARRIO]],SECTOR!$A:$B,2,0),"")</f>
      </c>
      <c r="S391" s="89"/>
      <c r="T391" s="90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6"/>
      <c r="AZ391" s="120">
        <f>COUNTIF(U391:AY391,"A")</f>
      </c>
      <c r="BA391" s="121">
        <f>COUNTIF(U391:AY391,"F")</f>
      </c>
      <c r="BB391" s="119">
        <f>COUNTIF(U391:AY391,"E")</f>
      </c>
    </row>
    <row r="392" spans="1:54" x14ac:dyDescent="0.2">
      <c r="A392" s="84"/>
      <c r="B392" s="85"/>
      <c r="C392" s="85"/>
      <c r="D392" s="85"/>
      <c r="E392" s="86"/>
      <c r="F392" s="16">
        <f>IF(E392="","",DATEDIF(E392,$I$7,"Y"))</f>
      </c>
      <c r="G392" s="85"/>
      <c r="H392" s="85"/>
      <c r="I392" s="87"/>
      <c r="J392" s="85"/>
      <c r="K392" s="85"/>
      <c r="L392" s="10"/>
      <c r="M392" s="10"/>
      <c r="N392" s="10"/>
      <c r="O392" s="10"/>
      <c r="P392" s="85"/>
      <c r="Q392" s="88"/>
      <c r="R392" s="3">
        <f>IFERROR(VLOOKUP(TablaEnero[[#This Row],[BARRIO]],SECTOR!$A:$B,2,0),"")</f>
      </c>
      <c r="S392" s="89"/>
      <c r="T392" s="90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6"/>
      <c r="AZ392" s="120">
        <f>COUNTIF(U392:AY392,"A")</f>
      </c>
      <c r="BA392" s="121">
        <f>COUNTIF(U392:AY392,"F")</f>
      </c>
      <c r="BB392" s="119">
        <f>COUNTIF(U392:AY392,"E")</f>
      </c>
    </row>
    <row r="393" spans="1:54" x14ac:dyDescent="0.2">
      <c r="A393" s="84"/>
      <c r="B393" s="85"/>
      <c r="C393" s="85"/>
      <c r="D393" s="85"/>
      <c r="E393" s="86"/>
      <c r="F393" s="16">
        <f>IF(E393="","",DATEDIF(E393,$I$7,"Y"))</f>
      </c>
      <c r="G393" s="85"/>
      <c r="H393" s="85"/>
      <c r="I393" s="87"/>
      <c r="J393" s="85"/>
      <c r="K393" s="85"/>
      <c r="L393" s="10"/>
      <c r="M393" s="10"/>
      <c r="N393" s="10"/>
      <c r="O393" s="10"/>
      <c r="P393" s="85"/>
      <c r="Q393" s="88"/>
      <c r="R393" s="3">
        <f>IFERROR(VLOOKUP(TablaEnero[[#This Row],[BARRIO]],SECTOR!$A:$B,2,0),"")</f>
      </c>
      <c r="S393" s="89"/>
      <c r="T393" s="90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6"/>
      <c r="AZ393" s="120">
        <f>COUNTIF(U393:AY393,"A")</f>
      </c>
      <c r="BA393" s="121">
        <f>COUNTIF(U393:AY393,"F")</f>
      </c>
      <c r="BB393" s="119">
        <f>COUNTIF(U393:AY393,"E")</f>
      </c>
    </row>
    <row r="394" spans="1:54" x14ac:dyDescent="0.2">
      <c r="A394" s="84"/>
      <c r="B394" s="85"/>
      <c r="C394" s="85"/>
      <c r="D394" s="85"/>
      <c r="E394" s="86"/>
      <c r="F394" s="16">
        <f>IF(E394="","",DATEDIF(E394,$I$7,"Y"))</f>
      </c>
      <c r="G394" s="85"/>
      <c r="H394" s="85"/>
      <c r="I394" s="87"/>
      <c r="J394" s="85"/>
      <c r="K394" s="85"/>
      <c r="L394" s="10"/>
      <c r="M394" s="10"/>
      <c r="N394" s="10"/>
      <c r="O394" s="10"/>
      <c r="P394" s="85"/>
      <c r="Q394" s="88"/>
      <c r="R394" s="3">
        <f>IFERROR(VLOOKUP(TablaEnero[[#This Row],[BARRIO]],SECTOR!$A:$B,2,0),"")</f>
      </c>
      <c r="S394" s="89"/>
      <c r="T394" s="90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6"/>
      <c r="AZ394" s="120">
        <f>COUNTIF(U394:AY394,"A")</f>
      </c>
      <c r="BA394" s="121">
        <f>COUNTIF(U394:AY394,"F")</f>
      </c>
      <c r="BB394" s="119">
        <f>COUNTIF(U394:AY394,"E")</f>
      </c>
    </row>
    <row r="395" spans="1:54" x14ac:dyDescent="0.2">
      <c r="A395" s="84"/>
      <c r="B395" s="85"/>
      <c r="C395" s="85"/>
      <c r="D395" s="85"/>
      <c r="E395" s="86"/>
      <c r="F395" s="16">
        <f>IF(E395="","",DATEDIF(E395,$I$7,"Y"))</f>
      </c>
      <c r="G395" s="85"/>
      <c r="H395" s="85"/>
      <c r="I395" s="87"/>
      <c r="J395" s="85"/>
      <c r="K395" s="85"/>
      <c r="L395" s="10"/>
      <c r="M395" s="10"/>
      <c r="N395" s="10"/>
      <c r="O395" s="10"/>
      <c r="P395" s="85"/>
      <c r="Q395" s="88"/>
      <c r="R395" s="3">
        <f>IFERROR(VLOOKUP(TablaEnero[[#This Row],[BARRIO]],SECTOR!$A:$B,2,0),"")</f>
      </c>
      <c r="S395" s="89"/>
      <c r="T395" s="90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6"/>
      <c r="AZ395" s="120">
        <f>COUNTIF(U395:AY395,"A")</f>
      </c>
      <c r="BA395" s="121">
        <f>COUNTIF(U395:AY395,"F")</f>
      </c>
      <c r="BB395" s="119">
        <f>COUNTIF(U395:AY395,"E")</f>
      </c>
    </row>
    <row r="396" spans="1:54" x14ac:dyDescent="0.2">
      <c r="A396" s="84"/>
      <c r="B396" s="85"/>
      <c r="C396" s="85"/>
      <c r="D396" s="85"/>
      <c r="E396" s="86"/>
      <c r="F396" s="16">
        <f>IF(E396="","",DATEDIF(E396,$I$7,"Y"))</f>
      </c>
      <c r="G396" s="85"/>
      <c r="H396" s="85"/>
      <c r="I396" s="87"/>
      <c r="J396" s="85"/>
      <c r="K396" s="85"/>
      <c r="L396" s="10"/>
      <c r="M396" s="10"/>
      <c r="N396" s="10"/>
      <c r="O396" s="10"/>
      <c r="P396" s="85"/>
      <c r="Q396" s="88"/>
      <c r="R396" s="3">
        <f>IFERROR(VLOOKUP(TablaEnero[[#This Row],[BARRIO]],SECTOR!$A:$B,2,0),"")</f>
      </c>
      <c r="S396" s="89"/>
      <c r="T396" s="90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6"/>
      <c r="AZ396" s="120">
        <f>COUNTIF(U396:AY396,"A")</f>
      </c>
      <c r="BA396" s="121">
        <f>COUNTIF(U396:AY396,"F")</f>
      </c>
      <c r="BB396" s="119">
        <f>COUNTIF(U396:AY396,"E")</f>
      </c>
    </row>
    <row r="397" spans="1:54" x14ac:dyDescent="0.2">
      <c r="A397" s="84"/>
      <c r="B397" s="85"/>
      <c r="C397" s="85"/>
      <c r="D397" s="85"/>
      <c r="E397" s="86"/>
      <c r="F397" s="16">
        <f>IF(E397="","",DATEDIF(E397,$I$7,"Y"))</f>
      </c>
      <c r="G397" s="85"/>
      <c r="H397" s="85"/>
      <c r="I397" s="87"/>
      <c r="J397" s="85"/>
      <c r="K397" s="85"/>
      <c r="L397" s="10"/>
      <c r="M397" s="10"/>
      <c r="N397" s="10"/>
      <c r="O397" s="10"/>
      <c r="P397" s="85"/>
      <c r="Q397" s="88"/>
      <c r="R397" s="3">
        <f>IFERROR(VLOOKUP(TablaEnero[[#This Row],[BARRIO]],SECTOR!$A:$B,2,0),"")</f>
      </c>
      <c r="S397" s="89"/>
      <c r="T397" s="90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6"/>
      <c r="AZ397" s="120">
        <f>COUNTIF(U397:AY397,"A")</f>
      </c>
      <c r="BA397" s="121">
        <f>COUNTIF(U397:AY397,"F")</f>
      </c>
      <c r="BB397" s="119">
        <f>COUNTIF(U397:AY397,"E")</f>
      </c>
    </row>
    <row r="398" spans="1:54" x14ac:dyDescent="0.2">
      <c r="A398" s="84"/>
      <c r="B398" s="85"/>
      <c r="C398" s="85"/>
      <c r="D398" s="85"/>
      <c r="E398" s="86"/>
      <c r="F398" s="16">
        <f>IF(E398="","",DATEDIF(E398,$I$7,"Y"))</f>
      </c>
      <c r="G398" s="85"/>
      <c r="H398" s="85"/>
      <c r="I398" s="87"/>
      <c r="J398" s="85"/>
      <c r="K398" s="85"/>
      <c r="L398" s="10"/>
      <c r="M398" s="10"/>
      <c r="N398" s="10"/>
      <c r="O398" s="10"/>
      <c r="P398" s="85"/>
      <c r="Q398" s="88"/>
      <c r="R398" s="3">
        <f>IFERROR(VLOOKUP(TablaEnero[[#This Row],[BARRIO]],SECTOR!$A:$B,2,0),"")</f>
      </c>
      <c r="S398" s="89"/>
      <c r="T398" s="90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6"/>
      <c r="AZ398" s="120">
        <f>COUNTIF(U398:AY398,"A")</f>
      </c>
      <c r="BA398" s="121">
        <f>COUNTIF(U398:AY398,"F")</f>
      </c>
      <c r="BB398" s="119">
        <f>COUNTIF(U398:AY398,"E")</f>
      </c>
    </row>
    <row r="399" spans="1:54" x14ac:dyDescent="0.2">
      <c r="A399" s="84"/>
      <c r="B399" s="85"/>
      <c r="C399" s="85"/>
      <c r="D399" s="85"/>
      <c r="E399" s="86"/>
      <c r="F399" s="16">
        <f>IF(E399="","",DATEDIF(E399,$I$7,"Y"))</f>
      </c>
      <c r="G399" s="85"/>
      <c r="H399" s="85"/>
      <c r="I399" s="87"/>
      <c r="J399" s="85"/>
      <c r="K399" s="85"/>
      <c r="L399" s="10"/>
      <c r="M399" s="10"/>
      <c r="N399" s="10"/>
      <c r="O399" s="10"/>
      <c r="P399" s="85"/>
      <c r="Q399" s="88"/>
      <c r="R399" s="3">
        <f>IFERROR(VLOOKUP(TablaEnero[[#This Row],[BARRIO]],SECTOR!$A:$B,2,0),"")</f>
      </c>
      <c r="S399" s="89"/>
      <c r="T399" s="90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6"/>
      <c r="AZ399" s="120">
        <f>COUNTIF(U399:AY399,"A")</f>
      </c>
      <c r="BA399" s="121">
        <f>COUNTIF(U399:AY399,"F")</f>
      </c>
      <c r="BB399" s="119">
        <f>COUNTIF(U399:AY399,"E")</f>
      </c>
    </row>
    <row r="400" spans="1:54" x14ac:dyDescent="0.2">
      <c r="A400" s="84"/>
      <c r="B400" s="85"/>
      <c r="C400" s="85"/>
      <c r="D400" s="85"/>
      <c r="E400" s="86"/>
      <c r="F400" s="16">
        <f>IF(E400="","",DATEDIF(E400,$I$7,"Y"))</f>
      </c>
      <c r="G400" s="85"/>
      <c r="H400" s="85"/>
      <c r="I400" s="87"/>
      <c r="J400" s="85"/>
      <c r="K400" s="85"/>
      <c r="L400" s="10"/>
      <c r="M400" s="10"/>
      <c r="N400" s="10"/>
      <c r="O400" s="10"/>
      <c r="P400" s="85"/>
      <c r="Q400" s="88"/>
      <c r="R400" s="3">
        <f>IFERROR(VLOOKUP(TablaEnero[[#This Row],[BARRIO]],SECTOR!$A:$B,2,0),"")</f>
      </c>
      <c r="S400" s="89"/>
      <c r="T400" s="90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6"/>
      <c r="AZ400" s="120">
        <f>COUNTIF(U400:AY400,"A")</f>
      </c>
      <c r="BA400" s="121">
        <f>COUNTIF(U400:AY400,"F")</f>
      </c>
      <c r="BB400" s="119">
        <f>COUNTIF(U400:AY400,"E")</f>
      </c>
    </row>
    <row r="401" spans="1:54" x14ac:dyDescent="0.2">
      <c r="A401" s="84"/>
      <c r="B401" s="85"/>
      <c r="C401" s="85"/>
      <c r="D401" s="85"/>
      <c r="E401" s="86"/>
      <c r="F401" s="16">
        <f>IF(E401="","",DATEDIF(E401,$I$7,"Y"))</f>
      </c>
      <c r="G401" s="85"/>
      <c r="H401" s="85"/>
      <c r="I401" s="87"/>
      <c r="J401" s="85"/>
      <c r="K401" s="85"/>
      <c r="L401" s="10"/>
      <c r="M401" s="10"/>
      <c r="N401" s="10"/>
      <c r="O401" s="10"/>
      <c r="P401" s="85"/>
      <c r="Q401" s="88"/>
      <c r="R401" s="3">
        <f>IFERROR(VLOOKUP(TablaEnero[[#This Row],[BARRIO]],SECTOR!$A:$B,2,0),"")</f>
      </c>
      <c r="S401" s="89"/>
      <c r="T401" s="90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6"/>
      <c r="AZ401" s="120">
        <f>COUNTIF(U401:AY401,"A")</f>
      </c>
      <c r="BA401" s="121">
        <f>COUNTIF(U401:AY401,"F")</f>
      </c>
      <c r="BB401" s="119">
        <f>COUNTIF(U401:AY401,"E")</f>
      </c>
    </row>
    <row r="402" spans="1:54" x14ac:dyDescent="0.2">
      <c r="A402" s="84"/>
      <c r="B402" s="85"/>
      <c r="C402" s="85"/>
      <c r="D402" s="85"/>
      <c r="E402" s="86"/>
      <c r="F402" s="16">
        <f>IF(E402="","",DATEDIF(E402,$I$7,"Y"))</f>
      </c>
      <c r="G402" s="85"/>
      <c r="H402" s="85"/>
      <c r="I402" s="87"/>
      <c r="J402" s="85"/>
      <c r="K402" s="85"/>
      <c r="L402" s="10"/>
      <c r="M402" s="10"/>
      <c r="N402" s="10"/>
      <c r="O402" s="10"/>
      <c r="P402" s="85"/>
      <c r="Q402" s="88"/>
      <c r="R402" s="3">
        <f>IFERROR(VLOOKUP(TablaEnero[[#This Row],[BARRIO]],SECTOR!$A:$B,2,0),"")</f>
      </c>
      <c r="S402" s="89"/>
      <c r="T402" s="90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6"/>
      <c r="AZ402" s="120">
        <f>COUNTIF(U402:AY402,"A")</f>
      </c>
      <c r="BA402" s="121">
        <f>COUNTIF(U402:AY402,"F")</f>
      </c>
      <c r="BB402" s="119">
        <f>COUNTIF(U402:AY402,"E")</f>
      </c>
    </row>
    <row r="403" spans="1:54" x14ac:dyDescent="0.2">
      <c r="A403" s="84"/>
      <c r="B403" s="85"/>
      <c r="C403" s="85"/>
      <c r="D403" s="85"/>
      <c r="E403" s="86"/>
      <c r="F403" s="16">
        <f>IF(E403="","",DATEDIF(E403,$I$7,"Y"))</f>
      </c>
      <c r="G403" s="85"/>
      <c r="H403" s="85"/>
      <c r="I403" s="87"/>
      <c r="J403" s="85"/>
      <c r="K403" s="85"/>
      <c r="L403" s="10"/>
      <c r="M403" s="10"/>
      <c r="N403" s="10"/>
      <c r="O403" s="10"/>
      <c r="P403" s="85"/>
      <c r="Q403" s="88"/>
      <c r="R403" s="3">
        <f>IFERROR(VLOOKUP(TablaEnero[[#This Row],[BARRIO]],SECTOR!$A:$B,2,0),"")</f>
      </c>
      <c r="S403" s="89"/>
      <c r="T403" s="90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6"/>
      <c r="AZ403" s="120">
        <f>COUNTIF(U403:AY403,"A")</f>
      </c>
      <c r="BA403" s="121">
        <f>COUNTIF(U403:AY403,"F")</f>
      </c>
      <c r="BB403" s="119">
        <f>COUNTIF(U403:AY403,"E")</f>
      </c>
    </row>
    <row r="404" spans="1:54" x14ac:dyDescent="0.2">
      <c r="A404" s="84"/>
      <c r="B404" s="85"/>
      <c r="C404" s="85"/>
      <c r="D404" s="85"/>
      <c r="E404" s="86"/>
      <c r="F404" s="16">
        <f>IF(E404="","",DATEDIF(E404,$I$7,"Y"))</f>
      </c>
      <c r="G404" s="85"/>
      <c r="H404" s="85"/>
      <c r="I404" s="87"/>
      <c r="J404" s="85"/>
      <c r="K404" s="85"/>
      <c r="L404" s="10"/>
      <c r="M404" s="10"/>
      <c r="N404" s="10"/>
      <c r="O404" s="10"/>
      <c r="P404" s="85"/>
      <c r="Q404" s="88"/>
      <c r="R404" s="3">
        <f>IFERROR(VLOOKUP(TablaEnero[[#This Row],[BARRIO]],SECTOR!$A:$B,2,0),"")</f>
      </c>
      <c r="S404" s="89"/>
      <c r="T404" s="90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6"/>
      <c r="AZ404" s="120">
        <f>COUNTIF(U404:AY404,"A")</f>
      </c>
      <c r="BA404" s="121">
        <f>COUNTIF(U404:AY404,"F")</f>
      </c>
      <c r="BB404" s="119">
        <f>COUNTIF(U404:AY404,"E")</f>
      </c>
    </row>
    <row r="405" spans="1:54" x14ac:dyDescent="0.2">
      <c r="A405" s="84"/>
      <c r="B405" s="85"/>
      <c r="C405" s="85"/>
      <c r="D405" s="85"/>
      <c r="E405" s="86"/>
      <c r="F405" s="16">
        <f>IF(E405="","",DATEDIF(E405,$I$7,"Y"))</f>
      </c>
      <c r="G405" s="85"/>
      <c r="H405" s="85"/>
      <c r="I405" s="87"/>
      <c r="J405" s="85"/>
      <c r="K405" s="85"/>
      <c r="L405" s="10"/>
      <c r="M405" s="10"/>
      <c r="N405" s="10"/>
      <c r="O405" s="10"/>
      <c r="P405" s="85"/>
      <c r="Q405" s="88"/>
      <c r="R405" s="3">
        <f>IFERROR(VLOOKUP(TablaEnero[[#This Row],[BARRIO]],SECTOR!$A:$B,2,0),"")</f>
      </c>
      <c r="S405" s="89"/>
      <c r="T405" s="90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6"/>
      <c r="AZ405" s="120">
        <f>COUNTIF(U405:AY405,"A")</f>
      </c>
      <c r="BA405" s="121">
        <f>COUNTIF(U405:AY405,"F")</f>
      </c>
      <c r="BB405" s="119">
        <f>COUNTIF(U405:AY405,"E")</f>
      </c>
    </row>
    <row r="406" spans="1:54" x14ac:dyDescent="0.2">
      <c r="A406" s="84"/>
      <c r="B406" s="85"/>
      <c r="C406" s="85"/>
      <c r="D406" s="85"/>
      <c r="E406" s="86"/>
      <c r="F406" s="16">
        <f>IF(E406="","",DATEDIF(E406,$I$7,"Y"))</f>
      </c>
      <c r="G406" s="85"/>
      <c r="H406" s="85"/>
      <c r="I406" s="87"/>
      <c r="J406" s="85"/>
      <c r="K406" s="85"/>
      <c r="L406" s="10"/>
      <c r="M406" s="10"/>
      <c r="N406" s="10"/>
      <c r="O406" s="10"/>
      <c r="P406" s="85"/>
      <c r="Q406" s="88"/>
      <c r="R406" s="3">
        <f>IFERROR(VLOOKUP(TablaEnero[[#This Row],[BARRIO]],SECTOR!$A:$B,2,0),"")</f>
      </c>
      <c r="S406" s="89"/>
      <c r="T406" s="90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6"/>
      <c r="AZ406" s="120">
        <f>COUNTIF(U406:AY406,"A")</f>
      </c>
      <c r="BA406" s="121">
        <f>COUNTIF(U406:AY406,"F")</f>
      </c>
      <c r="BB406" s="119">
        <f>COUNTIF(U406:AY406,"E")</f>
      </c>
    </row>
    <row r="407" spans="1:54" x14ac:dyDescent="0.2">
      <c r="A407" s="84"/>
      <c r="B407" s="85"/>
      <c r="C407" s="85"/>
      <c r="D407" s="85"/>
      <c r="E407" s="86"/>
      <c r="F407" s="16">
        <f>IF(E407="","",DATEDIF(E407,$I$7,"Y"))</f>
      </c>
      <c r="G407" s="85"/>
      <c r="H407" s="85"/>
      <c r="I407" s="87"/>
      <c r="J407" s="85"/>
      <c r="K407" s="85"/>
      <c r="L407" s="10"/>
      <c r="M407" s="10"/>
      <c r="N407" s="10"/>
      <c r="O407" s="10"/>
      <c r="P407" s="85"/>
      <c r="Q407" s="88"/>
      <c r="R407" s="3">
        <f>IFERROR(VLOOKUP(TablaEnero[[#This Row],[BARRIO]],SECTOR!$A:$B,2,0),"")</f>
      </c>
      <c r="S407" s="89"/>
      <c r="T407" s="90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6"/>
      <c r="AZ407" s="120">
        <f>COUNTIF(U407:AY407,"A")</f>
      </c>
      <c r="BA407" s="121">
        <f>COUNTIF(U407:AY407,"F")</f>
      </c>
      <c r="BB407" s="119">
        <f>COUNTIF(U407:AY407,"E")</f>
      </c>
    </row>
    <row r="408" spans="1:54" x14ac:dyDescent="0.2">
      <c r="A408" s="84"/>
      <c r="B408" s="85"/>
      <c r="C408" s="85"/>
      <c r="D408" s="85"/>
      <c r="E408" s="86"/>
      <c r="F408" s="16">
        <f>IF(E408="","",DATEDIF(E408,$I$7,"Y"))</f>
      </c>
      <c r="G408" s="85"/>
      <c r="H408" s="85"/>
      <c r="I408" s="87"/>
      <c r="J408" s="85"/>
      <c r="K408" s="85"/>
      <c r="L408" s="10"/>
      <c r="M408" s="10"/>
      <c r="N408" s="10"/>
      <c r="O408" s="10"/>
      <c r="P408" s="85"/>
      <c r="Q408" s="88"/>
      <c r="R408" s="3">
        <f>IFERROR(VLOOKUP(TablaEnero[[#This Row],[BARRIO]],SECTOR!$A:$B,2,0),"")</f>
      </c>
      <c r="S408" s="89"/>
      <c r="T408" s="90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6"/>
      <c r="AZ408" s="120">
        <f>COUNTIF(U408:AY408,"A")</f>
      </c>
      <c r="BA408" s="121">
        <f>COUNTIF(U408:AY408,"F")</f>
      </c>
      <c r="BB408" s="119">
        <f>COUNTIF(U408:AY408,"E")</f>
      </c>
    </row>
    <row r="409" spans="1:54" x14ac:dyDescent="0.2">
      <c r="A409" s="84"/>
      <c r="B409" s="85"/>
      <c r="C409" s="85"/>
      <c r="D409" s="85"/>
      <c r="E409" s="86"/>
      <c r="F409" s="16">
        <f>IF(E409="","",DATEDIF(E409,$I$7,"Y"))</f>
      </c>
      <c r="G409" s="85"/>
      <c r="H409" s="85"/>
      <c r="I409" s="87"/>
      <c r="J409" s="85"/>
      <c r="K409" s="85"/>
      <c r="L409" s="10"/>
      <c r="M409" s="10"/>
      <c r="N409" s="10"/>
      <c r="O409" s="10"/>
      <c r="P409" s="85"/>
      <c r="Q409" s="88"/>
      <c r="R409" s="3">
        <f>IFERROR(VLOOKUP(TablaEnero[[#This Row],[BARRIO]],SECTOR!$A:$B,2,0),"")</f>
      </c>
      <c r="S409" s="89"/>
      <c r="T409" s="90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6"/>
      <c r="AZ409" s="120">
        <f>COUNTIF(U409:AY409,"A")</f>
      </c>
      <c r="BA409" s="121">
        <f>COUNTIF(U409:AY409,"F")</f>
      </c>
      <c r="BB409" s="119">
        <f>COUNTIF(U409:AY409,"E")</f>
      </c>
    </row>
    <row r="410" spans="1:54" x14ac:dyDescent="0.2">
      <c r="A410" s="84"/>
      <c r="B410" s="85"/>
      <c r="C410" s="85"/>
      <c r="D410" s="85"/>
      <c r="E410" s="86"/>
      <c r="F410" s="16">
        <f>IF(E410="","",DATEDIF(E410,$I$7,"Y"))</f>
      </c>
      <c r="G410" s="85"/>
      <c r="H410" s="85"/>
      <c r="I410" s="87"/>
      <c r="J410" s="85"/>
      <c r="K410" s="85"/>
      <c r="L410" s="10"/>
      <c r="M410" s="10"/>
      <c r="N410" s="10"/>
      <c r="O410" s="10"/>
      <c r="P410" s="85"/>
      <c r="Q410" s="88"/>
      <c r="R410" s="3">
        <f>IFERROR(VLOOKUP(TablaEnero[[#This Row],[BARRIO]],SECTOR!$A:$B,2,0),"")</f>
      </c>
      <c r="S410" s="89"/>
      <c r="T410" s="90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6"/>
      <c r="AZ410" s="120">
        <f>COUNTIF(U410:AY410,"A")</f>
      </c>
      <c r="BA410" s="121">
        <f>COUNTIF(U410:AY410,"F")</f>
      </c>
      <c r="BB410" s="119">
        <f>COUNTIF(U410:AY410,"E")</f>
      </c>
    </row>
    <row r="411" spans="1:54" x14ac:dyDescent="0.2">
      <c r="A411" s="84"/>
      <c r="B411" s="85"/>
      <c r="C411" s="85"/>
      <c r="D411" s="85"/>
      <c r="E411" s="86"/>
      <c r="F411" s="16">
        <f>IF(E411="","",DATEDIF(E411,$I$7,"Y"))</f>
      </c>
      <c r="G411" s="85"/>
      <c r="H411" s="85"/>
      <c r="I411" s="87"/>
      <c r="J411" s="85"/>
      <c r="K411" s="85"/>
      <c r="L411" s="10"/>
      <c r="M411" s="10"/>
      <c r="N411" s="10"/>
      <c r="O411" s="10"/>
      <c r="P411" s="85"/>
      <c r="Q411" s="88"/>
      <c r="R411" s="3">
        <f>IFERROR(VLOOKUP(TablaEnero[[#This Row],[BARRIO]],SECTOR!$A:$B,2,0),"")</f>
      </c>
      <c r="S411" s="89"/>
      <c r="T411" s="90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6"/>
      <c r="AZ411" s="120">
        <f>COUNTIF(U411:AY411,"A")</f>
      </c>
      <c r="BA411" s="121">
        <f>COUNTIF(U411:AY411,"F")</f>
      </c>
      <c r="BB411" s="119">
        <f>COUNTIF(U411:AY411,"E")</f>
      </c>
    </row>
    <row r="412" spans="1:54" x14ac:dyDescent="0.2">
      <c r="A412" s="84"/>
      <c r="B412" s="85"/>
      <c r="C412" s="85"/>
      <c r="D412" s="85"/>
      <c r="E412" s="86"/>
      <c r="F412" s="16">
        <f>IF(E412="","",DATEDIF(E412,$I$7,"Y"))</f>
      </c>
      <c r="G412" s="85"/>
      <c r="H412" s="85"/>
      <c r="I412" s="87"/>
      <c r="J412" s="85"/>
      <c r="K412" s="85"/>
      <c r="L412" s="10"/>
      <c r="M412" s="10"/>
      <c r="N412" s="10"/>
      <c r="O412" s="10"/>
      <c r="P412" s="85"/>
      <c r="Q412" s="88"/>
      <c r="R412" s="3">
        <f>IFERROR(VLOOKUP(TablaEnero[[#This Row],[BARRIO]],SECTOR!$A:$B,2,0),"")</f>
      </c>
      <c r="S412" s="89"/>
      <c r="T412" s="90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6"/>
      <c r="AZ412" s="120">
        <f>COUNTIF(U412:AY412,"A")</f>
      </c>
      <c r="BA412" s="121">
        <f>COUNTIF(U412:AY412,"F")</f>
      </c>
      <c r="BB412" s="119">
        <f>COUNTIF(U412:AY412,"E")</f>
      </c>
    </row>
    <row r="413" spans="1:54" x14ac:dyDescent="0.2">
      <c r="A413" s="84"/>
      <c r="B413" s="85"/>
      <c r="C413" s="85"/>
      <c r="D413" s="85"/>
      <c r="E413" s="86"/>
      <c r="F413" s="16">
        <f>IF(E413="","",DATEDIF(E413,$I$7,"Y"))</f>
      </c>
      <c r="G413" s="85"/>
      <c r="H413" s="85"/>
      <c r="I413" s="87"/>
      <c r="J413" s="85"/>
      <c r="K413" s="85"/>
      <c r="L413" s="10"/>
      <c r="M413" s="10"/>
      <c r="N413" s="10"/>
      <c r="O413" s="10"/>
      <c r="P413" s="85"/>
      <c r="Q413" s="88"/>
      <c r="R413" s="3">
        <f>IFERROR(VLOOKUP(TablaEnero[[#This Row],[BARRIO]],SECTOR!$A:$B,2,0),"")</f>
      </c>
      <c r="S413" s="89"/>
      <c r="T413" s="90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6"/>
      <c r="AZ413" s="120">
        <f>COUNTIF(U413:AY413,"A")</f>
      </c>
      <c r="BA413" s="121">
        <f>COUNTIF(U413:AY413,"F")</f>
      </c>
      <c r="BB413" s="119">
        <f>COUNTIF(U413:AY413,"E")</f>
      </c>
    </row>
    <row r="414" spans="1:54" x14ac:dyDescent="0.2">
      <c r="A414" s="84"/>
      <c r="B414" s="85"/>
      <c r="C414" s="85"/>
      <c r="D414" s="85"/>
      <c r="E414" s="86"/>
      <c r="F414" s="16">
        <f>IF(E414="","",DATEDIF(E414,$I$7,"Y"))</f>
      </c>
      <c r="G414" s="85"/>
      <c r="H414" s="85"/>
      <c r="I414" s="87"/>
      <c r="J414" s="85"/>
      <c r="K414" s="85"/>
      <c r="L414" s="10"/>
      <c r="M414" s="10"/>
      <c r="N414" s="10"/>
      <c r="O414" s="10"/>
      <c r="P414" s="85"/>
      <c r="Q414" s="88"/>
      <c r="R414" s="3">
        <f>IFERROR(VLOOKUP(TablaEnero[[#This Row],[BARRIO]],SECTOR!$A:$B,2,0),"")</f>
      </c>
      <c r="S414" s="89"/>
      <c r="T414" s="90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6"/>
      <c r="AZ414" s="120">
        <f>COUNTIF(U414:AY414,"A")</f>
      </c>
      <c r="BA414" s="121">
        <f>COUNTIF(U414:AY414,"F")</f>
      </c>
      <c r="BB414" s="119">
        <f>COUNTIF(U414:AY414,"E")</f>
      </c>
    </row>
    <row r="415" spans="1:54" x14ac:dyDescent="0.2">
      <c r="A415" s="84"/>
      <c r="B415" s="85"/>
      <c r="C415" s="85"/>
      <c r="D415" s="85"/>
      <c r="E415" s="86"/>
      <c r="F415" s="16">
        <f>IF(E415="","",DATEDIF(E415,$I$7,"Y"))</f>
      </c>
      <c r="G415" s="85"/>
      <c r="H415" s="85"/>
      <c r="I415" s="87"/>
      <c r="J415" s="85"/>
      <c r="K415" s="85"/>
      <c r="L415" s="10"/>
      <c r="M415" s="10"/>
      <c r="N415" s="10"/>
      <c r="O415" s="10"/>
      <c r="P415" s="85"/>
      <c r="Q415" s="88"/>
      <c r="R415" s="3">
        <f>IFERROR(VLOOKUP(TablaEnero[[#This Row],[BARRIO]],SECTOR!$A:$B,2,0),"")</f>
      </c>
      <c r="S415" s="89"/>
      <c r="T415" s="90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6"/>
      <c r="AZ415" s="120">
        <f>COUNTIF(U415:AY415,"A")</f>
      </c>
      <c r="BA415" s="121">
        <f>COUNTIF(U415:AY415,"F")</f>
      </c>
      <c r="BB415" s="119">
        <f>COUNTIF(U415:AY415,"E")</f>
      </c>
    </row>
    <row r="416" spans="1:54" x14ac:dyDescent="0.2">
      <c r="A416" s="84"/>
      <c r="B416" s="85"/>
      <c r="C416" s="85"/>
      <c r="D416" s="85"/>
      <c r="E416" s="86"/>
      <c r="F416" s="16">
        <f>IF(E416="","",DATEDIF(E416,$I$7,"Y"))</f>
      </c>
      <c r="G416" s="85"/>
      <c r="H416" s="85"/>
      <c r="I416" s="87"/>
      <c r="J416" s="85"/>
      <c r="K416" s="85"/>
      <c r="L416" s="10"/>
      <c r="M416" s="10"/>
      <c r="N416" s="10"/>
      <c r="O416" s="10"/>
      <c r="P416" s="85"/>
      <c r="Q416" s="88"/>
      <c r="R416" s="3">
        <f>IFERROR(VLOOKUP(TablaEnero[[#This Row],[BARRIO]],SECTOR!$A:$B,2,0),"")</f>
      </c>
      <c r="S416" s="89"/>
      <c r="T416" s="90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6"/>
      <c r="AZ416" s="120">
        <f>COUNTIF(U416:AY416,"A")</f>
      </c>
      <c r="BA416" s="121">
        <f>COUNTIF(U416:AY416,"F")</f>
      </c>
      <c r="BB416" s="119">
        <f>COUNTIF(U416:AY416,"E")</f>
      </c>
    </row>
    <row r="417" spans="1:54" x14ac:dyDescent="0.2">
      <c r="A417" s="84"/>
      <c r="B417" s="85"/>
      <c r="C417" s="85"/>
      <c r="D417" s="85"/>
      <c r="E417" s="86"/>
      <c r="F417" s="16">
        <f>IF(E417="","",DATEDIF(E417,$I$7,"Y"))</f>
      </c>
      <c r="G417" s="85"/>
      <c r="H417" s="85"/>
      <c r="I417" s="87"/>
      <c r="J417" s="85"/>
      <c r="K417" s="85"/>
      <c r="L417" s="10"/>
      <c r="M417" s="10"/>
      <c r="N417" s="10"/>
      <c r="O417" s="10"/>
      <c r="P417" s="85"/>
      <c r="Q417" s="88"/>
      <c r="R417" s="3">
        <f>IFERROR(VLOOKUP(TablaEnero[[#This Row],[BARRIO]],SECTOR!$A:$B,2,0),"")</f>
      </c>
      <c r="S417" s="89"/>
      <c r="T417" s="90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6"/>
      <c r="AZ417" s="120">
        <f>COUNTIF(U417:AY417,"A")</f>
      </c>
      <c r="BA417" s="121">
        <f>COUNTIF(U417:AY417,"F")</f>
      </c>
      <c r="BB417" s="119">
        <f>COUNTIF(U417:AY417,"E")</f>
      </c>
    </row>
    <row r="418" spans="1:54" x14ac:dyDescent="0.2">
      <c r="A418" s="84"/>
      <c r="B418" s="85"/>
      <c r="C418" s="85"/>
      <c r="D418" s="85"/>
      <c r="E418" s="86"/>
      <c r="F418" s="16">
        <f>IF(E418="","",DATEDIF(E418,$I$7,"Y"))</f>
      </c>
      <c r="G418" s="85"/>
      <c r="H418" s="85"/>
      <c r="I418" s="87"/>
      <c r="J418" s="85"/>
      <c r="K418" s="85"/>
      <c r="L418" s="10"/>
      <c r="M418" s="10"/>
      <c r="N418" s="10"/>
      <c r="O418" s="10"/>
      <c r="P418" s="85"/>
      <c r="Q418" s="88"/>
      <c r="R418" s="3">
        <f>IFERROR(VLOOKUP(TablaEnero[[#This Row],[BARRIO]],SECTOR!$A:$B,2,0),"")</f>
      </c>
      <c r="S418" s="89"/>
      <c r="T418" s="90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6"/>
      <c r="AZ418" s="120">
        <f>COUNTIF(U418:AY418,"A")</f>
      </c>
      <c r="BA418" s="121">
        <f>COUNTIF(U418:AY418,"F")</f>
      </c>
      <c r="BB418" s="119">
        <f>COUNTIF(U418:AY418,"E")</f>
      </c>
    </row>
    <row r="419" spans="1:54" x14ac:dyDescent="0.2">
      <c r="A419" s="84"/>
      <c r="B419" s="85"/>
      <c r="C419" s="85"/>
      <c r="D419" s="85"/>
      <c r="E419" s="86"/>
      <c r="F419" s="16">
        <f>IF(E419="","",DATEDIF(E419,$I$7,"Y"))</f>
      </c>
      <c r="G419" s="85"/>
      <c r="H419" s="85"/>
      <c r="I419" s="87"/>
      <c r="J419" s="85"/>
      <c r="K419" s="85"/>
      <c r="L419" s="10"/>
      <c r="M419" s="10"/>
      <c r="N419" s="10"/>
      <c r="O419" s="10"/>
      <c r="P419" s="85"/>
      <c r="Q419" s="88"/>
      <c r="R419" s="3">
        <f>IFERROR(VLOOKUP(TablaEnero[[#This Row],[BARRIO]],SECTOR!$A:$B,2,0),"")</f>
      </c>
      <c r="S419" s="89"/>
      <c r="T419" s="90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6"/>
      <c r="AZ419" s="120">
        <f>COUNTIF(U419:AY419,"A")</f>
      </c>
      <c r="BA419" s="121">
        <f>COUNTIF(U419:AY419,"F")</f>
      </c>
      <c r="BB419" s="119">
        <f>COUNTIF(U419:AY419,"E")</f>
      </c>
    </row>
    <row r="420" spans="1:54" x14ac:dyDescent="0.2">
      <c r="A420" s="84"/>
      <c r="B420" s="85"/>
      <c r="C420" s="85"/>
      <c r="D420" s="85"/>
      <c r="E420" s="86"/>
      <c r="F420" s="16">
        <f>IF(E420="","",DATEDIF(E420,$I$7,"Y"))</f>
      </c>
      <c r="G420" s="85"/>
      <c r="H420" s="85"/>
      <c r="I420" s="87"/>
      <c r="J420" s="85"/>
      <c r="K420" s="85"/>
      <c r="L420" s="10"/>
      <c r="M420" s="10"/>
      <c r="N420" s="10"/>
      <c r="O420" s="10"/>
      <c r="P420" s="85"/>
      <c r="Q420" s="88"/>
      <c r="R420" s="3">
        <f>IFERROR(VLOOKUP(TablaEnero[[#This Row],[BARRIO]],SECTOR!$A:$B,2,0),"")</f>
      </c>
      <c r="S420" s="89"/>
      <c r="T420" s="90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6"/>
      <c r="AZ420" s="120">
        <f>COUNTIF(U420:AY420,"A")</f>
      </c>
      <c r="BA420" s="121">
        <f>COUNTIF(U420:AY420,"F")</f>
      </c>
      <c r="BB420" s="119">
        <f>COUNTIF(U420:AY420,"E")</f>
      </c>
    </row>
    <row r="421" spans="1:54" x14ac:dyDescent="0.2">
      <c r="A421" s="84"/>
      <c r="B421" s="85"/>
      <c r="C421" s="85"/>
      <c r="D421" s="85"/>
      <c r="E421" s="86"/>
      <c r="F421" s="16">
        <f>IF(E421="","",DATEDIF(E421,$I$7,"Y"))</f>
      </c>
      <c r="G421" s="85"/>
      <c r="H421" s="85"/>
      <c r="I421" s="87"/>
      <c r="J421" s="85"/>
      <c r="K421" s="85"/>
      <c r="L421" s="10"/>
      <c r="M421" s="10"/>
      <c r="N421" s="10"/>
      <c r="O421" s="10"/>
      <c r="P421" s="85"/>
      <c r="Q421" s="88"/>
      <c r="R421" s="3">
        <f>IFERROR(VLOOKUP(TablaEnero[[#This Row],[BARRIO]],SECTOR!$A:$B,2,0),"")</f>
      </c>
      <c r="S421" s="89"/>
      <c r="T421" s="90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6"/>
      <c r="AZ421" s="120">
        <f>COUNTIF(U421:AY421,"A")</f>
      </c>
      <c r="BA421" s="121">
        <f>COUNTIF(U421:AY421,"F")</f>
      </c>
      <c r="BB421" s="119">
        <f>COUNTIF(U421:AY421,"E")</f>
      </c>
    </row>
    <row r="422" spans="1:54" x14ac:dyDescent="0.2">
      <c r="A422" s="84"/>
      <c r="B422" s="85"/>
      <c r="C422" s="85"/>
      <c r="D422" s="85"/>
      <c r="E422" s="86"/>
      <c r="F422" s="16">
        <f>IF(E422="","",DATEDIF(E422,$I$7,"Y"))</f>
      </c>
      <c r="G422" s="85"/>
      <c r="H422" s="85"/>
      <c r="I422" s="87"/>
      <c r="J422" s="85"/>
      <c r="K422" s="85"/>
      <c r="L422" s="10"/>
      <c r="M422" s="10"/>
      <c r="N422" s="10"/>
      <c r="O422" s="10"/>
      <c r="P422" s="85"/>
      <c r="Q422" s="88"/>
      <c r="R422" s="3">
        <f>IFERROR(VLOOKUP(TablaEnero[[#This Row],[BARRIO]],SECTOR!$A:$B,2,0),"")</f>
      </c>
      <c r="S422" s="89"/>
      <c r="T422" s="90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6"/>
      <c r="AZ422" s="120">
        <f>COUNTIF(U422:AY422,"A")</f>
      </c>
      <c r="BA422" s="121">
        <f>COUNTIF(U422:AY422,"F")</f>
      </c>
      <c r="BB422" s="119">
        <f>COUNTIF(U422:AY422,"E")</f>
      </c>
    </row>
    <row r="423" spans="1:54" x14ac:dyDescent="0.2">
      <c r="A423" s="84"/>
      <c r="B423" s="85"/>
      <c r="C423" s="85"/>
      <c r="D423" s="85"/>
      <c r="E423" s="86"/>
      <c r="F423" s="16">
        <f>IF(E423="","",DATEDIF(E423,$I$7,"Y"))</f>
      </c>
      <c r="G423" s="85"/>
      <c r="H423" s="85"/>
      <c r="I423" s="87"/>
      <c r="J423" s="85"/>
      <c r="K423" s="85"/>
      <c r="L423" s="10"/>
      <c r="M423" s="10"/>
      <c r="N423" s="10"/>
      <c r="O423" s="10"/>
      <c r="P423" s="85"/>
      <c r="Q423" s="88"/>
      <c r="R423" s="3">
        <f>IFERROR(VLOOKUP(TablaEnero[[#This Row],[BARRIO]],SECTOR!$A:$B,2,0),"")</f>
      </c>
      <c r="S423" s="89"/>
      <c r="T423" s="90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6"/>
      <c r="AZ423" s="120">
        <f>COUNTIF(U423:AY423,"A")</f>
      </c>
      <c r="BA423" s="121">
        <f>COUNTIF(U423:AY423,"F")</f>
      </c>
      <c r="BB423" s="119">
        <f>COUNTIF(U423:AY423,"E")</f>
      </c>
    </row>
    <row r="424" spans="1:54" x14ac:dyDescent="0.2">
      <c r="A424" s="84"/>
      <c r="B424" s="85"/>
      <c r="C424" s="85"/>
      <c r="D424" s="85"/>
      <c r="E424" s="86"/>
      <c r="F424" s="16">
        <f>IF(E424="","",DATEDIF(E424,$I$7,"Y"))</f>
      </c>
      <c r="G424" s="85"/>
      <c r="H424" s="85"/>
      <c r="I424" s="87"/>
      <c r="J424" s="85"/>
      <c r="K424" s="85"/>
      <c r="L424" s="10"/>
      <c r="M424" s="10"/>
      <c r="N424" s="10"/>
      <c r="O424" s="10"/>
      <c r="P424" s="85"/>
      <c r="Q424" s="88"/>
      <c r="R424" s="3">
        <f>IFERROR(VLOOKUP(TablaEnero[[#This Row],[BARRIO]],SECTOR!$A:$B,2,0),"")</f>
      </c>
      <c r="S424" s="89"/>
      <c r="T424" s="90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6"/>
      <c r="AZ424" s="120">
        <f>COUNTIF(U424:AY424,"A")</f>
      </c>
      <c r="BA424" s="121">
        <f>COUNTIF(U424:AY424,"F")</f>
      </c>
      <c r="BB424" s="119">
        <f>COUNTIF(U424:AY424,"E")</f>
      </c>
    </row>
    <row r="425" spans="1:54" x14ac:dyDescent="0.2">
      <c r="A425" s="84"/>
      <c r="B425" s="85"/>
      <c r="C425" s="85"/>
      <c r="D425" s="85"/>
      <c r="E425" s="86"/>
      <c r="F425" s="16">
        <f>IF(E425="","",DATEDIF(E425,$I$7,"Y"))</f>
      </c>
      <c r="G425" s="85"/>
      <c r="H425" s="85"/>
      <c r="I425" s="87"/>
      <c r="J425" s="85"/>
      <c r="K425" s="85"/>
      <c r="L425" s="10"/>
      <c r="M425" s="10"/>
      <c r="N425" s="10"/>
      <c r="O425" s="10"/>
      <c r="P425" s="85"/>
      <c r="Q425" s="88"/>
      <c r="R425" s="3">
        <f>IFERROR(VLOOKUP(TablaEnero[[#This Row],[BARRIO]],SECTOR!$A:$B,2,0),"")</f>
      </c>
      <c r="S425" s="89"/>
      <c r="T425" s="90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6"/>
      <c r="AZ425" s="120">
        <f>COUNTIF(U425:AY425,"A")</f>
      </c>
      <c r="BA425" s="121">
        <f>COUNTIF(U425:AY425,"F")</f>
      </c>
      <c r="BB425" s="119">
        <f>COUNTIF(U425:AY425,"E")</f>
      </c>
    </row>
    <row r="426" spans="1:54" x14ac:dyDescent="0.2">
      <c r="A426" s="84"/>
      <c r="B426" s="85"/>
      <c r="C426" s="85"/>
      <c r="D426" s="85"/>
      <c r="E426" s="86"/>
      <c r="F426" s="16">
        <f>IF(E426="","",DATEDIF(E426,$I$7,"Y"))</f>
      </c>
      <c r="G426" s="85"/>
      <c r="H426" s="85"/>
      <c r="I426" s="87"/>
      <c r="J426" s="85"/>
      <c r="K426" s="85"/>
      <c r="L426" s="10"/>
      <c r="M426" s="10"/>
      <c r="N426" s="10"/>
      <c r="O426" s="10"/>
      <c r="P426" s="85"/>
      <c r="Q426" s="88"/>
      <c r="R426" s="3">
        <f>IFERROR(VLOOKUP(TablaEnero[[#This Row],[BARRIO]],SECTOR!$A:$B,2,0),"")</f>
      </c>
      <c r="S426" s="89"/>
      <c r="T426" s="90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6"/>
      <c r="AZ426" s="120">
        <f>COUNTIF(U426:AY426,"A")</f>
      </c>
      <c r="BA426" s="121">
        <f>COUNTIF(U426:AY426,"F")</f>
      </c>
      <c r="BB426" s="119">
        <f>COUNTIF(U426:AY426,"E")</f>
      </c>
    </row>
    <row r="427" spans="1:54" x14ac:dyDescent="0.2">
      <c r="A427" s="84"/>
      <c r="B427" s="85"/>
      <c r="C427" s="85"/>
      <c r="D427" s="85"/>
      <c r="E427" s="86"/>
      <c r="F427" s="16">
        <f>IF(E427="","",DATEDIF(E427,$I$7,"Y"))</f>
      </c>
      <c r="G427" s="85"/>
      <c r="H427" s="85"/>
      <c r="I427" s="87"/>
      <c r="J427" s="85"/>
      <c r="K427" s="85"/>
      <c r="L427" s="10"/>
      <c r="M427" s="10"/>
      <c r="N427" s="10"/>
      <c r="O427" s="10"/>
      <c r="P427" s="85"/>
      <c r="Q427" s="88"/>
      <c r="R427" s="3">
        <f>IFERROR(VLOOKUP(TablaEnero[[#This Row],[BARRIO]],SECTOR!$A:$B,2,0),"")</f>
      </c>
      <c r="S427" s="89"/>
      <c r="T427" s="90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6"/>
      <c r="AZ427" s="120">
        <f>COUNTIF(U427:AY427,"A")</f>
      </c>
      <c r="BA427" s="121">
        <f>COUNTIF(U427:AY427,"F")</f>
      </c>
      <c r="BB427" s="119">
        <f>COUNTIF(U427:AY427,"E")</f>
      </c>
    </row>
    <row r="428" spans="1:54" x14ac:dyDescent="0.2">
      <c r="A428" s="84"/>
      <c r="B428" s="85"/>
      <c r="C428" s="85"/>
      <c r="D428" s="85"/>
      <c r="E428" s="86"/>
      <c r="F428" s="16">
        <f>IF(E428="","",DATEDIF(E428,$I$7,"Y"))</f>
      </c>
      <c r="G428" s="85"/>
      <c r="H428" s="85"/>
      <c r="I428" s="87"/>
      <c r="J428" s="85"/>
      <c r="K428" s="85"/>
      <c r="L428" s="10"/>
      <c r="M428" s="10"/>
      <c r="N428" s="10"/>
      <c r="O428" s="10"/>
      <c r="P428" s="85"/>
      <c r="Q428" s="88"/>
      <c r="R428" s="3">
        <f>IFERROR(VLOOKUP(TablaEnero[[#This Row],[BARRIO]],SECTOR!$A:$B,2,0),"")</f>
      </c>
      <c r="S428" s="89"/>
      <c r="T428" s="90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6"/>
      <c r="AZ428" s="120">
        <f>COUNTIF(U428:AY428,"A")</f>
      </c>
      <c r="BA428" s="121">
        <f>COUNTIF(U428:AY428,"F")</f>
      </c>
      <c r="BB428" s="119">
        <f>COUNTIF(U428:AY428,"E")</f>
      </c>
    </row>
    <row r="429" spans="1:54" x14ac:dyDescent="0.2">
      <c r="A429" s="84"/>
      <c r="B429" s="85"/>
      <c r="C429" s="85"/>
      <c r="D429" s="85"/>
      <c r="E429" s="86"/>
      <c r="F429" s="16">
        <f>IF(E429="","",DATEDIF(E429,$I$7,"Y"))</f>
      </c>
      <c r="G429" s="85"/>
      <c r="H429" s="85"/>
      <c r="I429" s="87"/>
      <c r="J429" s="85"/>
      <c r="K429" s="85"/>
      <c r="L429" s="10"/>
      <c r="M429" s="10"/>
      <c r="N429" s="10"/>
      <c r="O429" s="10"/>
      <c r="P429" s="85"/>
      <c r="Q429" s="88"/>
      <c r="R429" s="3">
        <f>IFERROR(VLOOKUP(TablaEnero[[#This Row],[BARRIO]],SECTOR!$A:$B,2,0),"")</f>
      </c>
      <c r="S429" s="89"/>
      <c r="T429" s="90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6"/>
      <c r="AZ429" s="120">
        <f>COUNTIF(U429:AY429,"A")</f>
      </c>
      <c r="BA429" s="121">
        <f>COUNTIF(U429:AY429,"F")</f>
      </c>
      <c r="BB429" s="119">
        <f>COUNTIF(U429:AY429,"E")</f>
      </c>
    </row>
    <row r="430" spans="1:54" x14ac:dyDescent="0.2">
      <c r="A430" s="84"/>
      <c r="B430" s="85"/>
      <c r="C430" s="85"/>
      <c r="D430" s="85"/>
      <c r="E430" s="86"/>
      <c r="F430" s="16">
        <f>IF(E430="","",DATEDIF(E430,$I$7,"Y"))</f>
      </c>
      <c r="G430" s="85"/>
      <c r="H430" s="85"/>
      <c r="I430" s="87"/>
      <c r="J430" s="85"/>
      <c r="K430" s="85"/>
      <c r="L430" s="10"/>
      <c r="M430" s="10"/>
      <c r="N430" s="10"/>
      <c r="O430" s="10"/>
      <c r="P430" s="85"/>
      <c r="Q430" s="88"/>
      <c r="R430" s="3">
        <f>IFERROR(VLOOKUP(TablaEnero[[#This Row],[BARRIO]],SECTOR!$A:$B,2,0),"")</f>
      </c>
      <c r="S430" s="89"/>
      <c r="T430" s="90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6"/>
      <c r="AZ430" s="120">
        <f>COUNTIF(U430:AY430,"A")</f>
      </c>
      <c r="BA430" s="121">
        <f>COUNTIF(U430:AY430,"F")</f>
      </c>
      <c r="BB430" s="119">
        <f>COUNTIF(U430:AY430,"E")</f>
      </c>
    </row>
    <row r="431" spans="1:54" x14ac:dyDescent="0.2">
      <c r="A431" s="84"/>
      <c r="B431" s="85"/>
      <c r="C431" s="85"/>
      <c r="D431" s="85"/>
      <c r="E431" s="86"/>
      <c r="F431" s="16">
        <f>IF(E431="","",DATEDIF(E431,$I$7,"Y"))</f>
      </c>
      <c r="G431" s="85"/>
      <c r="H431" s="85"/>
      <c r="I431" s="87"/>
      <c r="J431" s="85"/>
      <c r="K431" s="85"/>
      <c r="L431" s="10"/>
      <c r="M431" s="10"/>
      <c r="N431" s="10"/>
      <c r="O431" s="10"/>
      <c r="P431" s="85"/>
      <c r="Q431" s="88"/>
      <c r="R431" s="3">
        <f>IFERROR(VLOOKUP(TablaEnero[[#This Row],[BARRIO]],SECTOR!$A:$B,2,0),"")</f>
      </c>
      <c r="S431" s="89"/>
      <c r="T431" s="90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6"/>
      <c r="AZ431" s="120">
        <f>COUNTIF(U431:AY431,"A")</f>
      </c>
      <c r="BA431" s="121">
        <f>COUNTIF(U431:AY431,"F")</f>
      </c>
      <c r="BB431" s="119">
        <f>COUNTIF(U431:AY431,"E")</f>
      </c>
    </row>
    <row r="432" spans="1:54" x14ac:dyDescent="0.2">
      <c r="A432" s="84"/>
      <c r="B432" s="85"/>
      <c r="C432" s="85"/>
      <c r="D432" s="85"/>
      <c r="E432" s="86"/>
      <c r="F432" s="16">
        <f>IF(E432="","",DATEDIF(E432,$I$7,"Y"))</f>
      </c>
      <c r="G432" s="85"/>
      <c r="H432" s="85"/>
      <c r="I432" s="87"/>
      <c r="J432" s="85"/>
      <c r="K432" s="85"/>
      <c r="L432" s="10"/>
      <c r="M432" s="10"/>
      <c r="N432" s="10"/>
      <c r="O432" s="10"/>
      <c r="P432" s="85"/>
      <c r="Q432" s="88"/>
      <c r="R432" s="3">
        <f>IFERROR(VLOOKUP(TablaEnero[[#This Row],[BARRIO]],SECTOR!$A:$B,2,0),"")</f>
      </c>
      <c r="S432" s="89"/>
      <c r="T432" s="90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6"/>
      <c r="AZ432" s="120">
        <f>COUNTIF(U432:AY432,"A")</f>
      </c>
      <c r="BA432" s="121">
        <f>COUNTIF(U432:AY432,"F")</f>
      </c>
      <c r="BB432" s="119">
        <f>COUNTIF(U432:AY432,"E")</f>
      </c>
    </row>
    <row r="433" spans="1:54" x14ac:dyDescent="0.2">
      <c r="A433" s="84"/>
      <c r="B433" s="85"/>
      <c r="C433" s="85"/>
      <c r="D433" s="85"/>
      <c r="E433" s="86"/>
      <c r="F433" s="16">
        <f>IF(E433="","",DATEDIF(E433,$I$7,"Y"))</f>
      </c>
      <c r="G433" s="85"/>
      <c r="H433" s="85"/>
      <c r="I433" s="87"/>
      <c r="J433" s="85"/>
      <c r="K433" s="85"/>
      <c r="L433" s="10"/>
      <c r="M433" s="10"/>
      <c r="N433" s="10"/>
      <c r="O433" s="10"/>
      <c r="P433" s="85"/>
      <c r="Q433" s="88"/>
      <c r="R433" s="3">
        <f>IFERROR(VLOOKUP(TablaEnero[[#This Row],[BARRIO]],SECTOR!$A:$B,2,0),"")</f>
      </c>
      <c r="S433" s="89"/>
      <c r="T433" s="90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6"/>
      <c r="AZ433" s="120">
        <f>COUNTIF(U433:AY433,"A")</f>
      </c>
      <c r="BA433" s="121">
        <f>COUNTIF(U433:AY433,"F")</f>
      </c>
      <c r="BB433" s="119">
        <f>COUNTIF(U433:AY433,"E")</f>
      </c>
    </row>
    <row r="434" spans="1:54" x14ac:dyDescent="0.2">
      <c r="A434" s="84"/>
      <c r="B434" s="85"/>
      <c r="C434" s="85"/>
      <c r="D434" s="85"/>
      <c r="E434" s="86"/>
      <c r="F434" s="16">
        <f>IF(E434="","",DATEDIF(E434,$I$7,"Y"))</f>
      </c>
      <c r="G434" s="85"/>
      <c r="H434" s="85"/>
      <c r="I434" s="87"/>
      <c r="J434" s="85"/>
      <c r="K434" s="85"/>
      <c r="L434" s="10"/>
      <c r="M434" s="10"/>
      <c r="N434" s="10"/>
      <c r="O434" s="10"/>
      <c r="P434" s="85"/>
      <c r="Q434" s="88"/>
      <c r="R434" s="3">
        <f>IFERROR(VLOOKUP(TablaEnero[[#This Row],[BARRIO]],SECTOR!$A:$B,2,0),"")</f>
      </c>
      <c r="S434" s="89"/>
      <c r="T434" s="90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6"/>
      <c r="AZ434" s="120">
        <f>COUNTIF(U434:AY434,"A")</f>
      </c>
      <c r="BA434" s="121">
        <f>COUNTIF(U434:AY434,"F")</f>
      </c>
      <c r="BB434" s="119">
        <f>COUNTIF(U434:AY434,"E")</f>
      </c>
    </row>
    <row r="435" spans="1:54" x14ac:dyDescent="0.2">
      <c r="A435" s="84"/>
      <c r="B435" s="85"/>
      <c r="C435" s="85"/>
      <c r="D435" s="85"/>
      <c r="E435" s="86"/>
      <c r="F435" s="16">
        <f>IF(E435="","",DATEDIF(E435,$I$7,"Y"))</f>
      </c>
      <c r="G435" s="85"/>
      <c r="H435" s="85"/>
      <c r="I435" s="87"/>
      <c r="J435" s="85"/>
      <c r="K435" s="85"/>
      <c r="L435" s="10"/>
      <c r="M435" s="10"/>
      <c r="N435" s="10"/>
      <c r="O435" s="10"/>
      <c r="P435" s="85"/>
      <c r="Q435" s="88"/>
      <c r="R435" s="3">
        <f>IFERROR(VLOOKUP(TablaEnero[[#This Row],[BARRIO]],SECTOR!$A:$B,2,0),"")</f>
      </c>
      <c r="S435" s="89"/>
      <c r="T435" s="90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6"/>
      <c r="AZ435" s="120">
        <f>COUNTIF(U435:AY435,"A")</f>
      </c>
      <c r="BA435" s="121">
        <f>COUNTIF(U435:AY435,"F")</f>
      </c>
      <c r="BB435" s="119">
        <f>COUNTIF(U435:AY435,"E")</f>
      </c>
    </row>
    <row r="436" spans="1:54" x14ac:dyDescent="0.2">
      <c r="A436" s="84"/>
      <c r="B436" s="85"/>
      <c r="C436" s="85"/>
      <c r="D436" s="85"/>
      <c r="E436" s="86"/>
      <c r="F436" s="16">
        <f>IF(E436="","",DATEDIF(E436,$I$7,"Y"))</f>
      </c>
      <c r="G436" s="85"/>
      <c r="H436" s="85"/>
      <c r="I436" s="87"/>
      <c r="J436" s="85"/>
      <c r="K436" s="85"/>
      <c r="L436" s="10"/>
      <c r="M436" s="10"/>
      <c r="N436" s="10"/>
      <c r="O436" s="10"/>
      <c r="P436" s="85"/>
      <c r="Q436" s="88"/>
      <c r="R436" s="3">
        <f>IFERROR(VLOOKUP(TablaEnero[[#This Row],[BARRIO]],SECTOR!$A:$B,2,0),"")</f>
      </c>
      <c r="S436" s="89"/>
      <c r="T436" s="90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6"/>
      <c r="AZ436" s="120">
        <f>COUNTIF(U436:AY436,"A")</f>
      </c>
      <c r="BA436" s="121">
        <f>COUNTIF(U436:AY436,"F")</f>
      </c>
      <c r="BB436" s="119">
        <f>COUNTIF(U436:AY436,"E")</f>
      </c>
    </row>
    <row r="437" spans="1:54" x14ac:dyDescent="0.2">
      <c r="A437" s="84"/>
      <c r="B437" s="85"/>
      <c r="C437" s="85"/>
      <c r="D437" s="85"/>
      <c r="E437" s="86"/>
      <c r="F437" s="16">
        <f>IF(E437="","",DATEDIF(E437,$I$7,"Y"))</f>
      </c>
      <c r="G437" s="85"/>
      <c r="H437" s="85"/>
      <c r="I437" s="87"/>
      <c r="J437" s="85"/>
      <c r="K437" s="85"/>
      <c r="L437" s="10"/>
      <c r="M437" s="10"/>
      <c r="N437" s="10"/>
      <c r="O437" s="10"/>
      <c r="P437" s="85"/>
      <c r="Q437" s="88"/>
      <c r="R437" s="3">
        <f>IFERROR(VLOOKUP(TablaEnero[[#This Row],[BARRIO]],SECTOR!$A:$B,2,0),"")</f>
      </c>
      <c r="S437" s="89"/>
      <c r="T437" s="90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6"/>
      <c r="AZ437" s="120">
        <f>COUNTIF(U437:AY437,"A")</f>
      </c>
      <c r="BA437" s="121">
        <f>COUNTIF(U437:AY437,"F")</f>
      </c>
      <c r="BB437" s="119">
        <f>COUNTIF(U437:AY437,"E")</f>
      </c>
    </row>
    <row r="438" spans="1:54" x14ac:dyDescent="0.2">
      <c r="A438" s="84"/>
      <c r="B438" s="85"/>
      <c r="C438" s="85"/>
      <c r="D438" s="85"/>
      <c r="E438" s="86"/>
      <c r="F438" s="16">
        <f>IF(E438="","",DATEDIF(E438,$I$7,"Y"))</f>
      </c>
      <c r="G438" s="85"/>
      <c r="H438" s="85"/>
      <c r="I438" s="87"/>
      <c r="J438" s="85"/>
      <c r="K438" s="85"/>
      <c r="L438" s="10"/>
      <c r="M438" s="10"/>
      <c r="N438" s="10"/>
      <c r="O438" s="10"/>
      <c r="P438" s="85"/>
      <c r="Q438" s="88"/>
      <c r="R438" s="3">
        <f>IFERROR(VLOOKUP(TablaEnero[[#This Row],[BARRIO]],SECTOR!$A:$B,2,0),"")</f>
      </c>
      <c r="S438" s="89"/>
      <c r="T438" s="90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6"/>
      <c r="AZ438" s="120">
        <f>COUNTIF(U438:AY438,"A")</f>
      </c>
      <c r="BA438" s="121">
        <f>COUNTIF(U438:AY438,"F")</f>
      </c>
      <c r="BB438" s="119">
        <f>COUNTIF(U438:AY438,"E")</f>
      </c>
    </row>
    <row r="439" spans="1:54" x14ac:dyDescent="0.2">
      <c r="A439" s="84"/>
      <c r="B439" s="85"/>
      <c r="C439" s="85"/>
      <c r="D439" s="85"/>
      <c r="E439" s="86"/>
      <c r="F439" s="16">
        <f>IF(E439="","",DATEDIF(E439,$I$7,"Y"))</f>
      </c>
      <c r="G439" s="85"/>
      <c r="H439" s="85"/>
      <c r="I439" s="87"/>
      <c r="J439" s="85"/>
      <c r="K439" s="85"/>
      <c r="L439" s="10"/>
      <c r="M439" s="10"/>
      <c r="N439" s="10"/>
      <c r="O439" s="10"/>
      <c r="P439" s="85"/>
      <c r="Q439" s="88"/>
      <c r="R439" s="3">
        <f>IFERROR(VLOOKUP(TablaEnero[[#This Row],[BARRIO]],SECTOR!$A:$B,2,0),"")</f>
      </c>
      <c r="S439" s="89"/>
      <c r="T439" s="90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6"/>
      <c r="AZ439" s="120">
        <f>COUNTIF(U439:AY439,"A")</f>
      </c>
      <c r="BA439" s="121">
        <f>COUNTIF(U439:AY439,"F")</f>
      </c>
      <c r="BB439" s="119">
        <f>COUNTIF(U439:AY439,"E")</f>
      </c>
    </row>
    <row r="440" spans="1:54" x14ac:dyDescent="0.2">
      <c r="A440" s="84"/>
      <c r="B440" s="85"/>
      <c r="C440" s="85"/>
      <c r="D440" s="85"/>
      <c r="E440" s="86"/>
      <c r="F440" s="16">
        <f>IF(E440="","",DATEDIF(E440,$I$7,"Y"))</f>
      </c>
      <c r="G440" s="85"/>
      <c r="H440" s="85"/>
      <c r="I440" s="87"/>
      <c r="J440" s="85"/>
      <c r="K440" s="85"/>
      <c r="L440" s="10"/>
      <c r="M440" s="10"/>
      <c r="N440" s="10"/>
      <c r="O440" s="10"/>
      <c r="P440" s="85"/>
      <c r="Q440" s="88"/>
      <c r="R440" s="3">
        <f>IFERROR(VLOOKUP(TablaEnero[[#This Row],[BARRIO]],SECTOR!$A:$B,2,0),"")</f>
      </c>
      <c r="S440" s="89"/>
      <c r="T440" s="90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6"/>
      <c r="AZ440" s="120">
        <f>COUNTIF(U440:AY440,"A")</f>
      </c>
      <c r="BA440" s="121">
        <f>COUNTIF(U440:AY440,"F")</f>
      </c>
      <c r="BB440" s="119">
        <f>COUNTIF(U440:AY440,"E")</f>
      </c>
    </row>
    <row r="441" spans="1:54" x14ac:dyDescent="0.2">
      <c r="A441" s="84"/>
      <c r="B441" s="85"/>
      <c r="C441" s="85"/>
      <c r="D441" s="85"/>
      <c r="E441" s="86"/>
      <c r="F441" s="16">
        <f>IF(E441="","",DATEDIF(E441,$I$7,"Y"))</f>
      </c>
      <c r="G441" s="85"/>
      <c r="H441" s="85"/>
      <c r="I441" s="87"/>
      <c r="J441" s="85"/>
      <c r="K441" s="85"/>
      <c r="L441" s="10"/>
      <c r="M441" s="10"/>
      <c r="N441" s="10"/>
      <c r="O441" s="10"/>
      <c r="P441" s="85"/>
      <c r="Q441" s="88"/>
      <c r="R441" s="3">
        <f>IFERROR(VLOOKUP(TablaEnero[[#This Row],[BARRIO]],SECTOR!$A:$B,2,0),"")</f>
      </c>
      <c r="S441" s="89"/>
      <c r="T441" s="90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6"/>
      <c r="AZ441" s="120">
        <f>COUNTIF(U441:AY441,"A")</f>
      </c>
      <c r="BA441" s="121">
        <f>COUNTIF(U441:AY441,"F")</f>
      </c>
      <c r="BB441" s="119">
        <f>COUNTIF(U441:AY441,"E")</f>
      </c>
    </row>
    <row r="442" spans="1:54" x14ac:dyDescent="0.2">
      <c r="A442" s="84"/>
      <c r="B442" s="85"/>
      <c r="C442" s="85"/>
      <c r="D442" s="85"/>
      <c r="E442" s="86"/>
      <c r="F442" s="16">
        <f>IF(E442="","",DATEDIF(E442,$I$7,"Y"))</f>
      </c>
      <c r="G442" s="85"/>
      <c r="H442" s="85"/>
      <c r="I442" s="87"/>
      <c r="J442" s="85"/>
      <c r="K442" s="85"/>
      <c r="L442" s="10"/>
      <c r="M442" s="10"/>
      <c r="N442" s="10"/>
      <c r="O442" s="10"/>
      <c r="P442" s="85"/>
      <c r="Q442" s="88"/>
      <c r="R442" s="3">
        <f>IFERROR(VLOOKUP(TablaEnero[[#This Row],[BARRIO]],SECTOR!$A:$B,2,0),"")</f>
      </c>
      <c r="S442" s="89"/>
      <c r="T442" s="90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6"/>
      <c r="AZ442" s="120">
        <f>COUNTIF(U442:AY442,"A")</f>
      </c>
      <c r="BA442" s="121">
        <f>COUNTIF(U442:AY442,"F")</f>
      </c>
      <c r="BB442" s="119">
        <f>COUNTIF(U442:AY442,"E")</f>
      </c>
    </row>
    <row r="443" spans="1:54" x14ac:dyDescent="0.2">
      <c r="A443" s="84"/>
      <c r="B443" s="85"/>
      <c r="C443" s="85"/>
      <c r="D443" s="85"/>
      <c r="E443" s="86"/>
      <c r="F443" s="16">
        <f>IF(E443="","",DATEDIF(E443,$I$7,"Y"))</f>
      </c>
      <c r="G443" s="85"/>
      <c r="H443" s="85"/>
      <c r="I443" s="87"/>
      <c r="J443" s="85"/>
      <c r="K443" s="85"/>
      <c r="L443" s="10"/>
      <c r="M443" s="10"/>
      <c r="N443" s="10"/>
      <c r="O443" s="10"/>
      <c r="P443" s="85"/>
      <c r="Q443" s="88"/>
      <c r="R443" s="3">
        <f>IFERROR(VLOOKUP(TablaEnero[[#This Row],[BARRIO]],SECTOR!$A:$B,2,0),"")</f>
      </c>
      <c r="S443" s="89"/>
      <c r="T443" s="90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6"/>
      <c r="AZ443" s="120">
        <f>COUNTIF(U443:AY443,"A")</f>
      </c>
      <c r="BA443" s="121">
        <f>COUNTIF(U443:AY443,"F")</f>
      </c>
      <c r="BB443" s="119">
        <f>COUNTIF(U443:AY443,"E")</f>
      </c>
    </row>
    <row r="444" spans="1:54" x14ac:dyDescent="0.2">
      <c r="A444" s="84"/>
      <c r="B444" s="85"/>
      <c r="C444" s="85"/>
      <c r="D444" s="85"/>
      <c r="E444" s="86"/>
      <c r="F444" s="16">
        <f>IF(E444="","",DATEDIF(E444,$I$7,"Y"))</f>
      </c>
      <c r="G444" s="85"/>
      <c r="H444" s="85"/>
      <c r="I444" s="87"/>
      <c r="J444" s="85"/>
      <c r="K444" s="85"/>
      <c r="L444" s="10"/>
      <c r="M444" s="10"/>
      <c r="N444" s="10"/>
      <c r="O444" s="10"/>
      <c r="P444" s="85"/>
      <c r="Q444" s="88"/>
      <c r="R444" s="3">
        <f>IFERROR(VLOOKUP(TablaEnero[[#This Row],[BARRIO]],SECTOR!$A:$B,2,0),"")</f>
      </c>
      <c r="S444" s="89"/>
      <c r="T444" s="90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6"/>
      <c r="AZ444" s="120">
        <f>COUNTIF(U444:AY444,"A")</f>
      </c>
      <c r="BA444" s="121">
        <f>COUNTIF(U444:AY444,"F")</f>
      </c>
      <c r="BB444" s="119">
        <f>COUNTIF(U444:AY444,"E")</f>
      </c>
    </row>
    <row r="445" spans="1:54" x14ac:dyDescent="0.2">
      <c r="A445" s="84"/>
      <c r="B445" s="85"/>
      <c r="C445" s="85"/>
      <c r="D445" s="85"/>
      <c r="E445" s="86"/>
      <c r="F445" s="16">
        <f>IF(E445="","",DATEDIF(E445,$I$7,"Y"))</f>
      </c>
      <c r="G445" s="85"/>
      <c r="H445" s="85"/>
      <c r="I445" s="87"/>
      <c r="J445" s="85"/>
      <c r="K445" s="85"/>
      <c r="L445" s="10"/>
      <c r="M445" s="10"/>
      <c r="N445" s="10"/>
      <c r="O445" s="10"/>
      <c r="P445" s="85"/>
      <c r="Q445" s="88"/>
      <c r="R445" s="3">
        <f>IFERROR(VLOOKUP(TablaEnero[[#This Row],[BARRIO]],SECTOR!$A:$B,2,0),"")</f>
      </c>
      <c r="S445" s="89"/>
      <c r="T445" s="90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6"/>
      <c r="AZ445" s="120">
        <f>COUNTIF(U445:AY445,"A")</f>
      </c>
      <c r="BA445" s="121">
        <f>COUNTIF(U445:AY445,"F")</f>
      </c>
      <c r="BB445" s="119">
        <f>COUNTIF(U445:AY445,"E")</f>
      </c>
    </row>
    <row r="446" spans="1:54" x14ac:dyDescent="0.2">
      <c r="A446" s="84"/>
      <c r="B446" s="85"/>
      <c r="C446" s="85"/>
      <c r="D446" s="85"/>
      <c r="E446" s="86"/>
      <c r="F446" s="16">
        <f>IF(E446="","",DATEDIF(E446,$I$7,"Y"))</f>
      </c>
      <c r="G446" s="85"/>
      <c r="H446" s="85"/>
      <c r="I446" s="87"/>
      <c r="J446" s="85"/>
      <c r="K446" s="85"/>
      <c r="L446" s="10"/>
      <c r="M446" s="10"/>
      <c r="N446" s="10"/>
      <c r="O446" s="10"/>
      <c r="P446" s="85"/>
      <c r="Q446" s="88"/>
      <c r="R446" s="3">
        <f>IFERROR(VLOOKUP(TablaEnero[[#This Row],[BARRIO]],SECTOR!$A:$B,2,0),"")</f>
      </c>
      <c r="S446" s="89"/>
      <c r="T446" s="90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6"/>
      <c r="AZ446" s="120">
        <f>COUNTIF(U446:AY446,"A")</f>
      </c>
      <c r="BA446" s="121">
        <f>COUNTIF(U446:AY446,"F")</f>
      </c>
      <c r="BB446" s="119">
        <f>COUNTIF(U446:AY446,"E")</f>
      </c>
    </row>
    <row r="447" spans="1:54" x14ac:dyDescent="0.2">
      <c r="A447" s="84"/>
      <c r="B447" s="85"/>
      <c r="C447" s="85"/>
      <c r="D447" s="85"/>
      <c r="E447" s="86"/>
      <c r="F447" s="16">
        <f>IF(E447="","",DATEDIF(E447,$I$7,"Y"))</f>
      </c>
      <c r="G447" s="85"/>
      <c r="H447" s="85"/>
      <c r="I447" s="87"/>
      <c r="J447" s="85"/>
      <c r="K447" s="85"/>
      <c r="L447" s="10"/>
      <c r="M447" s="10"/>
      <c r="N447" s="10"/>
      <c r="O447" s="10"/>
      <c r="P447" s="85"/>
      <c r="Q447" s="88"/>
      <c r="R447" s="3">
        <f>IFERROR(VLOOKUP(TablaEnero[[#This Row],[BARRIO]],SECTOR!$A:$B,2,0),"")</f>
      </c>
      <c r="S447" s="89"/>
      <c r="T447" s="90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6"/>
      <c r="AZ447" s="120">
        <f>COUNTIF(U447:AY447,"A")</f>
      </c>
      <c r="BA447" s="121">
        <f>COUNTIF(U447:AY447,"F")</f>
      </c>
      <c r="BB447" s="119">
        <f>COUNTIF(U447:AY447,"E")</f>
      </c>
    </row>
    <row r="448" spans="1:54" x14ac:dyDescent="0.2">
      <c r="A448" s="84"/>
      <c r="B448" s="85"/>
      <c r="C448" s="85"/>
      <c r="D448" s="85"/>
      <c r="E448" s="86"/>
      <c r="F448" s="16">
        <f>IF(E448="","",DATEDIF(E448,$I$7,"Y"))</f>
      </c>
      <c r="G448" s="85"/>
      <c r="H448" s="85"/>
      <c r="I448" s="87"/>
      <c r="J448" s="85"/>
      <c r="K448" s="85"/>
      <c r="L448" s="10"/>
      <c r="M448" s="10"/>
      <c r="N448" s="10"/>
      <c r="O448" s="10"/>
      <c r="P448" s="85"/>
      <c r="Q448" s="88"/>
      <c r="R448" s="3">
        <f>IFERROR(VLOOKUP(TablaEnero[[#This Row],[BARRIO]],SECTOR!$A:$B,2,0),"")</f>
      </c>
      <c r="S448" s="89"/>
      <c r="T448" s="90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6"/>
      <c r="AZ448" s="120">
        <f>COUNTIF(U448:AY448,"A")</f>
      </c>
      <c r="BA448" s="121">
        <f>COUNTIF(U448:AY448,"F")</f>
      </c>
      <c r="BB448" s="119">
        <f>COUNTIF(U448:AY448,"E")</f>
      </c>
    </row>
    <row r="449" spans="1:54" x14ac:dyDescent="0.2">
      <c r="A449" s="84"/>
      <c r="B449" s="85"/>
      <c r="C449" s="85"/>
      <c r="D449" s="85"/>
      <c r="E449" s="86"/>
      <c r="F449" s="16">
        <f>IF(E449="","",DATEDIF(E449,$I$7,"Y"))</f>
      </c>
      <c r="G449" s="85"/>
      <c r="H449" s="85"/>
      <c r="I449" s="87"/>
      <c r="J449" s="85"/>
      <c r="K449" s="85"/>
      <c r="L449" s="10"/>
      <c r="M449" s="10"/>
      <c r="N449" s="10"/>
      <c r="O449" s="10"/>
      <c r="P449" s="85"/>
      <c r="Q449" s="88"/>
      <c r="R449" s="3">
        <f>IFERROR(VLOOKUP(TablaEnero[[#This Row],[BARRIO]],SECTOR!$A:$B,2,0),"")</f>
      </c>
      <c r="S449" s="89"/>
      <c r="T449" s="90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6"/>
      <c r="AZ449" s="120">
        <f>COUNTIF(U449:AY449,"A")</f>
      </c>
      <c r="BA449" s="121">
        <f>COUNTIF(U449:AY449,"F")</f>
      </c>
      <c r="BB449" s="119">
        <f>COUNTIF(U449:AY449,"E")</f>
      </c>
    </row>
    <row r="450" spans="1:54" x14ac:dyDescent="0.2">
      <c r="A450" s="84"/>
      <c r="B450" s="85"/>
      <c r="C450" s="85"/>
      <c r="D450" s="85"/>
      <c r="E450" s="86"/>
      <c r="F450" s="16">
        <f>IF(E450="","",DATEDIF(E450,$I$7,"Y"))</f>
      </c>
      <c r="G450" s="85"/>
      <c r="H450" s="85"/>
      <c r="I450" s="87"/>
      <c r="J450" s="85"/>
      <c r="K450" s="85"/>
      <c r="L450" s="10"/>
      <c r="M450" s="10"/>
      <c r="N450" s="10"/>
      <c r="O450" s="10"/>
      <c r="P450" s="85"/>
      <c r="Q450" s="88"/>
      <c r="R450" s="3">
        <f>IFERROR(VLOOKUP(TablaEnero[[#This Row],[BARRIO]],SECTOR!$A:$B,2,0),"")</f>
      </c>
      <c r="S450" s="89"/>
      <c r="T450" s="90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6"/>
      <c r="AZ450" s="120">
        <f>COUNTIF(U450:AY450,"A")</f>
      </c>
      <c r="BA450" s="121">
        <f>COUNTIF(U450:AY450,"F")</f>
      </c>
      <c r="BB450" s="119">
        <f>COUNTIF(U450:AY450,"E")</f>
      </c>
    </row>
    <row r="451" spans="1:54" x14ac:dyDescent="0.2">
      <c r="A451" s="84"/>
      <c r="B451" s="85"/>
      <c r="C451" s="85"/>
      <c r="D451" s="85"/>
      <c r="E451" s="86"/>
      <c r="F451" s="16">
        <f>IF(E451="","",DATEDIF(E451,$I$7,"Y"))</f>
      </c>
      <c r="G451" s="85"/>
      <c r="H451" s="85"/>
      <c r="I451" s="87"/>
      <c r="J451" s="85"/>
      <c r="K451" s="85"/>
      <c r="L451" s="10"/>
      <c r="M451" s="10"/>
      <c r="N451" s="10"/>
      <c r="O451" s="10"/>
      <c r="P451" s="85"/>
      <c r="Q451" s="88"/>
      <c r="R451" s="3">
        <f>IFERROR(VLOOKUP(TablaEnero[[#This Row],[BARRIO]],SECTOR!$A:$B,2,0),"")</f>
      </c>
      <c r="S451" s="89"/>
      <c r="T451" s="90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6"/>
      <c r="AZ451" s="120">
        <f>COUNTIF(U451:AY451,"A")</f>
      </c>
      <c r="BA451" s="121">
        <f>COUNTIF(U451:AY451,"F")</f>
      </c>
      <c r="BB451" s="119">
        <f>COUNTIF(U451:AY451,"E")</f>
      </c>
    </row>
    <row r="452" spans="1:54" x14ac:dyDescent="0.2">
      <c r="A452" s="84"/>
      <c r="B452" s="85"/>
      <c r="C452" s="85"/>
      <c r="D452" s="85"/>
      <c r="E452" s="86"/>
      <c r="F452" s="16">
        <f>IF(E452="","",DATEDIF(E452,$I$7,"Y"))</f>
      </c>
      <c r="G452" s="85"/>
      <c r="H452" s="85"/>
      <c r="I452" s="87"/>
      <c r="J452" s="85"/>
      <c r="K452" s="85"/>
      <c r="L452" s="10"/>
      <c r="M452" s="10"/>
      <c r="N452" s="10"/>
      <c r="O452" s="10"/>
      <c r="P452" s="85"/>
      <c r="Q452" s="88"/>
      <c r="R452" s="3">
        <f>IFERROR(VLOOKUP(TablaEnero[[#This Row],[BARRIO]],SECTOR!$A:$B,2,0),"")</f>
      </c>
      <c r="S452" s="89"/>
      <c r="T452" s="90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6"/>
      <c r="AZ452" s="120">
        <f>COUNTIF(U452:AY452,"A")</f>
      </c>
      <c r="BA452" s="121">
        <f>COUNTIF(U452:AY452,"F")</f>
      </c>
      <c r="BB452" s="119">
        <f>COUNTIF(U452:AY452,"E")</f>
      </c>
    </row>
    <row r="453" spans="1:54" x14ac:dyDescent="0.2">
      <c r="A453" s="84"/>
      <c r="B453" s="85"/>
      <c r="C453" s="85"/>
      <c r="D453" s="85"/>
      <c r="E453" s="86"/>
      <c r="F453" s="16">
        <f>IF(E453="","",DATEDIF(E453,$I$7,"Y"))</f>
      </c>
      <c r="G453" s="85"/>
      <c r="H453" s="85"/>
      <c r="I453" s="87"/>
      <c r="J453" s="85"/>
      <c r="K453" s="85"/>
      <c r="L453" s="10"/>
      <c r="M453" s="10"/>
      <c r="N453" s="10"/>
      <c r="O453" s="10"/>
      <c r="P453" s="85"/>
      <c r="Q453" s="88"/>
      <c r="R453" s="3">
        <f>IFERROR(VLOOKUP(TablaEnero[[#This Row],[BARRIO]],SECTOR!$A:$B,2,0),"")</f>
      </c>
      <c r="S453" s="89"/>
      <c r="T453" s="90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6"/>
      <c r="AZ453" s="120">
        <f>COUNTIF(U453:AY453,"A")</f>
      </c>
      <c r="BA453" s="121">
        <f>COUNTIF(U453:AY453,"F")</f>
      </c>
      <c r="BB453" s="119">
        <f>COUNTIF(U453:AY453,"E")</f>
      </c>
    </row>
    <row r="454" spans="1:54" x14ac:dyDescent="0.2">
      <c r="A454" s="84"/>
      <c r="B454" s="85"/>
      <c r="C454" s="85"/>
      <c r="D454" s="85"/>
      <c r="E454" s="86"/>
      <c r="F454" s="16">
        <f>IF(E454="","",DATEDIF(E454,$I$7,"Y"))</f>
      </c>
      <c r="G454" s="85"/>
      <c r="H454" s="85"/>
      <c r="I454" s="87"/>
      <c r="J454" s="85"/>
      <c r="K454" s="85"/>
      <c r="L454" s="10"/>
      <c r="M454" s="10"/>
      <c r="N454" s="10"/>
      <c r="O454" s="10"/>
      <c r="P454" s="85"/>
      <c r="Q454" s="88"/>
      <c r="R454" s="3">
        <f>IFERROR(VLOOKUP(TablaEnero[[#This Row],[BARRIO]],SECTOR!$A:$B,2,0),"")</f>
      </c>
      <c r="S454" s="89"/>
      <c r="T454" s="90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6"/>
      <c r="AZ454" s="120">
        <f>COUNTIF(U454:AY454,"A")</f>
      </c>
      <c r="BA454" s="121">
        <f>COUNTIF(U454:AY454,"F")</f>
      </c>
      <c r="BB454" s="119">
        <f>COUNTIF(U454:AY454,"E")</f>
      </c>
    </row>
    <row r="455" spans="1:54" x14ac:dyDescent="0.2">
      <c r="A455" s="84"/>
      <c r="B455" s="85"/>
      <c r="C455" s="85"/>
      <c r="D455" s="85"/>
      <c r="E455" s="86"/>
      <c r="F455" s="16">
        <f>IF(E455="","",DATEDIF(E455,$I$7,"Y"))</f>
      </c>
      <c r="G455" s="85"/>
      <c r="H455" s="85"/>
      <c r="I455" s="87"/>
      <c r="J455" s="85"/>
      <c r="K455" s="85"/>
      <c r="L455" s="10"/>
      <c r="M455" s="10"/>
      <c r="N455" s="10"/>
      <c r="O455" s="10"/>
      <c r="P455" s="85"/>
      <c r="Q455" s="88"/>
      <c r="R455" s="3">
        <f>IFERROR(VLOOKUP(TablaEnero[[#This Row],[BARRIO]],SECTOR!$A:$B,2,0),"")</f>
      </c>
      <c r="S455" s="89"/>
      <c r="T455" s="90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6"/>
      <c r="AZ455" s="120">
        <f>COUNTIF(U455:AY455,"A")</f>
      </c>
      <c r="BA455" s="121">
        <f>COUNTIF(U455:AY455,"F")</f>
      </c>
      <c r="BB455" s="119">
        <f>COUNTIF(U455:AY455,"E")</f>
      </c>
    </row>
    <row r="456" spans="1:54" x14ac:dyDescent="0.2">
      <c r="A456" s="84"/>
      <c r="B456" s="85"/>
      <c r="C456" s="85"/>
      <c r="D456" s="85"/>
      <c r="E456" s="86"/>
      <c r="F456" s="16">
        <f>IF(E456="","",DATEDIF(E456,$I$7,"Y"))</f>
      </c>
      <c r="G456" s="85"/>
      <c r="H456" s="85"/>
      <c r="I456" s="87"/>
      <c r="J456" s="85"/>
      <c r="K456" s="85"/>
      <c r="L456" s="10"/>
      <c r="M456" s="10"/>
      <c r="N456" s="10"/>
      <c r="O456" s="10"/>
      <c r="P456" s="85"/>
      <c r="Q456" s="88"/>
      <c r="R456" s="3">
        <f>IFERROR(VLOOKUP(TablaEnero[[#This Row],[BARRIO]],SECTOR!$A:$B,2,0),"")</f>
      </c>
      <c r="S456" s="89"/>
      <c r="T456" s="90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6"/>
      <c r="AZ456" s="120">
        <f>COUNTIF(U456:AY456,"A")</f>
      </c>
      <c r="BA456" s="121">
        <f>COUNTIF(U456:AY456,"F")</f>
      </c>
      <c r="BB456" s="119">
        <f>COUNTIF(U456:AY456,"E")</f>
      </c>
    </row>
    <row r="457" spans="1:54" x14ac:dyDescent="0.2">
      <c r="A457" s="84"/>
      <c r="B457" s="85"/>
      <c r="C457" s="85"/>
      <c r="D457" s="85"/>
      <c r="E457" s="86"/>
      <c r="F457" s="16">
        <f>IF(E457="","",DATEDIF(E457,$I$7,"Y"))</f>
      </c>
      <c r="G457" s="85"/>
      <c r="H457" s="85"/>
      <c r="I457" s="87"/>
      <c r="J457" s="85"/>
      <c r="K457" s="85"/>
      <c r="L457" s="10"/>
      <c r="M457" s="10"/>
      <c r="N457" s="10"/>
      <c r="O457" s="10"/>
      <c r="P457" s="85"/>
      <c r="Q457" s="88"/>
      <c r="R457" s="3">
        <f>IFERROR(VLOOKUP(TablaEnero[[#This Row],[BARRIO]],SECTOR!$A:$B,2,0),"")</f>
      </c>
      <c r="S457" s="89"/>
      <c r="T457" s="90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6"/>
      <c r="AZ457" s="120">
        <f>COUNTIF(U457:AY457,"A")</f>
      </c>
      <c r="BA457" s="121">
        <f>COUNTIF(U457:AY457,"F")</f>
      </c>
      <c r="BB457" s="119">
        <f>COUNTIF(U457:AY457,"E")</f>
      </c>
    </row>
    <row r="458" spans="1:54" x14ac:dyDescent="0.2">
      <c r="A458" s="84"/>
      <c r="B458" s="85"/>
      <c r="C458" s="85"/>
      <c r="D458" s="85"/>
      <c r="E458" s="86"/>
      <c r="F458" s="16">
        <f>IF(E458="","",DATEDIF(E458,$I$7,"Y"))</f>
      </c>
      <c r="G458" s="85"/>
      <c r="H458" s="85"/>
      <c r="I458" s="87"/>
      <c r="J458" s="85"/>
      <c r="K458" s="85"/>
      <c r="L458" s="10"/>
      <c r="M458" s="10"/>
      <c r="N458" s="10"/>
      <c r="O458" s="10"/>
      <c r="P458" s="85"/>
      <c r="Q458" s="88"/>
      <c r="R458" s="3">
        <f>IFERROR(VLOOKUP(TablaEnero[[#This Row],[BARRIO]],SECTOR!$A:$B,2,0),"")</f>
      </c>
      <c r="S458" s="89"/>
      <c r="T458" s="90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6"/>
      <c r="AZ458" s="120">
        <f>COUNTIF(U458:AY458,"A")</f>
      </c>
      <c r="BA458" s="121">
        <f>COUNTIF(U458:AY458,"F")</f>
      </c>
      <c r="BB458" s="119">
        <f>COUNTIF(U458:AY458,"E")</f>
      </c>
    </row>
    <row r="459" spans="1:54" x14ac:dyDescent="0.2">
      <c r="A459" s="84"/>
      <c r="B459" s="85"/>
      <c r="C459" s="85"/>
      <c r="D459" s="85"/>
      <c r="E459" s="86"/>
      <c r="F459" s="16">
        <f>IF(E459="","",DATEDIF(E459,$I$7,"Y"))</f>
      </c>
      <c r="G459" s="85"/>
      <c r="H459" s="85"/>
      <c r="I459" s="87"/>
      <c r="J459" s="85"/>
      <c r="K459" s="85"/>
      <c r="L459" s="10"/>
      <c r="M459" s="10"/>
      <c r="N459" s="10"/>
      <c r="O459" s="10"/>
      <c r="P459" s="85"/>
      <c r="Q459" s="88"/>
      <c r="R459" s="3">
        <f>IFERROR(VLOOKUP(TablaEnero[[#This Row],[BARRIO]],SECTOR!$A:$B,2,0),"")</f>
      </c>
      <c r="S459" s="89"/>
      <c r="T459" s="90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6"/>
      <c r="AZ459" s="120">
        <f>COUNTIF(U459:AY459,"A")</f>
      </c>
      <c r="BA459" s="121">
        <f>COUNTIF(U459:AY459,"F")</f>
      </c>
      <c r="BB459" s="119">
        <f>COUNTIF(U459:AY459,"E")</f>
      </c>
    </row>
    <row r="460" spans="1:54" x14ac:dyDescent="0.2">
      <c r="A460" s="84"/>
      <c r="B460" s="85"/>
      <c r="C460" s="85"/>
      <c r="D460" s="85"/>
      <c r="E460" s="86"/>
      <c r="F460" s="16">
        <f>IF(E460="","",DATEDIF(E460,$I$7,"Y"))</f>
      </c>
      <c r="G460" s="85"/>
      <c r="H460" s="85"/>
      <c r="I460" s="87"/>
      <c r="J460" s="85"/>
      <c r="K460" s="85"/>
      <c r="L460" s="10"/>
      <c r="M460" s="10"/>
      <c r="N460" s="10"/>
      <c r="O460" s="10"/>
      <c r="P460" s="85"/>
      <c r="Q460" s="88"/>
      <c r="R460" s="3">
        <f>IFERROR(VLOOKUP(TablaEnero[[#This Row],[BARRIO]],SECTOR!$A:$B,2,0),"")</f>
      </c>
      <c r="S460" s="89"/>
      <c r="T460" s="90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6"/>
      <c r="AZ460" s="120">
        <f>COUNTIF(U460:AY460,"A")</f>
      </c>
      <c r="BA460" s="121">
        <f>COUNTIF(U460:AY460,"F")</f>
      </c>
      <c r="BB460" s="119">
        <f>COUNTIF(U460:AY460,"E")</f>
      </c>
    </row>
    <row r="461" spans="1:54" x14ac:dyDescent="0.2">
      <c r="A461" s="84"/>
      <c r="B461" s="85"/>
      <c r="C461" s="85"/>
      <c r="D461" s="85"/>
      <c r="E461" s="86"/>
      <c r="F461" s="16">
        <f>IF(E461="","",DATEDIF(E461,$I$7,"Y"))</f>
      </c>
      <c r="G461" s="85"/>
      <c r="H461" s="85"/>
      <c r="I461" s="87"/>
      <c r="J461" s="85"/>
      <c r="K461" s="85"/>
      <c r="L461" s="10"/>
      <c r="M461" s="10"/>
      <c r="N461" s="10"/>
      <c r="O461" s="10"/>
      <c r="P461" s="85"/>
      <c r="Q461" s="88"/>
      <c r="R461" s="3">
        <f>IFERROR(VLOOKUP(TablaEnero[[#This Row],[BARRIO]],SECTOR!$A:$B,2,0),"")</f>
      </c>
      <c r="S461" s="89"/>
      <c r="T461" s="90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6"/>
      <c r="AZ461" s="120">
        <f>COUNTIF(U461:AY461,"A")</f>
      </c>
      <c r="BA461" s="121">
        <f>COUNTIF(U461:AY461,"F")</f>
      </c>
      <c r="BB461" s="119">
        <f>COUNTIF(U461:AY461,"E")</f>
      </c>
    </row>
    <row r="462" spans="1:54" x14ac:dyDescent="0.2">
      <c r="A462" s="84"/>
      <c r="B462" s="85"/>
      <c r="C462" s="85"/>
      <c r="D462" s="85"/>
      <c r="E462" s="86"/>
      <c r="F462" s="16">
        <f>IF(E462="","",DATEDIF(E462,$I$7,"Y"))</f>
      </c>
      <c r="G462" s="85"/>
      <c r="H462" s="85"/>
      <c r="I462" s="87"/>
      <c r="J462" s="85"/>
      <c r="K462" s="85"/>
      <c r="L462" s="10"/>
      <c r="M462" s="10"/>
      <c r="N462" s="10"/>
      <c r="O462" s="10"/>
      <c r="P462" s="85"/>
      <c r="Q462" s="88"/>
      <c r="R462" s="3">
        <f>IFERROR(VLOOKUP(TablaEnero[[#This Row],[BARRIO]],SECTOR!$A:$B,2,0),"")</f>
      </c>
      <c r="S462" s="89"/>
      <c r="T462" s="90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6"/>
      <c r="AZ462" s="120">
        <f>COUNTIF(U462:AY462,"A")</f>
      </c>
      <c r="BA462" s="121">
        <f>COUNTIF(U462:AY462,"F")</f>
      </c>
      <c r="BB462" s="119">
        <f>COUNTIF(U462:AY462,"E")</f>
      </c>
    </row>
    <row r="463" spans="1:54" x14ac:dyDescent="0.2">
      <c r="A463" s="84"/>
      <c r="B463" s="85"/>
      <c r="C463" s="85"/>
      <c r="D463" s="85"/>
      <c r="E463" s="86"/>
      <c r="F463" s="16">
        <f>IF(E463="","",DATEDIF(E463,$I$7,"Y"))</f>
      </c>
      <c r="G463" s="85"/>
      <c r="H463" s="85"/>
      <c r="I463" s="87"/>
      <c r="J463" s="85"/>
      <c r="K463" s="85"/>
      <c r="L463" s="10"/>
      <c r="M463" s="10"/>
      <c r="N463" s="10"/>
      <c r="O463" s="10"/>
      <c r="P463" s="85"/>
      <c r="Q463" s="88"/>
      <c r="R463" s="3">
        <f>IFERROR(VLOOKUP(TablaEnero[[#This Row],[BARRIO]],SECTOR!$A:$B,2,0),"")</f>
      </c>
      <c r="S463" s="89"/>
      <c r="T463" s="90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6"/>
      <c r="AZ463" s="120">
        <f>COUNTIF(U463:AY463,"A")</f>
      </c>
      <c r="BA463" s="121">
        <f>COUNTIF(U463:AY463,"F")</f>
      </c>
      <c r="BB463" s="119">
        <f>COUNTIF(U463:AY463,"E")</f>
      </c>
    </row>
    <row r="464" spans="1:54" x14ac:dyDescent="0.2">
      <c r="A464" s="84"/>
      <c r="B464" s="85"/>
      <c r="C464" s="85"/>
      <c r="D464" s="85"/>
      <c r="E464" s="86"/>
      <c r="F464" s="16">
        <f>IF(E464="","",DATEDIF(E464,$I$7,"Y"))</f>
      </c>
      <c r="G464" s="85"/>
      <c r="H464" s="85"/>
      <c r="I464" s="87"/>
      <c r="J464" s="85"/>
      <c r="K464" s="85"/>
      <c r="L464" s="10"/>
      <c r="M464" s="10"/>
      <c r="N464" s="10"/>
      <c r="O464" s="10"/>
      <c r="P464" s="85"/>
      <c r="Q464" s="88"/>
      <c r="R464" s="3">
        <f>IFERROR(VLOOKUP(TablaEnero[[#This Row],[BARRIO]],SECTOR!$A:$B,2,0),"")</f>
      </c>
      <c r="S464" s="89"/>
      <c r="T464" s="90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6"/>
      <c r="AZ464" s="120">
        <f>COUNTIF(U464:AY464,"A")</f>
      </c>
      <c r="BA464" s="121">
        <f>COUNTIF(U464:AY464,"F")</f>
      </c>
      <c r="BB464" s="119">
        <f>COUNTIF(U464:AY464,"E")</f>
      </c>
    </row>
    <row r="465" spans="1:54" x14ac:dyDescent="0.2">
      <c r="A465" s="84"/>
      <c r="B465" s="85"/>
      <c r="C465" s="85"/>
      <c r="D465" s="85"/>
      <c r="E465" s="86"/>
      <c r="F465" s="16">
        <f>IF(E465="","",DATEDIF(E465,$I$7,"Y"))</f>
      </c>
      <c r="G465" s="85"/>
      <c r="H465" s="85"/>
      <c r="I465" s="87"/>
      <c r="J465" s="85"/>
      <c r="K465" s="85"/>
      <c r="L465" s="10"/>
      <c r="M465" s="10"/>
      <c r="N465" s="10"/>
      <c r="O465" s="10"/>
      <c r="P465" s="85"/>
      <c r="Q465" s="88"/>
      <c r="R465" s="3">
        <f>IFERROR(VLOOKUP(TablaEnero[[#This Row],[BARRIO]],SECTOR!$A:$B,2,0),"")</f>
      </c>
      <c r="S465" s="89"/>
      <c r="T465" s="90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6"/>
      <c r="AZ465" s="120">
        <f>COUNTIF(U465:AY465,"A")</f>
      </c>
      <c r="BA465" s="121">
        <f>COUNTIF(U465:AY465,"F")</f>
      </c>
      <c r="BB465" s="119">
        <f>COUNTIF(U465:AY465,"E")</f>
      </c>
    </row>
    <row r="466" spans="1:54" x14ac:dyDescent="0.2">
      <c r="A466" s="84"/>
      <c r="B466" s="85"/>
      <c r="C466" s="85"/>
      <c r="D466" s="85"/>
      <c r="E466" s="86"/>
      <c r="F466" s="16">
        <f>IF(E466="","",DATEDIF(E466,$I$7,"Y"))</f>
      </c>
      <c r="G466" s="85"/>
      <c r="H466" s="85"/>
      <c r="I466" s="87"/>
      <c r="J466" s="85"/>
      <c r="K466" s="85"/>
      <c r="L466" s="10"/>
      <c r="M466" s="10"/>
      <c r="N466" s="10"/>
      <c r="O466" s="10"/>
      <c r="P466" s="85"/>
      <c r="Q466" s="88"/>
      <c r="R466" s="3">
        <f>IFERROR(VLOOKUP(TablaEnero[[#This Row],[BARRIO]],SECTOR!$A:$B,2,0),"")</f>
      </c>
      <c r="S466" s="89"/>
      <c r="T466" s="90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6"/>
      <c r="AZ466" s="120">
        <f>COUNTIF(U466:AY466,"A")</f>
      </c>
      <c r="BA466" s="121">
        <f>COUNTIF(U466:AY466,"F")</f>
      </c>
      <c r="BB466" s="119">
        <f>COUNTIF(U466:AY466,"E")</f>
      </c>
    </row>
    <row r="467" spans="1:54" x14ac:dyDescent="0.2">
      <c r="A467" s="84"/>
      <c r="B467" s="85"/>
      <c r="C467" s="85"/>
      <c r="D467" s="85"/>
      <c r="E467" s="86"/>
      <c r="F467" s="16">
        <f>IF(E467="","",DATEDIF(E467,$I$7,"Y"))</f>
      </c>
      <c r="G467" s="85"/>
      <c r="H467" s="85"/>
      <c r="I467" s="87"/>
      <c r="J467" s="85"/>
      <c r="K467" s="85"/>
      <c r="L467" s="10"/>
      <c r="M467" s="10"/>
      <c r="N467" s="10"/>
      <c r="O467" s="10"/>
      <c r="P467" s="85"/>
      <c r="Q467" s="88"/>
      <c r="R467" s="3">
        <f>IFERROR(VLOOKUP(TablaEnero[[#This Row],[BARRIO]],SECTOR!$A:$B,2,0),"")</f>
      </c>
      <c r="S467" s="89"/>
      <c r="T467" s="90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6"/>
      <c r="AZ467" s="120">
        <f>COUNTIF(U467:AY467,"A")</f>
      </c>
      <c r="BA467" s="121">
        <f>COUNTIF(U467:AY467,"F")</f>
      </c>
      <c r="BB467" s="119">
        <f>COUNTIF(U467:AY467,"E")</f>
      </c>
    </row>
    <row r="468" spans="1:54" x14ac:dyDescent="0.2">
      <c r="A468" s="84"/>
      <c r="B468" s="85"/>
      <c r="C468" s="85"/>
      <c r="D468" s="85"/>
      <c r="E468" s="86"/>
      <c r="F468" s="16">
        <f>IF(E468="","",DATEDIF(E468,$I$7,"Y"))</f>
      </c>
      <c r="G468" s="85"/>
      <c r="H468" s="85"/>
      <c r="I468" s="87"/>
      <c r="J468" s="85"/>
      <c r="K468" s="85"/>
      <c r="L468" s="10"/>
      <c r="M468" s="10"/>
      <c r="N468" s="10"/>
      <c r="O468" s="10"/>
      <c r="P468" s="85"/>
      <c r="Q468" s="88"/>
      <c r="R468" s="3">
        <f>IFERROR(VLOOKUP(TablaEnero[[#This Row],[BARRIO]],SECTOR!$A:$B,2,0),"")</f>
      </c>
      <c r="S468" s="89"/>
      <c r="T468" s="90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6"/>
      <c r="AZ468" s="120">
        <f>COUNTIF(U468:AY468,"A")</f>
      </c>
      <c r="BA468" s="121">
        <f>COUNTIF(U468:AY468,"F")</f>
      </c>
      <c r="BB468" s="119">
        <f>COUNTIF(U468:AY468,"E")</f>
      </c>
    </row>
    <row r="469" spans="1:54" x14ac:dyDescent="0.2">
      <c r="A469" s="84"/>
      <c r="B469" s="85"/>
      <c r="C469" s="85"/>
      <c r="D469" s="85"/>
      <c r="E469" s="86"/>
      <c r="F469" s="16">
        <f>IF(E469="","",DATEDIF(E469,$I$7,"Y"))</f>
      </c>
      <c r="G469" s="85"/>
      <c r="H469" s="85"/>
      <c r="I469" s="87"/>
      <c r="J469" s="85"/>
      <c r="K469" s="85"/>
      <c r="L469" s="10"/>
      <c r="M469" s="10"/>
      <c r="N469" s="10"/>
      <c r="O469" s="10"/>
      <c r="P469" s="85"/>
      <c r="Q469" s="88"/>
      <c r="R469" s="3">
        <f>IFERROR(VLOOKUP(TablaEnero[[#This Row],[BARRIO]],SECTOR!$A:$B,2,0),"")</f>
      </c>
      <c r="S469" s="89"/>
      <c r="T469" s="90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6"/>
      <c r="AZ469" s="120">
        <f>COUNTIF(U469:AY469,"A")</f>
      </c>
      <c r="BA469" s="121">
        <f>COUNTIF(U469:AY469,"F")</f>
      </c>
      <c r="BB469" s="119">
        <f>COUNTIF(U469:AY469,"E")</f>
      </c>
    </row>
    <row r="470" spans="1:54" x14ac:dyDescent="0.2">
      <c r="A470" s="84"/>
      <c r="B470" s="85"/>
      <c r="C470" s="85"/>
      <c r="D470" s="85"/>
      <c r="E470" s="86"/>
      <c r="F470" s="16">
        <f>IF(E470="","",DATEDIF(E470,$I$7,"Y"))</f>
      </c>
      <c r="G470" s="85"/>
      <c r="H470" s="85"/>
      <c r="I470" s="87"/>
      <c r="J470" s="85"/>
      <c r="K470" s="85"/>
      <c r="L470" s="10"/>
      <c r="M470" s="10"/>
      <c r="N470" s="10"/>
      <c r="O470" s="10"/>
      <c r="P470" s="85"/>
      <c r="Q470" s="88"/>
      <c r="R470" s="3">
        <f>IFERROR(VLOOKUP(TablaEnero[[#This Row],[BARRIO]],SECTOR!$A:$B,2,0),"")</f>
      </c>
      <c r="S470" s="89"/>
      <c r="T470" s="90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6"/>
      <c r="AZ470" s="120">
        <f>COUNTIF(U470:AY470,"A")</f>
      </c>
      <c r="BA470" s="121">
        <f>COUNTIF(U470:AY470,"F")</f>
      </c>
      <c r="BB470" s="119">
        <f>COUNTIF(U470:AY470,"E")</f>
      </c>
    </row>
    <row r="471" spans="1:54" x14ac:dyDescent="0.2">
      <c r="A471" s="84"/>
      <c r="B471" s="85"/>
      <c r="C471" s="85"/>
      <c r="D471" s="85"/>
      <c r="E471" s="86"/>
      <c r="F471" s="16">
        <f>IF(E471="","",DATEDIF(E471,$I$7,"Y"))</f>
      </c>
      <c r="G471" s="85"/>
      <c r="H471" s="85"/>
      <c r="I471" s="87"/>
      <c r="J471" s="85"/>
      <c r="K471" s="85"/>
      <c r="L471" s="10"/>
      <c r="M471" s="10"/>
      <c r="N471" s="10"/>
      <c r="O471" s="10"/>
      <c r="P471" s="85"/>
      <c r="Q471" s="88"/>
      <c r="R471" s="3">
        <f>IFERROR(VLOOKUP(TablaEnero[[#This Row],[BARRIO]],SECTOR!$A:$B,2,0),"")</f>
      </c>
      <c r="S471" s="89"/>
      <c r="T471" s="90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6"/>
      <c r="AZ471" s="120">
        <f>COUNTIF(U471:AY471,"A")</f>
      </c>
      <c r="BA471" s="121">
        <f>COUNTIF(U471:AY471,"F")</f>
      </c>
      <c r="BB471" s="119">
        <f>COUNTIF(U471:AY471,"E")</f>
      </c>
    </row>
    <row r="472" spans="1:54" x14ac:dyDescent="0.2">
      <c r="A472" s="84"/>
      <c r="B472" s="85"/>
      <c r="C472" s="85"/>
      <c r="D472" s="85"/>
      <c r="E472" s="86"/>
      <c r="F472" s="16">
        <f>IF(E472="","",DATEDIF(E472,$I$7,"Y"))</f>
      </c>
      <c r="G472" s="85"/>
      <c r="H472" s="85"/>
      <c r="I472" s="87"/>
      <c r="J472" s="85"/>
      <c r="K472" s="85"/>
      <c r="L472" s="10"/>
      <c r="M472" s="10"/>
      <c r="N472" s="10"/>
      <c r="O472" s="10"/>
      <c r="P472" s="85"/>
      <c r="Q472" s="88"/>
      <c r="R472" s="3">
        <f>IFERROR(VLOOKUP(TablaEnero[[#This Row],[BARRIO]],SECTOR!$A:$B,2,0),"")</f>
      </c>
      <c r="S472" s="89"/>
      <c r="T472" s="90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6"/>
      <c r="AZ472" s="120">
        <f>COUNTIF(U472:AY472,"A")</f>
      </c>
      <c r="BA472" s="121">
        <f>COUNTIF(U472:AY472,"F")</f>
      </c>
      <c r="BB472" s="119">
        <f>COUNTIF(U472:AY472,"E")</f>
      </c>
    </row>
    <row r="473" spans="1:54" x14ac:dyDescent="0.2">
      <c r="A473" s="84"/>
      <c r="B473" s="85"/>
      <c r="C473" s="85"/>
      <c r="D473" s="85"/>
      <c r="E473" s="86"/>
      <c r="F473" s="16">
        <f>IF(E473="","",DATEDIF(E473,$I$7,"Y"))</f>
      </c>
      <c r="G473" s="85"/>
      <c r="H473" s="85"/>
      <c r="I473" s="87"/>
      <c r="J473" s="85"/>
      <c r="K473" s="85"/>
      <c r="L473" s="10"/>
      <c r="M473" s="10"/>
      <c r="N473" s="10"/>
      <c r="O473" s="10"/>
      <c r="P473" s="85"/>
      <c r="Q473" s="88"/>
      <c r="R473" s="3">
        <f>IFERROR(VLOOKUP(TablaEnero[[#This Row],[BARRIO]],SECTOR!$A:$B,2,0),"")</f>
      </c>
      <c r="S473" s="89"/>
      <c r="T473" s="90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6"/>
      <c r="AZ473" s="120">
        <f>COUNTIF(U473:AY473,"A")</f>
      </c>
      <c r="BA473" s="121">
        <f>COUNTIF(U473:AY473,"F")</f>
      </c>
      <c r="BB473" s="119">
        <f>COUNTIF(U473:AY473,"E")</f>
      </c>
    </row>
    <row r="474" spans="1:54" x14ac:dyDescent="0.2">
      <c r="A474" s="84"/>
      <c r="B474" s="85"/>
      <c r="C474" s="85"/>
      <c r="D474" s="85"/>
      <c r="E474" s="86"/>
      <c r="F474" s="16">
        <f>IF(E474="","",DATEDIF(E474,$I$7,"Y"))</f>
      </c>
      <c r="G474" s="85"/>
      <c r="H474" s="85"/>
      <c r="I474" s="87"/>
      <c r="J474" s="85"/>
      <c r="K474" s="85"/>
      <c r="L474" s="10"/>
      <c r="M474" s="10"/>
      <c r="N474" s="10"/>
      <c r="O474" s="10"/>
      <c r="P474" s="85"/>
      <c r="Q474" s="88"/>
      <c r="R474" s="3">
        <f>IFERROR(VLOOKUP(TablaEnero[[#This Row],[BARRIO]],SECTOR!$A:$B,2,0),"")</f>
      </c>
      <c r="S474" s="89"/>
      <c r="T474" s="90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6"/>
      <c r="AZ474" s="120">
        <f>COUNTIF(U474:AY474,"A")</f>
      </c>
      <c r="BA474" s="121">
        <f>COUNTIF(U474:AY474,"F")</f>
      </c>
      <c r="BB474" s="119">
        <f>COUNTIF(U474:AY474,"E")</f>
      </c>
    </row>
    <row r="475" spans="1:54" x14ac:dyDescent="0.2">
      <c r="A475" s="84"/>
      <c r="B475" s="85"/>
      <c r="C475" s="85"/>
      <c r="D475" s="85"/>
      <c r="E475" s="86"/>
      <c r="F475" s="16">
        <f>IF(E475="","",DATEDIF(E475,$I$7,"Y"))</f>
      </c>
      <c r="G475" s="85"/>
      <c r="H475" s="85"/>
      <c r="I475" s="87"/>
      <c r="J475" s="85"/>
      <c r="K475" s="85"/>
      <c r="L475" s="10"/>
      <c r="M475" s="10"/>
      <c r="N475" s="10"/>
      <c r="O475" s="10"/>
      <c r="P475" s="85"/>
      <c r="Q475" s="88"/>
      <c r="R475" s="3">
        <f>IFERROR(VLOOKUP(TablaEnero[[#This Row],[BARRIO]],SECTOR!$A:$B,2,0),"")</f>
      </c>
      <c r="S475" s="89"/>
      <c r="T475" s="90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6"/>
      <c r="AZ475" s="120">
        <f>COUNTIF(U475:AY475,"A")</f>
      </c>
      <c r="BA475" s="121">
        <f>COUNTIF(U475:AY475,"F")</f>
      </c>
      <c r="BB475" s="119">
        <f>COUNTIF(U475:AY475,"E")</f>
      </c>
    </row>
    <row r="476" spans="1:54" x14ac:dyDescent="0.2">
      <c r="A476" s="84"/>
      <c r="B476" s="85"/>
      <c r="C476" s="85"/>
      <c r="D476" s="85"/>
      <c r="E476" s="86"/>
      <c r="F476" s="16">
        <f>IF(E476="","",DATEDIF(E476,$I$7,"Y"))</f>
      </c>
      <c r="G476" s="85"/>
      <c r="H476" s="85"/>
      <c r="I476" s="87"/>
      <c r="J476" s="85"/>
      <c r="K476" s="85"/>
      <c r="L476" s="10"/>
      <c r="M476" s="10"/>
      <c r="N476" s="10"/>
      <c r="O476" s="10"/>
      <c r="P476" s="85"/>
      <c r="Q476" s="88"/>
      <c r="R476" s="3">
        <f>IFERROR(VLOOKUP(TablaEnero[[#This Row],[BARRIO]],SECTOR!$A:$B,2,0),"")</f>
      </c>
      <c r="S476" s="89"/>
      <c r="T476" s="90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6"/>
      <c r="AZ476" s="120">
        <f>COUNTIF(U476:AY476,"A")</f>
      </c>
      <c r="BA476" s="121">
        <f>COUNTIF(U476:AY476,"F")</f>
      </c>
      <c r="BB476" s="119">
        <f>COUNTIF(U476:AY476,"E")</f>
      </c>
    </row>
    <row r="477" spans="1:54" x14ac:dyDescent="0.2">
      <c r="A477" s="84"/>
      <c r="B477" s="85"/>
      <c r="C477" s="85"/>
      <c r="D477" s="85"/>
      <c r="E477" s="86"/>
      <c r="F477" s="16">
        <f>IF(E477="","",DATEDIF(E477,$I$7,"Y"))</f>
      </c>
      <c r="G477" s="85"/>
      <c r="H477" s="85"/>
      <c r="I477" s="87"/>
      <c r="J477" s="85"/>
      <c r="K477" s="85"/>
      <c r="L477" s="10"/>
      <c r="M477" s="10"/>
      <c r="N477" s="10"/>
      <c r="O477" s="10"/>
      <c r="P477" s="85"/>
      <c r="Q477" s="88"/>
      <c r="R477" s="3">
        <f>IFERROR(VLOOKUP(TablaEnero[[#This Row],[BARRIO]],SECTOR!$A:$B,2,0),"")</f>
      </c>
      <c r="S477" s="89"/>
      <c r="T477" s="90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6"/>
      <c r="AZ477" s="120">
        <f>COUNTIF(U477:AY477,"A")</f>
      </c>
      <c r="BA477" s="121">
        <f>COUNTIF(U477:AY477,"F")</f>
      </c>
      <c r="BB477" s="119">
        <f>COUNTIF(U477:AY477,"E")</f>
      </c>
    </row>
    <row r="478" spans="1:54" x14ac:dyDescent="0.2">
      <c r="A478" s="84"/>
      <c r="B478" s="85"/>
      <c r="C478" s="85"/>
      <c r="D478" s="85"/>
      <c r="E478" s="86"/>
      <c r="F478" s="16">
        <f>IF(E478="","",DATEDIF(E478,$I$7,"Y"))</f>
      </c>
      <c r="G478" s="85"/>
      <c r="H478" s="85"/>
      <c r="I478" s="87"/>
      <c r="J478" s="85"/>
      <c r="K478" s="85"/>
      <c r="L478" s="10"/>
      <c r="M478" s="10"/>
      <c r="N478" s="10"/>
      <c r="O478" s="10"/>
      <c r="P478" s="85"/>
      <c r="Q478" s="88"/>
      <c r="R478" s="3">
        <f>IFERROR(VLOOKUP(TablaEnero[[#This Row],[BARRIO]],SECTOR!$A:$B,2,0),"")</f>
      </c>
      <c r="S478" s="89"/>
      <c r="T478" s="90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6"/>
      <c r="AZ478" s="120">
        <f>COUNTIF(U478:AY478,"A")</f>
      </c>
      <c r="BA478" s="121">
        <f>COUNTIF(U478:AY478,"F")</f>
      </c>
      <c r="BB478" s="119">
        <f>COUNTIF(U478:AY478,"E")</f>
      </c>
    </row>
    <row r="479" spans="1:54" x14ac:dyDescent="0.2">
      <c r="A479" s="84"/>
      <c r="B479" s="85"/>
      <c r="C479" s="85"/>
      <c r="D479" s="85"/>
      <c r="E479" s="86"/>
      <c r="F479" s="16">
        <f>IF(E479="","",DATEDIF(E479,$I$7,"Y"))</f>
      </c>
      <c r="G479" s="85"/>
      <c r="H479" s="85"/>
      <c r="I479" s="87"/>
      <c r="J479" s="85"/>
      <c r="K479" s="85"/>
      <c r="L479" s="10"/>
      <c r="M479" s="10"/>
      <c r="N479" s="10"/>
      <c r="O479" s="10"/>
      <c r="P479" s="85"/>
      <c r="Q479" s="88"/>
      <c r="R479" s="3">
        <f>IFERROR(VLOOKUP(TablaEnero[[#This Row],[BARRIO]],SECTOR!$A:$B,2,0),"")</f>
      </c>
      <c r="S479" s="89"/>
      <c r="T479" s="90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6"/>
      <c r="AZ479" s="120">
        <f>COUNTIF(U479:AY479,"A")</f>
      </c>
      <c r="BA479" s="121">
        <f>COUNTIF(U479:AY479,"F")</f>
      </c>
      <c r="BB479" s="119">
        <f>COUNTIF(U479:AY479,"E")</f>
      </c>
    </row>
    <row r="480" spans="1:54" x14ac:dyDescent="0.2">
      <c r="A480" s="84"/>
      <c r="B480" s="85"/>
      <c r="C480" s="85"/>
      <c r="D480" s="85"/>
      <c r="E480" s="86"/>
      <c r="F480" s="16">
        <f>IF(E480="","",DATEDIF(E480,$I$7,"Y"))</f>
      </c>
      <c r="G480" s="85"/>
      <c r="H480" s="85"/>
      <c r="I480" s="87"/>
      <c r="J480" s="85"/>
      <c r="K480" s="85"/>
      <c r="L480" s="10"/>
      <c r="M480" s="10"/>
      <c r="N480" s="10"/>
      <c r="O480" s="10"/>
      <c r="P480" s="85"/>
      <c r="Q480" s="88"/>
      <c r="R480" s="3">
        <f>IFERROR(VLOOKUP(TablaEnero[[#This Row],[BARRIO]],SECTOR!$A:$B,2,0),"")</f>
      </c>
      <c r="S480" s="89"/>
      <c r="T480" s="90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6"/>
      <c r="AZ480" s="120">
        <f>COUNTIF(U480:AY480,"A")</f>
      </c>
      <c r="BA480" s="121">
        <f>COUNTIF(U480:AY480,"F")</f>
      </c>
      <c r="BB480" s="119">
        <f>COUNTIF(U480:AY480,"E")</f>
      </c>
    </row>
    <row r="481" spans="1:54" x14ac:dyDescent="0.2">
      <c r="A481" s="84"/>
      <c r="B481" s="85"/>
      <c r="C481" s="85"/>
      <c r="D481" s="85"/>
      <c r="E481" s="86"/>
      <c r="F481" s="16">
        <f>IF(E481="","",DATEDIF(E481,$I$7,"Y"))</f>
      </c>
      <c r="G481" s="85"/>
      <c r="H481" s="85"/>
      <c r="I481" s="87"/>
      <c r="J481" s="85"/>
      <c r="K481" s="85"/>
      <c r="L481" s="10"/>
      <c r="M481" s="10"/>
      <c r="N481" s="10"/>
      <c r="O481" s="10"/>
      <c r="P481" s="85"/>
      <c r="Q481" s="88"/>
      <c r="R481" s="3">
        <f>IFERROR(VLOOKUP(TablaEnero[[#This Row],[BARRIO]],SECTOR!$A:$B,2,0),"")</f>
      </c>
      <c r="S481" s="89"/>
      <c r="T481" s="90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6"/>
      <c r="AZ481" s="120">
        <f>COUNTIF(U481:AY481,"A")</f>
      </c>
      <c r="BA481" s="121">
        <f>COUNTIF(U481:AY481,"F")</f>
      </c>
      <c r="BB481" s="119">
        <f>COUNTIF(U481:AY481,"E")</f>
      </c>
    </row>
    <row r="482" spans="1:54" x14ac:dyDescent="0.2">
      <c r="A482" s="84"/>
      <c r="B482" s="85"/>
      <c r="C482" s="85"/>
      <c r="D482" s="85"/>
      <c r="E482" s="86"/>
      <c r="F482" s="16">
        <f>IF(E482="","",DATEDIF(E482,$I$7,"Y"))</f>
      </c>
      <c r="G482" s="85"/>
      <c r="H482" s="85"/>
      <c r="I482" s="87"/>
      <c r="J482" s="85"/>
      <c r="K482" s="85"/>
      <c r="L482" s="10"/>
      <c r="M482" s="10"/>
      <c r="N482" s="10"/>
      <c r="O482" s="10"/>
      <c r="P482" s="85"/>
      <c r="Q482" s="88"/>
      <c r="R482" s="3">
        <f>IFERROR(VLOOKUP(TablaEnero[[#This Row],[BARRIO]],SECTOR!$A:$B,2,0),"")</f>
      </c>
      <c r="S482" s="89"/>
      <c r="T482" s="90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6"/>
      <c r="AZ482" s="120">
        <f>COUNTIF(U482:AY482,"A")</f>
      </c>
      <c r="BA482" s="121">
        <f>COUNTIF(U482:AY482,"F")</f>
      </c>
      <c r="BB482" s="119">
        <f>COUNTIF(U482:AY482,"E")</f>
      </c>
    </row>
    <row r="483" spans="1:54" x14ac:dyDescent="0.2">
      <c r="A483" s="84"/>
      <c r="B483" s="85"/>
      <c r="C483" s="85"/>
      <c r="D483" s="85"/>
      <c r="E483" s="86"/>
      <c r="F483" s="16">
        <f>IF(E483="","",DATEDIF(E483,$I$7,"Y"))</f>
      </c>
      <c r="G483" s="85"/>
      <c r="H483" s="85"/>
      <c r="I483" s="87"/>
      <c r="J483" s="85"/>
      <c r="K483" s="85"/>
      <c r="L483" s="10"/>
      <c r="M483" s="10"/>
      <c r="N483" s="10"/>
      <c r="O483" s="10"/>
      <c r="P483" s="85"/>
      <c r="Q483" s="88"/>
      <c r="R483" s="3">
        <f>IFERROR(VLOOKUP(TablaEnero[[#This Row],[BARRIO]],SECTOR!$A:$B,2,0),"")</f>
      </c>
      <c r="S483" s="89"/>
      <c r="T483" s="90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6"/>
      <c r="AZ483" s="120">
        <f>COUNTIF(U483:AY483,"A")</f>
      </c>
      <c r="BA483" s="121">
        <f>COUNTIF(U483:AY483,"F")</f>
      </c>
      <c r="BB483" s="119">
        <f>COUNTIF(U483:AY483,"E")</f>
      </c>
    </row>
    <row r="484" spans="1:54" x14ac:dyDescent="0.2">
      <c r="A484" s="84"/>
      <c r="B484" s="85"/>
      <c r="C484" s="85"/>
      <c r="D484" s="85"/>
      <c r="E484" s="86"/>
      <c r="F484" s="16">
        <f>IF(E484="","",DATEDIF(E484,$I$7,"Y"))</f>
      </c>
      <c r="G484" s="85"/>
      <c r="H484" s="85"/>
      <c r="I484" s="87"/>
      <c r="J484" s="85"/>
      <c r="K484" s="85"/>
      <c r="L484" s="10"/>
      <c r="M484" s="10"/>
      <c r="N484" s="10"/>
      <c r="O484" s="10"/>
      <c r="P484" s="85"/>
      <c r="Q484" s="88"/>
      <c r="R484" s="3">
        <f>IFERROR(VLOOKUP(TablaEnero[[#This Row],[BARRIO]],SECTOR!$A:$B,2,0),"")</f>
      </c>
      <c r="S484" s="89"/>
      <c r="T484" s="90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6"/>
      <c r="AZ484" s="120">
        <f>COUNTIF(U484:AY484,"A")</f>
      </c>
      <c r="BA484" s="121">
        <f>COUNTIF(U484:AY484,"F")</f>
      </c>
      <c r="BB484" s="119">
        <f>COUNTIF(U484:AY484,"E")</f>
      </c>
    </row>
    <row r="485" spans="1:54" x14ac:dyDescent="0.2">
      <c r="A485" s="84"/>
      <c r="B485" s="85"/>
      <c r="C485" s="85"/>
      <c r="D485" s="85"/>
      <c r="E485" s="86"/>
      <c r="F485" s="16">
        <f>IF(E485="","",DATEDIF(E485,$I$7,"Y"))</f>
      </c>
      <c r="G485" s="85"/>
      <c r="H485" s="85"/>
      <c r="I485" s="87"/>
      <c r="J485" s="85"/>
      <c r="K485" s="85"/>
      <c r="L485" s="10"/>
      <c r="M485" s="10"/>
      <c r="N485" s="10"/>
      <c r="O485" s="10"/>
      <c r="P485" s="85"/>
      <c r="Q485" s="88"/>
      <c r="R485" s="3">
        <f>IFERROR(VLOOKUP(TablaEnero[[#This Row],[BARRIO]],SECTOR!$A:$B,2,0),"")</f>
      </c>
      <c r="S485" s="89"/>
      <c r="T485" s="90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6"/>
      <c r="AZ485" s="120">
        <f>COUNTIF(U485:AY485,"A")</f>
      </c>
      <c r="BA485" s="121">
        <f>COUNTIF(U485:AY485,"F")</f>
      </c>
      <c r="BB485" s="119">
        <f>COUNTIF(U485:AY485,"E")</f>
      </c>
    </row>
    <row r="486" spans="1:54" x14ac:dyDescent="0.2">
      <c r="A486" s="84"/>
      <c r="B486" s="85"/>
      <c r="C486" s="85"/>
      <c r="D486" s="85"/>
      <c r="E486" s="86"/>
      <c r="F486" s="16">
        <f>IF(E486="","",DATEDIF(E486,$I$7,"Y"))</f>
      </c>
      <c r="G486" s="85"/>
      <c r="H486" s="85"/>
      <c r="I486" s="87"/>
      <c r="J486" s="85"/>
      <c r="K486" s="85"/>
      <c r="L486" s="10"/>
      <c r="M486" s="10"/>
      <c r="N486" s="10"/>
      <c r="O486" s="10"/>
      <c r="P486" s="85"/>
      <c r="Q486" s="88"/>
      <c r="R486" s="3">
        <f>IFERROR(VLOOKUP(TablaEnero[[#This Row],[BARRIO]],SECTOR!$A:$B,2,0),"")</f>
      </c>
      <c r="S486" s="89"/>
      <c r="T486" s="90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6"/>
      <c r="AZ486" s="120">
        <f>COUNTIF(U486:AY486,"A")</f>
      </c>
      <c r="BA486" s="121">
        <f>COUNTIF(U486:AY486,"F")</f>
      </c>
      <c r="BB486" s="119">
        <f>COUNTIF(U486:AY486,"E")</f>
      </c>
    </row>
    <row r="487" spans="1:54" x14ac:dyDescent="0.2">
      <c r="A487" s="84"/>
      <c r="B487" s="85"/>
      <c r="C487" s="85"/>
      <c r="D487" s="85"/>
      <c r="E487" s="86"/>
      <c r="F487" s="16">
        <f>IF(E487="","",DATEDIF(E487,$I$7,"Y"))</f>
      </c>
      <c r="G487" s="85"/>
      <c r="H487" s="85"/>
      <c r="I487" s="87"/>
      <c r="J487" s="85"/>
      <c r="K487" s="85"/>
      <c r="L487" s="10"/>
      <c r="M487" s="10"/>
      <c r="N487" s="10"/>
      <c r="O487" s="10"/>
      <c r="P487" s="85"/>
      <c r="Q487" s="88"/>
      <c r="R487" s="3">
        <f>IFERROR(VLOOKUP(TablaEnero[[#This Row],[BARRIO]],SECTOR!$A:$B,2,0),"")</f>
      </c>
      <c r="S487" s="89"/>
      <c r="T487" s="90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6"/>
      <c r="AZ487" s="120">
        <f>COUNTIF(U487:AY487,"A")</f>
      </c>
      <c r="BA487" s="121">
        <f>COUNTIF(U487:AY487,"F")</f>
      </c>
      <c r="BB487" s="119">
        <f>COUNTIF(U487:AY487,"E")</f>
      </c>
    </row>
    <row r="488" spans="1:54" x14ac:dyDescent="0.2">
      <c r="A488" s="84"/>
      <c r="B488" s="85"/>
      <c r="C488" s="85"/>
      <c r="D488" s="85"/>
      <c r="E488" s="86"/>
      <c r="F488" s="16">
        <f>IF(E488="","",DATEDIF(E488,$I$7,"Y"))</f>
      </c>
      <c r="G488" s="85"/>
      <c r="H488" s="85"/>
      <c r="I488" s="87"/>
      <c r="J488" s="85"/>
      <c r="K488" s="85"/>
      <c r="L488" s="10"/>
      <c r="M488" s="10"/>
      <c r="N488" s="10"/>
      <c r="O488" s="10"/>
      <c r="P488" s="85"/>
      <c r="Q488" s="88"/>
      <c r="R488" s="3">
        <f>IFERROR(VLOOKUP(TablaEnero[[#This Row],[BARRIO]],SECTOR!$A:$B,2,0),"")</f>
      </c>
      <c r="S488" s="89"/>
      <c r="T488" s="90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6"/>
      <c r="AZ488" s="120">
        <f>COUNTIF(U488:AY488,"A")</f>
      </c>
      <c r="BA488" s="121">
        <f>COUNTIF(U488:AY488,"F")</f>
      </c>
      <c r="BB488" s="119">
        <f>COUNTIF(U488:AY488,"E")</f>
      </c>
    </row>
    <row r="489" spans="1:54" x14ac:dyDescent="0.2">
      <c r="A489" s="84"/>
      <c r="B489" s="85"/>
      <c r="C489" s="85"/>
      <c r="D489" s="85"/>
      <c r="E489" s="86"/>
      <c r="F489" s="16">
        <f>IF(E489="","",DATEDIF(E489,$I$7,"Y"))</f>
      </c>
      <c r="G489" s="85"/>
      <c r="H489" s="85"/>
      <c r="I489" s="87"/>
      <c r="J489" s="85"/>
      <c r="K489" s="85"/>
      <c r="L489" s="10"/>
      <c r="M489" s="10"/>
      <c r="N489" s="10"/>
      <c r="O489" s="10"/>
      <c r="P489" s="85"/>
      <c r="Q489" s="88"/>
      <c r="R489" s="3">
        <f>IFERROR(VLOOKUP(TablaEnero[[#This Row],[BARRIO]],SECTOR!$A:$B,2,0),"")</f>
      </c>
      <c r="S489" s="89"/>
      <c r="T489" s="90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6"/>
      <c r="AZ489" s="120">
        <f>COUNTIF(U489:AY489,"A")</f>
      </c>
      <c r="BA489" s="121">
        <f>COUNTIF(U489:AY489,"F")</f>
      </c>
      <c r="BB489" s="119">
        <f>COUNTIF(U489:AY489,"E")</f>
      </c>
    </row>
    <row r="490" spans="1:54" x14ac:dyDescent="0.2">
      <c r="A490" s="84"/>
      <c r="B490" s="85"/>
      <c r="C490" s="85"/>
      <c r="D490" s="85"/>
      <c r="E490" s="86"/>
      <c r="F490" s="16">
        <f>IF(E490="","",DATEDIF(E490,$I$7,"Y"))</f>
      </c>
      <c r="G490" s="85"/>
      <c r="H490" s="85"/>
      <c r="I490" s="87"/>
      <c r="J490" s="85"/>
      <c r="K490" s="85"/>
      <c r="L490" s="10"/>
      <c r="M490" s="10"/>
      <c r="N490" s="10"/>
      <c r="O490" s="10"/>
      <c r="P490" s="85"/>
      <c r="Q490" s="88"/>
      <c r="R490" s="3">
        <f>IFERROR(VLOOKUP(TablaEnero[[#This Row],[BARRIO]],SECTOR!$A:$B,2,0),"")</f>
      </c>
      <c r="S490" s="89"/>
      <c r="T490" s="90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6"/>
      <c r="AZ490" s="120">
        <f>COUNTIF(U490:AY490,"A")</f>
      </c>
      <c r="BA490" s="121">
        <f>COUNTIF(U490:AY490,"F")</f>
      </c>
      <c r="BB490" s="119">
        <f>COUNTIF(U490:AY490,"E")</f>
      </c>
    </row>
    <row r="491" spans="1:54" x14ac:dyDescent="0.2">
      <c r="A491" s="84"/>
      <c r="B491" s="85"/>
      <c r="C491" s="85"/>
      <c r="D491" s="85"/>
      <c r="E491" s="86"/>
      <c r="F491" s="16">
        <f>IF(E491="","",DATEDIF(E491,$I$7,"Y"))</f>
      </c>
      <c r="G491" s="85"/>
      <c r="H491" s="85"/>
      <c r="I491" s="87"/>
      <c r="J491" s="85"/>
      <c r="K491" s="85"/>
      <c r="L491" s="10"/>
      <c r="M491" s="10"/>
      <c r="N491" s="10"/>
      <c r="O491" s="10"/>
      <c r="P491" s="85"/>
      <c r="Q491" s="88"/>
      <c r="R491" s="3">
        <f>IFERROR(VLOOKUP(TablaEnero[[#This Row],[BARRIO]],SECTOR!$A:$B,2,0),"")</f>
      </c>
      <c r="S491" s="89"/>
      <c r="T491" s="90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6"/>
      <c r="AZ491" s="120">
        <f>COUNTIF(U491:AY491,"A")</f>
      </c>
      <c r="BA491" s="121">
        <f>COUNTIF(U491:AY491,"F")</f>
      </c>
      <c r="BB491" s="119">
        <f>COUNTIF(U491:AY491,"E")</f>
      </c>
    </row>
    <row r="492" spans="1:54" x14ac:dyDescent="0.2">
      <c r="A492" s="84"/>
      <c r="B492" s="85"/>
      <c r="C492" s="85"/>
      <c r="D492" s="85"/>
      <c r="E492" s="86"/>
      <c r="F492" s="16">
        <f>IF(E492="","",DATEDIF(E492,$I$7,"Y"))</f>
      </c>
      <c r="G492" s="85"/>
      <c r="H492" s="85"/>
      <c r="I492" s="87"/>
      <c r="J492" s="85"/>
      <c r="K492" s="85"/>
      <c r="L492" s="10"/>
      <c r="M492" s="10"/>
      <c r="N492" s="10"/>
      <c r="O492" s="10"/>
      <c r="P492" s="85"/>
      <c r="Q492" s="88"/>
      <c r="R492" s="3">
        <f>IFERROR(VLOOKUP(TablaEnero[[#This Row],[BARRIO]],SECTOR!$A:$B,2,0),"")</f>
      </c>
      <c r="S492" s="89"/>
      <c r="T492" s="90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6"/>
      <c r="AZ492" s="120">
        <f>COUNTIF(U492:AY492,"A")</f>
      </c>
      <c r="BA492" s="121">
        <f>COUNTIF(U492:AY492,"F")</f>
      </c>
      <c r="BB492" s="119">
        <f>COUNTIF(U492:AY492,"E")</f>
      </c>
    </row>
    <row r="493" spans="1:54" x14ac:dyDescent="0.2">
      <c r="A493" s="84"/>
      <c r="B493" s="85"/>
      <c r="C493" s="85"/>
      <c r="D493" s="85"/>
      <c r="E493" s="86"/>
      <c r="F493" s="16">
        <f>IF(E493="","",DATEDIF(E493,$I$7,"Y"))</f>
      </c>
      <c r="G493" s="85"/>
      <c r="H493" s="85"/>
      <c r="I493" s="87"/>
      <c r="J493" s="85"/>
      <c r="K493" s="85"/>
      <c r="L493" s="10"/>
      <c r="M493" s="10"/>
      <c r="N493" s="10"/>
      <c r="O493" s="10"/>
      <c r="P493" s="85"/>
      <c r="Q493" s="88"/>
      <c r="R493" s="3">
        <f>IFERROR(VLOOKUP(TablaEnero[[#This Row],[BARRIO]],SECTOR!$A:$B,2,0),"")</f>
      </c>
      <c r="S493" s="89"/>
      <c r="T493" s="90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6"/>
      <c r="AZ493" s="120">
        <f>COUNTIF(U493:AY493,"A")</f>
      </c>
      <c r="BA493" s="121">
        <f>COUNTIF(U493:AY493,"F")</f>
      </c>
      <c r="BB493" s="119">
        <f>COUNTIF(U493:AY493,"E")</f>
      </c>
    </row>
    <row r="494" spans="1:54" x14ac:dyDescent="0.2">
      <c r="A494" s="84"/>
      <c r="B494" s="85"/>
      <c r="C494" s="85"/>
      <c r="D494" s="85"/>
      <c r="E494" s="86"/>
      <c r="F494" s="16">
        <f>IF(E494="","",DATEDIF(E494,$I$7,"Y"))</f>
      </c>
      <c r="G494" s="85"/>
      <c r="H494" s="85"/>
      <c r="I494" s="87"/>
      <c r="J494" s="85"/>
      <c r="K494" s="85"/>
      <c r="L494" s="10"/>
      <c r="M494" s="10"/>
      <c r="N494" s="10"/>
      <c r="O494" s="10"/>
      <c r="P494" s="85"/>
      <c r="Q494" s="88"/>
      <c r="R494" s="3">
        <f>IFERROR(VLOOKUP(TablaEnero[[#This Row],[BARRIO]],SECTOR!$A:$B,2,0),"")</f>
      </c>
      <c r="S494" s="89"/>
      <c r="T494" s="90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6"/>
      <c r="AZ494" s="120">
        <f>COUNTIF(U494:AY494,"A")</f>
      </c>
      <c r="BA494" s="121">
        <f>COUNTIF(U494:AY494,"F")</f>
      </c>
      <c r="BB494" s="119">
        <f>COUNTIF(U494:AY494,"E")</f>
      </c>
    </row>
    <row r="495" spans="1:54" x14ac:dyDescent="0.2">
      <c r="A495" s="84"/>
      <c r="B495" s="85"/>
      <c r="C495" s="85"/>
      <c r="D495" s="85"/>
      <c r="E495" s="86"/>
      <c r="F495" s="16">
        <f>IF(E495="","",DATEDIF(E495,$I$7,"Y"))</f>
      </c>
      <c r="G495" s="85"/>
      <c r="H495" s="85"/>
      <c r="I495" s="87"/>
      <c r="J495" s="85"/>
      <c r="K495" s="85"/>
      <c r="L495" s="10"/>
      <c r="M495" s="10"/>
      <c r="N495" s="10"/>
      <c r="O495" s="10"/>
      <c r="P495" s="85"/>
      <c r="Q495" s="88"/>
      <c r="R495" s="3">
        <f>IFERROR(VLOOKUP(TablaEnero[[#This Row],[BARRIO]],SECTOR!$A:$B,2,0),"")</f>
      </c>
      <c r="S495" s="89"/>
      <c r="T495" s="90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6"/>
      <c r="AZ495" s="120">
        <f>COUNTIF(U495:AY495,"A")</f>
      </c>
      <c r="BA495" s="121">
        <f>COUNTIF(U495:AY495,"F")</f>
      </c>
      <c r="BB495" s="119">
        <f>COUNTIF(U495:AY495,"E")</f>
      </c>
    </row>
    <row r="496" spans="1:54" x14ac:dyDescent="0.2">
      <c r="A496" s="84"/>
      <c r="B496" s="85"/>
      <c r="C496" s="85"/>
      <c r="D496" s="85"/>
      <c r="E496" s="86"/>
      <c r="F496" s="16">
        <f>IF(E496="","",DATEDIF(E496,$I$7,"Y"))</f>
      </c>
      <c r="G496" s="85"/>
      <c r="H496" s="85"/>
      <c r="I496" s="87"/>
      <c r="J496" s="85"/>
      <c r="K496" s="85"/>
      <c r="L496" s="10"/>
      <c r="M496" s="10"/>
      <c r="N496" s="10"/>
      <c r="O496" s="10"/>
      <c r="P496" s="85"/>
      <c r="Q496" s="88"/>
      <c r="R496" s="3">
        <f>IFERROR(VLOOKUP(TablaEnero[[#This Row],[BARRIO]],SECTOR!$A:$B,2,0),"")</f>
      </c>
      <c r="S496" s="89"/>
      <c r="T496" s="90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6"/>
      <c r="AZ496" s="120">
        <f>COUNTIF(U496:AY496,"A")</f>
      </c>
      <c r="BA496" s="121">
        <f>COUNTIF(U496:AY496,"F")</f>
      </c>
      <c r="BB496" s="119">
        <f>COUNTIF(U496:AY496,"E")</f>
      </c>
    </row>
    <row r="497" spans="1:54" x14ac:dyDescent="0.2">
      <c r="A497" s="84"/>
      <c r="B497" s="85"/>
      <c r="C497" s="85"/>
      <c r="D497" s="85"/>
      <c r="E497" s="86"/>
      <c r="F497" s="16">
        <f>IF(E497="","",DATEDIF(E497,$I$7,"Y"))</f>
      </c>
      <c r="G497" s="85"/>
      <c r="H497" s="85"/>
      <c r="I497" s="87"/>
      <c r="J497" s="85"/>
      <c r="K497" s="85"/>
      <c r="L497" s="10"/>
      <c r="M497" s="10"/>
      <c r="N497" s="10"/>
      <c r="O497" s="10"/>
      <c r="P497" s="85"/>
      <c r="Q497" s="88"/>
      <c r="R497" s="3">
        <f>IFERROR(VLOOKUP(TablaEnero[[#This Row],[BARRIO]],SECTOR!$A:$B,2,0),"")</f>
      </c>
      <c r="S497" s="89"/>
      <c r="T497" s="90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6"/>
      <c r="AZ497" s="120">
        <f>COUNTIF(U497:AY497,"A")</f>
      </c>
      <c r="BA497" s="121">
        <f>COUNTIF(U497:AY497,"F")</f>
      </c>
      <c r="BB497" s="119">
        <f>COUNTIF(U497:AY497,"E")</f>
      </c>
    </row>
    <row r="498" spans="1:54" x14ac:dyDescent="0.2">
      <c r="A498" s="84"/>
      <c r="B498" s="85"/>
      <c r="C498" s="85"/>
      <c r="D498" s="85"/>
      <c r="E498" s="86"/>
      <c r="F498" s="16">
        <f>IF(E498="","",DATEDIF(E498,$I$7,"Y"))</f>
      </c>
      <c r="G498" s="85"/>
      <c r="H498" s="85"/>
      <c r="I498" s="87"/>
      <c r="J498" s="85"/>
      <c r="K498" s="85"/>
      <c r="L498" s="10"/>
      <c r="M498" s="10"/>
      <c r="N498" s="10"/>
      <c r="O498" s="10"/>
      <c r="P498" s="85"/>
      <c r="Q498" s="88"/>
      <c r="R498" s="3">
        <f>IFERROR(VLOOKUP(TablaEnero[[#This Row],[BARRIO]],SECTOR!$A:$B,2,0),"")</f>
      </c>
      <c r="S498" s="89"/>
      <c r="T498" s="90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6"/>
      <c r="AZ498" s="120">
        <f>COUNTIF(U498:AY498,"A")</f>
      </c>
      <c r="BA498" s="121">
        <f>COUNTIF(U498:AY498,"F")</f>
      </c>
      <c r="BB498" s="119">
        <f>COUNTIF(U498:AY498,"E")</f>
      </c>
    </row>
    <row r="499" spans="1:54" x14ac:dyDescent="0.2">
      <c r="A499" s="84"/>
      <c r="B499" s="85"/>
      <c r="C499" s="85"/>
      <c r="D499" s="85"/>
      <c r="E499" s="86"/>
      <c r="F499" s="16">
        <f>IF(E499="","",DATEDIF(E499,$I$7,"Y"))</f>
      </c>
      <c r="G499" s="85"/>
      <c r="H499" s="85"/>
      <c r="I499" s="87"/>
      <c r="J499" s="85"/>
      <c r="K499" s="85"/>
      <c r="L499" s="10"/>
      <c r="M499" s="10"/>
      <c r="N499" s="10"/>
      <c r="O499" s="10"/>
      <c r="P499" s="85"/>
      <c r="Q499" s="88"/>
      <c r="R499" s="3">
        <f>IFERROR(VLOOKUP(TablaEnero[[#This Row],[BARRIO]],SECTOR!$A:$B,2,0),"")</f>
      </c>
      <c r="S499" s="89"/>
      <c r="T499" s="90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6"/>
      <c r="AZ499" s="120">
        <f>COUNTIF(U499:AY499,"A")</f>
      </c>
      <c r="BA499" s="121">
        <f>COUNTIF(U499:AY499,"F")</f>
      </c>
      <c r="BB499" s="119">
        <f>COUNTIF(U499:AY499,"E")</f>
      </c>
    </row>
    <row r="500" spans="1:54" x14ac:dyDescent="0.2">
      <c r="A500" s="84"/>
      <c r="B500" s="85"/>
      <c r="C500" s="85"/>
      <c r="D500" s="85"/>
      <c r="E500" s="86"/>
      <c r="F500" s="16">
        <f>IF(E500="","",DATEDIF(E500,$I$7,"Y"))</f>
      </c>
      <c r="G500" s="85"/>
      <c r="H500" s="85"/>
      <c r="I500" s="87"/>
      <c r="J500" s="85"/>
      <c r="K500" s="85"/>
      <c r="L500" s="10"/>
      <c r="M500" s="10"/>
      <c r="N500" s="10"/>
      <c r="O500" s="10"/>
      <c r="P500" s="85"/>
      <c r="Q500" s="88"/>
      <c r="R500" s="3">
        <f>IFERROR(VLOOKUP(TablaEnero[[#This Row],[BARRIO]],SECTOR!$A:$B,2,0),"")</f>
      </c>
      <c r="S500" s="89"/>
      <c r="T500" s="90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6"/>
      <c r="AZ500" s="120">
        <f>COUNTIF(U500:AY500,"A")</f>
      </c>
      <c r="BA500" s="121">
        <f>COUNTIF(U500:AY500,"F")</f>
      </c>
      <c r="BB500" s="119">
        <f>COUNTIF(U500:AY500,"E")</f>
      </c>
    </row>
    <row r="501" spans="1:54" x14ac:dyDescent="0.2">
      <c r="A501" s="84"/>
      <c r="B501" s="85"/>
      <c r="C501" s="85"/>
      <c r="D501" s="85"/>
      <c r="E501" s="86"/>
      <c r="F501" s="16">
        <f>IF(E501="","",DATEDIF(E501,$I$7,"Y"))</f>
      </c>
      <c r="G501" s="85"/>
      <c r="H501" s="85"/>
      <c r="I501" s="87"/>
      <c r="J501" s="85"/>
      <c r="K501" s="85"/>
      <c r="L501" s="10"/>
      <c r="M501" s="10"/>
      <c r="N501" s="10"/>
      <c r="O501" s="10"/>
      <c r="P501" s="85"/>
      <c r="Q501" s="88"/>
      <c r="R501" s="3">
        <f>IFERROR(VLOOKUP(TablaEnero[[#This Row],[BARRIO]],SECTOR!$A:$B,2,0),"")</f>
      </c>
      <c r="S501" s="89"/>
      <c r="T501" s="90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6"/>
      <c r="AZ501" s="120">
        <f>COUNTIF(U501:AY501,"A")</f>
      </c>
      <c r="BA501" s="121">
        <f>COUNTIF(U501:AY501,"F")</f>
      </c>
      <c r="BB501" s="119">
        <f>COUNTIF(U501:AY501,"E")</f>
      </c>
    </row>
    <row r="502" spans="1:54" x14ac:dyDescent="0.2">
      <c r="A502" s="84"/>
      <c r="B502" s="85"/>
      <c r="C502" s="85"/>
      <c r="D502" s="85"/>
      <c r="E502" s="86"/>
      <c r="F502" s="16">
        <f>IF(E502="","",DATEDIF(E502,$I$7,"Y"))</f>
      </c>
      <c r="G502" s="85"/>
      <c r="H502" s="85"/>
      <c r="I502" s="87"/>
      <c r="J502" s="85"/>
      <c r="K502" s="85"/>
      <c r="L502" s="10"/>
      <c r="M502" s="10"/>
      <c r="N502" s="10"/>
      <c r="O502" s="10"/>
      <c r="P502" s="85"/>
      <c r="Q502" s="88"/>
      <c r="R502" s="3">
        <f>IFERROR(VLOOKUP(TablaEnero[[#This Row],[BARRIO]],SECTOR!$A:$B,2,0),"")</f>
      </c>
      <c r="S502" s="89"/>
      <c r="T502" s="90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6"/>
      <c r="AZ502" s="120">
        <f>COUNTIF(U502:AY502,"A")</f>
      </c>
      <c r="BA502" s="121">
        <f>COUNTIF(U502:AY502,"F")</f>
      </c>
      <c r="BB502" s="119">
        <f>COUNTIF(U502:AY502,"E")</f>
      </c>
    </row>
    <row r="503" spans="1:54" x14ac:dyDescent="0.2">
      <c r="A503" s="84"/>
      <c r="B503" s="85"/>
      <c r="C503" s="85"/>
      <c r="D503" s="85"/>
      <c r="E503" s="86"/>
      <c r="F503" s="16">
        <f>IF(E503="","",DATEDIF(E503,$I$7,"Y"))</f>
      </c>
      <c r="G503" s="85"/>
      <c r="H503" s="85"/>
      <c r="I503" s="87"/>
      <c r="J503" s="85"/>
      <c r="K503" s="85"/>
      <c r="L503" s="10"/>
      <c r="M503" s="10"/>
      <c r="N503" s="10"/>
      <c r="O503" s="10"/>
      <c r="P503" s="85"/>
      <c r="Q503" s="88"/>
      <c r="R503" s="3">
        <f>IFERROR(VLOOKUP(TablaEnero[[#This Row],[BARRIO]],SECTOR!$A:$B,2,0),"")</f>
      </c>
      <c r="S503" s="89"/>
      <c r="T503" s="90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6"/>
      <c r="AZ503" s="120">
        <f>COUNTIF(U503:AY503,"A")</f>
      </c>
      <c r="BA503" s="121">
        <f>COUNTIF(U503:AY503,"F")</f>
      </c>
      <c r="BB503" s="119">
        <f>COUNTIF(U503:AY503,"E")</f>
      </c>
    </row>
    <row r="504" spans="1:54" x14ac:dyDescent="0.2">
      <c r="A504" s="100"/>
      <c r="B504" s="101"/>
      <c r="C504" s="101"/>
      <c r="D504" s="101"/>
      <c r="E504" s="102"/>
      <c r="F504" s="31">
        <f>IF(E504="","",DATEDIF(E504,$I$7,"Y"))</f>
      </c>
      <c r="G504" s="101"/>
      <c r="H504" s="101"/>
      <c r="I504" s="103"/>
      <c r="J504" s="101"/>
      <c r="K504" s="101"/>
      <c r="L504" s="10"/>
      <c r="M504" s="10"/>
      <c r="N504" s="10"/>
      <c r="O504" s="10"/>
      <c r="P504" s="101"/>
      <c r="Q504" s="91"/>
      <c r="R504" s="14">
        <f>IFERROR(VLOOKUP(TablaEnero[[#This Row],[BARRIO]],SECTOR!$A:$B,2,0),"")</f>
      </c>
      <c r="S504" s="104"/>
      <c r="T504" s="10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7"/>
      <c r="AZ504" s="120">
        <f>COUNTIF(U504:AY504,"A")</f>
      </c>
      <c r="BA504" s="121">
        <f>COUNTIF(U504:AY504,"F")</f>
      </c>
      <c r="BB504" s="118">
        <f>COUNTIF(U504:AY504,"E")</f>
      </c>
    </row>
  </sheetData>
  <sheetProtection sheet="1" objects="1" scenarios="1" autoFilter="0"/>
  <mergeCells count="137">
    <mergeCell ref="B2:B5"/>
    <mergeCell ref="C2:I2"/>
    <mergeCell ref="C3:G3"/>
    <mergeCell ref="C4:G4"/>
    <mergeCell ref="C5:G5"/>
    <mergeCell ref="B7:C7"/>
    <mergeCell ref="D7:G7"/>
    <mergeCell ref="W7:AE7"/>
    <mergeCell ref="AG7:AH7"/>
    <mergeCell ref="AI7:AM7"/>
    <mergeCell ref="AO7:AQ7"/>
    <mergeCell ref="B8:C8"/>
    <mergeCell ref="D8:G8"/>
    <mergeCell ref="S8:T8"/>
    <mergeCell ref="W8:AA8"/>
    <mergeCell ref="AB8:AC8"/>
    <mergeCell ref="AD8:AH8"/>
    <mergeCell ref="AK8:AR8"/>
    <mergeCell ref="AS8:BB8"/>
    <mergeCell ref="B9:C9"/>
    <mergeCell ref="D9:G9"/>
    <mergeCell ref="W9:Y9"/>
    <mergeCell ref="Z9:AA9"/>
    <mergeCell ref="AD9:AF9"/>
    <mergeCell ref="AG9:AH9"/>
    <mergeCell ref="AK9:AL9"/>
    <mergeCell ref="AM9:AN9"/>
    <mergeCell ref="AO9:AP9"/>
    <mergeCell ref="AQ9:AR9"/>
    <mergeCell ref="AS9:BB9"/>
    <mergeCell ref="B10:C10"/>
    <mergeCell ref="D10:G10"/>
    <mergeCell ref="W10:Y10"/>
    <mergeCell ref="Z10:AA10"/>
    <mergeCell ref="AD10:AF10"/>
    <mergeCell ref="AG10:AH10"/>
    <mergeCell ref="AK10:AL10"/>
    <mergeCell ref="AM10:AN10"/>
    <mergeCell ref="AO10:AP10"/>
    <mergeCell ref="AQ10:AR10"/>
    <mergeCell ref="AS10:BB10"/>
    <mergeCell ref="W11:Y11"/>
    <mergeCell ref="Z11:AA11"/>
    <mergeCell ref="AD11:AF11"/>
    <mergeCell ref="AG11:AH11"/>
    <mergeCell ref="AK11:AL11"/>
    <mergeCell ref="AM11:AN11"/>
    <mergeCell ref="AO11:AP11"/>
    <mergeCell ref="AQ11:AR11"/>
    <mergeCell ref="AS11:BB13"/>
    <mergeCell ref="AQ12:AR12"/>
    <mergeCell ref="AQ13:AR13"/>
    <mergeCell ref="B12:B18"/>
    <mergeCell ref="C12:I12"/>
    <mergeCell ref="W12:Y12"/>
    <mergeCell ref="Z12:AA12"/>
    <mergeCell ref="AD12:AF12"/>
    <mergeCell ref="AG12:AH12"/>
    <mergeCell ref="AK12:AL12"/>
    <mergeCell ref="AM12:AN12"/>
    <mergeCell ref="AO12:AP12"/>
    <mergeCell ref="F13:G13"/>
    <mergeCell ref="O13:Q13"/>
    <mergeCell ref="W13:Y13"/>
    <mergeCell ref="Z13:AA13"/>
    <mergeCell ref="AD13:AF13"/>
    <mergeCell ref="AG13:AH13"/>
    <mergeCell ref="AK13:AL13"/>
    <mergeCell ref="AM13:AN13"/>
    <mergeCell ref="AO13:AP13"/>
    <mergeCell ref="C14:C15"/>
    <mergeCell ref="D14:D15"/>
    <mergeCell ref="F14:G15"/>
    <mergeCell ref="H14:H15"/>
    <mergeCell ref="I14:I15"/>
    <mergeCell ref="K14:K15"/>
    <mergeCell ref="L14:L15"/>
    <mergeCell ref="AX15:BA16"/>
    <mergeCell ref="C16:I16"/>
    <mergeCell ref="K16:K17"/>
    <mergeCell ref="L16:L17"/>
    <mergeCell ref="O16:P16"/>
    <mergeCell ref="W16:Y16"/>
    <mergeCell ref="AM14:AN14"/>
    <mergeCell ref="AO14:AP14"/>
    <mergeCell ref="AQ14:AR14"/>
    <mergeCell ref="AV14:AW14"/>
    <mergeCell ref="O15:P15"/>
    <mergeCell ref="W15:Y15"/>
    <mergeCell ref="Z15:AA15"/>
    <mergeCell ref="AD15:AF15"/>
    <mergeCell ref="AG15:AH15"/>
    <mergeCell ref="AK15:AL15"/>
    <mergeCell ref="O14:P14"/>
    <mergeCell ref="W14:Y14"/>
    <mergeCell ref="Z14:AA14"/>
    <mergeCell ref="AD14:AF14"/>
    <mergeCell ref="AG14:AH14"/>
    <mergeCell ref="AK14:AL14"/>
    <mergeCell ref="Z16:AA16"/>
    <mergeCell ref="AD16:AF16"/>
    <mergeCell ref="AG16:AH16"/>
    <mergeCell ref="AK16:AL16"/>
    <mergeCell ref="AM16:AN16"/>
    <mergeCell ref="AV16:AW16"/>
    <mergeCell ref="AM15:AN15"/>
    <mergeCell ref="AO15:AP15"/>
    <mergeCell ref="AQ15:AR15"/>
    <mergeCell ref="AV15:AW15"/>
    <mergeCell ref="AD17:AF17"/>
    <mergeCell ref="AG17:AH17"/>
    <mergeCell ref="AN17:AP17"/>
    <mergeCell ref="AV17:AW17"/>
    <mergeCell ref="AX17:AZ17"/>
    <mergeCell ref="C18:D18"/>
    <mergeCell ref="E18:G18"/>
    <mergeCell ref="H18:I18"/>
    <mergeCell ref="O18:P18"/>
    <mergeCell ref="W18:Y18"/>
    <mergeCell ref="C17:D17"/>
    <mergeCell ref="E17:G17"/>
    <mergeCell ref="H17:I17"/>
    <mergeCell ref="O17:P17"/>
    <mergeCell ref="W17:Y17"/>
    <mergeCell ref="Z17:AA17"/>
    <mergeCell ref="U21:AY22"/>
    <mergeCell ref="AZ21:BB22"/>
    <mergeCell ref="Z18:AA18"/>
    <mergeCell ref="AN18:AP18"/>
    <mergeCell ref="AV18:AW18"/>
    <mergeCell ref="AX18:AZ18"/>
    <mergeCell ref="K19:L19"/>
    <mergeCell ref="O19:P19"/>
    <mergeCell ref="W19:Y19"/>
    <mergeCell ref="Z19:AA19"/>
    <mergeCell ref="AV19:AW19"/>
    <mergeCell ref="AX19:AZ19"/>
  </mergeCells>
  <dataValidations count="12">
    <dataValidation type="custom" allowBlank="1" showInputMessage="1" showErrorMessage="1" errorTitle="SÓLO MAYÚSCULA" sqref="S24:S504">
      <formula1>EXACT(S24, UPPER(S24))</formula1>
    </dataValidation>
    <dataValidation type="custom" allowBlank="1" showInputMessage="1" showErrorMessage="1" errorTitle="SÓLO MAÚSCULA" sqref="P24:P504">
      <formula1>EXACT(P24, UPPER(P24))</formula1>
    </dataValidation>
    <dataValidation type="custom" allowBlank="1" showInputMessage="1" showErrorMessage="1" errorTitle="ERROR" error="SÓLO MAYÚSCULAS" sqref="B24:D504 J24:J504">
      <formula1>EXACT(B24, UPPER(B24))</formula1>
    </dataValidation>
    <dataValidation type="list" allowBlank="1" showInputMessage="1" showErrorMessage="1" sqref="N24:N504">
      <formula1>"SI, NO"</formula1>
    </dataValidation>
    <dataValidation type="list" allowBlank="1" showInputMessage="1" showErrorMessage="1" sqref="G24:G504">
      <formula1>"R.C, T.I, C.C, C.E, PPT, PEP, NES"</formula1>
    </dataValidation>
    <dataValidation type="list" allowBlank="1" showInputMessage="1" showErrorMessage="1" sqref="I24:I504">
      <formula1>"HOMBRE, MUJER"</formula1>
    </dataValidation>
    <dataValidation type="list" allowBlank="1" showInputMessage="1" showErrorMessage="1" sqref="L24:L504">
      <formula1>"OLFATIVA Y TACTO, MENTAL, MOVILIDAD, MULTIPLE, ORAL, PSICOSOCIAL, VISUAL, VOZ Y HABLA, NO SABE NOMBRARLA, N/A"</formula1>
    </dataValidation>
    <dataValidation type="list" allowBlank="1" showInputMessage="1" showErrorMessage="1" sqref="M24:M504">
      <formula1>"HETEROSEXUAL, LESBIANA, ASEXUAL, BISEXUAL, GAY, INTERSEXUAL, NO BINARIO, PANSEXUAL, QUEER, TRANSEXUAL O TRANSGÉNERO, OTRO"</formula1>
    </dataValidation>
    <dataValidation type="list" allowBlank="1" showInputMessage="1" showErrorMessage="1" sqref="O24:O504">
      <formula1>"AFROCOLOMBIANO, INDÍGENA, MESTIZO, MULATO, NO SABE NO RESPONDE, OTRO, PALENQUERO, RAIZAL, ROM GITANO"</formula1>
    </dataValidation>
    <dataValidation type="list" allowBlank="1" showInputMessage="1" showErrorMessage="1" sqref="O23">
      <formula1>"AFRO, INDIGENA, MESTIZA"</formula1>
    </dataValidation>
    <dataValidation type="list" allowBlank="1" showErrorMessage="1" sqref="AI7">
      <formula1>$BH$11:$BH$23</formula1>
    </dataValidation>
    <dataValidation type="list" allowBlank="1" showInputMessage="1" showErrorMessage="1" sqref="Q24:Q504">
      <formula1>SECTOR!$A$2:$A$83</formula1>
    </dataValidation>
  </dataValidations>
  <pageMargins left="0.7" right="0.7" top="0.75" bottom="0.75" header="0.3" footer="0.3"/>
  <pageSetup orientation="portrait"/>
  <ignoredErrors>
    <ignoredError sqref="O23" listDataValidation="1"/>
  </ignoredErrors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2:BB504"/>
  <sheetViews>
    <sheetView showGridLines="0" zoomScaleNormal="100" workbookViewId="0">
      <selection activeCell="A24" sqref="A24"/>
    </sheetView>
  </sheetViews>
  <sheetFormatPr defaultColWidth="9.14453125" defaultRowHeight="15" x14ac:dyDescent="0.2"/>
  <cols>
    <col min="1" max="1" width="6.1875" style="34" customWidth="1"/>
    <col min="2" max="2" width="21.7890625" style="34" customWidth="1"/>
    <col min="3" max="3" width="21.65625" style="34" customWidth="1"/>
    <col min="4" max="4" width="21.7890625" style="34" customWidth="1"/>
    <col min="5" max="5" width="19.50390625" style="34" customWidth="1"/>
    <col min="6" max="6" width="11.1640625" style="34" customWidth="1"/>
    <col min="7" max="7" width="11.56640625" style="34" customWidth="1"/>
    <col min="8" max="8" width="18.4296875" style="34" customWidth="1"/>
    <col min="9" max="9" width="22.59765625" style="34" customWidth="1"/>
    <col min="10" max="10" width="35.109375" style="34" customWidth="1"/>
    <col min="11" max="11" width="11.43359375" style="34" customWidth="1"/>
    <col min="12" max="12" width="16.8125" style="34" customWidth="1"/>
    <col min="13" max="14" width="10.22265625" style="34" customWidth="1"/>
    <col min="15" max="15" width="23.9453125" style="34" bestFit="1" customWidth="1"/>
    <col min="16" max="16" width="23.40625" style="34" customWidth="1"/>
    <col min="17" max="17" width="18.0234375" style="34" customWidth="1"/>
    <col min="18" max="18" width="16.6796875" style="34" customWidth="1"/>
    <col min="19" max="19" width="18.6953125" style="34" bestFit="1" customWidth="1"/>
    <col min="20" max="20" width="17.62109375" style="34" customWidth="1"/>
    <col min="21" max="35" width="5.91796875" style="34" customWidth="1"/>
    <col min="36" max="36" width="6.05078125" style="34" customWidth="1"/>
    <col min="37" max="54" width="5.91796875" style="34" customWidth="1"/>
    <col min="55" max="55" width="9.14453125" style="34"/>
    <col min="56" max="56" width="13.5859375" style="34" bestFit="1" customWidth="1"/>
    <col min="57" max="59" width="10.76171875" style="34" bestFit="1" customWidth="1"/>
    <col min="60" max="16384" width="9.14453125" style="34"/>
  </cols>
  <sheetData>
    <row r="2" spans="1:54" x14ac:dyDescent="0.2">
      <c r="B2" s="244"/>
      <c r="C2" s="247" t="s">
        <v>0</v>
      </c>
      <c r="D2" s="248"/>
      <c r="E2" s="248"/>
      <c r="F2" s="248"/>
      <c r="G2" s="248"/>
      <c r="H2" s="248"/>
      <c r="I2" s="249"/>
    </row>
    <row r="3" spans="1:54" x14ac:dyDescent="0.2">
      <c r="B3" s="245"/>
      <c r="C3" s="250" t="s">
        <v>1</v>
      </c>
      <c r="D3" s="251"/>
      <c r="E3" s="251"/>
      <c r="F3" s="251"/>
      <c r="G3" s="252"/>
      <c r="H3" s="35" t="s">
        <v>2</v>
      </c>
      <c r="I3" s="35" t="s">
        <v>3</v>
      </c>
    </row>
    <row r="4" spans="1:54" x14ac:dyDescent="0.2">
      <c r="B4" s="245"/>
      <c r="C4" s="250" t="s">
        <v>4</v>
      </c>
      <c r="D4" s="251"/>
      <c r="E4" s="251"/>
      <c r="F4" s="251"/>
      <c r="G4" s="252"/>
      <c r="H4" s="35" t="s">
        <v>5</v>
      </c>
      <c r="I4" s="36" t="s">
        <v>6</v>
      </c>
    </row>
    <row r="5" spans="1:54" ht="60" customHeight="1" x14ac:dyDescent="0.2">
      <c r="B5" s="246"/>
      <c r="C5" s="253" t="s">
        <v>7</v>
      </c>
      <c r="D5" s="254"/>
      <c r="E5" s="254"/>
      <c r="F5" s="254"/>
      <c r="G5" s="255"/>
      <c r="H5" s="35" t="s">
        <v>8</v>
      </c>
      <c r="I5" s="37">
        <v>46073</v>
      </c>
    </row>
    <row r="7" spans="1:54" ht="22.5" customHeight="1" x14ac:dyDescent="0.2">
      <c r="A7" s="13"/>
      <c r="B7" s="256" t="s">
        <v>9</v>
      </c>
      <c r="C7" s="257"/>
      <c r="D7" s="230"/>
      <c r="E7" s="231"/>
      <c r="F7" s="231"/>
      <c r="G7" s="232"/>
      <c r="H7" s="38"/>
      <c r="I7" s="39"/>
      <c r="J7" s="40"/>
      <c r="K7" s="40"/>
      <c r="L7" s="12"/>
      <c r="M7" s="12"/>
      <c r="N7" s="12"/>
      <c r="O7" s="12"/>
      <c r="P7" s="12"/>
      <c r="Q7" s="12"/>
      <c r="R7" s="12"/>
      <c r="S7" s="12"/>
      <c r="T7" s="41"/>
      <c r="U7" s="42"/>
      <c r="V7" s="42"/>
      <c r="W7" s="258"/>
      <c r="X7" s="258"/>
      <c r="Y7" s="258"/>
      <c r="Z7" s="258"/>
      <c r="AA7" s="258"/>
      <c r="AB7" s="258"/>
      <c r="AC7" s="258"/>
      <c r="AD7" s="258"/>
      <c r="AE7" s="258"/>
      <c r="AF7" s="13"/>
      <c r="AG7" s="234"/>
      <c r="AH7" s="152"/>
      <c r="AI7" s="233"/>
      <c r="AJ7" s="152"/>
      <c r="AK7" s="152"/>
      <c r="AL7" s="152"/>
      <c r="AM7" s="152"/>
      <c r="AN7" s="13"/>
      <c r="AO7" s="234"/>
      <c r="AP7" s="152"/>
      <c r="AQ7" s="152"/>
      <c r="AR7" s="44"/>
      <c r="AS7" s="45"/>
      <c r="AT7" s="45"/>
      <c r="AU7" s="45"/>
      <c r="AV7" s="45"/>
      <c r="AW7" s="45"/>
      <c r="AX7" s="45"/>
      <c r="AY7" s="12"/>
      <c r="AZ7" s="13"/>
      <c r="BA7" s="13"/>
      <c r="BB7" s="13"/>
    </row>
    <row r="8" spans="1:54" ht="21.75" customHeight="1" x14ac:dyDescent="0.2">
      <c r="A8" s="13"/>
      <c r="B8" s="235" t="s">
        <v>10</v>
      </c>
      <c r="C8" s="236"/>
      <c r="D8" s="223"/>
      <c r="E8" s="224"/>
      <c r="F8" s="224"/>
      <c r="G8" s="225"/>
      <c r="H8" s="11"/>
      <c r="I8" s="11"/>
      <c r="J8" s="11"/>
      <c r="K8" s="11"/>
      <c r="L8" s="12"/>
      <c r="M8" s="12"/>
      <c r="N8" s="12"/>
      <c r="O8" s="12"/>
      <c r="P8" s="12"/>
      <c r="Q8" s="12"/>
      <c r="R8" s="12"/>
      <c r="S8" s="237" t="s">
        <v>11</v>
      </c>
      <c r="T8" s="238"/>
      <c r="U8" s="13"/>
      <c r="V8" s="13"/>
      <c r="W8" s="239" t="s">
        <v>12</v>
      </c>
      <c r="X8" s="239"/>
      <c r="Y8" s="239"/>
      <c r="Z8" s="239"/>
      <c r="AA8" s="239"/>
      <c r="AB8" s="240"/>
      <c r="AC8" s="152"/>
      <c r="AD8" s="241" t="s">
        <v>13</v>
      </c>
      <c r="AE8" s="241"/>
      <c r="AF8" s="241"/>
      <c r="AG8" s="241"/>
      <c r="AH8" s="241"/>
      <c r="AI8" s="12"/>
      <c r="AJ8" s="12"/>
      <c r="AK8" s="242" t="s">
        <v>14</v>
      </c>
      <c r="AL8" s="243"/>
      <c r="AM8" s="243"/>
      <c r="AN8" s="243"/>
      <c r="AO8" s="243"/>
      <c r="AP8" s="243"/>
      <c r="AQ8" s="243"/>
      <c r="AR8" s="243"/>
      <c r="AS8" s="183"/>
      <c r="AT8" s="183"/>
      <c r="AU8" s="183"/>
      <c r="AV8" s="183"/>
      <c r="AW8" s="183"/>
      <c r="AX8" s="183"/>
      <c r="AY8" s="183"/>
      <c r="AZ8" s="183"/>
      <c r="BA8" s="183"/>
      <c r="BB8" s="183"/>
    </row>
    <row r="9" spans="1:54" ht="20.25" customHeight="1" x14ac:dyDescent="0.2">
      <c r="A9" s="13"/>
      <c r="B9" s="228" t="s">
        <v>15</v>
      </c>
      <c r="C9" s="229"/>
      <c r="D9" s="230"/>
      <c r="E9" s="231"/>
      <c r="F9" s="231"/>
      <c r="G9" s="232"/>
      <c r="H9" s="13"/>
      <c r="I9" s="13"/>
      <c r="J9" s="12"/>
      <c r="K9" s="12"/>
      <c r="L9" s="12"/>
      <c r="M9" s="12"/>
      <c r="N9" s="12"/>
      <c r="O9" s="12"/>
      <c r="P9" s="12"/>
      <c r="Q9" s="12"/>
      <c r="R9" s="12"/>
      <c r="S9" s="46" t="s">
        <v>16</v>
      </c>
      <c r="T9" s="114">
        <f>COUNTIFS(TablaFebrero[TIPO DISCAPACIDAD], S9)</f>
      </c>
      <c r="U9" s="13"/>
      <c r="V9" s="13"/>
      <c r="W9" s="164" t="s">
        <v>17</v>
      </c>
      <c r="X9" s="164"/>
      <c r="Y9" s="164"/>
      <c r="Z9" s="147">
        <f>COUNTIFS(TablaFebrero[ORI. SEXUAL], W9)</f>
      </c>
      <c r="AA9" s="148"/>
      <c r="AB9" s="13"/>
      <c r="AC9" s="13"/>
      <c r="AD9" s="164" t="s">
        <v>18</v>
      </c>
      <c r="AE9" s="164"/>
      <c r="AF9" s="164"/>
      <c r="AG9" s="165">
        <f>COUNTIFS(TablaFebrero[[ETNIA ]], AD9)</f>
      </c>
      <c r="AH9" s="165"/>
      <c r="AI9" s="12"/>
      <c r="AJ9" s="12"/>
      <c r="AK9" s="226">
        <v>1</v>
      </c>
      <c r="AL9" s="226"/>
      <c r="AM9" s="202">
        <f>COUNTIFS(TablaFebrero[[ COMUNA]], AK9)</f>
      </c>
      <c r="AN9" s="202"/>
      <c r="AO9" s="227">
        <v>3</v>
      </c>
      <c r="AP9" s="227"/>
      <c r="AQ9" s="218">
        <f>COUNTIFS(TablaFebrero[[ COMUNA]], AO9)</f>
      </c>
      <c r="AR9" s="218"/>
      <c r="AS9" s="183"/>
      <c r="AT9" s="183"/>
      <c r="AU9" s="183"/>
      <c r="AV9" s="183"/>
      <c r="AW9" s="183"/>
      <c r="AX9" s="183"/>
      <c r="AY9" s="183"/>
      <c r="AZ9" s="183"/>
      <c r="BA9" s="183"/>
      <c r="BB9" s="183"/>
    </row>
    <row r="10" spans="1:54" ht="21.75" customHeight="1" x14ac:dyDescent="0.2">
      <c r="A10" s="13"/>
      <c r="B10" s="221" t="s">
        <v>19</v>
      </c>
      <c r="C10" s="222"/>
      <c r="D10" s="223"/>
      <c r="E10" s="224"/>
      <c r="F10" s="224"/>
      <c r="G10" s="225"/>
      <c r="H10" s="13"/>
      <c r="I10" s="13"/>
      <c r="J10" s="12"/>
      <c r="K10" s="12"/>
      <c r="L10" s="12"/>
      <c r="M10" s="12"/>
      <c r="N10" s="12"/>
      <c r="O10" s="12"/>
      <c r="P10" s="12"/>
      <c r="Q10" s="12"/>
      <c r="R10" s="12"/>
      <c r="S10" s="47" t="s">
        <v>20</v>
      </c>
      <c r="T10" s="115">
        <f>COUNTIFS(TablaFebrero[TIPO DISCAPACIDAD], S10)</f>
      </c>
      <c r="U10" s="13"/>
      <c r="V10" s="13"/>
      <c r="W10" s="164" t="s">
        <v>21</v>
      </c>
      <c r="X10" s="164"/>
      <c r="Y10" s="164"/>
      <c r="Z10" s="147">
        <f>COUNTIFS(TablaFebrero[ORI. SEXUAL], W10)</f>
      </c>
      <c r="AA10" s="148"/>
      <c r="AB10" s="13"/>
      <c r="AC10" s="13"/>
      <c r="AD10" s="164" t="s">
        <v>22</v>
      </c>
      <c r="AE10" s="164"/>
      <c r="AF10" s="164"/>
      <c r="AG10" s="165">
        <f>COUNTIFS(TablaFebrero[[ETNIA ]], AD10)</f>
      </c>
      <c r="AH10" s="165"/>
      <c r="AI10" s="12"/>
      <c r="AJ10" s="12"/>
      <c r="AK10" s="226">
        <v>2</v>
      </c>
      <c r="AL10" s="226"/>
      <c r="AM10" s="202">
        <f>COUNTIFS(TablaFebrero[[ COMUNA]], AK10)</f>
      </c>
      <c r="AN10" s="202"/>
      <c r="AO10" s="227">
        <v>4</v>
      </c>
      <c r="AP10" s="227"/>
      <c r="AQ10" s="218">
        <f>COUNTIFS(TablaFebrero[[ COMUNA]], AO10)</f>
      </c>
      <c r="AR10" s="218"/>
      <c r="AS10" s="183"/>
      <c r="AT10" s="183"/>
      <c r="AU10" s="183"/>
      <c r="AV10" s="183"/>
      <c r="AW10" s="183"/>
      <c r="AX10" s="183"/>
      <c r="AY10" s="183"/>
      <c r="AZ10" s="183"/>
      <c r="BA10" s="183"/>
      <c r="BB10" s="183"/>
    </row>
    <row r="11" spans="1:54" ht="26.25" customHeight="1" x14ac:dyDescent="0.2">
      <c r="A11" s="13"/>
      <c r="B11" s="13"/>
      <c r="C11" s="33"/>
      <c r="D11" s="33"/>
      <c r="E11" s="33"/>
      <c r="F11" s="33"/>
      <c r="G11" s="33"/>
      <c r="H11" s="33"/>
      <c r="I11" s="33"/>
      <c r="J11" s="33"/>
      <c r="K11" s="33"/>
      <c r="L11" s="12"/>
      <c r="M11" s="12"/>
      <c r="N11" s="12"/>
      <c r="O11" s="12"/>
      <c r="P11" s="12"/>
      <c r="Q11" s="12"/>
      <c r="R11" s="12"/>
      <c r="S11" s="47" t="s">
        <v>23</v>
      </c>
      <c r="T11" s="115">
        <f>COUNTIFS(TablaFebrero[TIPO DISCAPACIDAD], S11)</f>
      </c>
      <c r="U11" s="13"/>
      <c r="V11" s="13"/>
      <c r="W11" s="164" t="s">
        <v>24</v>
      </c>
      <c r="X11" s="164"/>
      <c r="Y11" s="164"/>
      <c r="Z11" s="147">
        <f>COUNTIFS(TablaFebrero[ORI. SEXUAL], W11)</f>
      </c>
      <c r="AA11" s="148"/>
      <c r="AB11" s="13"/>
      <c r="AC11" s="13"/>
      <c r="AD11" s="164" t="s">
        <v>25</v>
      </c>
      <c r="AE11" s="164"/>
      <c r="AF11" s="164"/>
      <c r="AG11" s="165">
        <f>COUNTIFS(TablaFebrero[[ETNIA ]], AD11)</f>
      </c>
      <c r="AH11" s="165"/>
      <c r="AI11" s="13"/>
      <c r="AJ11" s="13"/>
      <c r="AK11" s="201" t="s">
        <v>26</v>
      </c>
      <c r="AL11" s="201"/>
      <c r="AM11" s="202">
        <f>COUNTIFS(TablaFebrero[[ COMUNA]], AK11)</f>
      </c>
      <c r="AN11" s="202"/>
      <c r="AO11" s="219" t="s">
        <v>27</v>
      </c>
      <c r="AP11" s="219"/>
      <c r="AQ11" s="218">
        <f>COUNTIFS(TablaFebrero[[ COMUNA]], AO11)</f>
      </c>
      <c r="AR11" s="218"/>
      <c r="AS11" s="220"/>
      <c r="AT11" s="220"/>
      <c r="AU11" s="220"/>
      <c r="AV11" s="220"/>
      <c r="AW11" s="220"/>
      <c r="AX11" s="220"/>
      <c r="AY11" s="220"/>
      <c r="AZ11" s="220"/>
      <c r="BA11" s="220"/>
      <c r="BB11" s="220"/>
    </row>
    <row r="12" spans="1:54" ht="26.25" customHeight="1" thickBot="1" x14ac:dyDescent="0.25">
      <c r="A12" s="13"/>
      <c r="B12" s="195" t="s">
        <v>28</v>
      </c>
      <c r="C12" s="198" t="s">
        <v>29</v>
      </c>
      <c r="D12" s="199"/>
      <c r="E12" s="199"/>
      <c r="F12" s="199"/>
      <c r="G12" s="199"/>
      <c r="H12" s="199"/>
      <c r="I12" s="200"/>
      <c r="L12" s="12"/>
      <c r="M12" s="12"/>
      <c r="N12" s="12"/>
      <c r="O12" s="12"/>
      <c r="P12" s="12"/>
      <c r="Q12" s="12"/>
      <c r="R12" s="12"/>
      <c r="S12" s="48" t="s">
        <v>30</v>
      </c>
      <c r="T12" s="115">
        <f>COUNTIFS(TablaFebrero[TIPO DISCAPACIDAD], S12)</f>
      </c>
      <c r="U12" s="13"/>
      <c r="V12" s="13"/>
      <c r="W12" s="164" t="s">
        <v>31</v>
      </c>
      <c r="X12" s="164"/>
      <c r="Y12" s="164"/>
      <c r="Z12" s="147">
        <f>COUNTIFS(TablaFebrero[ORI. SEXUAL], W12)</f>
      </c>
      <c r="AA12" s="148"/>
      <c r="AB12" s="13"/>
      <c r="AC12" s="13"/>
      <c r="AD12" s="164" t="s">
        <v>32</v>
      </c>
      <c r="AE12" s="164"/>
      <c r="AF12" s="164"/>
      <c r="AG12" s="165">
        <f>COUNTIFS(TablaFebrero[[ETNIA ]], AD12)</f>
      </c>
      <c r="AH12" s="165"/>
      <c r="AI12" s="49"/>
      <c r="AJ12" s="49"/>
      <c r="AK12" s="201" t="s">
        <v>33</v>
      </c>
      <c r="AL12" s="201"/>
      <c r="AM12" s="202">
        <f>COUNTIFS(TablaFebrero[[ COMUNA]], AK12)</f>
      </c>
      <c r="AN12" s="202"/>
      <c r="AO12" s="180"/>
      <c r="AP12" s="180"/>
      <c r="AQ12" s="183"/>
      <c r="AR12" s="183"/>
      <c r="AS12" s="220"/>
      <c r="AT12" s="220"/>
      <c r="AU12" s="220"/>
      <c r="AV12" s="220"/>
      <c r="AW12" s="220"/>
      <c r="AX12" s="220"/>
      <c r="AY12" s="220"/>
      <c r="AZ12" s="220"/>
      <c r="BA12" s="220"/>
      <c r="BB12" s="220"/>
    </row>
    <row r="13" spans="1:54" ht="29.25" customHeight="1" thickBot="1" x14ac:dyDescent="0.25">
      <c r="B13" s="196"/>
      <c r="C13" s="50" t="s">
        <v>34</v>
      </c>
      <c r="D13" s="51" t="s">
        <v>35</v>
      </c>
      <c r="E13" s="51" t="s">
        <v>36</v>
      </c>
      <c r="F13" s="203" t="s">
        <v>37</v>
      </c>
      <c r="G13" s="204"/>
      <c r="H13" s="52" t="s">
        <v>38</v>
      </c>
      <c r="I13" s="53" t="s">
        <v>39</v>
      </c>
      <c r="K13" s="54"/>
      <c r="L13" s="55"/>
      <c r="M13" s="12"/>
      <c r="N13" s="12"/>
      <c r="O13" s="205" t="s">
        <v>40</v>
      </c>
      <c r="P13" s="206"/>
      <c r="Q13" s="207"/>
      <c r="R13" s="56"/>
      <c r="S13" s="57" t="s">
        <v>41</v>
      </c>
      <c r="T13" s="115">
        <f>COUNTIFS(TablaFebrero[TIPO DISCAPACIDAD], S13)</f>
      </c>
      <c r="U13" s="56"/>
      <c r="V13" s="56"/>
      <c r="W13" s="160" t="s">
        <v>42</v>
      </c>
      <c r="X13" s="160"/>
      <c r="Y13" s="160"/>
      <c r="Z13" s="147">
        <f>COUNTIFS(TablaFebrero[ORI. SEXUAL], W13)</f>
      </c>
      <c r="AA13" s="148"/>
      <c r="AB13" s="58"/>
      <c r="AC13" s="59"/>
      <c r="AD13" s="208" t="s">
        <v>43</v>
      </c>
      <c r="AE13" s="208"/>
      <c r="AF13" s="208"/>
      <c r="AG13" s="165">
        <f>COUNTIFS(TablaFebrero[[ETNIA ]], AD13)</f>
      </c>
      <c r="AH13" s="165"/>
      <c r="AI13" s="56"/>
      <c r="AJ13" s="56"/>
      <c r="AK13" s="209"/>
      <c r="AL13" s="209"/>
      <c r="AM13" s="182"/>
      <c r="AN13" s="182"/>
      <c r="AO13" s="180"/>
      <c r="AP13" s="180"/>
      <c r="AQ13" s="183"/>
      <c r="AR13" s="183"/>
      <c r="AS13" s="220"/>
      <c r="AT13" s="220"/>
      <c r="AU13" s="220"/>
      <c r="AV13" s="220"/>
      <c r="AW13" s="220"/>
      <c r="AX13" s="220"/>
      <c r="AY13" s="220"/>
      <c r="AZ13" s="220"/>
      <c r="BA13" s="220"/>
      <c r="BB13" s="220"/>
    </row>
    <row r="14" spans="1:54" ht="19.5" customHeight="1" thickBot="1" x14ac:dyDescent="0.25">
      <c r="A14" s="13"/>
      <c r="B14" s="196"/>
      <c r="C14" s="210"/>
      <c r="D14" s="210"/>
      <c r="E14" s="8"/>
      <c r="F14" s="212"/>
      <c r="G14" s="213"/>
      <c r="H14" s="210"/>
      <c r="I14" s="210"/>
      <c r="K14" s="216" t="s">
        <v>44</v>
      </c>
      <c r="L14" s="184">
        <f>COUNTIFS(TablaFebrero[SEXO], K14)</f>
      </c>
      <c r="M14" s="12"/>
      <c r="N14" s="12"/>
      <c r="O14" s="158" t="s">
        <v>45</v>
      </c>
      <c r="P14" s="159"/>
      <c r="Q14" s="116">
        <f>COUNTIFS(TablaFebrero[EDAD], "&lt;6")</f>
      </c>
      <c r="R14" s="56"/>
      <c r="S14" s="47" t="s">
        <v>46</v>
      </c>
      <c r="T14" s="115">
        <f>COUNTIFS(TablaFebrero[TIPO DISCAPACIDAD], S14)</f>
      </c>
      <c r="U14" s="60"/>
      <c r="V14" s="56"/>
      <c r="W14" s="160" t="s">
        <v>47</v>
      </c>
      <c r="X14" s="160"/>
      <c r="Y14" s="160"/>
      <c r="Z14" s="147">
        <f>COUNTIFS(TablaFebrero[ORI. SEXUAL], W14)</f>
      </c>
      <c r="AA14" s="148"/>
      <c r="AB14" s="13"/>
      <c r="AC14" s="13"/>
      <c r="AD14" s="164" t="s">
        <v>48</v>
      </c>
      <c r="AE14" s="164"/>
      <c r="AF14" s="164"/>
      <c r="AG14" s="165">
        <f>COUNTIFS(TablaFebrero[[ETNIA ]], AD14)</f>
      </c>
      <c r="AH14" s="165"/>
      <c r="AI14" s="56"/>
      <c r="AJ14" s="56"/>
      <c r="AK14" s="194"/>
      <c r="AL14" s="194"/>
      <c r="AM14" s="182"/>
      <c r="AN14" s="182"/>
      <c r="AO14" s="180"/>
      <c r="AP14" s="180"/>
      <c r="AQ14" s="183"/>
      <c r="AR14" s="183"/>
      <c r="AV14" s="151"/>
      <c r="AW14" s="152"/>
      <c r="BB14" s="13"/>
    </row>
    <row r="15" spans="1:54" ht="19.5" customHeight="1" thickBot="1" x14ac:dyDescent="0.25">
      <c r="A15" s="13"/>
      <c r="B15" s="196"/>
      <c r="C15" s="211"/>
      <c r="D15" s="211"/>
      <c r="E15" s="9"/>
      <c r="F15" s="214"/>
      <c r="G15" s="215"/>
      <c r="H15" s="211"/>
      <c r="I15" s="211"/>
      <c r="K15" s="217"/>
      <c r="L15" s="185"/>
      <c r="M15" s="12"/>
      <c r="N15" s="12"/>
      <c r="O15" s="192" t="s">
        <v>49</v>
      </c>
      <c r="P15" s="193"/>
      <c r="Q15" s="116">
        <f>COUNTIFS(TablaFebrero[EDAD], "&gt;5", TablaFebrero[EDAD], "&lt;11")</f>
      </c>
      <c r="R15" s="56"/>
      <c r="S15" s="57" t="s">
        <v>50</v>
      </c>
      <c r="T15" s="115">
        <f>COUNTIFS(TablaFebrero[TIPO DISCAPACIDAD], S15)</f>
      </c>
      <c r="U15" s="60"/>
      <c r="V15" s="56"/>
      <c r="W15" s="160" t="s">
        <v>51</v>
      </c>
      <c r="X15" s="160"/>
      <c r="Y15" s="160"/>
      <c r="Z15" s="147">
        <f>COUNTIFS(TablaFebrero[ORI. SEXUAL], W15)</f>
      </c>
      <c r="AA15" s="148"/>
      <c r="AB15" s="58"/>
      <c r="AC15" s="59"/>
      <c r="AD15" s="179" t="s">
        <v>52</v>
      </c>
      <c r="AE15" s="179"/>
      <c r="AF15" s="179"/>
      <c r="AG15" s="165">
        <f>COUNTIFS(TablaFebrero[[ETNIA ]], AD15)</f>
      </c>
      <c r="AH15" s="165"/>
      <c r="AI15" s="56"/>
      <c r="AJ15" s="56"/>
      <c r="AK15" s="180"/>
      <c r="AL15" s="181"/>
      <c r="AM15" s="182"/>
      <c r="AN15" s="182"/>
      <c r="AO15" s="180"/>
      <c r="AP15" s="180"/>
      <c r="AQ15" s="183"/>
      <c r="AR15" s="183"/>
      <c r="AV15" s="151"/>
      <c r="AW15" s="152"/>
      <c r="AX15" s="186" t="s">
        <v>53</v>
      </c>
      <c r="AY15" s="186"/>
      <c r="AZ15" s="186"/>
      <c r="BA15" s="186"/>
      <c r="BB15" s="13"/>
    </row>
    <row r="16" spans="1:54" ht="19.5" customHeight="1" thickBot="1" x14ac:dyDescent="0.25">
      <c r="A16" s="13"/>
      <c r="B16" s="196"/>
      <c r="C16" s="187" t="s">
        <v>54</v>
      </c>
      <c r="D16" s="188"/>
      <c r="E16" s="188"/>
      <c r="F16" s="188"/>
      <c r="G16" s="188"/>
      <c r="H16" s="188"/>
      <c r="I16" s="189"/>
      <c r="K16" s="190" t="s">
        <v>55</v>
      </c>
      <c r="L16" s="184">
        <f>COUNTIFS(TablaFebrero[SEXO], K16)</f>
      </c>
      <c r="M16" s="12"/>
      <c r="N16" s="12"/>
      <c r="O16" s="158" t="s">
        <v>56</v>
      </c>
      <c r="P16" s="159"/>
      <c r="Q16" s="116">
        <f>COUNTIFS(TablaFebrero[EDAD], "&gt;10", TablaFebrero[EDAD], "&lt;15")</f>
      </c>
      <c r="R16" s="56"/>
      <c r="S16" s="47" t="s">
        <v>57</v>
      </c>
      <c r="T16" s="115">
        <f>COUNTIFS(TablaFebrero[TIPO DISCAPACIDAD], S16)</f>
      </c>
      <c r="U16" s="60"/>
      <c r="V16" s="56"/>
      <c r="W16" s="160" t="s">
        <v>58</v>
      </c>
      <c r="X16" s="160"/>
      <c r="Y16" s="160"/>
      <c r="Z16" s="147">
        <f>COUNTIFS(TablaFebrero[ORI. SEXUAL], W16)</f>
      </c>
      <c r="AA16" s="148"/>
      <c r="AB16" s="58"/>
      <c r="AC16" s="59"/>
      <c r="AD16" s="179" t="s">
        <v>59</v>
      </c>
      <c r="AE16" s="179"/>
      <c r="AF16" s="179"/>
      <c r="AG16" s="165">
        <f>COUNTIFS(TablaFebrero[[ETNIA ]], AD16)</f>
      </c>
      <c r="AH16" s="165"/>
      <c r="AI16" s="56"/>
      <c r="AJ16" s="56"/>
      <c r="AK16" s="180"/>
      <c r="AL16" s="180"/>
      <c r="AM16" s="181"/>
      <c r="AN16" s="181"/>
      <c r="AO16" s="56"/>
      <c r="AP16" s="56"/>
      <c r="AQ16" s="33"/>
      <c r="AV16" s="151"/>
      <c r="AW16" s="152"/>
      <c r="AX16" s="186"/>
      <c r="AY16" s="186"/>
      <c r="AZ16" s="186"/>
      <c r="BA16" s="186"/>
      <c r="BB16" s="13"/>
    </row>
    <row r="17" spans="1:54" ht="19.5" customHeight="1" thickBot="1" x14ac:dyDescent="0.25">
      <c r="A17" s="13"/>
      <c r="B17" s="196"/>
      <c r="C17" s="175" t="s">
        <v>60</v>
      </c>
      <c r="D17" s="176"/>
      <c r="E17" s="175" t="s">
        <v>61</v>
      </c>
      <c r="F17" s="177"/>
      <c r="G17" s="176"/>
      <c r="H17" s="175" t="s">
        <v>62</v>
      </c>
      <c r="I17" s="176"/>
      <c r="K17" s="191"/>
      <c r="L17" s="185"/>
      <c r="M17" s="12"/>
      <c r="N17" s="12"/>
      <c r="O17" s="158" t="s">
        <v>63</v>
      </c>
      <c r="P17" s="159"/>
      <c r="Q17" s="116">
        <f>COUNTIFS(TablaFebrero[EDAD], "&gt;14", TablaFebrero[EDAD], "&lt;20")</f>
      </c>
      <c r="R17" s="56"/>
      <c r="S17" s="57" t="s">
        <v>64</v>
      </c>
      <c r="T17" s="115">
        <f>COUNTIFS(TablaFebrero[TIPO DISCAPACIDAD], S17)</f>
      </c>
      <c r="U17" s="61"/>
      <c r="V17" s="60"/>
      <c r="W17" s="178" t="s">
        <v>65</v>
      </c>
      <c r="X17" s="178"/>
      <c r="Y17" s="178"/>
      <c r="Z17" s="147">
        <f>COUNTIFS(TablaFebrero[ORI. SEXUAL], W17)</f>
      </c>
      <c r="AA17" s="148"/>
      <c r="AB17" s="13"/>
      <c r="AC17" s="13"/>
      <c r="AD17" s="164" t="s">
        <v>66</v>
      </c>
      <c r="AE17" s="164"/>
      <c r="AF17" s="164"/>
      <c r="AG17" s="165">
        <f>COUNTIFS(TablaFebrero[[ETNIA ]], AD17)</f>
      </c>
      <c r="AH17" s="165"/>
      <c r="AI17" s="56"/>
      <c r="AJ17" s="56"/>
      <c r="AK17" s="56"/>
      <c r="AL17" s="56"/>
      <c r="AM17" s="56"/>
      <c r="AN17" s="149"/>
      <c r="AO17" s="150"/>
      <c r="AP17" s="150"/>
      <c r="AQ17" s="33"/>
      <c r="AV17" s="151"/>
      <c r="AW17" s="152"/>
      <c r="AX17" s="166" t="s">
        <v>67</v>
      </c>
      <c r="AY17" s="167"/>
      <c r="AZ17" s="168"/>
      <c r="BA17" s="62" t="s">
        <v>68</v>
      </c>
      <c r="BB17" s="13"/>
    </row>
    <row r="18" spans="1:54" ht="19.5" customHeight="1" thickBot="1" x14ac:dyDescent="0.25">
      <c r="A18" s="13"/>
      <c r="B18" s="197"/>
      <c r="C18" s="169"/>
      <c r="D18" s="170"/>
      <c r="E18" s="169"/>
      <c r="F18" s="171"/>
      <c r="G18" s="170"/>
      <c r="H18" s="169"/>
      <c r="I18" s="170"/>
      <c r="L18" s="12"/>
      <c r="M18" s="12"/>
      <c r="N18" s="12"/>
      <c r="O18" s="158" t="s">
        <v>69</v>
      </c>
      <c r="P18" s="159"/>
      <c r="Q18" s="116">
        <f>COUNTIFS(TablaFebrero[EDAD], "&gt;19", TablaFebrero[EDAD], "&lt;60")</f>
      </c>
      <c r="R18" s="56"/>
      <c r="S18" s="47" t="s">
        <v>70</v>
      </c>
      <c r="T18" s="115">
        <f>COUNTIFS(TablaFebrero[TIPO DISCAPACIDAD], S18)</f>
      </c>
      <c r="U18" s="60"/>
      <c r="V18" s="56"/>
      <c r="W18" s="172" t="s">
        <v>71</v>
      </c>
      <c r="X18" s="173"/>
      <c r="Y18" s="174"/>
      <c r="Z18" s="147">
        <f>COUNTIFS(TablaFebrero[ORI. SEXUAL], W18)</f>
      </c>
      <c r="AA18" s="148"/>
      <c r="AB18" s="13"/>
      <c r="AC18" s="13"/>
      <c r="AD18" s="13"/>
      <c r="AE18" s="13"/>
      <c r="AF18" s="13"/>
      <c r="AG18" s="13"/>
      <c r="AH18" s="60"/>
      <c r="AI18" s="56"/>
      <c r="AJ18" s="56"/>
      <c r="AK18" s="56"/>
      <c r="AL18" s="56"/>
      <c r="AM18" s="56"/>
      <c r="AN18" s="149"/>
      <c r="AO18" s="150"/>
      <c r="AP18" s="150"/>
      <c r="AQ18" s="33"/>
      <c r="AV18" s="151"/>
      <c r="AW18" s="152"/>
      <c r="AX18" s="153" t="s">
        <v>72</v>
      </c>
      <c r="AY18" s="154"/>
      <c r="AZ18" s="155"/>
      <c r="BA18" s="63" t="s">
        <v>73</v>
      </c>
      <c r="BB18" s="13"/>
    </row>
    <row r="19" spans="1:54" ht="19.5" customHeight="1" thickBot="1" x14ac:dyDescent="0.25">
      <c r="A19" s="13"/>
      <c r="B19" s="64"/>
      <c r="C19" s="43"/>
      <c r="D19" s="43"/>
      <c r="E19" s="43"/>
      <c r="F19" s="65"/>
      <c r="G19" s="66"/>
      <c r="H19" s="66"/>
      <c r="I19" s="66"/>
      <c r="J19" s="66"/>
      <c r="K19" s="156" t="s">
        <v>74</v>
      </c>
      <c r="L19" s="157"/>
      <c r="M19" s="12"/>
      <c r="N19" s="12"/>
      <c r="O19" s="158" t="s">
        <v>75</v>
      </c>
      <c r="P19" s="159"/>
      <c r="Q19" s="116">
        <f>COUNTIFS(TablaFebrero[EDAD], "&gt;59")</f>
      </c>
      <c r="R19" s="56"/>
      <c r="U19" s="60"/>
      <c r="V19" s="56"/>
      <c r="W19" s="160" t="s">
        <v>66</v>
      </c>
      <c r="X19" s="160"/>
      <c r="Y19" s="160"/>
      <c r="Z19" s="147">
        <f>COUNTIFS(TablaFebrero[ORI. SEXUAL], W19)</f>
      </c>
      <c r="AA19" s="148"/>
      <c r="AB19" s="13"/>
      <c r="AC19" s="13"/>
      <c r="AD19" s="13"/>
      <c r="AE19" s="13"/>
      <c r="AF19" s="13"/>
      <c r="AG19" s="13"/>
      <c r="AH19" s="67"/>
      <c r="AI19" s="68"/>
      <c r="AJ19" s="68" t="s">
        <v>76</v>
      </c>
      <c r="AK19" s="68"/>
      <c r="AL19" s="68"/>
      <c r="AM19" s="68"/>
      <c r="AN19" s="68"/>
      <c r="AO19" s="68"/>
      <c r="AP19" s="68"/>
      <c r="AQ19" s="33"/>
      <c r="AV19" s="151"/>
      <c r="AW19" s="152"/>
      <c r="AX19" s="161" t="s">
        <v>77</v>
      </c>
      <c r="AY19" s="162"/>
      <c r="AZ19" s="163"/>
      <c r="BA19" s="69" t="s">
        <v>78</v>
      </c>
      <c r="BB19" s="13"/>
    </row>
    <row r="20" spans="1:54" ht="20.25" customHeight="1" thickBot="1" x14ac:dyDescent="0.25">
      <c r="A20" s="13"/>
      <c r="B20" s="33"/>
      <c r="C20" s="33"/>
      <c r="D20" s="33"/>
      <c r="E20" s="33"/>
      <c r="F20" s="65"/>
      <c r="G20" s="66"/>
      <c r="H20" s="66"/>
      <c r="I20" s="66"/>
      <c r="J20" s="66"/>
      <c r="K20" s="70" t="s">
        <v>79</v>
      </c>
      <c r="L20" s="117">
        <f>COUNTIF(TablaFebrero[VICTIMA CONF. ARMADO], K20)</f>
      </c>
      <c r="M20" s="12"/>
      <c r="N20" s="12"/>
      <c r="O20" s="12"/>
      <c r="P20" s="12"/>
      <c r="Q20" s="12"/>
      <c r="R20" s="12"/>
      <c r="S20" s="12"/>
      <c r="T20" s="3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68"/>
      <c r="AI20" s="68"/>
      <c r="AJ20" s="68"/>
      <c r="AK20" s="68"/>
      <c r="AL20" s="68"/>
      <c r="AM20" s="68"/>
      <c r="AN20" s="68"/>
      <c r="AO20" s="68"/>
      <c r="AP20" s="68"/>
      <c r="AQ20" s="33"/>
      <c r="AR20" s="33"/>
      <c r="AS20" s="33"/>
      <c r="AT20" s="33"/>
      <c r="AU20" s="33"/>
      <c r="AV20" s="33"/>
      <c r="AW20" s="33"/>
      <c r="AX20" s="33"/>
      <c r="AY20" s="33"/>
      <c r="AZ20" s="13"/>
      <c r="BA20" s="13"/>
      <c r="BB20" s="13"/>
    </row>
    <row r="21" spans="1:54" ht="18.75" customHeight="1" thickBot="1" x14ac:dyDescent="0.25">
      <c r="A21" s="13"/>
      <c r="B21" s="13"/>
      <c r="C21" s="33"/>
      <c r="D21" s="33"/>
      <c r="E21" s="33"/>
      <c r="F21" s="33"/>
      <c r="G21" s="33"/>
      <c r="H21" s="33"/>
      <c r="I21" s="33"/>
      <c r="J21" s="33"/>
      <c r="K21" s="71" t="s">
        <v>80</v>
      </c>
      <c r="L21" s="117">
        <f>COUNTIF(TablaFebrero[VICTIMA CONF. ARMADO], K21)</f>
      </c>
      <c r="M21" s="12"/>
      <c r="N21" s="12"/>
      <c r="O21" s="12"/>
      <c r="P21" s="12"/>
      <c r="Q21" s="12"/>
      <c r="R21" s="12"/>
      <c r="S21" s="12"/>
      <c r="T21" s="33"/>
      <c r="U21" s="135" t="s">
        <v>134</v>
      </c>
      <c r="V21" s="136"/>
      <c r="W21" s="136"/>
      <c r="X21" s="136"/>
      <c r="Y21" s="136"/>
      <c r="Z21" s="136"/>
      <c r="AA21" s="136"/>
      <c r="AB21" s="136"/>
      <c r="AC21" s="136"/>
      <c r="AD21" s="136"/>
      <c r="AE21" s="136"/>
      <c r="AF21" s="136"/>
      <c r="AG21" s="136"/>
      <c r="AH21" s="136"/>
      <c r="AI21" s="136"/>
      <c r="AJ21" s="136"/>
      <c r="AK21" s="136"/>
      <c r="AL21" s="136"/>
      <c r="AM21" s="136"/>
      <c r="AN21" s="136"/>
      <c r="AO21" s="136"/>
      <c r="AP21" s="136"/>
      <c r="AQ21" s="136"/>
      <c r="AR21" s="136"/>
      <c r="AS21" s="136"/>
      <c r="AT21" s="136"/>
      <c r="AU21" s="136"/>
      <c r="AV21" s="136"/>
      <c r="AW21" s="136"/>
      <c r="AX21" s="136"/>
      <c r="AY21" s="137"/>
      <c r="AZ21" s="141" t="s">
        <v>81</v>
      </c>
      <c r="BA21" s="142"/>
      <c r="BB21" s="143"/>
    </row>
    <row r="22" spans="1:54" ht="15" customHeight="1" thickBot="1" x14ac:dyDescent="0.25">
      <c r="A22" s="13"/>
      <c r="B22" s="13"/>
      <c r="C22" s="33"/>
      <c r="D22" s="33"/>
      <c r="E22" s="33"/>
      <c r="F22" s="33"/>
      <c r="G22" s="33"/>
      <c r="H22" s="33"/>
      <c r="I22" s="33"/>
      <c r="J22" s="33"/>
      <c r="K22" s="33"/>
      <c r="L22" s="72"/>
      <c r="M22" s="72"/>
      <c r="N22" s="72"/>
      <c r="O22" s="72"/>
      <c r="P22" s="72"/>
      <c r="Q22" s="12"/>
      <c r="R22" s="12"/>
      <c r="S22" s="12"/>
      <c r="T22" s="73"/>
      <c r="U22" s="138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  <c r="AF22" s="139"/>
      <c r="AG22" s="139"/>
      <c r="AH22" s="139"/>
      <c r="AI22" s="139"/>
      <c r="AJ22" s="139"/>
      <c r="AK22" s="139"/>
      <c r="AL22" s="139"/>
      <c r="AM22" s="139"/>
      <c r="AN22" s="139"/>
      <c r="AO22" s="139"/>
      <c r="AP22" s="139"/>
      <c r="AQ22" s="139"/>
      <c r="AR22" s="139"/>
      <c r="AS22" s="139"/>
      <c r="AT22" s="139"/>
      <c r="AU22" s="139"/>
      <c r="AV22" s="139"/>
      <c r="AW22" s="139"/>
      <c r="AX22" s="139"/>
      <c r="AY22" s="140"/>
      <c r="AZ22" s="144"/>
      <c r="BA22" s="145"/>
      <c r="BB22" s="146"/>
    </row>
    <row r="23" spans="1:54" ht="42" customHeight="1" x14ac:dyDescent="0.2">
      <c r="A23" s="74" t="s">
        <v>82</v>
      </c>
      <c r="B23" s="108" t="s">
        <v>83</v>
      </c>
      <c r="C23" s="108" t="s">
        <v>84</v>
      </c>
      <c r="D23" s="108" t="s">
        <v>85</v>
      </c>
      <c r="E23" s="108" t="s">
        <v>86</v>
      </c>
      <c r="F23" s="109" t="s">
        <v>87</v>
      </c>
      <c r="G23" s="110" t="s">
        <v>88</v>
      </c>
      <c r="H23" s="109" t="s">
        <v>89</v>
      </c>
      <c r="I23" s="111" t="s">
        <v>90</v>
      </c>
      <c r="J23" s="112" t="s">
        <v>91</v>
      </c>
      <c r="K23" s="75" t="s">
        <v>92</v>
      </c>
      <c r="L23" s="76" t="s">
        <v>93</v>
      </c>
      <c r="M23" s="77" t="s">
        <v>94</v>
      </c>
      <c r="N23" s="78" t="s">
        <v>95</v>
      </c>
      <c r="O23" s="79" t="s">
        <v>96</v>
      </c>
      <c r="P23" s="113" t="s">
        <v>97</v>
      </c>
      <c r="Q23" s="80" t="s">
        <v>98</v>
      </c>
      <c r="R23" s="80" t="s">
        <v>99</v>
      </c>
      <c r="S23" s="80" t="s">
        <v>100</v>
      </c>
      <c r="T23" s="81" t="s">
        <v>101</v>
      </c>
      <c r="U23" s="28" t="s">
        <v>102</v>
      </c>
      <c r="V23" s="28" t="s">
        <v>103</v>
      </c>
      <c r="W23" s="27" t="s">
        <v>104</v>
      </c>
      <c r="X23" s="122" t="s">
        <v>105</v>
      </c>
      <c r="Y23" s="26" t="s">
        <v>106</v>
      </c>
      <c r="Z23" s="26" t="s">
        <v>107</v>
      </c>
      <c r="AA23" s="28" t="s">
        <v>108</v>
      </c>
      <c r="AB23" s="28" t="s">
        <v>109</v>
      </c>
      <c r="AC23" s="28" t="s">
        <v>110</v>
      </c>
      <c r="AD23" s="26" t="s">
        <v>111</v>
      </c>
      <c r="AE23" s="122" t="s">
        <v>112</v>
      </c>
      <c r="AF23" s="26" t="s">
        <v>113</v>
      </c>
      <c r="AG23" s="122" t="s">
        <v>114</v>
      </c>
      <c r="AH23" s="26" t="s">
        <v>115</v>
      </c>
      <c r="AI23" s="28" t="s">
        <v>116</v>
      </c>
      <c r="AJ23" s="28" t="s">
        <v>117</v>
      </c>
      <c r="AK23" s="28" t="s">
        <v>118</v>
      </c>
      <c r="AL23" s="122" t="s">
        <v>119</v>
      </c>
      <c r="AM23" s="26" t="s">
        <v>120</v>
      </c>
      <c r="AN23" s="122" t="s">
        <v>121</v>
      </c>
      <c r="AO23" s="122" t="s">
        <v>122</v>
      </c>
      <c r="AP23" s="28" t="s">
        <v>123</v>
      </c>
      <c r="AQ23" s="125" t="s">
        <v>124</v>
      </c>
      <c r="AR23" s="29" t="s">
        <v>125</v>
      </c>
      <c r="AS23" s="123" t="s">
        <v>126</v>
      </c>
      <c r="AT23" s="26" t="s">
        <v>127</v>
      </c>
      <c r="AU23" s="122" t="s">
        <v>128</v>
      </c>
      <c r="AV23" s="122" t="s">
        <v>129</v>
      </c>
      <c r="AW23" s="28" t="s">
        <v>130</v>
      </c>
      <c r="AX23" s="124" t="s">
        <v>131</v>
      </c>
      <c r="AY23" s="122" t="s">
        <v>132</v>
      </c>
      <c r="AZ23" s="82" t="s">
        <v>68</v>
      </c>
      <c r="BA23" s="82" t="s">
        <v>73</v>
      </c>
      <c r="BB23" s="83" t="s">
        <v>78</v>
      </c>
    </row>
    <row r="24" spans="1:54" ht="15.75" customHeight="1" x14ac:dyDescent="0.2">
      <c r="A24" s="84"/>
      <c r="B24" s="85"/>
      <c r="C24" s="85"/>
      <c r="D24" s="85"/>
      <c r="E24" s="86"/>
      <c r="F24" s="16">
        <f>IF(E24="","",DATEDIF(E24,$I$7,"Y"))</f>
      </c>
      <c r="G24" s="85"/>
      <c r="H24" s="85"/>
      <c r="I24" s="87"/>
      <c r="J24" s="85"/>
      <c r="K24" s="85"/>
      <c r="L24" s="2"/>
      <c r="M24" s="2"/>
      <c r="N24" s="2"/>
      <c r="O24" s="2"/>
      <c r="P24" s="85"/>
      <c r="Q24" s="88"/>
      <c r="R24" s="3">
        <f>IFERROR(VLOOKUP(TablaFebrero[[#This Row],[BARRIO]],SECTOR!$A:$B,2,0),"")</f>
      </c>
      <c r="S24" s="89"/>
      <c r="T24" s="90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17">
        <f>COUNTIF(U24:AY24,"A")</f>
      </c>
      <c r="BA24" s="17">
        <f>COUNTIF(U24:AY24,"F")</f>
      </c>
      <c r="BB24" s="17">
        <f>COUNTIF(U24:AY24,"E")</f>
      </c>
    </row>
    <row r="25" spans="1:54" ht="15.75" customHeight="1" x14ac:dyDescent="0.2">
      <c r="A25" s="84"/>
      <c r="B25" s="85"/>
      <c r="C25" s="85"/>
      <c r="D25" s="85"/>
      <c r="E25" s="86"/>
      <c r="F25" s="16">
        <f>IF(E25="","",DATEDIF(E25,$I$7,"Y"))</f>
      </c>
      <c r="G25" s="85"/>
      <c r="H25" s="85"/>
      <c r="I25" s="87"/>
      <c r="J25" s="85"/>
      <c r="K25" s="85"/>
      <c r="L25" s="2"/>
      <c r="M25" s="2"/>
      <c r="N25" s="1"/>
      <c r="O25" s="1"/>
      <c r="P25" s="85"/>
      <c r="Q25" s="88"/>
      <c r="R25" s="3">
        <f>IFERROR(VLOOKUP(TablaFebrero[[#This Row],[BARRIO]],SECTOR!$A:$B,2,0),"")</f>
      </c>
      <c r="S25" s="89"/>
      <c r="T25" s="90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17">
        <f>COUNTIF(U25:AY25,"A")</f>
      </c>
      <c r="BA25" s="17">
        <f>COUNTIF(U25:AY25,"F")</f>
      </c>
      <c r="BB25" s="17">
        <f>COUNTIF(U25:AY25,"E")</f>
      </c>
    </row>
    <row r="26" spans="1:54" ht="15.75" customHeight="1" x14ac:dyDescent="0.2">
      <c r="A26" s="84"/>
      <c r="B26" s="85"/>
      <c r="C26" s="85"/>
      <c r="D26" s="85"/>
      <c r="E26" s="86"/>
      <c r="F26" s="16">
        <f>IF(E26="","",DATEDIF(E26,$I$7,"Y"))</f>
      </c>
      <c r="G26" s="85"/>
      <c r="H26" s="85"/>
      <c r="I26" s="87"/>
      <c r="J26" s="85"/>
      <c r="K26" s="85"/>
      <c r="L26" s="2"/>
      <c r="M26" s="2"/>
      <c r="N26" s="1"/>
      <c r="O26" s="1"/>
      <c r="P26" s="85"/>
      <c r="Q26" s="88"/>
      <c r="R26" s="3">
        <f>IFERROR(VLOOKUP(TablaFebrero[[#This Row],[BARRIO]],SECTOR!$A:$B,2,0),"")</f>
      </c>
      <c r="S26" s="89"/>
      <c r="T26" s="90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17">
        <f>COUNTIF(U26:AY26,"A")</f>
      </c>
      <c r="BA26" s="17">
        <f>COUNTIF(U26:AY26,"F")</f>
      </c>
      <c r="BB26" s="17">
        <f>COUNTIF(U26:AY26,"E")</f>
      </c>
    </row>
    <row r="27" spans="1:54" ht="15.75" customHeight="1" x14ac:dyDescent="0.2">
      <c r="A27" s="84"/>
      <c r="B27" s="85"/>
      <c r="C27" s="85"/>
      <c r="D27" s="85"/>
      <c r="E27" s="86"/>
      <c r="F27" s="16">
        <f>IF(E27="","",DATEDIF(E27,$I$7,"Y"))</f>
      </c>
      <c r="G27" s="85"/>
      <c r="H27" s="85"/>
      <c r="I27" s="87"/>
      <c r="J27" s="85"/>
      <c r="K27" s="85"/>
      <c r="L27" s="2"/>
      <c r="M27" s="2"/>
      <c r="N27" s="1"/>
      <c r="O27" s="1"/>
      <c r="P27" s="85"/>
      <c r="Q27" s="88"/>
      <c r="R27" s="3">
        <f>IFERROR(VLOOKUP(TablaFebrero[[#This Row],[BARRIO]],SECTOR!$A:$B,2,0),"")</f>
      </c>
      <c r="S27" s="89"/>
      <c r="T27" s="90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17">
        <f>COUNTIF(U27:AY27,"A")</f>
      </c>
      <c r="BA27" s="17">
        <f>COUNTIF(U27:AY27,"F")</f>
      </c>
      <c r="BB27" s="17">
        <f>COUNTIF(U27:AY27,"E")</f>
      </c>
    </row>
    <row r="28" spans="1:54" ht="15.75" customHeight="1" x14ac:dyDescent="0.2">
      <c r="A28" s="84"/>
      <c r="B28" s="85"/>
      <c r="C28" s="85"/>
      <c r="D28" s="85"/>
      <c r="E28" s="86"/>
      <c r="F28" s="16">
        <f>IF(E28="","",DATEDIF(E28,$I$7,"Y"))</f>
      </c>
      <c r="G28" s="85"/>
      <c r="H28" s="85"/>
      <c r="I28" s="87"/>
      <c r="J28" s="85"/>
      <c r="K28" s="85"/>
      <c r="L28" s="2"/>
      <c r="M28" s="2"/>
      <c r="N28" s="1"/>
      <c r="O28" s="1"/>
      <c r="P28" s="85"/>
      <c r="Q28" s="88"/>
      <c r="R28" s="3">
        <f>IFERROR(VLOOKUP(TablaFebrero[[#This Row],[BARRIO]],SECTOR!$A:$B,2,0),"")</f>
      </c>
      <c r="S28" s="89"/>
      <c r="T28" s="90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17">
        <f>COUNTIF(U28:AY28,"A")</f>
      </c>
      <c r="BA28" s="17">
        <f>COUNTIF(U28:AY28,"F")</f>
      </c>
      <c r="BB28" s="17">
        <f>COUNTIF(U28:AY28,"E")</f>
      </c>
    </row>
    <row r="29" spans="1:54" ht="15.75" customHeight="1" x14ac:dyDescent="0.2">
      <c r="A29" s="84"/>
      <c r="B29" s="85"/>
      <c r="C29" s="85"/>
      <c r="D29" s="85"/>
      <c r="E29" s="86"/>
      <c r="F29" s="16">
        <f>IF(E29="","",DATEDIF(E29,$I$7,"Y"))</f>
      </c>
      <c r="G29" s="85"/>
      <c r="H29" s="85"/>
      <c r="I29" s="87"/>
      <c r="J29" s="85"/>
      <c r="K29" s="85"/>
      <c r="L29" s="2"/>
      <c r="M29" s="2"/>
      <c r="N29" s="1"/>
      <c r="O29" s="1"/>
      <c r="P29" s="85"/>
      <c r="Q29" s="88"/>
      <c r="R29" s="3">
        <f>IFERROR(VLOOKUP(TablaFebrero[[#This Row],[BARRIO]],SECTOR!$A:$B,2,0),"")</f>
      </c>
      <c r="S29" s="89"/>
      <c r="T29" s="90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17">
        <f>COUNTIF(U29:AY29,"A")</f>
      </c>
      <c r="BA29" s="17">
        <f>COUNTIF(U29:AY29,"F")</f>
      </c>
      <c r="BB29" s="17">
        <f>COUNTIF(U29:AY29,"E")</f>
      </c>
    </row>
    <row r="30" spans="1:54" ht="15.75" customHeight="1" x14ac:dyDescent="0.2">
      <c r="A30" s="84"/>
      <c r="B30" s="85"/>
      <c r="C30" s="85"/>
      <c r="D30" s="85"/>
      <c r="E30" s="86"/>
      <c r="F30" s="16">
        <f>IF(E30="","",DATEDIF(E30,$I$7,"Y"))</f>
      </c>
      <c r="G30" s="85"/>
      <c r="H30" s="85"/>
      <c r="I30" s="87"/>
      <c r="J30" s="85"/>
      <c r="K30" s="85"/>
      <c r="L30" s="2"/>
      <c r="M30" s="2"/>
      <c r="N30" s="1"/>
      <c r="O30" s="1"/>
      <c r="P30" s="85"/>
      <c r="Q30" s="88"/>
      <c r="R30" s="3">
        <f>IFERROR(VLOOKUP(TablaFebrero[[#This Row],[BARRIO]],SECTOR!$A:$B,2,0),"")</f>
      </c>
      <c r="S30" s="89"/>
      <c r="T30" s="90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17">
        <f>COUNTIF(U30:AY30,"A")</f>
      </c>
      <c r="BA30" s="17">
        <f>COUNTIF(U30:AY30,"F")</f>
      </c>
      <c r="BB30" s="17">
        <f>COUNTIF(U30:AY30,"E")</f>
      </c>
    </row>
    <row r="31" spans="1:54" ht="15.75" customHeight="1" x14ac:dyDescent="0.2">
      <c r="A31" s="84"/>
      <c r="B31" s="85"/>
      <c r="C31" s="85"/>
      <c r="D31" s="85"/>
      <c r="E31" s="86"/>
      <c r="F31" s="16">
        <f>IF(E31="","",DATEDIF(E31,$I$7,"Y"))</f>
      </c>
      <c r="G31" s="85"/>
      <c r="H31" s="85"/>
      <c r="I31" s="87"/>
      <c r="J31" s="85"/>
      <c r="K31" s="85"/>
      <c r="L31" s="2"/>
      <c r="M31" s="2"/>
      <c r="N31" s="1"/>
      <c r="O31" s="1"/>
      <c r="P31" s="85"/>
      <c r="Q31" s="88"/>
      <c r="R31" s="3">
        <f>IFERROR(VLOOKUP(TablaFebrero[[#This Row],[BARRIO]],SECTOR!$A:$B,2,0),"")</f>
      </c>
      <c r="S31" s="89"/>
      <c r="T31" s="90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17">
        <f>COUNTIF(U31:AY31,"A")</f>
      </c>
      <c r="BA31" s="17">
        <f>COUNTIF(U31:AY31,"F")</f>
      </c>
      <c r="BB31" s="17">
        <f>COUNTIF(U31:AY31,"E")</f>
      </c>
    </row>
    <row r="32" spans="1:54" ht="15.75" customHeight="1" x14ac:dyDescent="0.2">
      <c r="A32" s="84"/>
      <c r="B32" s="85"/>
      <c r="C32" s="85"/>
      <c r="D32" s="85"/>
      <c r="E32" s="86"/>
      <c r="F32" s="16">
        <f>IF(E32="","",DATEDIF(E32,$I$7,"Y"))</f>
      </c>
      <c r="G32" s="85"/>
      <c r="H32" s="85"/>
      <c r="I32" s="87"/>
      <c r="J32" s="85"/>
      <c r="K32" s="85"/>
      <c r="L32" s="2"/>
      <c r="M32" s="2"/>
      <c r="N32" s="1"/>
      <c r="O32" s="1"/>
      <c r="P32" s="85"/>
      <c r="Q32" s="88"/>
      <c r="R32" s="3">
        <f>IFERROR(VLOOKUP(TablaFebrero[[#This Row],[BARRIO]],SECTOR!$A:$B,2,0),"")</f>
      </c>
      <c r="S32" s="89"/>
      <c r="T32" s="90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17">
        <f>COUNTIF(U32:AY32,"A")</f>
      </c>
      <c r="BA32" s="17">
        <f>COUNTIF(U32:AY32,"F")</f>
      </c>
      <c r="BB32" s="17">
        <f>COUNTIF(U32:AY32,"E")</f>
      </c>
    </row>
    <row r="33" spans="1:54" ht="15.75" customHeight="1" x14ac:dyDescent="0.2">
      <c r="A33" s="84"/>
      <c r="B33" s="85"/>
      <c r="C33" s="85"/>
      <c r="D33" s="85"/>
      <c r="E33" s="86"/>
      <c r="F33" s="16">
        <f>IF(E33="","",DATEDIF(E33,$I$7,"Y"))</f>
      </c>
      <c r="G33" s="85"/>
      <c r="H33" s="85"/>
      <c r="I33" s="87"/>
      <c r="J33" s="85"/>
      <c r="K33" s="85"/>
      <c r="L33" s="2"/>
      <c r="M33" s="2"/>
      <c r="N33" s="1"/>
      <c r="O33" s="1"/>
      <c r="P33" s="85"/>
      <c r="Q33" s="88"/>
      <c r="R33" s="3">
        <f>IFERROR(VLOOKUP(TablaFebrero[[#This Row],[BARRIO]],SECTOR!$A:$B,2,0),"")</f>
      </c>
      <c r="S33" s="89"/>
      <c r="T33" s="90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17">
        <f>COUNTIF(U33:AY33,"A")</f>
      </c>
      <c r="BA33" s="17">
        <f>COUNTIF(U33:AY33,"F")</f>
      </c>
      <c r="BB33" s="17">
        <f>COUNTIF(U33:AY33,"E")</f>
      </c>
    </row>
    <row r="34" spans="1:54" ht="15.75" customHeight="1" x14ac:dyDescent="0.2">
      <c r="A34" s="84"/>
      <c r="B34" s="85"/>
      <c r="C34" s="85"/>
      <c r="D34" s="85"/>
      <c r="E34" s="86"/>
      <c r="F34" s="16">
        <f>IF(E34="","",DATEDIF(E34,$I$7,"Y"))</f>
      </c>
      <c r="G34" s="85"/>
      <c r="H34" s="85"/>
      <c r="I34" s="87"/>
      <c r="J34" s="85"/>
      <c r="K34" s="85"/>
      <c r="L34" s="2"/>
      <c r="M34" s="2"/>
      <c r="N34" s="1"/>
      <c r="O34" s="1"/>
      <c r="P34" s="85"/>
      <c r="Q34" s="88"/>
      <c r="R34" s="3">
        <f>IFERROR(VLOOKUP(TablaFebrero[[#This Row],[BARRIO]],SECTOR!$A:$B,2,0),"")</f>
      </c>
      <c r="S34" s="89"/>
      <c r="T34" s="90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17">
        <f>COUNTIF(U34:AY34,"A")</f>
      </c>
      <c r="BA34" s="17">
        <f>COUNTIF(U34:AY34,"F")</f>
      </c>
      <c r="BB34" s="17">
        <f>COUNTIF(U34:AY34,"E")</f>
      </c>
    </row>
    <row r="35" spans="1:54" ht="15.75" customHeight="1" x14ac:dyDescent="0.2">
      <c r="A35" s="84"/>
      <c r="B35" s="85"/>
      <c r="C35" s="85"/>
      <c r="D35" s="85"/>
      <c r="E35" s="86"/>
      <c r="F35" s="16">
        <f>IF(E35="","",DATEDIF(E35,$I$7,"Y"))</f>
      </c>
      <c r="G35" s="85"/>
      <c r="H35" s="85"/>
      <c r="I35" s="87"/>
      <c r="J35" s="85"/>
      <c r="K35" s="85"/>
      <c r="L35" s="2"/>
      <c r="M35" s="2"/>
      <c r="N35" s="1"/>
      <c r="O35" s="1"/>
      <c r="P35" s="85"/>
      <c r="Q35" s="88"/>
      <c r="R35" s="3">
        <f>IFERROR(VLOOKUP(TablaFebrero[[#This Row],[BARRIO]],SECTOR!$A:$B,2,0),"")</f>
      </c>
      <c r="S35" s="89"/>
      <c r="T35" s="90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17">
        <f>COUNTIF(U35:AY35,"A")</f>
      </c>
      <c r="BA35" s="17">
        <f>COUNTIF(U35:AY35,"F")</f>
      </c>
      <c r="BB35" s="17">
        <f>COUNTIF(U35:AY35,"E")</f>
      </c>
    </row>
    <row r="36" spans="1:54" ht="15.75" customHeight="1" x14ac:dyDescent="0.2">
      <c r="A36" s="84"/>
      <c r="B36" s="85"/>
      <c r="C36" s="85"/>
      <c r="D36" s="85"/>
      <c r="E36" s="86"/>
      <c r="F36" s="16">
        <f>IF(E36="","",DATEDIF(E36,$I$7,"Y"))</f>
      </c>
      <c r="G36" s="85"/>
      <c r="H36" s="85"/>
      <c r="I36" s="87"/>
      <c r="J36" s="85"/>
      <c r="K36" s="85"/>
      <c r="L36" s="2"/>
      <c r="M36" s="2"/>
      <c r="N36" s="1"/>
      <c r="O36" s="1"/>
      <c r="P36" s="85"/>
      <c r="Q36" s="88"/>
      <c r="R36" s="3">
        <f>IFERROR(VLOOKUP(TablaFebrero[[#This Row],[BARRIO]],SECTOR!$A:$B,2,0),"")</f>
      </c>
      <c r="S36" s="89"/>
      <c r="T36" s="90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17">
        <f>COUNTIF(U36:AY36,"A")</f>
      </c>
      <c r="BA36" s="17">
        <f>COUNTIF(U36:AY36,"F")</f>
      </c>
      <c r="BB36" s="17">
        <f>COUNTIF(U36:AY36,"E")</f>
      </c>
    </row>
    <row r="37" spans="1:54" ht="15.75" customHeight="1" x14ac:dyDescent="0.2">
      <c r="A37" s="84"/>
      <c r="B37" s="85"/>
      <c r="C37" s="85"/>
      <c r="D37" s="85"/>
      <c r="E37" s="86"/>
      <c r="F37" s="16">
        <f>IF(E37="","",DATEDIF(E37,$I$7,"Y"))</f>
      </c>
      <c r="G37" s="85"/>
      <c r="H37" s="85"/>
      <c r="I37" s="87"/>
      <c r="J37" s="85"/>
      <c r="K37" s="85"/>
      <c r="L37" s="2"/>
      <c r="M37" s="2"/>
      <c r="N37" s="1"/>
      <c r="O37" s="1"/>
      <c r="P37" s="85"/>
      <c r="Q37" s="88"/>
      <c r="R37" s="3">
        <f>IFERROR(VLOOKUP(TablaFebrero[[#This Row],[BARRIO]],SECTOR!$A:$B,2,0),"")</f>
      </c>
      <c r="S37" s="89"/>
      <c r="T37" s="90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17">
        <f>COUNTIF(U37:AY37,"A")</f>
      </c>
      <c r="BA37" s="17">
        <f>COUNTIF(U37:AY37,"F")</f>
      </c>
      <c r="BB37" s="17">
        <f>COUNTIF(U37:AY37,"E")</f>
      </c>
    </row>
    <row r="38" spans="1:54" ht="15.75" customHeight="1" x14ac:dyDescent="0.2">
      <c r="A38" s="84"/>
      <c r="B38" s="85"/>
      <c r="C38" s="85"/>
      <c r="D38" s="85"/>
      <c r="E38" s="86"/>
      <c r="F38" s="16">
        <f>IF(E38="","",DATEDIF(E38,$I$7,"Y"))</f>
      </c>
      <c r="G38" s="85"/>
      <c r="H38" s="85"/>
      <c r="I38" s="87"/>
      <c r="J38" s="85"/>
      <c r="K38" s="85"/>
      <c r="L38" s="2"/>
      <c r="M38" s="2"/>
      <c r="N38" s="1"/>
      <c r="O38" s="1"/>
      <c r="P38" s="85"/>
      <c r="Q38" s="88"/>
      <c r="R38" s="3">
        <f>IFERROR(VLOOKUP(TablaFebrero[[#This Row],[BARRIO]],SECTOR!$A:$B,2,0),"")</f>
      </c>
      <c r="S38" s="89"/>
      <c r="T38" s="90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17">
        <f>COUNTIF(U38:AY38,"A")</f>
      </c>
      <c r="BA38" s="17">
        <f>COUNTIF(U38:AY38,"F")</f>
      </c>
      <c r="BB38" s="17">
        <f>COUNTIF(U38:AY38,"E")</f>
      </c>
    </row>
    <row r="39" spans="1:54" ht="15.75" customHeight="1" x14ac:dyDescent="0.2">
      <c r="A39" s="84"/>
      <c r="B39" s="85"/>
      <c r="C39" s="85"/>
      <c r="D39" s="85"/>
      <c r="E39" s="86"/>
      <c r="F39" s="16">
        <f>IF(E39="","",DATEDIF(E39,$I$7,"Y"))</f>
      </c>
      <c r="G39" s="85"/>
      <c r="H39" s="85"/>
      <c r="I39" s="87"/>
      <c r="J39" s="85"/>
      <c r="K39" s="85"/>
      <c r="L39" s="2"/>
      <c r="M39" s="2"/>
      <c r="N39" s="1"/>
      <c r="O39" s="1"/>
      <c r="P39" s="85"/>
      <c r="Q39" s="88"/>
      <c r="R39" s="3">
        <f>IFERROR(VLOOKUP(TablaFebrero[[#This Row],[BARRIO]],SECTOR!$A:$B,2,0),"")</f>
      </c>
      <c r="S39" s="89"/>
      <c r="T39" s="90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17">
        <f>COUNTIF(U39:AY39,"A")</f>
      </c>
      <c r="BA39" s="17">
        <f>COUNTIF(U39:AY39,"F")</f>
      </c>
      <c r="BB39" s="17">
        <f>COUNTIF(U39:AY39,"E")</f>
      </c>
    </row>
    <row r="40" spans="1:54" ht="15.75" customHeight="1" x14ac:dyDescent="0.2">
      <c r="A40" s="84"/>
      <c r="B40" s="85"/>
      <c r="C40" s="85"/>
      <c r="D40" s="85"/>
      <c r="E40" s="86"/>
      <c r="F40" s="16">
        <f>IF(E40="","",DATEDIF(E40,$I$7,"Y"))</f>
      </c>
      <c r="G40" s="85"/>
      <c r="H40" s="85"/>
      <c r="I40" s="87"/>
      <c r="J40" s="85"/>
      <c r="K40" s="85"/>
      <c r="L40" s="2"/>
      <c r="M40" s="2"/>
      <c r="N40" s="1"/>
      <c r="O40" s="1"/>
      <c r="P40" s="85"/>
      <c r="Q40" s="88"/>
      <c r="R40" s="3">
        <f>IFERROR(VLOOKUP(TablaFebrero[[#This Row],[BARRIO]],SECTOR!$A:$B,2,0),"")</f>
      </c>
      <c r="S40" s="89"/>
      <c r="T40" s="90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17">
        <f>COUNTIF(U40:AY40,"A")</f>
      </c>
      <c r="BA40" s="17">
        <f>COUNTIF(U40:AY40,"F")</f>
      </c>
      <c r="BB40" s="17">
        <f>COUNTIF(U40:AY40,"E")</f>
      </c>
    </row>
    <row r="41" spans="1:54" ht="15.75" customHeight="1" x14ac:dyDescent="0.2">
      <c r="A41" s="84"/>
      <c r="B41" s="85"/>
      <c r="C41" s="85"/>
      <c r="D41" s="85"/>
      <c r="E41" s="86"/>
      <c r="F41" s="16">
        <f>IF(E41="","",DATEDIF(E41,$I$7,"Y"))</f>
      </c>
      <c r="G41" s="85"/>
      <c r="H41" s="85"/>
      <c r="I41" s="87"/>
      <c r="J41" s="85"/>
      <c r="K41" s="85"/>
      <c r="L41" s="2"/>
      <c r="M41" s="2"/>
      <c r="N41" s="1"/>
      <c r="O41" s="1"/>
      <c r="P41" s="85"/>
      <c r="Q41" s="88"/>
      <c r="R41" s="3">
        <f>IFERROR(VLOOKUP(TablaFebrero[[#This Row],[BARRIO]],SECTOR!$A:$B,2,0),"")</f>
      </c>
      <c r="S41" s="89"/>
      <c r="T41" s="90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17">
        <f>COUNTIF(U41:AY41,"A")</f>
      </c>
      <c r="BA41" s="17">
        <f>COUNTIF(U41:AY41,"F")</f>
      </c>
      <c r="BB41" s="17">
        <f>COUNTIF(U41:AY41,"E")</f>
      </c>
    </row>
    <row r="42" spans="1:54" ht="15.75" customHeight="1" x14ac:dyDescent="0.2">
      <c r="A42" s="84"/>
      <c r="B42" s="85"/>
      <c r="C42" s="85"/>
      <c r="D42" s="85"/>
      <c r="E42" s="86"/>
      <c r="F42" s="16">
        <f>IF(E42="","",DATEDIF(E42,$I$7,"Y"))</f>
      </c>
      <c r="G42" s="85"/>
      <c r="H42" s="85"/>
      <c r="I42" s="87"/>
      <c r="J42" s="85"/>
      <c r="K42" s="85"/>
      <c r="L42" s="2"/>
      <c r="M42" s="2"/>
      <c r="N42" s="1"/>
      <c r="O42" s="1"/>
      <c r="P42" s="85"/>
      <c r="Q42" s="88"/>
      <c r="R42" s="3">
        <f>IFERROR(VLOOKUP(TablaFebrero[[#This Row],[BARRIO]],SECTOR!$A:$B,2,0),"")</f>
      </c>
      <c r="S42" s="89"/>
      <c r="T42" s="90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17">
        <f>COUNTIF(U42:AY42,"A")</f>
      </c>
      <c r="BA42" s="17">
        <f>COUNTIF(U42:AY42,"F")</f>
      </c>
      <c r="BB42" s="17">
        <f>COUNTIF(U42:AY42,"E")</f>
      </c>
    </row>
    <row r="43" spans="1:54" ht="15.75" customHeight="1" x14ac:dyDescent="0.2">
      <c r="A43" s="84"/>
      <c r="B43" s="85"/>
      <c r="C43" s="85"/>
      <c r="D43" s="85"/>
      <c r="E43" s="86"/>
      <c r="F43" s="16">
        <f>IF(E43="","",DATEDIF(E43,$I$7,"Y"))</f>
      </c>
      <c r="G43" s="85"/>
      <c r="H43" s="85"/>
      <c r="I43" s="87"/>
      <c r="J43" s="85"/>
      <c r="K43" s="85"/>
      <c r="L43" s="2"/>
      <c r="M43" s="2"/>
      <c r="N43" s="1"/>
      <c r="O43" s="1"/>
      <c r="P43" s="85"/>
      <c r="Q43" s="88"/>
      <c r="R43" s="3">
        <f>IFERROR(VLOOKUP(TablaFebrero[[#This Row],[BARRIO]],SECTOR!$A:$B,2,0),"")</f>
      </c>
      <c r="S43" s="89"/>
      <c r="T43" s="90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17">
        <f>COUNTIF(U43:AY43,"A")</f>
      </c>
      <c r="BA43" s="17">
        <f>COUNTIF(U43:AY43,"F")</f>
      </c>
      <c r="BB43" s="17">
        <f>COUNTIF(U43:AY43,"E")</f>
      </c>
    </row>
    <row r="44" spans="1:54" ht="15.75" customHeight="1" x14ac:dyDescent="0.2">
      <c r="A44" s="84"/>
      <c r="B44" s="85"/>
      <c r="C44" s="85"/>
      <c r="D44" s="85"/>
      <c r="E44" s="86"/>
      <c r="F44" s="16">
        <f>IF(E44="","",DATEDIF(E44,$I$7,"Y"))</f>
      </c>
      <c r="G44" s="85"/>
      <c r="H44" s="85"/>
      <c r="I44" s="87"/>
      <c r="J44" s="85"/>
      <c r="K44" s="85"/>
      <c r="L44" s="2"/>
      <c r="M44" s="2"/>
      <c r="N44" s="1"/>
      <c r="O44" s="1"/>
      <c r="P44" s="85"/>
      <c r="Q44" s="88"/>
      <c r="R44" s="3">
        <f>IFERROR(VLOOKUP(TablaFebrero[[#This Row],[BARRIO]],SECTOR!$A:$B,2,0),"")</f>
      </c>
      <c r="S44" s="89"/>
      <c r="T44" s="90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17">
        <f>COUNTIF(U44:AY44,"A")</f>
      </c>
      <c r="BA44" s="17">
        <f>COUNTIF(U44:AY44,"F")</f>
      </c>
      <c r="BB44" s="17">
        <f>COUNTIF(U44:AY44,"E")</f>
      </c>
    </row>
    <row r="45" spans="1:54" ht="15.75" customHeight="1" x14ac:dyDescent="0.2">
      <c r="A45" s="84"/>
      <c r="B45" s="85"/>
      <c r="C45" s="85"/>
      <c r="D45" s="85"/>
      <c r="E45" s="86"/>
      <c r="F45" s="16">
        <f>IF(E45="","",DATEDIF(E45,$I$7,"Y"))</f>
      </c>
      <c r="G45" s="85"/>
      <c r="H45" s="85"/>
      <c r="I45" s="87"/>
      <c r="J45" s="85"/>
      <c r="K45" s="85"/>
      <c r="L45" s="2"/>
      <c r="M45" s="2"/>
      <c r="N45" s="1"/>
      <c r="O45" s="1"/>
      <c r="P45" s="85"/>
      <c r="Q45" s="88"/>
      <c r="R45" s="3">
        <f>IFERROR(VLOOKUP(TablaFebrero[[#This Row],[BARRIO]],SECTOR!$A:$B,2,0),"")</f>
      </c>
      <c r="S45" s="89"/>
      <c r="T45" s="90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17">
        <f>COUNTIF(U45:AY45,"A")</f>
      </c>
      <c r="BA45" s="17">
        <f>COUNTIF(U45:AY45,"F")</f>
      </c>
      <c r="BB45" s="17">
        <f>COUNTIF(U45:AY45,"E")</f>
      </c>
    </row>
    <row r="46" spans="1:54" ht="15.75" customHeight="1" x14ac:dyDescent="0.2">
      <c r="A46" s="84"/>
      <c r="B46" s="85"/>
      <c r="C46" s="85"/>
      <c r="D46" s="85"/>
      <c r="E46" s="86"/>
      <c r="F46" s="16">
        <f>IF(E46="","",DATEDIF(E46,$I$7,"Y"))</f>
      </c>
      <c r="G46" s="85"/>
      <c r="H46" s="85"/>
      <c r="I46" s="87"/>
      <c r="J46" s="85"/>
      <c r="K46" s="85"/>
      <c r="L46" s="2"/>
      <c r="M46" s="2"/>
      <c r="N46" s="1"/>
      <c r="O46" s="1"/>
      <c r="P46" s="85"/>
      <c r="Q46" s="88"/>
      <c r="R46" s="3">
        <f>IFERROR(VLOOKUP(TablaFebrero[[#This Row],[BARRIO]],SECTOR!$A:$B,2,0),"")</f>
      </c>
      <c r="S46" s="89"/>
      <c r="T46" s="90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17">
        <f>COUNTIF(U46:AY46,"A")</f>
      </c>
      <c r="BA46" s="17">
        <f>COUNTIF(U46:AY46,"F")</f>
      </c>
      <c r="BB46" s="17">
        <f>COUNTIF(U46:AY46,"E")</f>
      </c>
    </row>
    <row r="47" spans="1:54" ht="15.75" customHeight="1" x14ac:dyDescent="0.2">
      <c r="A47" s="84"/>
      <c r="B47" s="85"/>
      <c r="C47" s="85"/>
      <c r="D47" s="85"/>
      <c r="E47" s="86"/>
      <c r="F47" s="16">
        <f>IF(E47="","",DATEDIF(E47,$I$7,"Y"))</f>
      </c>
      <c r="G47" s="85"/>
      <c r="H47" s="85"/>
      <c r="I47" s="87"/>
      <c r="J47" s="85"/>
      <c r="K47" s="85"/>
      <c r="L47" s="2"/>
      <c r="M47" s="2"/>
      <c r="N47" s="1"/>
      <c r="O47" s="1"/>
      <c r="P47" s="85"/>
      <c r="Q47" s="88"/>
      <c r="R47" s="3">
        <f>IFERROR(VLOOKUP(TablaFebrero[[#This Row],[BARRIO]],SECTOR!$A:$B,2,0),"")</f>
      </c>
      <c r="S47" s="89"/>
      <c r="T47" s="90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17">
        <f>COUNTIF(U47:AY47,"A")</f>
      </c>
      <c r="BA47" s="17">
        <f>COUNTIF(U47:AY47,"F")</f>
      </c>
      <c r="BB47" s="17">
        <f>COUNTIF(U47:AY47,"E")</f>
      </c>
    </row>
    <row r="48" spans="1:54" ht="15.75" customHeight="1" x14ac:dyDescent="0.2">
      <c r="A48" s="84"/>
      <c r="B48" s="85"/>
      <c r="C48" s="85"/>
      <c r="D48" s="85"/>
      <c r="E48" s="86"/>
      <c r="F48" s="16">
        <f>IF(E48="","",DATEDIF(E48,$I$7,"Y"))</f>
      </c>
      <c r="G48" s="85"/>
      <c r="H48" s="85"/>
      <c r="I48" s="87"/>
      <c r="J48" s="85"/>
      <c r="K48" s="85"/>
      <c r="L48" s="2"/>
      <c r="M48" s="2"/>
      <c r="N48" s="1"/>
      <c r="O48" s="1"/>
      <c r="P48" s="85"/>
      <c r="Q48" s="88"/>
      <c r="R48" s="3">
        <f>IFERROR(VLOOKUP(TablaFebrero[[#This Row],[BARRIO]],SECTOR!$A:$B,2,0),"")</f>
      </c>
      <c r="S48" s="89"/>
      <c r="T48" s="90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17">
        <f>COUNTIF(U48:AY48,"A")</f>
      </c>
      <c r="BA48" s="17">
        <f>COUNTIF(U48:AY48,"F")</f>
      </c>
      <c r="BB48" s="17">
        <f>COUNTIF(U48:AY48,"E")</f>
      </c>
    </row>
    <row r="49" spans="1:54" ht="15.75" customHeight="1" x14ac:dyDescent="0.2">
      <c r="A49" s="84"/>
      <c r="B49" s="85"/>
      <c r="C49" s="85"/>
      <c r="D49" s="85"/>
      <c r="E49" s="86"/>
      <c r="F49" s="16">
        <f>IF(E49="","",DATEDIF(E49,$I$7,"Y"))</f>
      </c>
      <c r="G49" s="85"/>
      <c r="H49" s="85"/>
      <c r="I49" s="87"/>
      <c r="J49" s="85"/>
      <c r="K49" s="85"/>
      <c r="L49" s="2"/>
      <c r="M49" s="2"/>
      <c r="N49" s="1"/>
      <c r="O49" s="1"/>
      <c r="P49" s="85"/>
      <c r="Q49" s="88"/>
      <c r="R49" s="3">
        <f>IFERROR(VLOOKUP(TablaFebrero[[#This Row],[BARRIO]],SECTOR!$A:$B,2,0),"")</f>
      </c>
      <c r="S49" s="89"/>
      <c r="T49" s="90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17">
        <f>COUNTIF(U49:AY49,"A")</f>
      </c>
      <c r="BA49" s="17">
        <f>COUNTIF(U49:AY49,"F")</f>
      </c>
      <c r="BB49" s="17">
        <f>COUNTIF(U49:AY49,"E")</f>
      </c>
    </row>
    <row r="50" spans="1:54" ht="15.75" customHeight="1" x14ac:dyDescent="0.2">
      <c r="A50" s="84"/>
      <c r="B50" s="85"/>
      <c r="C50" s="85"/>
      <c r="D50" s="85"/>
      <c r="E50" s="86"/>
      <c r="F50" s="16">
        <f>IF(E50="","",DATEDIF(E50,$I$7,"Y"))</f>
      </c>
      <c r="G50" s="85"/>
      <c r="H50" s="85"/>
      <c r="I50" s="87"/>
      <c r="J50" s="85"/>
      <c r="K50" s="85"/>
      <c r="L50" s="2"/>
      <c r="M50" s="2"/>
      <c r="N50" s="1"/>
      <c r="O50" s="1"/>
      <c r="P50" s="85"/>
      <c r="Q50" s="88"/>
      <c r="R50" s="3">
        <f>IFERROR(VLOOKUP(TablaFebrero[[#This Row],[BARRIO]],SECTOR!$A:$B,2,0),"")</f>
      </c>
      <c r="S50" s="89"/>
      <c r="T50" s="90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17">
        <f>COUNTIF(U50:AY50,"A")</f>
      </c>
      <c r="BA50" s="17">
        <f>COUNTIF(U50:AY50,"F")</f>
      </c>
      <c r="BB50" s="17">
        <f>COUNTIF(U50:AY50,"E")</f>
      </c>
    </row>
    <row r="51" spans="1:54" ht="15.75" customHeight="1" x14ac:dyDescent="0.2">
      <c r="A51" s="84"/>
      <c r="B51" s="85"/>
      <c r="C51" s="85"/>
      <c r="D51" s="85"/>
      <c r="E51" s="86"/>
      <c r="F51" s="16">
        <f>IF(E51="","",DATEDIF(E51,$I$7,"Y"))</f>
      </c>
      <c r="G51" s="85"/>
      <c r="H51" s="85"/>
      <c r="I51" s="87"/>
      <c r="J51" s="85"/>
      <c r="K51" s="85"/>
      <c r="L51" s="2"/>
      <c r="M51" s="2"/>
      <c r="N51" s="1"/>
      <c r="O51" s="1"/>
      <c r="P51" s="85"/>
      <c r="Q51" s="88"/>
      <c r="R51" s="3">
        <f>IFERROR(VLOOKUP(TablaFebrero[[#This Row],[BARRIO]],SECTOR!$A:$B,2,0),"")</f>
      </c>
      <c r="S51" s="89"/>
      <c r="T51" s="90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17">
        <f>COUNTIF(U51:AY51,"A")</f>
      </c>
      <c r="BA51" s="17">
        <f>COUNTIF(U51:AY51,"F")</f>
      </c>
      <c r="BB51" s="17">
        <f>COUNTIF(U51:AY51,"E")</f>
      </c>
    </row>
    <row r="52" spans="1:54" ht="15.75" customHeight="1" x14ac:dyDescent="0.2">
      <c r="A52" s="84"/>
      <c r="B52" s="85"/>
      <c r="C52" s="85"/>
      <c r="D52" s="85"/>
      <c r="E52" s="86"/>
      <c r="F52" s="16">
        <f>IF(E52="","",DATEDIF(E52,$I$7,"Y"))</f>
      </c>
      <c r="G52" s="85"/>
      <c r="H52" s="85"/>
      <c r="I52" s="87"/>
      <c r="J52" s="85"/>
      <c r="K52" s="85"/>
      <c r="L52" s="2"/>
      <c r="M52" s="2"/>
      <c r="N52" s="1"/>
      <c r="O52" s="1"/>
      <c r="P52" s="85"/>
      <c r="Q52" s="88"/>
      <c r="R52" s="3">
        <f>IFERROR(VLOOKUP(TablaFebrero[[#This Row],[BARRIO]],SECTOR!$A:$B,2,0),"")</f>
      </c>
      <c r="S52" s="89"/>
      <c r="T52" s="90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17">
        <f>COUNTIF(U52:AY52,"A")</f>
      </c>
      <c r="BA52" s="17">
        <f>COUNTIF(U52:AY52,"F")</f>
      </c>
      <c r="BB52" s="17">
        <f>COUNTIF(U52:AY52,"E")</f>
      </c>
    </row>
    <row r="53" spans="1:54" ht="15.75" customHeight="1" x14ac:dyDescent="0.2">
      <c r="A53" s="84"/>
      <c r="B53" s="85"/>
      <c r="C53" s="85"/>
      <c r="D53" s="85"/>
      <c r="E53" s="86"/>
      <c r="F53" s="16">
        <f>IF(E53="","",DATEDIF(E53,$I$7,"Y"))</f>
      </c>
      <c r="G53" s="85"/>
      <c r="H53" s="85"/>
      <c r="I53" s="87"/>
      <c r="J53" s="85"/>
      <c r="K53" s="85"/>
      <c r="L53" s="2"/>
      <c r="M53" s="2"/>
      <c r="N53" s="1"/>
      <c r="O53" s="1"/>
      <c r="P53" s="85"/>
      <c r="Q53" s="88"/>
      <c r="R53" s="3">
        <f>IFERROR(VLOOKUP(TablaFebrero[[#This Row],[BARRIO]],SECTOR!$A:$B,2,0),"")</f>
      </c>
      <c r="S53" s="89"/>
      <c r="T53" s="90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17">
        <f>COUNTIF(U53:AY53,"A")</f>
      </c>
      <c r="BA53" s="17">
        <f>COUNTIF(U53:AY53,"F")</f>
      </c>
      <c r="BB53" s="17">
        <f>COUNTIF(U53:AY53,"E")</f>
      </c>
    </row>
    <row r="54" spans="1:54" ht="15.75" customHeight="1" x14ac:dyDescent="0.2">
      <c r="A54" s="84"/>
      <c r="B54" s="85"/>
      <c r="C54" s="85"/>
      <c r="D54" s="85"/>
      <c r="E54" s="86"/>
      <c r="F54" s="16">
        <f>IF(E54="","",DATEDIF(E54,$I$7,"Y"))</f>
      </c>
      <c r="G54" s="85"/>
      <c r="H54" s="85"/>
      <c r="I54" s="87"/>
      <c r="J54" s="85"/>
      <c r="K54" s="85"/>
      <c r="L54" s="2"/>
      <c r="M54" s="2"/>
      <c r="N54" s="1"/>
      <c r="O54" s="1"/>
      <c r="P54" s="85"/>
      <c r="Q54" s="88"/>
      <c r="R54" s="3">
        <f>IFERROR(VLOOKUP(TablaFebrero[[#This Row],[BARRIO]],SECTOR!$A:$B,2,0),"")</f>
      </c>
      <c r="S54" s="89"/>
      <c r="T54" s="90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17">
        <f>COUNTIF(U54:AY54,"A")</f>
      </c>
      <c r="BA54" s="17">
        <f>COUNTIF(U54:AY54,"F")</f>
      </c>
      <c r="BB54" s="17">
        <f>COUNTIF(U54:AY54,"E")</f>
      </c>
    </row>
    <row r="55" spans="1:54" ht="15.75" customHeight="1" x14ac:dyDescent="0.2">
      <c r="A55" s="84"/>
      <c r="B55" s="85"/>
      <c r="C55" s="85"/>
      <c r="D55" s="85"/>
      <c r="E55" s="86"/>
      <c r="F55" s="16">
        <f>IF(E55="","",DATEDIF(E55,$I$7,"Y"))</f>
      </c>
      <c r="G55" s="85"/>
      <c r="H55" s="85"/>
      <c r="I55" s="87"/>
      <c r="J55" s="85"/>
      <c r="K55" s="85"/>
      <c r="L55" s="2"/>
      <c r="M55" s="2"/>
      <c r="N55" s="1"/>
      <c r="O55" s="1"/>
      <c r="P55" s="85"/>
      <c r="Q55" s="88"/>
      <c r="R55" s="3">
        <f>IFERROR(VLOOKUP(TablaFebrero[[#This Row],[BARRIO]],SECTOR!$A:$B,2,0),"")</f>
      </c>
      <c r="S55" s="89"/>
      <c r="T55" s="90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17">
        <f>COUNTIF(U55:AY55,"A")</f>
      </c>
      <c r="BA55" s="17">
        <f>COUNTIF(U55:AY55,"F")</f>
      </c>
      <c r="BB55" s="17">
        <f>COUNTIF(U55:AY55,"E")</f>
      </c>
    </row>
    <row r="56" spans="1:54" ht="15.75" customHeight="1" x14ac:dyDescent="0.2">
      <c r="A56" s="84"/>
      <c r="B56" s="85"/>
      <c r="C56" s="85"/>
      <c r="D56" s="85"/>
      <c r="E56" s="86"/>
      <c r="F56" s="16">
        <f>IF(E56="","",DATEDIF(E56,$I$7,"Y"))</f>
      </c>
      <c r="G56" s="85"/>
      <c r="H56" s="85"/>
      <c r="I56" s="87"/>
      <c r="J56" s="85"/>
      <c r="K56" s="85"/>
      <c r="L56" s="2"/>
      <c r="M56" s="2"/>
      <c r="N56" s="1"/>
      <c r="O56" s="1"/>
      <c r="P56" s="85"/>
      <c r="Q56" s="88"/>
      <c r="R56" s="3">
        <f>IFERROR(VLOOKUP(TablaFebrero[[#This Row],[BARRIO]],SECTOR!$A:$B,2,0),"")</f>
      </c>
      <c r="S56" s="89"/>
      <c r="T56" s="90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17">
        <f>COUNTIF(U56:AY56,"A")</f>
      </c>
      <c r="BA56" s="17">
        <f>COUNTIF(U56:AY56,"F")</f>
      </c>
      <c r="BB56" s="17">
        <f>COUNTIF(U56:AY56,"E")</f>
      </c>
    </row>
    <row r="57" spans="1:54" ht="15.75" customHeight="1" x14ac:dyDescent="0.2">
      <c r="A57" s="84"/>
      <c r="B57" s="85"/>
      <c r="C57" s="85"/>
      <c r="D57" s="85"/>
      <c r="E57" s="86"/>
      <c r="F57" s="16">
        <f>IF(E57="","",DATEDIF(E57,$I$7,"Y"))</f>
      </c>
      <c r="G57" s="85"/>
      <c r="H57" s="85"/>
      <c r="I57" s="87"/>
      <c r="J57" s="85"/>
      <c r="K57" s="85"/>
      <c r="L57" s="2"/>
      <c r="M57" s="2"/>
      <c r="N57" s="1"/>
      <c r="O57" s="1"/>
      <c r="P57" s="85"/>
      <c r="Q57" s="88"/>
      <c r="R57" s="3">
        <f>IFERROR(VLOOKUP(TablaFebrero[[#This Row],[BARRIO]],SECTOR!$A:$B,2,0),"")</f>
      </c>
      <c r="S57" s="89"/>
      <c r="T57" s="90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17">
        <f>COUNTIF(U57:AY57,"A")</f>
      </c>
      <c r="BA57" s="17">
        <f>COUNTIF(U57:AY57,"F")</f>
      </c>
      <c r="BB57" s="17">
        <f>COUNTIF(U57:AY57,"E")</f>
      </c>
    </row>
    <row r="58" spans="1:54" ht="15.75" customHeight="1" x14ac:dyDescent="0.2">
      <c r="A58" s="84"/>
      <c r="B58" s="85"/>
      <c r="C58" s="85"/>
      <c r="D58" s="85"/>
      <c r="E58" s="86"/>
      <c r="F58" s="16">
        <f>IF(E58="","",DATEDIF(E58,$I$7,"Y"))</f>
      </c>
      <c r="G58" s="85"/>
      <c r="H58" s="85"/>
      <c r="I58" s="87"/>
      <c r="J58" s="85"/>
      <c r="K58" s="85"/>
      <c r="L58" s="2"/>
      <c r="M58" s="2"/>
      <c r="N58" s="1"/>
      <c r="O58" s="1"/>
      <c r="P58" s="85"/>
      <c r="Q58" s="88"/>
      <c r="R58" s="3">
        <f>IFERROR(VLOOKUP(TablaFebrero[[#This Row],[BARRIO]],SECTOR!$A:$B,2,0),"")</f>
      </c>
      <c r="S58" s="89"/>
      <c r="T58" s="90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17">
        <f>COUNTIF(U58:AY58,"A")</f>
      </c>
      <c r="BA58" s="17">
        <f>COUNTIF(U58:AY58,"F")</f>
      </c>
      <c r="BB58" s="17">
        <f>COUNTIF(U58:AY58,"E")</f>
      </c>
    </row>
    <row r="59" spans="1:54" ht="15.75" customHeight="1" x14ac:dyDescent="0.2">
      <c r="A59" s="84"/>
      <c r="B59" s="85"/>
      <c r="C59" s="85"/>
      <c r="D59" s="85"/>
      <c r="E59" s="86"/>
      <c r="F59" s="16">
        <f>IF(E59="","",DATEDIF(E59,$I$7,"Y"))</f>
      </c>
      <c r="G59" s="85"/>
      <c r="H59" s="85"/>
      <c r="I59" s="87"/>
      <c r="J59" s="85"/>
      <c r="K59" s="85"/>
      <c r="L59" s="2"/>
      <c r="M59" s="2"/>
      <c r="N59" s="1"/>
      <c r="O59" s="1"/>
      <c r="P59" s="85"/>
      <c r="Q59" s="88"/>
      <c r="R59" s="3">
        <f>IFERROR(VLOOKUP(TablaFebrero[[#This Row],[BARRIO]],SECTOR!$A:$B,2,0),"")</f>
      </c>
      <c r="S59" s="89"/>
      <c r="T59" s="90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17">
        <f>COUNTIF(U59:AY59,"A")</f>
      </c>
      <c r="BA59" s="17">
        <f>COUNTIF(U59:AY59,"F")</f>
      </c>
      <c r="BB59" s="17">
        <f>COUNTIF(U59:AY59,"E")</f>
      </c>
    </row>
    <row r="60" spans="1:54" ht="15.75" customHeight="1" x14ac:dyDescent="0.2">
      <c r="A60" s="84"/>
      <c r="B60" s="85"/>
      <c r="C60" s="85"/>
      <c r="D60" s="85"/>
      <c r="E60" s="86"/>
      <c r="F60" s="16">
        <f>IF(E60="","",DATEDIF(E60,$I$7,"Y"))</f>
      </c>
      <c r="G60" s="85"/>
      <c r="H60" s="85"/>
      <c r="I60" s="87"/>
      <c r="J60" s="85"/>
      <c r="K60" s="85"/>
      <c r="L60" s="2"/>
      <c r="M60" s="2"/>
      <c r="N60" s="1"/>
      <c r="O60" s="1"/>
      <c r="P60" s="85"/>
      <c r="Q60" s="88"/>
      <c r="R60" s="3">
        <f>IFERROR(VLOOKUP(TablaFebrero[[#This Row],[BARRIO]],SECTOR!$A:$B,2,0),"")</f>
      </c>
      <c r="S60" s="89"/>
      <c r="T60" s="90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17">
        <f>COUNTIF(U60:AY60,"A")</f>
      </c>
      <c r="BA60" s="17">
        <f>COUNTIF(U60:AY60,"F")</f>
      </c>
      <c r="BB60" s="17">
        <f>COUNTIF(U60:AY60,"E")</f>
      </c>
    </row>
    <row r="61" spans="1:54" ht="15.75" customHeight="1" x14ac:dyDescent="0.2">
      <c r="A61" s="84"/>
      <c r="B61" s="85"/>
      <c r="C61" s="85"/>
      <c r="D61" s="85"/>
      <c r="E61" s="86"/>
      <c r="F61" s="16">
        <f>IF(E61="","",DATEDIF(E61,$I$7,"Y"))</f>
      </c>
      <c r="G61" s="85"/>
      <c r="H61" s="85"/>
      <c r="I61" s="87"/>
      <c r="J61" s="85"/>
      <c r="K61" s="85"/>
      <c r="L61" s="2"/>
      <c r="M61" s="2"/>
      <c r="N61" s="1"/>
      <c r="O61" s="1"/>
      <c r="P61" s="85"/>
      <c r="Q61" s="88"/>
      <c r="R61" s="3">
        <f>IFERROR(VLOOKUP(TablaFebrero[[#This Row],[BARRIO]],SECTOR!$A:$B,2,0),"")</f>
      </c>
      <c r="S61" s="89"/>
      <c r="T61" s="90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17">
        <f>COUNTIF(U61:AY61,"A")</f>
      </c>
      <c r="BA61" s="17">
        <f>COUNTIF(U61:AY61,"F")</f>
      </c>
      <c r="BB61" s="17">
        <f>COUNTIF(U61:AY61,"E")</f>
      </c>
    </row>
    <row r="62" spans="1:54" ht="15.75" customHeight="1" x14ac:dyDescent="0.2">
      <c r="A62" s="84"/>
      <c r="B62" s="85"/>
      <c r="C62" s="85"/>
      <c r="D62" s="85"/>
      <c r="E62" s="86"/>
      <c r="F62" s="16">
        <f>IF(E62="","",DATEDIF(E62,$I$7,"Y"))</f>
      </c>
      <c r="G62" s="85"/>
      <c r="H62" s="85"/>
      <c r="I62" s="87"/>
      <c r="J62" s="85"/>
      <c r="K62" s="85"/>
      <c r="L62" s="2"/>
      <c r="M62" s="2"/>
      <c r="N62" s="1"/>
      <c r="O62" s="1"/>
      <c r="P62" s="85"/>
      <c r="Q62" s="88"/>
      <c r="R62" s="3">
        <f>IFERROR(VLOOKUP(TablaFebrero[[#This Row],[BARRIO]],SECTOR!$A:$B,2,0),"")</f>
      </c>
      <c r="S62" s="89"/>
      <c r="T62" s="90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17">
        <f>COUNTIF(U62:AY62,"A")</f>
      </c>
      <c r="BA62" s="17">
        <f>COUNTIF(U62:AY62,"F")</f>
      </c>
      <c r="BB62" s="17">
        <f>COUNTIF(U62:AY62,"E")</f>
      </c>
    </row>
    <row r="63" spans="1:54" ht="15.75" customHeight="1" x14ac:dyDescent="0.2">
      <c r="A63" s="84"/>
      <c r="B63" s="85"/>
      <c r="C63" s="85"/>
      <c r="D63" s="85"/>
      <c r="E63" s="86"/>
      <c r="F63" s="16">
        <f>IF(E63="","",DATEDIF(E63,$I$7,"Y"))</f>
      </c>
      <c r="G63" s="85"/>
      <c r="H63" s="85"/>
      <c r="I63" s="87"/>
      <c r="J63" s="85"/>
      <c r="K63" s="85"/>
      <c r="L63" s="2"/>
      <c r="M63" s="2"/>
      <c r="N63" s="1"/>
      <c r="O63" s="1"/>
      <c r="P63" s="85"/>
      <c r="Q63" s="88"/>
      <c r="R63" s="3">
        <f>IFERROR(VLOOKUP(TablaFebrero[[#This Row],[BARRIO]],SECTOR!$A:$B,2,0),"")</f>
      </c>
      <c r="S63" s="89"/>
      <c r="T63" s="90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17">
        <f>COUNTIF(U63:AY63,"A")</f>
      </c>
      <c r="BA63" s="17">
        <f>COUNTIF(U63:AY63,"F")</f>
      </c>
      <c r="BB63" s="17">
        <f>COUNTIF(U63:AY63,"E")</f>
      </c>
    </row>
    <row r="64" spans="1:54" ht="15.75" customHeight="1" x14ac:dyDescent="0.2">
      <c r="A64" s="84"/>
      <c r="B64" s="85"/>
      <c r="C64" s="85"/>
      <c r="D64" s="85"/>
      <c r="E64" s="86"/>
      <c r="F64" s="16">
        <f>IF(E64="","",DATEDIF(E64,$I$7,"Y"))</f>
      </c>
      <c r="G64" s="85"/>
      <c r="H64" s="85"/>
      <c r="I64" s="87"/>
      <c r="J64" s="85"/>
      <c r="K64" s="85"/>
      <c r="L64" s="2"/>
      <c r="M64" s="2"/>
      <c r="N64" s="1"/>
      <c r="O64" s="1"/>
      <c r="P64" s="85"/>
      <c r="Q64" s="88"/>
      <c r="R64" s="3">
        <f>IFERROR(VLOOKUP(TablaFebrero[[#This Row],[BARRIO]],SECTOR!$A:$B,2,0),"")</f>
      </c>
      <c r="S64" s="89"/>
      <c r="T64" s="90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17">
        <f>COUNTIF(U64:AY64,"A")</f>
      </c>
      <c r="BA64" s="17">
        <f>COUNTIF(U64:AY64,"F")</f>
      </c>
      <c r="BB64" s="17">
        <f>COUNTIF(U64:AY64,"E")</f>
      </c>
    </row>
    <row r="65" spans="1:54" ht="15.75" customHeight="1" x14ac:dyDescent="0.2">
      <c r="A65" s="84"/>
      <c r="B65" s="85"/>
      <c r="C65" s="85"/>
      <c r="D65" s="85"/>
      <c r="E65" s="86"/>
      <c r="F65" s="16">
        <f>IF(E65="","",DATEDIF(E65,$I$7,"Y"))</f>
      </c>
      <c r="G65" s="85"/>
      <c r="H65" s="85"/>
      <c r="I65" s="87"/>
      <c r="J65" s="85"/>
      <c r="K65" s="85"/>
      <c r="L65" s="2"/>
      <c r="M65" s="2"/>
      <c r="N65" s="1"/>
      <c r="O65" s="1"/>
      <c r="P65" s="85"/>
      <c r="Q65" s="88"/>
      <c r="R65" s="3">
        <f>IFERROR(VLOOKUP(TablaFebrero[[#This Row],[BARRIO]],SECTOR!$A:$B,2,0),"")</f>
      </c>
      <c r="S65" s="89"/>
      <c r="T65" s="90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17">
        <f>COUNTIF(U65:AY65,"A")</f>
      </c>
      <c r="BA65" s="17">
        <f>COUNTIF(U65:AY65,"F")</f>
      </c>
      <c r="BB65" s="17">
        <f>COUNTIF(U65:AY65,"E")</f>
      </c>
    </row>
    <row r="66" spans="1:54" ht="15.75" customHeight="1" x14ac:dyDescent="0.2">
      <c r="A66" s="84"/>
      <c r="B66" s="85"/>
      <c r="C66" s="85"/>
      <c r="D66" s="85"/>
      <c r="E66" s="86"/>
      <c r="F66" s="16">
        <f>IF(E66="","",DATEDIF(E66,$I$7,"Y"))</f>
      </c>
      <c r="G66" s="85"/>
      <c r="H66" s="85"/>
      <c r="I66" s="87"/>
      <c r="J66" s="85"/>
      <c r="K66" s="85"/>
      <c r="L66" s="2"/>
      <c r="M66" s="2"/>
      <c r="N66" s="1"/>
      <c r="O66" s="1"/>
      <c r="P66" s="85"/>
      <c r="Q66" s="88"/>
      <c r="R66" s="3">
        <f>IFERROR(VLOOKUP(TablaFebrero[[#This Row],[BARRIO]],SECTOR!$A:$B,2,0),"")</f>
      </c>
      <c r="S66" s="89"/>
      <c r="T66" s="90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17">
        <f>COUNTIF(U66:AY66,"A")</f>
      </c>
      <c r="BA66" s="17">
        <f>COUNTIF(U66:AY66,"F")</f>
      </c>
      <c r="BB66" s="17">
        <f>COUNTIF(U66:AY66,"E")</f>
      </c>
    </row>
    <row r="67" spans="1:54" ht="15.75" customHeight="1" x14ac:dyDescent="0.2">
      <c r="A67" s="84"/>
      <c r="B67" s="91"/>
      <c r="C67" s="91"/>
      <c r="D67" s="91"/>
      <c r="E67" s="92"/>
      <c r="F67" s="16">
        <f>IF(E67="","",DATEDIF(E67,$I$7,"Y"))</f>
      </c>
      <c r="G67" s="91"/>
      <c r="H67" s="91"/>
      <c r="I67" s="93"/>
      <c r="J67" s="91"/>
      <c r="K67" s="91"/>
      <c r="L67" s="2"/>
      <c r="M67" s="2"/>
      <c r="N67" s="1"/>
      <c r="O67" s="1"/>
      <c r="P67" s="85"/>
      <c r="Q67" s="88"/>
      <c r="R67" s="3">
        <f>IFERROR(VLOOKUP(TablaFebrero[[#This Row],[BARRIO]],SECTOR!$A:$B,2,0),"")</f>
      </c>
      <c r="S67" s="89"/>
      <c r="T67" s="90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17">
        <f>COUNTIF(U67:AY67,"A")</f>
      </c>
      <c r="BA67" s="17">
        <f>COUNTIF(U67:AY67,"F")</f>
      </c>
      <c r="BB67" s="17">
        <f>COUNTIF(U67:AY67,"E")</f>
      </c>
    </row>
    <row r="68" spans="1:54" ht="15.75" customHeight="1" x14ac:dyDescent="0.2">
      <c r="A68" s="84"/>
      <c r="B68" s="94"/>
      <c r="C68" s="94"/>
      <c r="D68" s="94"/>
      <c r="E68" s="95"/>
      <c r="F68" s="16">
        <f>IF(E68="","",DATEDIF(E68,$I$7,"Y"))</f>
      </c>
      <c r="G68" s="94"/>
      <c r="H68" s="94"/>
      <c r="I68" s="96"/>
      <c r="J68" s="94"/>
      <c r="K68" s="94"/>
      <c r="L68" s="2"/>
      <c r="M68" s="2"/>
      <c r="N68" s="1"/>
      <c r="O68" s="1"/>
      <c r="P68" s="85"/>
      <c r="Q68" s="88"/>
      <c r="R68" s="3">
        <f>IFERROR(VLOOKUP(TablaFebrero[[#This Row],[BARRIO]],SECTOR!$A:$B,2,0),"")</f>
      </c>
      <c r="S68" s="89"/>
      <c r="T68" s="90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17">
        <f>COUNTIF(U68:AY68,"A")</f>
      </c>
      <c r="BA68" s="17">
        <f>COUNTIF(U68:AY68,"F")</f>
      </c>
      <c r="BB68" s="17">
        <f>COUNTIF(U68:AY68,"E")</f>
      </c>
    </row>
    <row r="69" spans="1:54" ht="15.75" customHeight="1" x14ac:dyDescent="0.2">
      <c r="A69" s="84"/>
      <c r="B69" s="97"/>
      <c r="C69" s="97"/>
      <c r="D69" s="97"/>
      <c r="E69" s="98"/>
      <c r="F69" s="16">
        <f>IF(E69="","",DATEDIF(E69,$I$7,"Y"))</f>
      </c>
      <c r="G69" s="97"/>
      <c r="H69" s="97"/>
      <c r="I69" s="99"/>
      <c r="J69" s="97"/>
      <c r="K69" s="97"/>
      <c r="L69" s="2"/>
      <c r="M69" s="2"/>
      <c r="N69" s="1"/>
      <c r="O69" s="1"/>
      <c r="P69" s="85"/>
      <c r="Q69" s="88"/>
      <c r="R69" s="3">
        <f>IFERROR(VLOOKUP(TablaFebrero[[#This Row],[BARRIO]],SECTOR!$A:$B,2,0),"")</f>
      </c>
      <c r="S69" s="89"/>
      <c r="T69" s="90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5"/>
      <c r="AZ69" s="18">
        <f>COUNTIF(U69:AY69,"A")</f>
      </c>
      <c r="BA69" s="17">
        <f>COUNTIF(U69:AY69,"F")</f>
      </c>
      <c r="BB69" s="17">
        <f>COUNTIF(U69:AY69,"E")</f>
      </c>
    </row>
    <row r="70" spans="1:54" ht="15.75" customHeight="1" x14ac:dyDescent="0.2">
      <c r="A70" s="84"/>
      <c r="B70" s="97"/>
      <c r="C70" s="97"/>
      <c r="D70" s="97"/>
      <c r="E70" s="98"/>
      <c r="F70" s="16">
        <f>IF(E70="","",DATEDIF(E70,$I$7,"Y"))</f>
      </c>
      <c r="G70" s="97"/>
      <c r="H70" s="97"/>
      <c r="I70" s="99"/>
      <c r="J70" s="97"/>
      <c r="K70" s="97"/>
      <c r="L70" s="2"/>
      <c r="M70" s="2"/>
      <c r="N70" s="1"/>
      <c r="O70" s="1"/>
      <c r="P70" s="85"/>
      <c r="Q70" s="88"/>
      <c r="R70" s="3">
        <f>IFERROR(VLOOKUP(TablaFebrero[[#This Row],[BARRIO]],SECTOR!$A:$B,2,0),"")</f>
      </c>
      <c r="S70" s="89"/>
      <c r="T70" s="90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6"/>
      <c r="AZ70" s="19">
        <f>COUNTIF(U70:AY70,"A")</f>
      </c>
      <c r="BA70" s="17">
        <f>COUNTIF(U70:AY70,"F")</f>
      </c>
      <c r="BB70" s="17">
        <f>COUNTIF(U70:AY70,"E")</f>
      </c>
    </row>
    <row r="71" spans="1:54" ht="15.75" customHeight="1" x14ac:dyDescent="0.2">
      <c r="A71" s="84"/>
      <c r="B71" s="97"/>
      <c r="C71" s="97"/>
      <c r="D71" s="97"/>
      <c r="E71" s="98"/>
      <c r="F71" s="16">
        <f>IF(E71="","",DATEDIF(E71,$I$7,"Y"))</f>
      </c>
      <c r="G71" s="97"/>
      <c r="H71" s="97"/>
      <c r="I71" s="99"/>
      <c r="J71" s="97"/>
      <c r="K71" s="97"/>
      <c r="L71" s="2"/>
      <c r="M71" s="2"/>
      <c r="N71" s="1"/>
      <c r="O71" s="1"/>
      <c r="P71" s="85"/>
      <c r="Q71" s="88"/>
      <c r="R71" s="3">
        <f>IFERROR(VLOOKUP(TablaFebrero[[#This Row],[BARRIO]],SECTOR!$A:$B,2,0),"")</f>
      </c>
      <c r="S71" s="89"/>
      <c r="T71" s="90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6"/>
      <c r="AZ71" s="19">
        <f>COUNTIF(U71:AY71,"A")</f>
      </c>
      <c r="BA71" s="17">
        <f>COUNTIF(U71:AY71,"F")</f>
      </c>
      <c r="BB71" s="17">
        <f>COUNTIF(U71:AY71,"E")</f>
      </c>
    </row>
    <row r="72" spans="1:54" ht="15.75" customHeight="1" x14ac:dyDescent="0.2">
      <c r="A72" s="84"/>
      <c r="B72" s="97"/>
      <c r="C72" s="97"/>
      <c r="D72" s="97"/>
      <c r="E72" s="98"/>
      <c r="F72" s="16">
        <f>IF(E72="","",DATEDIF(E72,$I$7,"Y"))</f>
      </c>
      <c r="G72" s="97"/>
      <c r="H72" s="97"/>
      <c r="I72" s="99"/>
      <c r="J72" s="97"/>
      <c r="K72" s="97"/>
      <c r="L72" s="2"/>
      <c r="M72" s="2"/>
      <c r="N72" s="1"/>
      <c r="O72" s="1"/>
      <c r="P72" s="85"/>
      <c r="Q72" s="88"/>
      <c r="R72" s="3">
        <f>IFERROR(VLOOKUP(TablaFebrero[[#This Row],[BARRIO]],SECTOR!$A:$B,2,0),"")</f>
      </c>
      <c r="S72" s="89"/>
      <c r="T72" s="90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6"/>
      <c r="AZ72" s="19">
        <f>COUNTIF(U72:AY72,"A")</f>
      </c>
      <c r="BA72" s="17">
        <f>COUNTIF(U72:AY72,"F")</f>
      </c>
      <c r="BB72" s="17">
        <f>COUNTIF(U72:AY72,"E")</f>
      </c>
    </row>
    <row r="73" spans="1:54" ht="15.75" customHeight="1" x14ac:dyDescent="0.2">
      <c r="A73" s="84"/>
      <c r="B73" s="97"/>
      <c r="C73" s="97"/>
      <c r="D73" s="97"/>
      <c r="E73" s="98"/>
      <c r="F73" s="16">
        <f>IF(E73="","",DATEDIF(E73,$I$7,"Y"))</f>
      </c>
      <c r="G73" s="97"/>
      <c r="H73" s="97"/>
      <c r="I73" s="99"/>
      <c r="J73" s="97"/>
      <c r="K73" s="97"/>
      <c r="L73" s="2"/>
      <c r="M73" s="2"/>
      <c r="N73" s="1"/>
      <c r="O73" s="1"/>
      <c r="P73" s="85"/>
      <c r="Q73" s="88"/>
      <c r="R73" s="3">
        <f>IFERROR(VLOOKUP(TablaFebrero[[#This Row],[BARRIO]],SECTOR!$A:$B,2,0),"")</f>
      </c>
      <c r="S73" s="89"/>
      <c r="T73" s="90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6"/>
      <c r="AZ73" s="19">
        <f>COUNTIF(U73:AY73,"A")</f>
      </c>
      <c r="BA73" s="17">
        <f>COUNTIF(U73:AY73,"F")</f>
      </c>
      <c r="BB73" s="17">
        <f>COUNTIF(U73:AY73,"E")</f>
      </c>
    </row>
    <row r="74" spans="1:54" ht="15.75" customHeight="1" x14ac:dyDescent="0.2">
      <c r="A74" s="84"/>
      <c r="B74" s="97"/>
      <c r="C74" s="97"/>
      <c r="D74" s="97"/>
      <c r="E74" s="98"/>
      <c r="F74" s="16">
        <f>IF(E74="","",DATEDIF(E74,$I$7,"Y"))</f>
      </c>
      <c r="G74" s="97"/>
      <c r="H74" s="97"/>
      <c r="I74" s="99"/>
      <c r="J74" s="97"/>
      <c r="K74" s="97"/>
      <c r="L74" s="2"/>
      <c r="M74" s="2"/>
      <c r="N74" s="1"/>
      <c r="O74" s="1"/>
      <c r="P74" s="85"/>
      <c r="Q74" s="88"/>
      <c r="R74" s="3">
        <f>IFERROR(VLOOKUP(TablaFebrero[[#This Row],[BARRIO]],SECTOR!$A:$B,2,0),"")</f>
      </c>
      <c r="S74" s="89"/>
      <c r="T74" s="90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6"/>
      <c r="AZ74" s="19">
        <f>COUNTIF(U74:AY74,"A")</f>
      </c>
      <c r="BA74" s="17">
        <f>COUNTIF(U74:AY74,"F")</f>
      </c>
      <c r="BB74" s="17">
        <f>COUNTIF(U74:AY74,"E")</f>
      </c>
    </row>
    <row r="75" spans="1:54" ht="15.75" customHeight="1" x14ac:dyDescent="0.2">
      <c r="A75" s="84"/>
      <c r="B75" s="97"/>
      <c r="C75" s="97"/>
      <c r="D75" s="97"/>
      <c r="E75" s="98"/>
      <c r="F75" s="16">
        <f>IF(E75="","",DATEDIF(E75,$I$7,"Y"))</f>
      </c>
      <c r="G75" s="97"/>
      <c r="H75" s="97"/>
      <c r="I75" s="99"/>
      <c r="J75" s="97"/>
      <c r="K75" s="97"/>
      <c r="L75" s="2"/>
      <c r="M75" s="2"/>
      <c r="N75" s="1"/>
      <c r="O75" s="1"/>
      <c r="P75" s="85"/>
      <c r="Q75" s="88"/>
      <c r="R75" s="3">
        <f>IFERROR(VLOOKUP(TablaFebrero[[#This Row],[BARRIO]],SECTOR!$A:$B,2,0),"")</f>
      </c>
      <c r="S75" s="89"/>
      <c r="T75" s="90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6"/>
      <c r="AZ75" s="19">
        <f>COUNTIF(U75:AY75,"A")</f>
      </c>
      <c r="BA75" s="17">
        <f>COUNTIF(U75:AY75,"F")</f>
      </c>
      <c r="BB75" s="17">
        <f>COUNTIF(U75:AY75,"E")</f>
      </c>
    </row>
    <row r="76" spans="1:54" ht="15.75" customHeight="1" x14ac:dyDescent="0.2">
      <c r="A76" s="84"/>
      <c r="B76" s="97"/>
      <c r="C76" s="97"/>
      <c r="D76" s="97"/>
      <c r="E76" s="98"/>
      <c r="F76" s="16">
        <f>IF(E76="","",DATEDIF(E76,$I$7,"Y"))</f>
      </c>
      <c r="G76" s="97"/>
      <c r="H76" s="97"/>
      <c r="I76" s="99"/>
      <c r="J76" s="97"/>
      <c r="K76" s="97"/>
      <c r="L76" s="2"/>
      <c r="M76" s="2"/>
      <c r="N76" s="1"/>
      <c r="O76" s="1"/>
      <c r="P76" s="85"/>
      <c r="Q76" s="88"/>
      <c r="R76" s="3">
        <f>IFERROR(VLOOKUP(TablaFebrero[[#This Row],[BARRIO]],SECTOR!$A:$B,2,0),"")</f>
      </c>
      <c r="S76" s="89"/>
      <c r="T76" s="90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6"/>
      <c r="AZ76" s="19">
        <f>COUNTIF(U76:AY76,"A")</f>
      </c>
      <c r="BA76" s="17">
        <f>COUNTIF(U76:AY76,"F")</f>
      </c>
      <c r="BB76" s="17">
        <f>COUNTIF(U76:AY76,"E")</f>
      </c>
    </row>
    <row r="77" spans="1:54" ht="15.75" customHeight="1" x14ac:dyDescent="0.2">
      <c r="A77" s="84"/>
      <c r="B77" s="97"/>
      <c r="C77" s="97"/>
      <c r="D77" s="97"/>
      <c r="E77" s="98"/>
      <c r="F77" s="16">
        <f>IF(E77="","",DATEDIF(E77,$I$7,"Y"))</f>
      </c>
      <c r="G77" s="97"/>
      <c r="H77" s="97"/>
      <c r="I77" s="99"/>
      <c r="J77" s="97"/>
      <c r="K77" s="97"/>
      <c r="L77" s="2"/>
      <c r="M77" s="2"/>
      <c r="N77" s="1"/>
      <c r="O77" s="1"/>
      <c r="P77" s="85"/>
      <c r="Q77" s="88"/>
      <c r="R77" s="3">
        <f>IFERROR(VLOOKUP(TablaFebrero[[#This Row],[BARRIO]],SECTOR!$A:$B,2,0),"")</f>
      </c>
      <c r="S77" s="89"/>
      <c r="T77" s="90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6"/>
      <c r="AZ77" s="19">
        <f>COUNTIF(U77:AY77,"A")</f>
      </c>
      <c r="BA77" s="17">
        <f>COUNTIF(U77:AY77,"F")</f>
      </c>
      <c r="BB77" s="17">
        <f>COUNTIF(U77:AY77,"E")</f>
      </c>
    </row>
    <row r="78" spans="1:54" ht="15.75" customHeight="1" x14ac:dyDescent="0.2">
      <c r="A78" s="84"/>
      <c r="B78" s="97"/>
      <c r="C78" s="97"/>
      <c r="D78" s="97"/>
      <c r="E78" s="98"/>
      <c r="F78" s="16">
        <f>IF(E78="","",DATEDIF(E78,$I$7,"Y"))</f>
      </c>
      <c r="G78" s="97"/>
      <c r="H78" s="97"/>
      <c r="I78" s="99"/>
      <c r="J78" s="97"/>
      <c r="K78" s="97"/>
      <c r="L78" s="2"/>
      <c r="M78" s="2"/>
      <c r="N78" s="1"/>
      <c r="O78" s="1"/>
      <c r="P78" s="85"/>
      <c r="Q78" s="88"/>
      <c r="R78" s="3">
        <f>IFERROR(VLOOKUP(TablaFebrero[[#This Row],[BARRIO]],SECTOR!$A:$B,2,0),"")</f>
      </c>
      <c r="S78" s="89"/>
      <c r="T78" s="90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6"/>
      <c r="AZ78" s="19">
        <f>COUNTIF(U78:AY78,"A")</f>
      </c>
      <c r="BA78" s="17">
        <f>COUNTIF(U78:AY78,"F")</f>
      </c>
      <c r="BB78" s="17">
        <f>COUNTIF(U78:AY78,"E")</f>
      </c>
    </row>
    <row r="79" spans="1:54" ht="15.75" customHeight="1" x14ac:dyDescent="0.2">
      <c r="A79" s="84"/>
      <c r="B79" s="85"/>
      <c r="C79" s="85"/>
      <c r="D79" s="85"/>
      <c r="E79" s="86"/>
      <c r="F79" s="16">
        <f>IF(E79="","",DATEDIF(E79,$I$7,"Y"))</f>
      </c>
      <c r="G79" s="85"/>
      <c r="H79" s="85"/>
      <c r="I79" s="87"/>
      <c r="J79" s="85"/>
      <c r="K79" s="85"/>
      <c r="L79" s="2"/>
      <c r="M79" s="2"/>
      <c r="N79" s="1"/>
      <c r="O79" s="1"/>
      <c r="P79" s="85"/>
      <c r="Q79" s="88"/>
      <c r="R79" s="3">
        <f>IFERROR(VLOOKUP(TablaFebrero[[#This Row],[BARRIO]],SECTOR!$A:$B,2,0),"")</f>
      </c>
      <c r="S79" s="89"/>
      <c r="T79" s="90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6"/>
      <c r="AZ79" s="19">
        <f>COUNTIF(U79:AY79,"A")</f>
      </c>
      <c r="BA79" s="17">
        <f>COUNTIF(U79:AY79,"F")</f>
      </c>
      <c r="BB79" s="17">
        <f>COUNTIF(U79:AY79,"E")</f>
      </c>
    </row>
    <row r="80" spans="1:54" ht="15.75" customHeight="1" x14ac:dyDescent="0.2">
      <c r="A80" s="84"/>
      <c r="B80" s="85"/>
      <c r="C80" s="85"/>
      <c r="D80" s="85"/>
      <c r="E80" s="86"/>
      <c r="F80" s="16">
        <f>IF(E80="","",DATEDIF(E80,$I$7,"Y"))</f>
      </c>
      <c r="G80" s="85"/>
      <c r="H80" s="85"/>
      <c r="I80" s="87"/>
      <c r="J80" s="85"/>
      <c r="K80" s="85"/>
      <c r="L80" s="2"/>
      <c r="M80" s="2"/>
      <c r="N80" s="1"/>
      <c r="O80" s="1"/>
      <c r="P80" s="85"/>
      <c r="Q80" s="88"/>
      <c r="R80" s="3">
        <f>IFERROR(VLOOKUP(TablaFebrero[[#This Row],[BARRIO]],SECTOR!$A:$B,2,0),"")</f>
      </c>
      <c r="S80" s="89"/>
      <c r="T80" s="90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6"/>
      <c r="AZ80" s="19">
        <f>COUNTIF(U80:AY80,"A")</f>
      </c>
      <c r="BA80" s="17">
        <f>COUNTIF(U80:AY80,"F")</f>
      </c>
      <c r="BB80" s="17">
        <f>COUNTIF(U80:AY80,"E")</f>
      </c>
    </row>
    <row r="81" spans="1:54" ht="15.75" customHeight="1" x14ac:dyDescent="0.2">
      <c r="A81" s="84"/>
      <c r="B81" s="85"/>
      <c r="C81" s="85"/>
      <c r="D81" s="85"/>
      <c r="E81" s="86"/>
      <c r="F81" s="16">
        <f>IF(E81="","",DATEDIF(E81,$I$7,"Y"))</f>
      </c>
      <c r="G81" s="85"/>
      <c r="H81" s="85"/>
      <c r="I81" s="87"/>
      <c r="J81" s="85"/>
      <c r="K81" s="85"/>
      <c r="L81" s="2"/>
      <c r="M81" s="2"/>
      <c r="N81" s="1"/>
      <c r="O81" s="1"/>
      <c r="P81" s="85"/>
      <c r="Q81" s="88"/>
      <c r="R81" s="3">
        <f>IFERROR(VLOOKUP(TablaFebrero[[#This Row],[BARRIO]],SECTOR!$A:$B,2,0),"")</f>
      </c>
      <c r="S81" s="89"/>
      <c r="T81" s="90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6"/>
      <c r="AZ81" s="19">
        <f>COUNTIF(U81:AY81,"A")</f>
      </c>
      <c r="BA81" s="17">
        <f>COUNTIF(U81:AY81,"F")</f>
      </c>
      <c r="BB81" s="17">
        <f>COUNTIF(U81:AY81,"E")</f>
      </c>
    </row>
    <row r="82" spans="1:54" ht="15.75" customHeight="1" x14ac:dyDescent="0.2">
      <c r="A82" s="84"/>
      <c r="B82" s="85"/>
      <c r="C82" s="85"/>
      <c r="D82" s="85"/>
      <c r="E82" s="86"/>
      <c r="F82" s="16">
        <f>IF(E82="","",DATEDIF(E82,$I$7,"Y"))</f>
      </c>
      <c r="G82" s="85"/>
      <c r="H82" s="85"/>
      <c r="I82" s="87"/>
      <c r="J82" s="85"/>
      <c r="K82" s="85"/>
      <c r="L82" s="2"/>
      <c r="M82" s="2"/>
      <c r="N82" s="1"/>
      <c r="O82" s="1"/>
      <c r="P82" s="85"/>
      <c r="Q82" s="88"/>
      <c r="R82" s="3">
        <f>IFERROR(VLOOKUP(TablaFebrero[[#This Row],[BARRIO]],SECTOR!$A:$B,2,0),"")</f>
      </c>
      <c r="S82" s="89"/>
      <c r="T82" s="90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6"/>
      <c r="AZ82" s="19">
        <f>COUNTIF(U82:AY82,"A")</f>
      </c>
      <c r="BA82" s="17">
        <f>COUNTIF(U82:AY82,"F")</f>
      </c>
      <c r="BB82" s="17">
        <f>COUNTIF(U82:AY82,"E")</f>
      </c>
    </row>
    <row r="83" spans="1:54" ht="15.75" customHeight="1" x14ac:dyDescent="0.2">
      <c r="A83" s="84"/>
      <c r="B83" s="85"/>
      <c r="C83" s="85"/>
      <c r="D83" s="85"/>
      <c r="E83" s="86"/>
      <c r="F83" s="16">
        <f>IF(E83="","",DATEDIF(E83,$I$7,"Y"))</f>
      </c>
      <c r="G83" s="85"/>
      <c r="H83" s="85"/>
      <c r="I83" s="87"/>
      <c r="J83" s="85"/>
      <c r="K83" s="85"/>
      <c r="L83" s="2"/>
      <c r="M83" s="2"/>
      <c r="N83" s="1"/>
      <c r="O83" s="1"/>
      <c r="P83" s="85"/>
      <c r="Q83" s="88"/>
      <c r="R83" s="3">
        <f>IFERROR(VLOOKUP(TablaFebrero[[#This Row],[BARRIO]],SECTOR!$A:$B,2,0),"")</f>
      </c>
      <c r="S83" s="89"/>
      <c r="T83" s="90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6"/>
      <c r="AZ83" s="19">
        <f>COUNTIF(U83:AY83,"A")</f>
      </c>
      <c r="BA83" s="17">
        <f>COUNTIF(U83:AY83,"F")</f>
      </c>
      <c r="BB83" s="17">
        <f>COUNTIF(U83:AY83,"E")</f>
      </c>
    </row>
    <row r="84" spans="1:54" ht="15.75" customHeight="1" x14ac:dyDescent="0.2">
      <c r="A84" s="84"/>
      <c r="B84" s="85"/>
      <c r="C84" s="85"/>
      <c r="D84" s="85"/>
      <c r="E84" s="86"/>
      <c r="F84" s="16">
        <f>IF(E84="","",DATEDIF(E84,$I$7,"Y"))</f>
      </c>
      <c r="G84" s="85"/>
      <c r="H84" s="85"/>
      <c r="I84" s="87"/>
      <c r="J84" s="85"/>
      <c r="K84" s="85"/>
      <c r="L84" s="2"/>
      <c r="M84" s="2"/>
      <c r="N84" s="1"/>
      <c r="O84" s="1"/>
      <c r="P84" s="85"/>
      <c r="Q84" s="88"/>
      <c r="R84" s="3">
        <f>IFERROR(VLOOKUP(TablaFebrero[[#This Row],[BARRIO]],SECTOR!$A:$B,2,0),"")</f>
      </c>
      <c r="S84" s="89"/>
      <c r="T84" s="90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6"/>
      <c r="AZ84" s="19">
        <f>COUNTIF(U84:AY84,"A")</f>
      </c>
      <c r="BA84" s="17">
        <f>COUNTIF(U84:AY84,"F")</f>
      </c>
      <c r="BB84" s="17">
        <f>COUNTIF(U84:AY84,"E")</f>
      </c>
    </row>
    <row r="85" spans="1:54" ht="15.75" customHeight="1" x14ac:dyDescent="0.2">
      <c r="A85" s="84"/>
      <c r="B85" s="85"/>
      <c r="C85" s="85"/>
      <c r="D85" s="85"/>
      <c r="E85" s="86"/>
      <c r="F85" s="16">
        <f>IF(E85="","",DATEDIF(E85,$I$7,"Y"))</f>
      </c>
      <c r="G85" s="85"/>
      <c r="H85" s="85"/>
      <c r="I85" s="87"/>
      <c r="J85" s="85"/>
      <c r="K85" s="85"/>
      <c r="L85" s="2"/>
      <c r="M85" s="2"/>
      <c r="N85" s="1"/>
      <c r="O85" s="1"/>
      <c r="P85" s="85"/>
      <c r="Q85" s="88"/>
      <c r="R85" s="3">
        <f>IFERROR(VLOOKUP(TablaFebrero[[#This Row],[BARRIO]],SECTOR!$A:$B,2,0),"")</f>
      </c>
      <c r="S85" s="89"/>
      <c r="T85" s="90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6"/>
      <c r="AZ85" s="19">
        <f>COUNTIF(U85:AY85,"A")</f>
      </c>
      <c r="BA85" s="17">
        <f>COUNTIF(U85:AY85,"F")</f>
      </c>
      <c r="BB85" s="17">
        <f>COUNTIF(U85:AY85,"E")</f>
      </c>
    </row>
    <row r="86" spans="1:54" ht="15.75" customHeight="1" x14ac:dyDescent="0.2">
      <c r="A86" s="84"/>
      <c r="B86" s="85"/>
      <c r="C86" s="85"/>
      <c r="D86" s="85"/>
      <c r="E86" s="86"/>
      <c r="F86" s="16">
        <f>IF(E86="","",DATEDIF(E86,$I$7,"Y"))</f>
      </c>
      <c r="G86" s="85"/>
      <c r="H86" s="85"/>
      <c r="I86" s="87"/>
      <c r="J86" s="85"/>
      <c r="K86" s="85"/>
      <c r="L86" s="2"/>
      <c r="M86" s="2"/>
      <c r="N86" s="1"/>
      <c r="O86" s="1"/>
      <c r="P86" s="85"/>
      <c r="Q86" s="88"/>
      <c r="R86" s="3">
        <f>IFERROR(VLOOKUP(TablaFebrero[[#This Row],[BARRIO]],SECTOR!$A:$B,2,0),"")</f>
      </c>
      <c r="S86" s="89"/>
      <c r="T86" s="90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6"/>
      <c r="AZ86" s="19">
        <f>COUNTIF(U86:AY86,"A")</f>
      </c>
      <c r="BA86" s="17">
        <f>COUNTIF(U86:AY86,"F")</f>
      </c>
      <c r="BB86" s="17">
        <f>COUNTIF(U86:AY86,"E")</f>
      </c>
    </row>
    <row r="87" spans="1:54" ht="15.75" customHeight="1" x14ac:dyDescent="0.2">
      <c r="A87" s="84"/>
      <c r="B87" s="85"/>
      <c r="C87" s="85"/>
      <c r="D87" s="85"/>
      <c r="E87" s="86"/>
      <c r="F87" s="16">
        <f>IF(E87="","",DATEDIF(E87,$I$7,"Y"))</f>
      </c>
      <c r="G87" s="85"/>
      <c r="H87" s="85"/>
      <c r="I87" s="87"/>
      <c r="J87" s="85"/>
      <c r="K87" s="85"/>
      <c r="L87" s="2"/>
      <c r="M87" s="2"/>
      <c r="N87" s="1"/>
      <c r="O87" s="1"/>
      <c r="P87" s="85"/>
      <c r="Q87" s="88"/>
      <c r="R87" s="3">
        <f>IFERROR(VLOOKUP(TablaFebrero[[#This Row],[BARRIO]],SECTOR!$A:$B,2,0),"")</f>
      </c>
      <c r="S87" s="89"/>
      <c r="T87" s="90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6"/>
      <c r="AZ87" s="19">
        <f>COUNTIF(U87:AY87,"A")</f>
      </c>
      <c r="BA87" s="17">
        <f>COUNTIF(U87:AY87,"F")</f>
      </c>
      <c r="BB87" s="17">
        <f>COUNTIF(U87:AY87,"E")</f>
      </c>
    </row>
    <row r="88" spans="1:54" ht="15.75" customHeight="1" x14ac:dyDescent="0.2">
      <c r="A88" s="84"/>
      <c r="B88" s="85"/>
      <c r="C88" s="85"/>
      <c r="D88" s="85"/>
      <c r="E88" s="86"/>
      <c r="F88" s="16">
        <f>IF(E88="","",DATEDIF(E88,$I$7,"Y"))</f>
      </c>
      <c r="G88" s="85"/>
      <c r="H88" s="85"/>
      <c r="I88" s="87"/>
      <c r="J88" s="85"/>
      <c r="K88" s="85"/>
      <c r="L88" s="2"/>
      <c r="M88" s="2"/>
      <c r="N88" s="1"/>
      <c r="O88" s="1"/>
      <c r="P88" s="85"/>
      <c r="Q88" s="88"/>
      <c r="R88" s="3">
        <f>IFERROR(VLOOKUP(TablaFebrero[[#This Row],[BARRIO]],SECTOR!$A:$B,2,0),"")</f>
      </c>
      <c r="S88" s="89"/>
      <c r="T88" s="90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6"/>
      <c r="AZ88" s="19">
        <f>COUNTIF(U88:AY88,"A")</f>
      </c>
      <c r="BA88" s="17">
        <f>COUNTIF(U88:AY88,"F")</f>
      </c>
      <c r="BB88" s="17">
        <f>COUNTIF(U88:AY88,"E")</f>
      </c>
    </row>
    <row r="89" spans="1:54" ht="15.75" customHeight="1" x14ac:dyDescent="0.2">
      <c r="A89" s="84"/>
      <c r="B89" s="85"/>
      <c r="C89" s="85"/>
      <c r="D89" s="85"/>
      <c r="E89" s="86"/>
      <c r="F89" s="16">
        <f>IF(E89="","",DATEDIF(E89,$I$7,"Y"))</f>
      </c>
      <c r="G89" s="85"/>
      <c r="H89" s="85"/>
      <c r="I89" s="87"/>
      <c r="J89" s="85"/>
      <c r="K89" s="85"/>
      <c r="L89" s="2"/>
      <c r="M89" s="2"/>
      <c r="N89" s="1"/>
      <c r="O89" s="1"/>
      <c r="P89" s="85"/>
      <c r="Q89" s="88"/>
      <c r="R89" s="3">
        <f>IFERROR(VLOOKUP(TablaFebrero[[#This Row],[BARRIO]],SECTOR!$A:$B,2,0),"")</f>
      </c>
      <c r="S89" s="89"/>
      <c r="T89" s="90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6"/>
      <c r="AZ89" s="19">
        <f>COUNTIF(U89:AY89,"A")</f>
      </c>
      <c r="BA89" s="17">
        <f>COUNTIF(U89:AY89,"F")</f>
      </c>
      <c r="BB89" s="17">
        <f>COUNTIF(U89:AY89,"E")</f>
      </c>
    </row>
    <row r="90" spans="1:54" ht="15.75" customHeight="1" x14ac:dyDescent="0.2">
      <c r="A90" s="84"/>
      <c r="B90" s="85"/>
      <c r="C90" s="85"/>
      <c r="D90" s="85"/>
      <c r="E90" s="86"/>
      <c r="F90" s="16">
        <f>IF(E90="","",DATEDIF(E90,$I$7,"Y"))</f>
      </c>
      <c r="G90" s="85"/>
      <c r="H90" s="85"/>
      <c r="I90" s="87"/>
      <c r="J90" s="85"/>
      <c r="K90" s="85"/>
      <c r="L90" s="2"/>
      <c r="M90" s="2"/>
      <c r="N90" s="1"/>
      <c r="O90" s="1"/>
      <c r="P90" s="85"/>
      <c r="Q90" s="88"/>
      <c r="R90" s="3">
        <f>IFERROR(VLOOKUP(TablaFebrero[[#This Row],[BARRIO]],SECTOR!$A:$B,2,0),"")</f>
      </c>
      <c r="S90" s="89"/>
      <c r="T90" s="90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6"/>
      <c r="AZ90" s="19">
        <f>COUNTIF(U90:AY90,"A")</f>
      </c>
      <c r="BA90" s="17">
        <f>COUNTIF(U90:AY90,"F")</f>
      </c>
      <c r="BB90" s="17">
        <f>COUNTIF(U90:AY90,"E")</f>
      </c>
    </row>
    <row r="91" spans="1:54" ht="15.75" customHeight="1" x14ac:dyDescent="0.2">
      <c r="A91" s="84"/>
      <c r="B91" s="85"/>
      <c r="C91" s="85"/>
      <c r="D91" s="85"/>
      <c r="E91" s="86"/>
      <c r="F91" s="16">
        <f>IF(E91="","",DATEDIF(E91,$I$7,"Y"))</f>
      </c>
      <c r="G91" s="85"/>
      <c r="H91" s="85"/>
      <c r="I91" s="87"/>
      <c r="J91" s="85"/>
      <c r="K91" s="85"/>
      <c r="L91" s="2"/>
      <c r="M91" s="2"/>
      <c r="N91" s="1"/>
      <c r="O91" s="1"/>
      <c r="P91" s="85"/>
      <c r="Q91" s="88"/>
      <c r="R91" s="3">
        <f>IFERROR(VLOOKUP(TablaFebrero[[#This Row],[BARRIO]],SECTOR!$A:$B,2,0),"")</f>
      </c>
      <c r="S91" s="89"/>
      <c r="T91" s="90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6"/>
      <c r="AZ91" s="19">
        <f>COUNTIF(U91:AY91,"A")</f>
      </c>
      <c r="BA91" s="17">
        <f>COUNTIF(U91:AY91,"F")</f>
      </c>
      <c r="BB91" s="17">
        <f>COUNTIF(U91:AY91,"E")</f>
      </c>
    </row>
    <row r="92" spans="1:54" ht="15.75" customHeight="1" x14ac:dyDescent="0.2">
      <c r="A92" s="84"/>
      <c r="B92" s="85"/>
      <c r="C92" s="85"/>
      <c r="D92" s="85"/>
      <c r="E92" s="86"/>
      <c r="F92" s="16">
        <f>IF(E92="","",DATEDIF(E92,$I$7,"Y"))</f>
      </c>
      <c r="G92" s="85"/>
      <c r="H92" s="85"/>
      <c r="I92" s="87"/>
      <c r="J92" s="85"/>
      <c r="K92" s="85"/>
      <c r="L92" s="2"/>
      <c r="M92" s="2"/>
      <c r="N92" s="1"/>
      <c r="O92" s="1"/>
      <c r="P92" s="85"/>
      <c r="Q92" s="88"/>
      <c r="R92" s="3">
        <f>IFERROR(VLOOKUP(TablaFebrero[[#This Row],[BARRIO]],SECTOR!$A:$B,2,0),"")</f>
      </c>
      <c r="S92" s="89"/>
      <c r="T92" s="90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6"/>
      <c r="AZ92" s="19">
        <f>COUNTIF(U92:AY92,"A")</f>
      </c>
      <c r="BA92" s="17">
        <f>COUNTIF(U92:AY92,"F")</f>
      </c>
      <c r="BB92" s="17">
        <f>COUNTIF(U92:AY92,"E")</f>
      </c>
    </row>
    <row r="93" spans="1:54" ht="15.75" customHeight="1" x14ac:dyDescent="0.2">
      <c r="A93" s="84"/>
      <c r="B93" s="85"/>
      <c r="C93" s="85"/>
      <c r="D93" s="85"/>
      <c r="E93" s="86"/>
      <c r="F93" s="16">
        <f>IF(E93="","",DATEDIF(E93,$I$7,"Y"))</f>
      </c>
      <c r="G93" s="85"/>
      <c r="H93" s="85"/>
      <c r="I93" s="87"/>
      <c r="J93" s="85"/>
      <c r="K93" s="85"/>
      <c r="L93" s="2"/>
      <c r="M93" s="2"/>
      <c r="N93" s="1"/>
      <c r="O93" s="1"/>
      <c r="P93" s="85"/>
      <c r="Q93" s="88"/>
      <c r="R93" s="3">
        <f>IFERROR(VLOOKUP(TablaFebrero[[#This Row],[BARRIO]],SECTOR!$A:$B,2,0),"")</f>
      </c>
      <c r="S93" s="89"/>
      <c r="T93" s="90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6"/>
      <c r="AZ93" s="19">
        <f>COUNTIF(U93:AY93,"A")</f>
      </c>
      <c r="BA93" s="17">
        <f>COUNTIF(U93:AY93,"F")</f>
      </c>
      <c r="BB93" s="17">
        <f>COUNTIF(U93:AY93,"E")</f>
      </c>
    </row>
    <row r="94" spans="1:54" ht="15.75" customHeight="1" x14ac:dyDescent="0.2">
      <c r="A94" s="84"/>
      <c r="B94" s="85"/>
      <c r="C94" s="85"/>
      <c r="D94" s="85"/>
      <c r="E94" s="86"/>
      <c r="F94" s="16">
        <f>IF(E94="","",DATEDIF(E94,$I$7,"Y"))</f>
      </c>
      <c r="G94" s="85"/>
      <c r="H94" s="85"/>
      <c r="I94" s="87"/>
      <c r="J94" s="85"/>
      <c r="K94" s="85"/>
      <c r="L94" s="2"/>
      <c r="M94" s="2"/>
      <c r="N94" s="1"/>
      <c r="O94" s="1"/>
      <c r="P94" s="85"/>
      <c r="Q94" s="88"/>
      <c r="R94" s="3">
        <f>IFERROR(VLOOKUP(TablaFebrero[[#This Row],[BARRIO]],SECTOR!$A:$B,2,0),"")</f>
      </c>
      <c r="S94" s="89"/>
      <c r="T94" s="90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6"/>
      <c r="AZ94" s="19">
        <f>COUNTIF(U94:AY94,"A")</f>
      </c>
      <c r="BA94" s="17">
        <f>COUNTIF(U94:AY94,"F")</f>
      </c>
      <c r="BB94" s="17">
        <f>COUNTIF(U94:AY94,"E")</f>
      </c>
    </row>
    <row r="95" spans="1:54" ht="15.75" customHeight="1" x14ac:dyDescent="0.2">
      <c r="A95" s="84"/>
      <c r="B95" s="85"/>
      <c r="C95" s="85"/>
      <c r="D95" s="85"/>
      <c r="E95" s="86"/>
      <c r="F95" s="16">
        <f>IF(E95="","",DATEDIF(E95,$I$7,"Y"))</f>
      </c>
      <c r="G95" s="85"/>
      <c r="H95" s="85"/>
      <c r="I95" s="87"/>
      <c r="J95" s="85"/>
      <c r="K95" s="85"/>
      <c r="L95" s="2"/>
      <c r="M95" s="2"/>
      <c r="N95" s="1"/>
      <c r="O95" s="1"/>
      <c r="P95" s="85"/>
      <c r="Q95" s="88"/>
      <c r="R95" s="3">
        <f>IFERROR(VLOOKUP(TablaFebrero[[#This Row],[BARRIO]],SECTOR!$A:$B,2,0),"")</f>
      </c>
      <c r="S95" s="89"/>
      <c r="T95" s="90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6"/>
      <c r="AZ95" s="19">
        <f>COUNTIF(U95:AY95,"A")</f>
      </c>
      <c r="BA95" s="17">
        <f>COUNTIF(U95:AY95,"F")</f>
      </c>
      <c r="BB95" s="17">
        <f>COUNTIF(U95:AY95,"E")</f>
      </c>
    </row>
    <row r="96" spans="1:54" ht="15.75" customHeight="1" x14ac:dyDescent="0.2">
      <c r="A96" s="84"/>
      <c r="B96" s="85"/>
      <c r="C96" s="85"/>
      <c r="D96" s="85"/>
      <c r="E96" s="86"/>
      <c r="F96" s="16">
        <f>IF(E96="","",DATEDIF(E96,$I$7,"Y"))</f>
      </c>
      <c r="G96" s="85"/>
      <c r="H96" s="85"/>
      <c r="I96" s="87"/>
      <c r="J96" s="85"/>
      <c r="K96" s="85"/>
      <c r="L96" s="2"/>
      <c r="M96" s="2"/>
      <c r="N96" s="1"/>
      <c r="O96" s="1"/>
      <c r="P96" s="85"/>
      <c r="Q96" s="88"/>
      <c r="R96" s="3">
        <f>IFERROR(VLOOKUP(TablaFebrero[[#This Row],[BARRIO]],SECTOR!$A:$B,2,0),"")</f>
      </c>
      <c r="S96" s="89"/>
      <c r="T96" s="90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7"/>
      <c r="AZ96" s="30">
        <f>COUNTIF(U96:AY96,"A")</f>
      </c>
      <c r="BA96" s="17">
        <f>COUNTIF(U96:AY96,"F")</f>
      </c>
      <c r="BB96" s="17">
        <f>COUNTIF(U96:AY96,"E")</f>
      </c>
    </row>
    <row r="97" spans="1:54" ht="15.75" customHeight="1" x14ac:dyDescent="0.2">
      <c r="A97" s="84"/>
      <c r="B97" s="85"/>
      <c r="C97" s="85"/>
      <c r="D97" s="85"/>
      <c r="E97" s="86"/>
      <c r="F97" s="16">
        <f>IF(E97="","",DATEDIF(E97,$I$7,"Y"))</f>
      </c>
      <c r="G97" s="85"/>
      <c r="H97" s="85"/>
      <c r="I97" s="87"/>
      <c r="J97" s="85"/>
      <c r="K97" s="85"/>
      <c r="L97" s="2"/>
      <c r="M97" s="2"/>
      <c r="N97" s="1"/>
      <c r="O97" s="1"/>
      <c r="P97" s="85"/>
      <c r="Q97" s="88"/>
      <c r="R97" s="3">
        <f>IFERROR(VLOOKUP(TablaFebrero[[#This Row],[BARRIO]],SECTOR!$A:$B,2,0),"")</f>
      </c>
      <c r="S97" s="89"/>
      <c r="T97" s="90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6"/>
      <c r="AZ97" s="30">
        <f>COUNTIF(U97:AY97,"A")</f>
      </c>
      <c r="BA97" s="17">
        <f>COUNTIF(U97:AY97,"F")</f>
      </c>
      <c r="BB97" s="17">
        <f>COUNTIF(U97:AY97,"E")</f>
      </c>
    </row>
    <row r="98" spans="1:54" ht="15.75" customHeight="1" x14ac:dyDescent="0.2">
      <c r="A98" s="84"/>
      <c r="B98" s="85"/>
      <c r="C98" s="85"/>
      <c r="D98" s="85"/>
      <c r="E98" s="86"/>
      <c r="F98" s="16">
        <f>IF(E98="","",DATEDIF(E98,$I$7,"Y"))</f>
      </c>
      <c r="G98" s="85"/>
      <c r="H98" s="85"/>
      <c r="I98" s="87"/>
      <c r="J98" s="85"/>
      <c r="K98" s="85"/>
      <c r="L98" s="2"/>
      <c r="M98" s="2"/>
      <c r="N98" s="1"/>
      <c r="O98" s="1"/>
      <c r="P98" s="85"/>
      <c r="Q98" s="88"/>
      <c r="R98" s="3">
        <f>IFERROR(VLOOKUP(TablaFebrero[[#This Row],[BARRIO]],SECTOR!$A:$B,2,0),"")</f>
      </c>
      <c r="S98" s="89"/>
      <c r="T98" s="90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6"/>
      <c r="AZ98" s="30">
        <f>COUNTIF(U98:AY98,"A")</f>
      </c>
      <c r="BA98" s="17">
        <f>COUNTIF(U98:AY98,"F")</f>
      </c>
      <c r="BB98" s="17">
        <f>COUNTIF(U98:AY98,"E")</f>
      </c>
    </row>
    <row r="99" spans="1:54" ht="15.75" customHeight="1" x14ac:dyDescent="0.2">
      <c r="A99" s="84"/>
      <c r="B99" s="85"/>
      <c r="C99" s="85"/>
      <c r="D99" s="85"/>
      <c r="E99" s="86"/>
      <c r="F99" s="16">
        <f>IF(E99="","",DATEDIF(E99,$I$7,"Y"))</f>
      </c>
      <c r="G99" s="85"/>
      <c r="H99" s="85"/>
      <c r="I99" s="87"/>
      <c r="J99" s="85"/>
      <c r="K99" s="85"/>
      <c r="L99" s="2"/>
      <c r="M99" s="2"/>
      <c r="N99" s="1"/>
      <c r="O99" s="1"/>
      <c r="P99" s="85"/>
      <c r="Q99" s="88"/>
      <c r="R99" s="3">
        <f>IFERROR(VLOOKUP(TablaFebrero[[#This Row],[BARRIO]],SECTOR!$A:$B,2,0),"")</f>
      </c>
      <c r="S99" s="89"/>
      <c r="T99" s="90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6"/>
      <c r="AZ99" s="30">
        <f>COUNTIF(U99:AY99,"A")</f>
      </c>
      <c r="BA99" s="17">
        <f>COUNTIF(U99:AY99,"F")</f>
      </c>
      <c r="BB99" s="17">
        <f>COUNTIF(U99:AY99,"E")</f>
      </c>
    </row>
    <row r="100" spans="1:54" ht="15.75" customHeight="1" x14ac:dyDescent="0.2">
      <c r="A100" s="84"/>
      <c r="B100" s="85"/>
      <c r="C100" s="85"/>
      <c r="D100" s="85"/>
      <c r="E100" s="86"/>
      <c r="F100" s="16">
        <f>IF(E100="","",DATEDIF(E100,$I$7,"Y"))</f>
      </c>
      <c r="G100" s="85"/>
      <c r="H100" s="85"/>
      <c r="I100" s="87"/>
      <c r="J100" s="85"/>
      <c r="K100" s="85"/>
      <c r="L100" s="2"/>
      <c r="M100" s="2"/>
      <c r="N100" s="1"/>
      <c r="O100" s="1"/>
      <c r="P100" s="85"/>
      <c r="Q100" s="88"/>
      <c r="R100" s="3">
        <f>IFERROR(VLOOKUP(TablaFebrero[[#This Row],[BARRIO]],SECTOR!$A:$B,2,0),"")</f>
      </c>
      <c r="S100" s="89"/>
      <c r="T100" s="90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6"/>
      <c r="AZ100" s="30">
        <f>COUNTIF(U100:AY100,"A")</f>
      </c>
      <c r="BA100" s="17">
        <f>COUNTIF(U100:AY100,"F")</f>
      </c>
      <c r="BB100" s="17">
        <f>COUNTIF(U100:AY100,"E")</f>
      </c>
    </row>
    <row r="101" spans="1:54" ht="15.75" customHeight="1" x14ac:dyDescent="0.2">
      <c r="A101" s="84"/>
      <c r="B101" s="85"/>
      <c r="C101" s="85"/>
      <c r="D101" s="85"/>
      <c r="E101" s="86"/>
      <c r="F101" s="16">
        <f>IF(E101="","",DATEDIF(E101,$I$7,"Y"))</f>
      </c>
      <c r="G101" s="85"/>
      <c r="H101" s="85"/>
      <c r="I101" s="87"/>
      <c r="J101" s="85"/>
      <c r="K101" s="85"/>
      <c r="L101" s="2"/>
      <c r="M101" s="2"/>
      <c r="N101" s="1"/>
      <c r="O101" s="1"/>
      <c r="P101" s="85"/>
      <c r="Q101" s="88"/>
      <c r="R101" s="3">
        <f>IFERROR(VLOOKUP(TablaFebrero[[#This Row],[BARRIO]],SECTOR!$A:$B,2,0),"")</f>
      </c>
      <c r="S101" s="89"/>
      <c r="T101" s="90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6"/>
      <c r="AZ101" s="30">
        <f>COUNTIF(U101:AY101,"A")</f>
      </c>
      <c r="BA101" s="17">
        <f>COUNTIF(U101:AY101,"F")</f>
      </c>
      <c r="BB101" s="17">
        <f>COUNTIF(U101:AY101,"E")</f>
      </c>
    </row>
    <row r="102" spans="1:54" ht="15.75" customHeight="1" x14ac:dyDescent="0.2">
      <c r="A102" s="84"/>
      <c r="B102" s="85"/>
      <c r="C102" s="85"/>
      <c r="D102" s="85"/>
      <c r="E102" s="86"/>
      <c r="F102" s="16">
        <f>IF(E102="","",DATEDIF(E102,$I$7,"Y"))</f>
      </c>
      <c r="G102" s="85"/>
      <c r="H102" s="85"/>
      <c r="I102" s="87"/>
      <c r="J102" s="85"/>
      <c r="K102" s="85"/>
      <c r="L102" s="2"/>
      <c r="M102" s="2"/>
      <c r="N102" s="1"/>
      <c r="O102" s="1"/>
      <c r="P102" s="85"/>
      <c r="Q102" s="88"/>
      <c r="R102" s="3">
        <f>IFERROR(VLOOKUP(TablaFebrero[[#This Row],[BARRIO]],SECTOR!$A:$B,2,0),"")</f>
      </c>
      <c r="S102" s="89"/>
      <c r="T102" s="90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6"/>
      <c r="AZ102" s="30">
        <f>COUNTIF(U102:AY102,"A")</f>
      </c>
      <c r="BA102" s="17">
        <f>COUNTIF(U102:AY102,"F")</f>
      </c>
      <c r="BB102" s="17">
        <f>COUNTIF(U102:AY102,"E")</f>
      </c>
    </row>
    <row r="103" spans="1:54" ht="15.75" customHeight="1" x14ac:dyDescent="0.2">
      <c r="A103" s="84"/>
      <c r="B103" s="85"/>
      <c r="C103" s="85"/>
      <c r="D103" s="85"/>
      <c r="E103" s="86"/>
      <c r="F103" s="16">
        <f>IF(E103="","",DATEDIF(E103,$I$7,"Y"))</f>
      </c>
      <c r="G103" s="85"/>
      <c r="H103" s="85"/>
      <c r="I103" s="87"/>
      <c r="J103" s="85"/>
      <c r="K103" s="85"/>
      <c r="L103" s="2"/>
      <c r="M103" s="2"/>
      <c r="N103" s="1"/>
      <c r="O103" s="1"/>
      <c r="P103" s="85"/>
      <c r="Q103" s="88"/>
      <c r="R103" s="3">
        <f>IFERROR(VLOOKUP(TablaFebrero[[#This Row],[BARRIO]],SECTOR!$A:$B,2,0),"")</f>
      </c>
      <c r="S103" s="89"/>
      <c r="T103" s="90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6"/>
      <c r="AZ103" s="30">
        <f>COUNTIF(U103:AY103,"A")</f>
      </c>
      <c r="BA103" s="17">
        <f>COUNTIF(U103:AY103,"F")</f>
      </c>
      <c r="BB103" s="17">
        <f>COUNTIF(U103:AY103,"E")</f>
      </c>
    </row>
    <row r="104" spans="1:54" ht="15.75" customHeight="1" x14ac:dyDescent="0.2">
      <c r="A104" s="84"/>
      <c r="B104" s="85"/>
      <c r="C104" s="85"/>
      <c r="D104" s="85"/>
      <c r="E104" s="86"/>
      <c r="F104" s="16">
        <f>IF(E104="","",DATEDIF(E104,$I$7,"Y"))</f>
      </c>
      <c r="G104" s="85"/>
      <c r="H104" s="85"/>
      <c r="I104" s="87"/>
      <c r="J104" s="85"/>
      <c r="K104" s="85"/>
      <c r="L104" s="2"/>
      <c r="M104" s="2"/>
      <c r="N104" s="1"/>
      <c r="O104" s="1"/>
      <c r="P104" s="85"/>
      <c r="Q104" s="88"/>
      <c r="R104" s="3">
        <f>IFERROR(VLOOKUP(TablaFebrero[[#This Row],[BARRIO]],SECTOR!$A:$B,2,0),"")</f>
      </c>
      <c r="S104" s="89"/>
      <c r="T104" s="90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6"/>
      <c r="AZ104" s="30">
        <f>COUNTIF(U104:AY104,"A")</f>
      </c>
      <c r="BA104" s="17">
        <f>COUNTIF(U104:AY104,"F")</f>
      </c>
      <c r="BB104" s="17">
        <f>COUNTIF(U104:AY104,"E")</f>
      </c>
    </row>
    <row r="105" spans="1:54" ht="15.75" customHeight="1" x14ac:dyDescent="0.2">
      <c r="A105" s="84"/>
      <c r="B105" s="85"/>
      <c r="C105" s="85"/>
      <c r="D105" s="85"/>
      <c r="E105" s="86"/>
      <c r="F105" s="16">
        <f>IF(E105="","",DATEDIF(E105,$I$7,"Y"))</f>
      </c>
      <c r="G105" s="85"/>
      <c r="H105" s="85"/>
      <c r="I105" s="87"/>
      <c r="J105" s="85"/>
      <c r="K105" s="85"/>
      <c r="L105" s="2"/>
      <c r="M105" s="2"/>
      <c r="N105" s="1"/>
      <c r="O105" s="1"/>
      <c r="P105" s="85"/>
      <c r="Q105" s="88"/>
      <c r="R105" s="3">
        <f>IFERROR(VLOOKUP(TablaFebrero[[#This Row],[BARRIO]],SECTOR!$A:$B,2,0),"")</f>
      </c>
      <c r="S105" s="89"/>
      <c r="T105" s="90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6"/>
      <c r="AZ105" s="30">
        <f>COUNTIF(U105:AY105,"A")</f>
      </c>
      <c r="BA105" s="17">
        <f>COUNTIF(U105:AY105,"F")</f>
      </c>
      <c r="BB105" s="17">
        <f>COUNTIF(U105:AY105,"E")</f>
      </c>
    </row>
    <row r="106" spans="1:54" ht="15.75" customHeight="1" x14ac:dyDescent="0.2">
      <c r="A106" s="84"/>
      <c r="B106" s="85"/>
      <c r="C106" s="85"/>
      <c r="D106" s="85"/>
      <c r="E106" s="86"/>
      <c r="F106" s="16">
        <f>IF(E106="","",DATEDIF(E106,$I$7,"Y"))</f>
      </c>
      <c r="G106" s="85"/>
      <c r="H106" s="85"/>
      <c r="I106" s="87"/>
      <c r="J106" s="85"/>
      <c r="K106" s="85"/>
      <c r="L106" s="2"/>
      <c r="M106" s="2"/>
      <c r="N106" s="1"/>
      <c r="O106" s="1"/>
      <c r="P106" s="85"/>
      <c r="Q106" s="88"/>
      <c r="R106" s="3">
        <f>IFERROR(VLOOKUP(TablaFebrero[[#This Row],[BARRIO]],SECTOR!$A:$B,2,0),"")</f>
      </c>
      <c r="S106" s="89"/>
      <c r="T106" s="90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6"/>
      <c r="AZ106" s="30">
        <f>COUNTIF(U106:AY106,"A")</f>
      </c>
      <c r="BA106" s="17">
        <f>COUNTIF(U106:AY106,"F")</f>
      </c>
      <c r="BB106" s="17">
        <f>COUNTIF(U106:AY106,"E")</f>
      </c>
    </row>
    <row r="107" spans="1:54" ht="15.75" customHeight="1" x14ac:dyDescent="0.2">
      <c r="A107" s="84"/>
      <c r="B107" s="85"/>
      <c r="C107" s="85"/>
      <c r="D107" s="85"/>
      <c r="E107" s="86"/>
      <c r="F107" s="16">
        <f>IF(E107="","",DATEDIF(E107,$I$7,"Y"))</f>
      </c>
      <c r="G107" s="85"/>
      <c r="H107" s="85"/>
      <c r="I107" s="87"/>
      <c r="J107" s="85"/>
      <c r="K107" s="85"/>
      <c r="L107" s="2"/>
      <c r="M107" s="2"/>
      <c r="N107" s="1"/>
      <c r="O107" s="1"/>
      <c r="P107" s="85"/>
      <c r="Q107" s="88"/>
      <c r="R107" s="3">
        <f>IFERROR(VLOOKUP(TablaFebrero[[#This Row],[BARRIO]],SECTOR!$A:$B,2,0),"")</f>
      </c>
      <c r="S107" s="89"/>
      <c r="T107" s="90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6"/>
      <c r="AZ107" s="30">
        <f>COUNTIF(U107:AY107,"A")</f>
      </c>
      <c r="BA107" s="17">
        <f>COUNTIF(U107:AY107,"F")</f>
      </c>
      <c r="BB107" s="17">
        <f>COUNTIF(U107:AY107,"E")</f>
      </c>
    </row>
    <row r="108" spans="1:54" ht="15.75" customHeight="1" x14ac:dyDescent="0.2">
      <c r="A108" s="84"/>
      <c r="B108" s="85"/>
      <c r="C108" s="85"/>
      <c r="D108" s="85"/>
      <c r="E108" s="86"/>
      <c r="F108" s="16">
        <f>IF(E108="","",DATEDIF(E108,$I$7,"Y"))</f>
      </c>
      <c r="G108" s="85"/>
      <c r="H108" s="85"/>
      <c r="I108" s="87"/>
      <c r="J108" s="85"/>
      <c r="K108" s="85"/>
      <c r="L108" s="2"/>
      <c r="M108" s="2"/>
      <c r="N108" s="1"/>
      <c r="O108" s="1"/>
      <c r="P108" s="85"/>
      <c r="Q108" s="88"/>
      <c r="R108" s="3">
        <f>IFERROR(VLOOKUP(TablaFebrero[[#This Row],[BARRIO]],SECTOR!$A:$B,2,0),"")</f>
      </c>
      <c r="S108" s="89"/>
      <c r="T108" s="90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6"/>
      <c r="AZ108" s="30">
        <f>COUNTIF(U108:AY108,"A")</f>
      </c>
      <c r="BA108" s="17">
        <f>COUNTIF(U108:AY108,"F")</f>
      </c>
      <c r="BB108" s="17">
        <f>COUNTIF(U108:AY108,"E")</f>
      </c>
    </row>
    <row r="109" spans="1:54" ht="15.75" customHeight="1" x14ac:dyDescent="0.2">
      <c r="A109" s="84"/>
      <c r="B109" s="85"/>
      <c r="C109" s="85"/>
      <c r="D109" s="85"/>
      <c r="E109" s="86"/>
      <c r="F109" s="16">
        <f>IF(E109="","",DATEDIF(E109,$I$7,"Y"))</f>
      </c>
      <c r="G109" s="85"/>
      <c r="H109" s="85"/>
      <c r="I109" s="87"/>
      <c r="J109" s="85"/>
      <c r="K109" s="85"/>
      <c r="L109" s="2"/>
      <c r="M109" s="2"/>
      <c r="N109" s="1"/>
      <c r="O109" s="1"/>
      <c r="P109" s="85"/>
      <c r="Q109" s="88"/>
      <c r="R109" s="3">
        <f>IFERROR(VLOOKUP(TablaFebrero[[#This Row],[BARRIO]],SECTOR!$A:$B,2,0),"")</f>
      </c>
      <c r="S109" s="89"/>
      <c r="T109" s="90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6"/>
      <c r="AZ109" s="30">
        <f>COUNTIF(U109:AY109,"A")</f>
      </c>
      <c r="BA109" s="17">
        <f>COUNTIF(U109:AY109,"F")</f>
      </c>
      <c r="BB109" s="17">
        <f>COUNTIF(U109:AY109,"E")</f>
      </c>
    </row>
    <row r="110" spans="1:54" ht="15.75" customHeight="1" x14ac:dyDescent="0.2">
      <c r="A110" s="84"/>
      <c r="B110" s="85"/>
      <c r="C110" s="85"/>
      <c r="D110" s="85"/>
      <c r="E110" s="86"/>
      <c r="F110" s="16">
        <f>IF(E110="","",DATEDIF(E110,$I$7,"Y"))</f>
      </c>
      <c r="G110" s="85"/>
      <c r="H110" s="85"/>
      <c r="I110" s="87"/>
      <c r="J110" s="85"/>
      <c r="K110" s="85"/>
      <c r="L110" s="2"/>
      <c r="M110" s="2"/>
      <c r="N110" s="1"/>
      <c r="O110" s="1"/>
      <c r="P110" s="85"/>
      <c r="Q110" s="88"/>
      <c r="R110" s="3">
        <f>IFERROR(VLOOKUP(TablaFebrero[[#This Row],[BARRIO]],SECTOR!$A:$B,2,0),"")</f>
      </c>
      <c r="S110" s="89"/>
      <c r="T110" s="90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6"/>
      <c r="AZ110" s="30">
        <f>COUNTIF(U110:AY110,"A")</f>
      </c>
      <c r="BA110" s="17">
        <f>COUNTIF(U110:AY110,"F")</f>
      </c>
      <c r="BB110" s="17">
        <f>COUNTIF(U110:AY110,"E")</f>
      </c>
    </row>
    <row r="111" spans="1:54" ht="15.75" customHeight="1" x14ac:dyDescent="0.2">
      <c r="A111" s="84"/>
      <c r="B111" s="85"/>
      <c r="C111" s="85"/>
      <c r="D111" s="85"/>
      <c r="E111" s="86"/>
      <c r="F111" s="16">
        <f>IF(E111="","",DATEDIF(E111,$I$7,"Y"))</f>
      </c>
      <c r="G111" s="85"/>
      <c r="H111" s="85"/>
      <c r="I111" s="87"/>
      <c r="J111" s="85"/>
      <c r="K111" s="85"/>
      <c r="L111" s="2"/>
      <c r="M111" s="2"/>
      <c r="N111" s="1"/>
      <c r="O111" s="1"/>
      <c r="P111" s="85"/>
      <c r="Q111" s="88"/>
      <c r="R111" s="3">
        <f>IFERROR(VLOOKUP(TablaFebrero[[#This Row],[BARRIO]],SECTOR!$A:$B,2,0),"")</f>
      </c>
      <c r="S111" s="89"/>
      <c r="T111" s="90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6"/>
      <c r="AZ111" s="30">
        <f>COUNTIF(U111:AY111,"A")</f>
      </c>
      <c r="BA111" s="17">
        <f>COUNTIF(U111:AY111,"F")</f>
      </c>
      <c r="BB111" s="17">
        <f>COUNTIF(U111:AY111,"E")</f>
      </c>
    </row>
    <row r="112" spans="1:54" ht="15.75" customHeight="1" x14ac:dyDescent="0.2">
      <c r="A112" s="84"/>
      <c r="B112" s="85"/>
      <c r="C112" s="85"/>
      <c r="D112" s="85"/>
      <c r="E112" s="86"/>
      <c r="F112" s="16">
        <f>IF(E112="","",DATEDIF(E112,$I$7,"Y"))</f>
      </c>
      <c r="G112" s="85"/>
      <c r="H112" s="85"/>
      <c r="I112" s="87"/>
      <c r="J112" s="85"/>
      <c r="K112" s="85"/>
      <c r="L112" s="2"/>
      <c r="M112" s="2"/>
      <c r="N112" s="1"/>
      <c r="O112" s="1"/>
      <c r="P112" s="85"/>
      <c r="Q112" s="88"/>
      <c r="R112" s="3">
        <f>IFERROR(VLOOKUP(TablaFebrero[[#This Row],[BARRIO]],SECTOR!$A:$B,2,0),"")</f>
      </c>
      <c r="S112" s="89"/>
      <c r="T112" s="90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6"/>
      <c r="AZ112" s="30">
        <f>COUNTIF(U112:AY112,"A")</f>
      </c>
      <c r="BA112" s="17">
        <f>COUNTIF(U112:AY112,"F")</f>
      </c>
      <c r="BB112" s="17">
        <f>COUNTIF(U112:AY112,"E")</f>
      </c>
    </row>
    <row r="113" spans="1:54" ht="15.75" customHeight="1" x14ac:dyDescent="0.2">
      <c r="A113" s="84"/>
      <c r="B113" s="85"/>
      <c r="C113" s="85"/>
      <c r="D113" s="85"/>
      <c r="E113" s="86"/>
      <c r="F113" s="16">
        <f>IF(E113="","",DATEDIF(E113,$I$7,"Y"))</f>
      </c>
      <c r="G113" s="85"/>
      <c r="H113" s="85"/>
      <c r="I113" s="87"/>
      <c r="J113" s="85"/>
      <c r="K113" s="85"/>
      <c r="L113" s="2"/>
      <c r="M113" s="2"/>
      <c r="N113" s="1"/>
      <c r="O113" s="1"/>
      <c r="P113" s="85"/>
      <c r="Q113" s="88"/>
      <c r="R113" s="3">
        <f>IFERROR(VLOOKUP(TablaFebrero[[#This Row],[BARRIO]],SECTOR!$A:$B,2,0),"")</f>
      </c>
      <c r="S113" s="89"/>
      <c r="T113" s="90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6"/>
      <c r="AZ113" s="30">
        <f>COUNTIF(U113:AY113,"A")</f>
      </c>
      <c r="BA113" s="17">
        <f>COUNTIF(U113:AY113,"F")</f>
      </c>
      <c r="BB113" s="17">
        <f>COUNTIF(U113:AY113,"E")</f>
      </c>
    </row>
    <row r="114" spans="1:54" ht="15.75" customHeight="1" x14ac:dyDescent="0.2">
      <c r="A114" s="84"/>
      <c r="B114" s="85"/>
      <c r="C114" s="85"/>
      <c r="D114" s="85"/>
      <c r="E114" s="86"/>
      <c r="F114" s="16">
        <f>IF(E114="","",DATEDIF(E114,$I$7,"Y"))</f>
      </c>
      <c r="G114" s="85"/>
      <c r="H114" s="85"/>
      <c r="I114" s="87"/>
      <c r="J114" s="85"/>
      <c r="K114" s="85"/>
      <c r="L114" s="2"/>
      <c r="M114" s="2"/>
      <c r="N114" s="1"/>
      <c r="O114" s="1"/>
      <c r="P114" s="85"/>
      <c r="Q114" s="88"/>
      <c r="R114" s="3">
        <f>IFERROR(VLOOKUP(TablaFebrero[[#This Row],[BARRIO]],SECTOR!$A:$B,2,0),"")</f>
      </c>
      <c r="S114" s="89"/>
      <c r="T114" s="90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6"/>
      <c r="AZ114" s="30">
        <f>COUNTIF(U114:AY114,"A")</f>
      </c>
      <c r="BA114" s="17">
        <f>COUNTIF(U114:AY114,"F")</f>
      </c>
      <c r="BB114" s="17">
        <f>COUNTIF(U114:AY114,"E")</f>
      </c>
    </row>
    <row r="115" spans="1:54" ht="15.75" customHeight="1" x14ac:dyDescent="0.2">
      <c r="A115" s="84"/>
      <c r="B115" s="85"/>
      <c r="C115" s="85"/>
      <c r="D115" s="85"/>
      <c r="E115" s="86"/>
      <c r="F115" s="16">
        <f>IF(E115="","",DATEDIF(E115,$I$7,"Y"))</f>
      </c>
      <c r="G115" s="85"/>
      <c r="H115" s="85"/>
      <c r="I115" s="87"/>
      <c r="J115" s="85"/>
      <c r="K115" s="85"/>
      <c r="L115" s="2"/>
      <c r="M115" s="2"/>
      <c r="N115" s="1"/>
      <c r="O115" s="1"/>
      <c r="P115" s="85"/>
      <c r="Q115" s="88"/>
      <c r="R115" s="3">
        <f>IFERROR(VLOOKUP(TablaFebrero[[#This Row],[BARRIO]],SECTOR!$A:$B,2,0),"")</f>
      </c>
      <c r="S115" s="89"/>
      <c r="T115" s="90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6"/>
      <c r="AZ115" s="30">
        <f>COUNTIF(U115:AY115,"A")</f>
      </c>
      <c r="BA115" s="17">
        <f>COUNTIF(U115:AY115,"F")</f>
      </c>
      <c r="BB115" s="17">
        <f>COUNTIF(U115:AY115,"E")</f>
      </c>
    </row>
    <row r="116" spans="1:54" ht="15.75" customHeight="1" x14ac:dyDescent="0.2">
      <c r="A116" s="84"/>
      <c r="B116" s="85"/>
      <c r="C116" s="85"/>
      <c r="D116" s="85"/>
      <c r="E116" s="86"/>
      <c r="F116" s="16">
        <f>IF(E116="","",DATEDIF(E116,$I$7,"Y"))</f>
      </c>
      <c r="G116" s="85"/>
      <c r="H116" s="85"/>
      <c r="I116" s="87"/>
      <c r="J116" s="85"/>
      <c r="K116" s="85"/>
      <c r="L116" s="2"/>
      <c r="M116" s="2"/>
      <c r="N116" s="1"/>
      <c r="O116" s="1"/>
      <c r="P116" s="85"/>
      <c r="Q116" s="88"/>
      <c r="R116" s="3">
        <f>IFERROR(VLOOKUP(TablaFebrero[[#This Row],[BARRIO]],SECTOR!$A:$B,2,0),"")</f>
      </c>
      <c r="S116" s="89"/>
      <c r="T116" s="90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6"/>
      <c r="AZ116" s="30">
        <f>COUNTIF(U116:AY116,"A")</f>
      </c>
      <c r="BA116" s="17">
        <f>COUNTIF(U116:AY116,"F")</f>
      </c>
      <c r="BB116" s="17">
        <f>COUNTIF(U116:AY116,"E")</f>
      </c>
    </row>
    <row r="117" spans="1:54" ht="15.75" customHeight="1" x14ac:dyDescent="0.2">
      <c r="A117" s="84"/>
      <c r="B117" s="85"/>
      <c r="C117" s="85"/>
      <c r="D117" s="85"/>
      <c r="E117" s="86"/>
      <c r="F117" s="16">
        <f>IF(E117="","",DATEDIF(E117,$I$7,"Y"))</f>
      </c>
      <c r="G117" s="85"/>
      <c r="H117" s="85"/>
      <c r="I117" s="87"/>
      <c r="J117" s="85"/>
      <c r="K117" s="85"/>
      <c r="L117" s="2"/>
      <c r="M117" s="2"/>
      <c r="N117" s="1"/>
      <c r="O117" s="1"/>
      <c r="P117" s="85"/>
      <c r="Q117" s="88"/>
      <c r="R117" s="3">
        <f>IFERROR(VLOOKUP(TablaFebrero[[#This Row],[BARRIO]],SECTOR!$A:$B,2,0),"")</f>
      </c>
      <c r="S117" s="89"/>
      <c r="T117" s="90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6"/>
      <c r="AZ117" s="30">
        <f>COUNTIF(U117:AY117,"A")</f>
      </c>
      <c r="BA117" s="17">
        <f>COUNTIF(U117:AY117,"F")</f>
      </c>
      <c r="BB117" s="17">
        <f>COUNTIF(U117:AY117,"E")</f>
      </c>
    </row>
    <row r="118" spans="1:54" ht="15.75" customHeight="1" x14ac:dyDescent="0.2">
      <c r="A118" s="84"/>
      <c r="B118" s="85"/>
      <c r="C118" s="85"/>
      <c r="D118" s="85"/>
      <c r="E118" s="86"/>
      <c r="F118" s="16">
        <f>IF(E118="","",DATEDIF(E118,$I$7,"Y"))</f>
      </c>
      <c r="G118" s="85"/>
      <c r="H118" s="85"/>
      <c r="I118" s="87"/>
      <c r="J118" s="85"/>
      <c r="K118" s="85"/>
      <c r="L118" s="2"/>
      <c r="M118" s="2"/>
      <c r="N118" s="1"/>
      <c r="O118" s="1"/>
      <c r="P118" s="85"/>
      <c r="Q118" s="88"/>
      <c r="R118" s="3">
        <f>IFERROR(VLOOKUP(TablaFebrero[[#This Row],[BARRIO]],SECTOR!$A:$B,2,0),"")</f>
      </c>
      <c r="S118" s="89"/>
      <c r="T118" s="90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6"/>
      <c r="AZ118" s="30">
        <f>COUNTIF(U118:AY118,"A")</f>
      </c>
      <c r="BA118" s="17">
        <f>COUNTIF(U118:AY118,"F")</f>
      </c>
      <c r="BB118" s="17">
        <f>COUNTIF(U118:AY118,"E")</f>
      </c>
    </row>
    <row r="119" spans="1:54" ht="15.75" customHeight="1" x14ac:dyDescent="0.2">
      <c r="A119" s="84"/>
      <c r="B119" s="85"/>
      <c r="C119" s="85"/>
      <c r="D119" s="85"/>
      <c r="E119" s="86"/>
      <c r="F119" s="16">
        <f>IF(E119="","",DATEDIF(E119,$I$7,"Y"))</f>
      </c>
      <c r="G119" s="85"/>
      <c r="H119" s="85"/>
      <c r="I119" s="87"/>
      <c r="J119" s="85"/>
      <c r="K119" s="85"/>
      <c r="L119" s="2"/>
      <c r="M119" s="2"/>
      <c r="N119" s="1"/>
      <c r="O119" s="1"/>
      <c r="P119" s="85"/>
      <c r="Q119" s="88"/>
      <c r="R119" s="3">
        <f>IFERROR(VLOOKUP(TablaFebrero[[#This Row],[BARRIO]],SECTOR!$A:$B,2,0),"")</f>
      </c>
      <c r="S119" s="89"/>
      <c r="T119" s="90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6"/>
      <c r="AZ119" s="30">
        <f>COUNTIF(U119:AY119,"A")</f>
      </c>
      <c r="BA119" s="17">
        <f>COUNTIF(U119:AY119,"F")</f>
      </c>
      <c r="BB119" s="17">
        <f>COUNTIF(U119:AY119,"E")</f>
      </c>
    </row>
    <row r="120" spans="1:54" ht="15.75" customHeight="1" x14ac:dyDescent="0.2">
      <c r="A120" s="84"/>
      <c r="B120" s="85"/>
      <c r="C120" s="85"/>
      <c r="D120" s="85"/>
      <c r="E120" s="86"/>
      <c r="F120" s="16">
        <f>IF(E120="","",DATEDIF(E120,$I$7,"Y"))</f>
      </c>
      <c r="G120" s="85"/>
      <c r="H120" s="85"/>
      <c r="I120" s="87"/>
      <c r="J120" s="85"/>
      <c r="K120" s="85"/>
      <c r="L120" s="2"/>
      <c r="M120" s="2"/>
      <c r="N120" s="1"/>
      <c r="O120" s="1"/>
      <c r="P120" s="85"/>
      <c r="Q120" s="88"/>
      <c r="R120" s="3">
        <f>IFERROR(VLOOKUP(TablaFebrero[[#This Row],[BARRIO]],SECTOR!$A:$B,2,0),"")</f>
      </c>
      <c r="S120" s="89"/>
      <c r="T120" s="90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6"/>
      <c r="AZ120" s="30">
        <f>COUNTIF(U120:AY120,"A")</f>
      </c>
      <c r="BA120" s="17">
        <f>COUNTIF(U120:AY120,"F")</f>
      </c>
      <c r="BB120" s="17">
        <f>COUNTIF(U120:AY120,"E")</f>
      </c>
    </row>
    <row r="121" spans="1:54" ht="15.75" customHeight="1" x14ac:dyDescent="0.2">
      <c r="A121" s="84"/>
      <c r="B121" s="85"/>
      <c r="C121" s="85"/>
      <c r="D121" s="85"/>
      <c r="E121" s="86"/>
      <c r="F121" s="16">
        <f>IF(E121="","",DATEDIF(E121,$I$7,"Y"))</f>
      </c>
      <c r="G121" s="85"/>
      <c r="H121" s="85"/>
      <c r="I121" s="87"/>
      <c r="J121" s="85"/>
      <c r="K121" s="85"/>
      <c r="L121" s="2"/>
      <c r="M121" s="2"/>
      <c r="N121" s="1"/>
      <c r="O121" s="1"/>
      <c r="P121" s="85"/>
      <c r="Q121" s="88"/>
      <c r="R121" s="3">
        <f>IFERROR(VLOOKUP(TablaFebrero[[#This Row],[BARRIO]],SECTOR!$A:$B,2,0),"")</f>
      </c>
      <c r="S121" s="89"/>
      <c r="T121" s="90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6"/>
      <c r="AZ121" s="30">
        <f>COUNTIF(U121:AY121,"A")</f>
      </c>
      <c r="BA121" s="17">
        <f>COUNTIF(U121:AY121,"F")</f>
      </c>
      <c r="BB121" s="17">
        <f>COUNTIF(U121:AY121,"E")</f>
      </c>
    </row>
    <row r="122" spans="1:54" ht="15.75" customHeight="1" x14ac:dyDescent="0.2">
      <c r="A122" s="84"/>
      <c r="B122" s="85"/>
      <c r="C122" s="85"/>
      <c r="D122" s="85"/>
      <c r="E122" s="86"/>
      <c r="F122" s="16">
        <f>IF(E122="","",DATEDIF(E122,$I$7,"Y"))</f>
      </c>
      <c r="G122" s="85"/>
      <c r="H122" s="85"/>
      <c r="I122" s="87"/>
      <c r="J122" s="85"/>
      <c r="K122" s="85"/>
      <c r="L122" s="2"/>
      <c r="M122" s="2"/>
      <c r="N122" s="1"/>
      <c r="O122" s="1"/>
      <c r="P122" s="85"/>
      <c r="Q122" s="88"/>
      <c r="R122" s="3">
        <f>IFERROR(VLOOKUP(TablaFebrero[[#This Row],[BARRIO]],SECTOR!$A:$B,2,0),"")</f>
      </c>
      <c r="S122" s="89"/>
      <c r="T122" s="90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30">
        <f>COUNTIF(U122:AY122,"A")</f>
      </c>
      <c r="BA122" s="17">
        <f>COUNTIF(U122:AY122,"F")</f>
      </c>
      <c r="BB122" s="17">
        <f>COUNTIF(U122:AY122,"E")</f>
      </c>
    </row>
    <row r="123" spans="1:54" x14ac:dyDescent="0.2">
      <c r="A123" s="100"/>
      <c r="B123" s="101"/>
      <c r="C123" s="101"/>
      <c r="D123" s="101"/>
      <c r="E123" s="102"/>
      <c r="F123" s="16">
        <f>IF(E123="","",DATEDIF(E123,$I$7,"Y"))</f>
      </c>
      <c r="G123" s="101"/>
      <c r="H123" s="101"/>
      <c r="I123" s="103"/>
      <c r="J123" s="101"/>
      <c r="K123" s="101"/>
      <c r="L123" s="10"/>
      <c r="M123" s="10"/>
      <c r="N123" s="10"/>
      <c r="O123" s="10"/>
      <c r="P123" s="101"/>
      <c r="Q123" s="88"/>
      <c r="R123" s="3">
        <f>IFERROR(VLOOKUP(TablaFebrero[[#This Row],[BARRIO]],SECTOR!$A:$B,2,0),"")</f>
      </c>
      <c r="S123" s="104"/>
      <c r="T123" s="10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7"/>
      <c r="AZ123" s="30">
        <f>COUNTIF(U123:AY123,"A")</f>
      </c>
      <c r="BA123" s="32">
        <f>COUNTIF(U123:AY123,"F")</f>
      </c>
      <c r="BB123" s="118">
        <f>COUNTIF(U123:AY123,"E")</f>
      </c>
    </row>
    <row r="124" spans="1:54" x14ac:dyDescent="0.2">
      <c r="A124" s="100"/>
      <c r="B124" s="101"/>
      <c r="C124" s="101"/>
      <c r="D124" s="101"/>
      <c r="E124" s="102"/>
      <c r="F124" s="16">
        <f>IF(E124="","",DATEDIF(E124,$I$7,"Y"))</f>
      </c>
      <c r="G124" s="101"/>
      <c r="H124" s="101"/>
      <c r="I124" s="103"/>
      <c r="J124" s="101"/>
      <c r="K124" s="101"/>
      <c r="L124" s="10"/>
      <c r="M124" s="10"/>
      <c r="N124" s="10"/>
      <c r="O124" s="10"/>
      <c r="P124" s="101"/>
      <c r="Q124" s="88"/>
      <c r="R124" s="3">
        <f>IFERROR(VLOOKUP(TablaFebrero[[#This Row],[BARRIO]],SECTOR!$A:$B,2,0),"")</f>
      </c>
      <c r="S124" s="104"/>
      <c r="T124" s="10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7"/>
      <c r="AZ124" s="30">
        <f>COUNTIF(U124:AY124,"A")</f>
      </c>
      <c r="BA124" s="32">
        <f>COUNTIF(U124:AY124,"F")</f>
      </c>
      <c r="BB124" s="118">
        <f>COUNTIF(U124:AY124,"E")</f>
      </c>
    </row>
    <row r="125" spans="1:54" x14ac:dyDescent="0.2">
      <c r="A125" s="100"/>
      <c r="B125" s="106"/>
      <c r="C125" s="101"/>
      <c r="D125" s="101"/>
      <c r="E125" s="102"/>
      <c r="F125" s="16">
        <f>IF(E125="","",DATEDIF(E125,$I$7,"Y"))</f>
      </c>
      <c r="G125" s="101"/>
      <c r="H125" s="101"/>
      <c r="I125" s="103"/>
      <c r="J125" s="101"/>
      <c r="K125" s="101"/>
      <c r="L125" s="10"/>
      <c r="M125" s="10"/>
      <c r="N125" s="10"/>
      <c r="O125" s="10"/>
      <c r="P125" s="101"/>
      <c r="Q125" s="88"/>
      <c r="R125" s="3">
        <f>IFERROR(VLOOKUP(TablaFebrero[[#This Row],[BARRIO]],SECTOR!$A:$B,2,0),"")</f>
      </c>
      <c r="S125" s="104"/>
      <c r="T125" s="10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7"/>
      <c r="AZ125" s="30">
        <f>COUNTIF(U125:AY125,"A")</f>
      </c>
      <c r="BA125" s="32">
        <f>COUNTIF(U125:AY125,"F")</f>
      </c>
      <c r="BB125" s="118">
        <f>COUNTIF(U125:AY125,"E")</f>
      </c>
    </row>
    <row r="126" spans="1:54" x14ac:dyDescent="0.2">
      <c r="A126" s="84"/>
      <c r="B126" s="107"/>
      <c r="C126" s="85"/>
      <c r="D126" s="85"/>
      <c r="E126" s="86"/>
      <c r="F126" s="16">
        <f>IF(E126="","",DATEDIF(E126,$I$7,"Y"))</f>
      </c>
      <c r="G126" s="85"/>
      <c r="H126" s="85"/>
      <c r="I126" s="87"/>
      <c r="J126" s="85"/>
      <c r="K126" s="85"/>
      <c r="L126" s="10"/>
      <c r="M126" s="10"/>
      <c r="N126" s="10"/>
      <c r="O126" s="10"/>
      <c r="P126" s="85"/>
      <c r="Q126" s="88"/>
      <c r="R126" s="3">
        <f>IFERROR(VLOOKUP(TablaFebrero[[#This Row],[BARRIO]],SECTOR!$A:$B,2,0),"")</f>
      </c>
      <c r="S126" s="89"/>
      <c r="T126" s="90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6"/>
      <c r="AZ126" s="30">
        <f>COUNTIF(U126:AY126,"A")</f>
      </c>
      <c r="BA126" s="32">
        <f>COUNTIF(U126:AY126,"F")</f>
      </c>
      <c r="BB126" s="119">
        <f>COUNTIF(U126:AY126,"E")</f>
      </c>
    </row>
    <row r="127" spans="1:54" x14ac:dyDescent="0.2">
      <c r="A127" s="84"/>
      <c r="B127" s="107"/>
      <c r="C127" s="85"/>
      <c r="D127" s="85"/>
      <c r="E127" s="86"/>
      <c r="F127" s="16">
        <f>IF(E127="","",DATEDIF(E127,$I$7,"Y"))</f>
      </c>
      <c r="G127" s="85"/>
      <c r="H127" s="85"/>
      <c r="I127" s="87"/>
      <c r="J127" s="85"/>
      <c r="K127" s="85"/>
      <c r="L127" s="10"/>
      <c r="M127" s="10"/>
      <c r="N127" s="10"/>
      <c r="O127" s="10"/>
      <c r="P127" s="85"/>
      <c r="Q127" s="88"/>
      <c r="R127" s="3">
        <f>IFERROR(VLOOKUP(TablaFebrero[[#This Row],[BARRIO]],SECTOR!$A:$B,2,0),"")</f>
      </c>
      <c r="S127" s="89"/>
      <c r="T127" s="90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6"/>
      <c r="AZ127" s="120">
        <f>COUNTIF(U127:AY127,"A")</f>
      </c>
      <c r="BA127" s="121">
        <f>COUNTIF(U127:AY127,"F")</f>
      </c>
      <c r="BB127" s="119">
        <f>COUNTIF(U127:AY127,"E")</f>
      </c>
    </row>
    <row r="128" spans="1:54" x14ac:dyDescent="0.2">
      <c r="A128" s="84"/>
      <c r="B128" s="107"/>
      <c r="C128" s="85"/>
      <c r="D128" s="85"/>
      <c r="E128" s="86"/>
      <c r="F128" s="16">
        <f>IF(E128="","",DATEDIF(E128,$I$7,"Y"))</f>
      </c>
      <c r="G128" s="85"/>
      <c r="H128" s="85"/>
      <c r="I128" s="87"/>
      <c r="J128" s="85"/>
      <c r="K128" s="85"/>
      <c r="L128" s="10"/>
      <c r="M128" s="10"/>
      <c r="N128" s="10"/>
      <c r="O128" s="10"/>
      <c r="P128" s="85"/>
      <c r="Q128" s="88"/>
      <c r="R128" s="3">
        <f>IFERROR(VLOOKUP(TablaFebrero[[#This Row],[BARRIO]],SECTOR!$A:$B,2,0),"")</f>
      </c>
      <c r="S128" s="89"/>
      <c r="T128" s="90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6"/>
      <c r="AZ128" s="120">
        <f>COUNTIF(U128:AY128,"A")</f>
      </c>
      <c r="BA128" s="121">
        <f>COUNTIF(U128:AY128,"F")</f>
      </c>
      <c r="BB128" s="119">
        <f>COUNTIF(U128:AY128,"E")</f>
      </c>
    </row>
    <row r="129" spans="1:54" x14ac:dyDescent="0.2">
      <c r="A129" s="84"/>
      <c r="B129" s="107"/>
      <c r="C129" s="85"/>
      <c r="D129" s="85"/>
      <c r="E129" s="86"/>
      <c r="F129" s="16">
        <f>IF(E129="","",DATEDIF(E129,$I$7,"Y"))</f>
      </c>
      <c r="G129" s="85"/>
      <c r="H129" s="85"/>
      <c r="I129" s="87"/>
      <c r="J129" s="85"/>
      <c r="K129" s="85"/>
      <c r="L129" s="10"/>
      <c r="M129" s="10"/>
      <c r="N129" s="10"/>
      <c r="O129" s="10"/>
      <c r="P129" s="85"/>
      <c r="Q129" s="88"/>
      <c r="R129" s="3">
        <f>IFERROR(VLOOKUP(TablaFebrero[[#This Row],[BARRIO]],SECTOR!$A:$B,2,0),"")</f>
      </c>
      <c r="S129" s="89"/>
      <c r="T129" s="90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6"/>
      <c r="AZ129" s="120">
        <f>COUNTIF(U129:AY129,"A")</f>
      </c>
      <c r="BA129" s="121">
        <f>COUNTIF(U129:AY129,"F")</f>
      </c>
      <c r="BB129" s="119">
        <f>COUNTIF(U129:AY129,"E")</f>
      </c>
    </row>
    <row r="130" spans="1:54" x14ac:dyDescent="0.2">
      <c r="A130" s="84"/>
      <c r="B130" s="107"/>
      <c r="C130" s="85"/>
      <c r="D130" s="85"/>
      <c r="E130" s="86"/>
      <c r="F130" s="16">
        <f>IF(E130="","",DATEDIF(E130,$I$7,"Y"))</f>
      </c>
      <c r="G130" s="85"/>
      <c r="H130" s="85"/>
      <c r="I130" s="87"/>
      <c r="J130" s="85"/>
      <c r="K130" s="85"/>
      <c r="L130" s="10"/>
      <c r="M130" s="10"/>
      <c r="N130" s="10"/>
      <c r="O130" s="10"/>
      <c r="P130" s="85"/>
      <c r="Q130" s="88"/>
      <c r="R130" s="3">
        <f>IFERROR(VLOOKUP(TablaFebrero[[#This Row],[BARRIO]],SECTOR!$A:$B,2,0),"")</f>
      </c>
      <c r="S130" s="89"/>
      <c r="T130" s="90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6"/>
      <c r="AZ130" s="120">
        <f>COUNTIF(U130:AY130,"A")</f>
      </c>
      <c r="BA130" s="121">
        <f>COUNTIF(U130:AY130,"F")</f>
      </c>
      <c r="BB130" s="119">
        <f>COUNTIF(U130:AY130,"E")</f>
      </c>
    </row>
    <row r="131" spans="1:54" x14ac:dyDescent="0.2">
      <c r="A131" s="84"/>
      <c r="B131" s="107"/>
      <c r="C131" s="85"/>
      <c r="D131" s="85"/>
      <c r="E131" s="86"/>
      <c r="F131" s="16">
        <f>IF(E131="","",DATEDIF(E131,$I$7,"Y"))</f>
      </c>
      <c r="G131" s="85"/>
      <c r="H131" s="85"/>
      <c r="I131" s="87"/>
      <c r="J131" s="85"/>
      <c r="K131" s="85"/>
      <c r="L131" s="10"/>
      <c r="M131" s="10"/>
      <c r="N131" s="10"/>
      <c r="O131" s="10"/>
      <c r="P131" s="85"/>
      <c r="Q131" s="88"/>
      <c r="R131" s="3">
        <f>IFERROR(VLOOKUP(TablaFebrero[[#This Row],[BARRIO]],SECTOR!$A:$B,2,0),"")</f>
      </c>
      <c r="S131" s="89"/>
      <c r="T131" s="90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6"/>
      <c r="AZ131" s="120">
        <f>COUNTIF(U131:AY131,"A")</f>
      </c>
      <c r="BA131" s="121">
        <f>COUNTIF(U131:AY131,"F")</f>
      </c>
      <c r="BB131" s="119">
        <f>COUNTIF(U131:AY131,"E")</f>
      </c>
    </row>
    <row r="132" spans="1:54" x14ac:dyDescent="0.2">
      <c r="A132" s="84"/>
      <c r="B132" s="107"/>
      <c r="C132" s="85"/>
      <c r="D132" s="85"/>
      <c r="E132" s="86"/>
      <c r="F132" s="16">
        <f>IF(E132="","",DATEDIF(E132,$I$7,"Y"))</f>
      </c>
      <c r="G132" s="85"/>
      <c r="H132" s="85"/>
      <c r="I132" s="87"/>
      <c r="J132" s="85"/>
      <c r="K132" s="85"/>
      <c r="L132" s="10"/>
      <c r="M132" s="10"/>
      <c r="N132" s="10"/>
      <c r="O132" s="10"/>
      <c r="P132" s="85"/>
      <c r="Q132" s="88"/>
      <c r="R132" s="3">
        <f>IFERROR(VLOOKUP(TablaFebrero[[#This Row],[BARRIO]],SECTOR!$A:$B,2,0),"")</f>
      </c>
      <c r="S132" s="89"/>
      <c r="T132" s="90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6"/>
      <c r="AZ132" s="120">
        <f>COUNTIF(U132:AY132,"A")</f>
      </c>
      <c r="BA132" s="121">
        <f>COUNTIF(U132:AY132,"F")</f>
      </c>
      <c r="BB132" s="119">
        <f>COUNTIF(U132:AY132,"E")</f>
      </c>
    </row>
    <row r="133" spans="1:54" x14ac:dyDescent="0.2">
      <c r="A133" s="84"/>
      <c r="B133" s="107"/>
      <c r="C133" s="85"/>
      <c r="D133" s="85"/>
      <c r="E133" s="86"/>
      <c r="F133" s="16">
        <f>IF(E133="","",DATEDIF(E133,$I$7,"Y"))</f>
      </c>
      <c r="G133" s="85"/>
      <c r="H133" s="85"/>
      <c r="I133" s="87"/>
      <c r="J133" s="85"/>
      <c r="K133" s="85"/>
      <c r="L133" s="10"/>
      <c r="M133" s="10"/>
      <c r="N133" s="10"/>
      <c r="O133" s="10"/>
      <c r="P133" s="85"/>
      <c r="Q133" s="88"/>
      <c r="R133" s="3">
        <f>IFERROR(VLOOKUP(TablaFebrero[[#This Row],[BARRIO]],SECTOR!$A:$B,2,0),"")</f>
      </c>
      <c r="S133" s="89"/>
      <c r="T133" s="90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6"/>
      <c r="AZ133" s="120">
        <f>COUNTIF(U133:AY133,"A")</f>
      </c>
      <c r="BA133" s="121">
        <f>COUNTIF(U133:AY133,"F")</f>
      </c>
      <c r="BB133" s="119">
        <f>COUNTIF(U133:AY133,"E")</f>
      </c>
    </row>
    <row r="134" spans="1:54" x14ac:dyDescent="0.2">
      <c r="A134" s="84"/>
      <c r="B134" s="107"/>
      <c r="C134" s="85"/>
      <c r="D134" s="85"/>
      <c r="E134" s="86"/>
      <c r="F134" s="16">
        <f>IF(E134="","",DATEDIF(E134,$I$7,"Y"))</f>
      </c>
      <c r="G134" s="85"/>
      <c r="H134" s="85"/>
      <c r="I134" s="87"/>
      <c r="J134" s="85"/>
      <c r="K134" s="85"/>
      <c r="L134" s="10"/>
      <c r="M134" s="10"/>
      <c r="N134" s="10"/>
      <c r="O134" s="10"/>
      <c r="P134" s="85"/>
      <c r="Q134" s="88"/>
      <c r="R134" s="3">
        <f>IFERROR(VLOOKUP(TablaFebrero[[#This Row],[BARRIO]],SECTOR!$A:$B,2,0),"")</f>
      </c>
      <c r="S134" s="89"/>
      <c r="T134" s="90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6"/>
      <c r="AZ134" s="120">
        <f>COUNTIF(U134:AY134,"A")</f>
      </c>
      <c r="BA134" s="121">
        <f>COUNTIF(U134:AY134,"F")</f>
      </c>
      <c r="BB134" s="119">
        <f>COUNTIF(U134:AY134,"E")</f>
      </c>
    </row>
    <row r="135" spans="1:54" x14ac:dyDescent="0.2">
      <c r="A135" s="84"/>
      <c r="B135" s="107"/>
      <c r="C135" s="85"/>
      <c r="D135" s="85"/>
      <c r="E135" s="86"/>
      <c r="F135" s="16">
        <f>IF(E135="","",DATEDIF(E135,$I$7,"Y"))</f>
      </c>
      <c r="G135" s="85"/>
      <c r="H135" s="85"/>
      <c r="I135" s="87"/>
      <c r="J135" s="85"/>
      <c r="K135" s="85"/>
      <c r="L135" s="10"/>
      <c r="M135" s="10"/>
      <c r="N135" s="10"/>
      <c r="O135" s="10"/>
      <c r="P135" s="85"/>
      <c r="Q135" s="88"/>
      <c r="R135" s="3">
        <f>IFERROR(VLOOKUP(TablaFebrero[[#This Row],[BARRIO]],SECTOR!$A:$B,2,0),"")</f>
      </c>
      <c r="S135" s="89"/>
      <c r="T135" s="90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6"/>
      <c r="AZ135" s="120">
        <f>COUNTIF(U135:AY135,"A")</f>
      </c>
      <c r="BA135" s="121">
        <f>COUNTIF(U135:AY135,"F")</f>
      </c>
      <c r="BB135" s="119">
        <f>COUNTIF(U135:AY135,"E")</f>
      </c>
    </row>
    <row r="136" spans="1:54" x14ac:dyDescent="0.2">
      <c r="A136" s="84"/>
      <c r="B136" s="107"/>
      <c r="C136" s="85"/>
      <c r="D136" s="85"/>
      <c r="E136" s="86"/>
      <c r="F136" s="16">
        <f>IF(E136="","",DATEDIF(E136,$I$7,"Y"))</f>
      </c>
      <c r="G136" s="85"/>
      <c r="H136" s="85"/>
      <c r="I136" s="87"/>
      <c r="J136" s="85"/>
      <c r="K136" s="85"/>
      <c r="L136" s="10"/>
      <c r="M136" s="10"/>
      <c r="N136" s="10"/>
      <c r="O136" s="10"/>
      <c r="P136" s="85"/>
      <c r="Q136" s="88"/>
      <c r="R136" s="3">
        <f>IFERROR(VLOOKUP(TablaFebrero[[#This Row],[BARRIO]],SECTOR!$A:$B,2,0),"")</f>
      </c>
      <c r="S136" s="89"/>
      <c r="T136" s="90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6"/>
      <c r="AZ136" s="120">
        <f>COUNTIF(U136:AY136,"A")</f>
      </c>
      <c r="BA136" s="121">
        <f>COUNTIF(U136:AY136,"F")</f>
      </c>
      <c r="BB136" s="119">
        <f>COUNTIF(U136:AY136,"E")</f>
      </c>
    </row>
    <row r="137" spans="1:54" x14ac:dyDescent="0.2">
      <c r="A137" s="84"/>
      <c r="B137" s="107"/>
      <c r="C137" s="85"/>
      <c r="D137" s="85"/>
      <c r="E137" s="86"/>
      <c r="F137" s="16">
        <f>IF(E137="","",DATEDIF(E137,$I$7,"Y"))</f>
      </c>
      <c r="G137" s="85"/>
      <c r="H137" s="85"/>
      <c r="I137" s="87"/>
      <c r="J137" s="85"/>
      <c r="K137" s="85"/>
      <c r="L137" s="10"/>
      <c r="M137" s="10"/>
      <c r="N137" s="10"/>
      <c r="O137" s="10"/>
      <c r="P137" s="85"/>
      <c r="Q137" s="88"/>
      <c r="R137" s="3">
        <f>IFERROR(VLOOKUP(TablaFebrero[[#This Row],[BARRIO]],SECTOR!$A:$B,2,0),"")</f>
      </c>
      <c r="S137" s="89"/>
      <c r="T137" s="90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6"/>
      <c r="AZ137" s="120">
        <f>COUNTIF(U137:AY137,"A")</f>
      </c>
      <c r="BA137" s="121">
        <f>COUNTIF(U137:AY137,"F")</f>
      </c>
      <c r="BB137" s="119">
        <f>COUNTIF(U137:AY137,"E")</f>
      </c>
    </row>
    <row r="138" spans="1:54" x14ac:dyDescent="0.2">
      <c r="A138" s="84"/>
      <c r="B138" s="107"/>
      <c r="C138" s="85"/>
      <c r="D138" s="85"/>
      <c r="E138" s="86"/>
      <c r="F138" s="16">
        <f>IF(E138="","",DATEDIF(E138,$I$7,"Y"))</f>
      </c>
      <c r="G138" s="85"/>
      <c r="H138" s="85"/>
      <c r="I138" s="87"/>
      <c r="J138" s="85"/>
      <c r="K138" s="85"/>
      <c r="L138" s="10"/>
      <c r="M138" s="10"/>
      <c r="N138" s="10"/>
      <c r="O138" s="10"/>
      <c r="P138" s="85"/>
      <c r="Q138" s="88"/>
      <c r="R138" s="3">
        <f>IFERROR(VLOOKUP(TablaFebrero[[#This Row],[BARRIO]],SECTOR!$A:$B,2,0),"")</f>
      </c>
      <c r="S138" s="89"/>
      <c r="T138" s="90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6"/>
      <c r="AZ138" s="120">
        <f>COUNTIF(U138:AY138,"A")</f>
      </c>
      <c r="BA138" s="121">
        <f>COUNTIF(U138:AY138,"F")</f>
      </c>
      <c r="BB138" s="119">
        <f>COUNTIF(U138:AY138,"E")</f>
      </c>
    </row>
    <row r="139" spans="1:54" x14ac:dyDescent="0.2">
      <c r="A139" s="84"/>
      <c r="B139" s="107"/>
      <c r="C139" s="85"/>
      <c r="D139" s="85"/>
      <c r="E139" s="86"/>
      <c r="F139" s="16">
        <f>IF(E139="","",DATEDIF(E139,$I$7,"Y"))</f>
      </c>
      <c r="G139" s="85"/>
      <c r="H139" s="85"/>
      <c r="I139" s="87"/>
      <c r="J139" s="85"/>
      <c r="K139" s="85"/>
      <c r="L139" s="10"/>
      <c r="M139" s="10"/>
      <c r="N139" s="10"/>
      <c r="O139" s="10"/>
      <c r="P139" s="85"/>
      <c r="Q139" s="88"/>
      <c r="R139" s="3">
        <f>IFERROR(VLOOKUP(TablaFebrero[[#This Row],[BARRIO]],SECTOR!$A:$B,2,0),"")</f>
      </c>
      <c r="S139" s="89"/>
      <c r="T139" s="90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6"/>
      <c r="AZ139" s="120">
        <f>COUNTIF(U139:AY139,"A")</f>
      </c>
      <c r="BA139" s="121">
        <f>COUNTIF(U139:AY139,"F")</f>
      </c>
      <c r="BB139" s="119">
        <f>COUNTIF(U139:AY139,"E")</f>
      </c>
    </row>
    <row r="140" spans="1:54" x14ac:dyDescent="0.2">
      <c r="A140" s="84"/>
      <c r="B140" s="107"/>
      <c r="C140" s="85"/>
      <c r="D140" s="85"/>
      <c r="E140" s="86"/>
      <c r="F140" s="16">
        <f>IF(E140="","",DATEDIF(E140,$I$7,"Y"))</f>
      </c>
      <c r="G140" s="85"/>
      <c r="H140" s="85"/>
      <c r="I140" s="87"/>
      <c r="J140" s="85"/>
      <c r="K140" s="85"/>
      <c r="L140" s="10"/>
      <c r="M140" s="10"/>
      <c r="N140" s="10"/>
      <c r="O140" s="10"/>
      <c r="P140" s="85"/>
      <c r="Q140" s="88"/>
      <c r="R140" s="3">
        <f>IFERROR(VLOOKUP(TablaFebrero[[#This Row],[BARRIO]],SECTOR!$A:$B,2,0),"")</f>
      </c>
      <c r="S140" s="89"/>
      <c r="T140" s="90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6"/>
      <c r="AZ140" s="120">
        <f>COUNTIF(U140:AY140,"A")</f>
      </c>
      <c r="BA140" s="121">
        <f>COUNTIF(U140:AY140,"F")</f>
      </c>
      <c r="BB140" s="119">
        <f>COUNTIF(U140:AY140,"E")</f>
      </c>
    </row>
    <row r="141" spans="1:54" x14ac:dyDescent="0.2">
      <c r="A141" s="84"/>
      <c r="B141" s="107"/>
      <c r="C141" s="85"/>
      <c r="D141" s="85"/>
      <c r="E141" s="86"/>
      <c r="F141" s="16">
        <f>IF(E141="","",DATEDIF(E141,$I$7,"Y"))</f>
      </c>
      <c r="G141" s="85"/>
      <c r="H141" s="85"/>
      <c r="I141" s="87"/>
      <c r="J141" s="85"/>
      <c r="K141" s="85"/>
      <c r="L141" s="10"/>
      <c r="M141" s="10"/>
      <c r="N141" s="10"/>
      <c r="O141" s="10"/>
      <c r="P141" s="85"/>
      <c r="Q141" s="88"/>
      <c r="R141" s="3">
        <f>IFERROR(VLOOKUP(TablaFebrero[[#This Row],[BARRIO]],SECTOR!$A:$B,2,0),"")</f>
      </c>
      <c r="S141" s="89"/>
      <c r="T141" s="90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6"/>
      <c r="AZ141" s="120">
        <f>COUNTIF(U141:AY141,"A")</f>
      </c>
      <c r="BA141" s="121">
        <f>COUNTIF(U141:AY141,"F")</f>
      </c>
      <c r="BB141" s="119">
        <f>COUNTIF(U141:AY141,"E")</f>
      </c>
    </row>
    <row r="142" spans="1:54" x14ac:dyDescent="0.2">
      <c r="A142" s="84"/>
      <c r="B142" s="107"/>
      <c r="C142" s="85"/>
      <c r="D142" s="85"/>
      <c r="E142" s="86"/>
      <c r="F142" s="16">
        <f>IF(E142="","",DATEDIF(E142,$I$7,"Y"))</f>
      </c>
      <c r="G142" s="85"/>
      <c r="H142" s="85"/>
      <c r="I142" s="87"/>
      <c r="J142" s="85"/>
      <c r="K142" s="85"/>
      <c r="L142" s="10"/>
      <c r="M142" s="10"/>
      <c r="N142" s="10"/>
      <c r="O142" s="10"/>
      <c r="P142" s="85"/>
      <c r="Q142" s="88"/>
      <c r="R142" s="3">
        <f>IFERROR(VLOOKUP(TablaFebrero[[#This Row],[BARRIO]],SECTOR!$A:$B,2,0),"")</f>
      </c>
      <c r="S142" s="89"/>
      <c r="T142" s="90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6"/>
      <c r="AZ142" s="120">
        <f>COUNTIF(U142:AY142,"A")</f>
      </c>
      <c r="BA142" s="121">
        <f>COUNTIF(U142:AY142,"F")</f>
      </c>
      <c r="BB142" s="119">
        <f>COUNTIF(U142:AY142,"E")</f>
      </c>
    </row>
    <row r="143" spans="1:54" x14ac:dyDescent="0.2">
      <c r="A143" s="84"/>
      <c r="B143" s="107"/>
      <c r="C143" s="85"/>
      <c r="D143" s="85"/>
      <c r="E143" s="86"/>
      <c r="F143" s="16">
        <f>IF(E143="","",DATEDIF(E143,$I$7,"Y"))</f>
      </c>
      <c r="G143" s="85"/>
      <c r="H143" s="85"/>
      <c r="I143" s="87"/>
      <c r="J143" s="85"/>
      <c r="K143" s="85"/>
      <c r="L143" s="10"/>
      <c r="M143" s="10"/>
      <c r="N143" s="10"/>
      <c r="O143" s="10"/>
      <c r="P143" s="85"/>
      <c r="Q143" s="88"/>
      <c r="R143" s="3">
        <f>IFERROR(VLOOKUP(TablaFebrero[[#This Row],[BARRIO]],SECTOR!$A:$B,2,0),"")</f>
      </c>
      <c r="S143" s="89"/>
      <c r="T143" s="90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6"/>
      <c r="AZ143" s="120">
        <f>COUNTIF(U143:AY143,"A")</f>
      </c>
      <c r="BA143" s="121">
        <f>COUNTIF(U143:AY143,"F")</f>
      </c>
      <c r="BB143" s="119">
        <f>COUNTIF(U143:AY143,"E")</f>
      </c>
    </row>
    <row r="144" spans="1:54" x14ac:dyDescent="0.2">
      <c r="A144" s="84"/>
      <c r="B144" s="107"/>
      <c r="C144" s="85"/>
      <c r="D144" s="85"/>
      <c r="E144" s="86"/>
      <c r="F144" s="16">
        <f>IF(E144="","",DATEDIF(E144,$I$7,"Y"))</f>
      </c>
      <c r="G144" s="85"/>
      <c r="H144" s="85"/>
      <c r="I144" s="87"/>
      <c r="J144" s="85"/>
      <c r="K144" s="85"/>
      <c r="L144" s="10"/>
      <c r="M144" s="10"/>
      <c r="N144" s="10"/>
      <c r="O144" s="10"/>
      <c r="P144" s="85"/>
      <c r="Q144" s="88"/>
      <c r="R144" s="3">
        <f>IFERROR(VLOOKUP(TablaFebrero[[#This Row],[BARRIO]],SECTOR!$A:$B,2,0),"")</f>
      </c>
      <c r="S144" s="89"/>
      <c r="T144" s="90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6"/>
      <c r="AZ144" s="120">
        <f>COUNTIF(U144:AY144,"A")</f>
      </c>
      <c r="BA144" s="121">
        <f>COUNTIF(U144:AY144,"F")</f>
      </c>
      <c r="BB144" s="119">
        <f>COUNTIF(U144:AY144,"E")</f>
      </c>
    </row>
    <row r="145" spans="1:54" x14ac:dyDescent="0.2">
      <c r="A145" s="84"/>
      <c r="B145" s="107"/>
      <c r="C145" s="85"/>
      <c r="D145" s="85"/>
      <c r="E145" s="86"/>
      <c r="F145" s="16">
        <f>IF(E145="","",DATEDIF(E145,$I$7,"Y"))</f>
      </c>
      <c r="G145" s="85"/>
      <c r="H145" s="85"/>
      <c r="I145" s="87"/>
      <c r="J145" s="85"/>
      <c r="K145" s="85"/>
      <c r="L145" s="10"/>
      <c r="M145" s="10"/>
      <c r="N145" s="10"/>
      <c r="O145" s="10"/>
      <c r="P145" s="85"/>
      <c r="Q145" s="88"/>
      <c r="R145" s="3">
        <f>IFERROR(VLOOKUP(TablaFebrero[[#This Row],[BARRIO]],SECTOR!$A:$B,2,0),"")</f>
      </c>
      <c r="S145" s="89"/>
      <c r="T145" s="90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6"/>
      <c r="AZ145" s="120">
        <f>COUNTIF(U145:AY145,"A")</f>
      </c>
      <c r="BA145" s="121">
        <f>COUNTIF(U145:AY145,"F")</f>
      </c>
      <c r="BB145" s="119">
        <f>COUNTIF(U145:AY145,"E")</f>
      </c>
    </row>
    <row r="146" spans="1:54" x14ac:dyDescent="0.2">
      <c r="A146" s="84"/>
      <c r="B146" s="107"/>
      <c r="C146" s="85"/>
      <c r="D146" s="85"/>
      <c r="E146" s="86"/>
      <c r="F146" s="16">
        <f>IF(E146="","",DATEDIF(E146,$I$7,"Y"))</f>
      </c>
      <c r="G146" s="85"/>
      <c r="H146" s="85"/>
      <c r="I146" s="87"/>
      <c r="J146" s="85"/>
      <c r="K146" s="85"/>
      <c r="L146" s="10"/>
      <c r="M146" s="10"/>
      <c r="N146" s="10"/>
      <c r="O146" s="10"/>
      <c r="P146" s="85"/>
      <c r="Q146" s="88"/>
      <c r="R146" s="3">
        <f>IFERROR(VLOOKUP(TablaFebrero[[#This Row],[BARRIO]],SECTOR!$A:$B,2,0),"")</f>
      </c>
      <c r="S146" s="89"/>
      <c r="T146" s="90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6"/>
      <c r="AZ146" s="120">
        <f>COUNTIF(U146:AY146,"A")</f>
      </c>
      <c r="BA146" s="121">
        <f>COUNTIF(U146:AY146,"F")</f>
      </c>
      <c r="BB146" s="119">
        <f>COUNTIF(U146:AY146,"E")</f>
      </c>
    </row>
    <row r="147" spans="1:54" x14ac:dyDescent="0.2">
      <c r="A147" s="84"/>
      <c r="B147" s="107"/>
      <c r="C147" s="85"/>
      <c r="D147" s="85"/>
      <c r="E147" s="86"/>
      <c r="F147" s="16">
        <f>IF(E147="","",DATEDIF(E147,$I$7,"Y"))</f>
      </c>
      <c r="G147" s="85"/>
      <c r="H147" s="85"/>
      <c r="I147" s="87"/>
      <c r="J147" s="85"/>
      <c r="K147" s="85"/>
      <c r="L147" s="10"/>
      <c r="M147" s="10"/>
      <c r="N147" s="10"/>
      <c r="O147" s="10"/>
      <c r="P147" s="85"/>
      <c r="Q147" s="88"/>
      <c r="R147" s="3">
        <f>IFERROR(VLOOKUP(TablaFebrero[[#This Row],[BARRIO]],SECTOR!$A:$B,2,0),"")</f>
      </c>
      <c r="S147" s="89"/>
      <c r="T147" s="90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6"/>
      <c r="AZ147" s="120">
        <f>COUNTIF(U147:AY147,"A")</f>
      </c>
      <c r="BA147" s="121">
        <f>COUNTIF(U147:AY147,"F")</f>
      </c>
      <c r="BB147" s="119">
        <f>COUNTIF(U147:AY147,"E")</f>
      </c>
    </row>
    <row r="148" spans="1:54" x14ac:dyDescent="0.2">
      <c r="A148" s="84"/>
      <c r="B148" s="107"/>
      <c r="C148" s="85"/>
      <c r="D148" s="85"/>
      <c r="E148" s="86"/>
      <c r="F148" s="16">
        <f>IF(E148="","",DATEDIF(E148,$I$7,"Y"))</f>
      </c>
      <c r="G148" s="85"/>
      <c r="H148" s="85"/>
      <c r="I148" s="87"/>
      <c r="J148" s="85"/>
      <c r="K148" s="85"/>
      <c r="L148" s="10"/>
      <c r="M148" s="10"/>
      <c r="N148" s="10"/>
      <c r="O148" s="10"/>
      <c r="P148" s="85"/>
      <c r="Q148" s="88"/>
      <c r="R148" s="3">
        <f>IFERROR(VLOOKUP(TablaFebrero[[#This Row],[BARRIO]],SECTOR!$A:$B,2,0),"")</f>
      </c>
      <c r="S148" s="89"/>
      <c r="T148" s="90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6"/>
      <c r="AZ148" s="120">
        <f>COUNTIF(U148:AY148,"A")</f>
      </c>
      <c r="BA148" s="121">
        <f>COUNTIF(U148:AY148,"F")</f>
      </c>
      <c r="BB148" s="119">
        <f>COUNTIF(U148:AY148,"E")</f>
      </c>
    </row>
    <row r="149" spans="1:54" x14ac:dyDescent="0.2">
      <c r="A149" s="84"/>
      <c r="B149" s="107"/>
      <c r="C149" s="85"/>
      <c r="D149" s="85"/>
      <c r="E149" s="86"/>
      <c r="F149" s="16">
        <f>IF(E149="","",DATEDIF(E149,$I$7,"Y"))</f>
      </c>
      <c r="G149" s="85"/>
      <c r="H149" s="85"/>
      <c r="I149" s="87"/>
      <c r="J149" s="85"/>
      <c r="K149" s="85"/>
      <c r="L149" s="10"/>
      <c r="M149" s="10"/>
      <c r="N149" s="10"/>
      <c r="O149" s="10"/>
      <c r="P149" s="85"/>
      <c r="Q149" s="88"/>
      <c r="R149" s="3">
        <f>IFERROR(VLOOKUP(TablaFebrero[[#This Row],[BARRIO]],SECTOR!$A:$B,2,0),"")</f>
      </c>
      <c r="S149" s="89"/>
      <c r="T149" s="90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6"/>
      <c r="AZ149" s="120">
        <f>COUNTIF(U149:AY149,"A")</f>
      </c>
      <c r="BA149" s="121">
        <f>COUNTIF(U149:AY149,"F")</f>
      </c>
      <c r="BB149" s="119">
        <f>COUNTIF(U149:AY149,"E")</f>
      </c>
    </row>
    <row r="150" spans="1:54" x14ac:dyDescent="0.2">
      <c r="A150" s="84"/>
      <c r="B150" s="107"/>
      <c r="C150" s="85"/>
      <c r="D150" s="85"/>
      <c r="E150" s="86"/>
      <c r="F150" s="16">
        <f>IF(E150="","",DATEDIF(E150,$I$7,"Y"))</f>
      </c>
      <c r="G150" s="85"/>
      <c r="H150" s="85"/>
      <c r="I150" s="87"/>
      <c r="J150" s="85"/>
      <c r="K150" s="85"/>
      <c r="L150" s="10"/>
      <c r="M150" s="10"/>
      <c r="N150" s="10"/>
      <c r="O150" s="10"/>
      <c r="P150" s="85"/>
      <c r="Q150" s="88"/>
      <c r="R150" s="3">
        <f>IFERROR(VLOOKUP(TablaFebrero[[#This Row],[BARRIO]],SECTOR!$A:$B,2,0),"")</f>
      </c>
      <c r="S150" s="89"/>
      <c r="T150" s="90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6"/>
      <c r="AZ150" s="120">
        <f>COUNTIF(U150:AY150,"A")</f>
      </c>
      <c r="BA150" s="121">
        <f>COUNTIF(U150:AY150,"F")</f>
      </c>
      <c r="BB150" s="119">
        <f>COUNTIF(U150:AY150,"E")</f>
      </c>
    </row>
    <row r="151" spans="1:54" x14ac:dyDescent="0.2">
      <c r="A151" s="84"/>
      <c r="B151" s="107"/>
      <c r="C151" s="85"/>
      <c r="D151" s="85"/>
      <c r="E151" s="86"/>
      <c r="F151" s="16">
        <f>IF(E151="","",DATEDIF(E151,$I$7,"Y"))</f>
      </c>
      <c r="G151" s="85"/>
      <c r="H151" s="85"/>
      <c r="I151" s="87"/>
      <c r="J151" s="85"/>
      <c r="K151" s="85"/>
      <c r="L151" s="10"/>
      <c r="M151" s="10"/>
      <c r="N151" s="10"/>
      <c r="O151" s="10"/>
      <c r="P151" s="85"/>
      <c r="Q151" s="88"/>
      <c r="R151" s="3">
        <f>IFERROR(VLOOKUP(TablaFebrero[[#This Row],[BARRIO]],SECTOR!$A:$B,2,0),"")</f>
      </c>
      <c r="S151" s="89"/>
      <c r="T151" s="90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6"/>
      <c r="AZ151" s="120">
        <f>COUNTIF(U151:AY151,"A")</f>
      </c>
      <c r="BA151" s="121">
        <f>COUNTIF(U151:AY151,"F")</f>
      </c>
      <c r="BB151" s="119">
        <f>COUNTIF(U151:AY151,"E")</f>
      </c>
    </row>
    <row r="152" spans="1:54" x14ac:dyDescent="0.2">
      <c r="A152" s="84"/>
      <c r="B152" s="107"/>
      <c r="C152" s="85"/>
      <c r="D152" s="85"/>
      <c r="E152" s="86"/>
      <c r="F152" s="16">
        <f>IF(E152="","",DATEDIF(E152,$I$7,"Y"))</f>
      </c>
      <c r="G152" s="85"/>
      <c r="H152" s="85"/>
      <c r="I152" s="87"/>
      <c r="J152" s="85"/>
      <c r="K152" s="85"/>
      <c r="L152" s="10"/>
      <c r="M152" s="10"/>
      <c r="N152" s="10"/>
      <c r="O152" s="10"/>
      <c r="P152" s="85"/>
      <c r="Q152" s="88"/>
      <c r="R152" s="3">
        <f>IFERROR(VLOOKUP(TablaFebrero[[#This Row],[BARRIO]],SECTOR!$A:$B,2,0),"")</f>
      </c>
      <c r="S152" s="89"/>
      <c r="T152" s="90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6"/>
      <c r="AZ152" s="120">
        <f>COUNTIF(U152:AY152,"A")</f>
      </c>
      <c r="BA152" s="121">
        <f>COUNTIF(U152:AY152,"F")</f>
      </c>
      <c r="BB152" s="119">
        <f>COUNTIF(U152:AY152,"E")</f>
      </c>
    </row>
    <row r="153" spans="1:54" x14ac:dyDescent="0.2">
      <c r="A153" s="84"/>
      <c r="B153" s="107"/>
      <c r="C153" s="85"/>
      <c r="D153" s="85"/>
      <c r="E153" s="86"/>
      <c r="F153" s="16">
        <f>IF(E153="","",DATEDIF(E153,$I$7,"Y"))</f>
      </c>
      <c r="G153" s="85"/>
      <c r="H153" s="85"/>
      <c r="I153" s="87"/>
      <c r="J153" s="85"/>
      <c r="K153" s="85"/>
      <c r="L153" s="10"/>
      <c r="M153" s="10"/>
      <c r="N153" s="10"/>
      <c r="O153" s="10"/>
      <c r="P153" s="85"/>
      <c r="Q153" s="88"/>
      <c r="R153" s="3">
        <f>IFERROR(VLOOKUP(TablaFebrero[[#This Row],[BARRIO]],SECTOR!$A:$B,2,0),"")</f>
      </c>
      <c r="S153" s="89"/>
      <c r="T153" s="90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6"/>
      <c r="AZ153" s="120">
        <f>COUNTIF(U153:AY153,"A")</f>
      </c>
      <c r="BA153" s="121">
        <f>COUNTIF(U153:AY153,"F")</f>
      </c>
      <c r="BB153" s="119">
        <f>COUNTIF(U153:AY153,"E")</f>
      </c>
    </row>
    <row r="154" spans="1:54" x14ac:dyDescent="0.2">
      <c r="A154" s="84"/>
      <c r="B154" s="107"/>
      <c r="C154" s="85"/>
      <c r="D154" s="85"/>
      <c r="E154" s="86"/>
      <c r="F154" s="16">
        <f>IF(E154="","",DATEDIF(E154,$I$7,"Y"))</f>
      </c>
      <c r="G154" s="85"/>
      <c r="H154" s="85"/>
      <c r="I154" s="87"/>
      <c r="J154" s="85"/>
      <c r="K154" s="85"/>
      <c r="L154" s="10"/>
      <c r="M154" s="10"/>
      <c r="N154" s="10"/>
      <c r="O154" s="10"/>
      <c r="P154" s="85"/>
      <c r="Q154" s="88"/>
      <c r="R154" s="3">
        <f>IFERROR(VLOOKUP(TablaFebrero[[#This Row],[BARRIO]],SECTOR!$A:$B,2,0),"")</f>
      </c>
      <c r="S154" s="89"/>
      <c r="T154" s="90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6"/>
      <c r="AZ154" s="120">
        <f>COUNTIF(U154:AY154,"A")</f>
      </c>
      <c r="BA154" s="121">
        <f>COUNTIF(U154:AY154,"F")</f>
      </c>
      <c r="BB154" s="119">
        <f>COUNTIF(U154:AY154,"E")</f>
      </c>
    </row>
    <row r="155" spans="1:54" x14ac:dyDescent="0.2">
      <c r="A155" s="84"/>
      <c r="B155" s="107"/>
      <c r="C155" s="85"/>
      <c r="D155" s="85"/>
      <c r="E155" s="86"/>
      <c r="F155" s="16">
        <f>IF(E155="","",DATEDIF(E155,$I$7,"Y"))</f>
      </c>
      <c r="G155" s="85"/>
      <c r="H155" s="85"/>
      <c r="I155" s="87"/>
      <c r="J155" s="85"/>
      <c r="K155" s="85"/>
      <c r="L155" s="10"/>
      <c r="M155" s="10"/>
      <c r="N155" s="10"/>
      <c r="O155" s="10"/>
      <c r="P155" s="85"/>
      <c r="Q155" s="88"/>
      <c r="R155" s="3">
        <f>IFERROR(VLOOKUP(TablaFebrero[[#This Row],[BARRIO]],SECTOR!$A:$B,2,0),"")</f>
      </c>
      <c r="S155" s="89"/>
      <c r="T155" s="90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6"/>
      <c r="AZ155" s="120">
        <f>COUNTIF(U155:AY155,"A")</f>
      </c>
      <c r="BA155" s="121">
        <f>COUNTIF(U155:AY155,"F")</f>
      </c>
      <c r="BB155" s="119">
        <f>COUNTIF(U155:AY155,"E")</f>
      </c>
    </row>
    <row r="156" spans="1:54" x14ac:dyDescent="0.2">
      <c r="A156" s="84"/>
      <c r="B156" s="107"/>
      <c r="C156" s="85"/>
      <c r="D156" s="85"/>
      <c r="E156" s="86"/>
      <c r="F156" s="16">
        <f>IF(E156="","",DATEDIF(E156,$I$7,"Y"))</f>
      </c>
      <c r="G156" s="85"/>
      <c r="H156" s="85"/>
      <c r="I156" s="87"/>
      <c r="J156" s="85"/>
      <c r="K156" s="85"/>
      <c r="L156" s="10"/>
      <c r="M156" s="10"/>
      <c r="N156" s="10"/>
      <c r="O156" s="10"/>
      <c r="P156" s="85"/>
      <c r="Q156" s="88"/>
      <c r="R156" s="3">
        <f>IFERROR(VLOOKUP(TablaFebrero[[#This Row],[BARRIO]],SECTOR!$A:$B,2,0),"")</f>
      </c>
      <c r="S156" s="89"/>
      <c r="T156" s="90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6"/>
      <c r="AZ156" s="120">
        <f>COUNTIF(U156:AY156,"A")</f>
      </c>
      <c r="BA156" s="121">
        <f>COUNTIF(U156:AY156,"F")</f>
      </c>
      <c r="BB156" s="119">
        <f>COUNTIF(U156:AY156,"E")</f>
      </c>
    </row>
    <row r="157" spans="1:54" x14ac:dyDescent="0.2">
      <c r="A157" s="84"/>
      <c r="B157" s="107"/>
      <c r="C157" s="85"/>
      <c r="D157" s="85"/>
      <c r="E157" s="86"/>
      <c r="F157" s="16">
        <f>IF(E157="","",DATEDIF(E157,$I$7,"Y"))</f>
      </c>
      <c r="G157" s="85"/>
      <c r="H157" s="85"/>
      <c r="I157" s="87"/>
      <c r="J157" s="85"/>
      <c r="K157" s="85"/>
      <c r="L157" s="10"/>
      <c r="M157" s="10"/>
      <c r="N157" s="10"/>
      <c r="O157" s="10"/>
      <c r="P157" s="85"/>
      <c r="Q157" s="88"/>
      <c r="R157" s="3">
        <f>IFERROR(VLOOKUP(TablaFebrero[[#This Row],[BARRIO]],SECTOR!$A:$B,2,0),"")</f>
      </c>
      <c r="S157" s="89"/>
      <c r="T157" s="90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6"/>
      <c r="AZ157" s="120">
        <f>COUNTIF(U157:AY157,"A")</f>
      </c>
      <c r="BA157" s="121">
        <f>COUNTIF(U157:AY157,"F")</f>
      </c>
      <c r="BB157" s="119">
        <f>COUNTIF(U157:AY157,"E")</f>
      </c>
    </row>
    <row r="158" spans="1:54" x14ac:dyDescent="0.2">
      <c r="A158" s="84"/>
      <c r="B158" s="107"/>
      <c r="C158" s="85"/>
      <c r="D158" s="85"/>
      <c r="E158" s="86"/>
      <c r="F158" s="16">
        <f>IF(E158="","",DATEDIF(E158,$I$7,"Y"))</f>
      </c>
      <c r="G158" s="85"/>
      <c r="H158" s="85"/>
      <c r="I158" s="87"/>
      <c r="J158" s="85"/>
      <c r="K158" s="85"/>
      <c r="L158" s="10"/>
      <c r="M158" s="10"/>
      <c r="N158" s="10"/>
      <c r="O158" s="10"/>
      <c r="P158" s="85"/>
      <c r="Q158" s="88"/>
      <c r="R158" s="3">
        <f>IFERROR(VLOOKUP(TablaFebrero[[#This Row],[BARRIO]],SECTOR!$A:$B,2,0),"")</f>
      </c>
      <c r="S158" s="89"/>
      <c r="T158" s="90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6"/>
      <c r="AZ158" s="120">
        <f>COUNTIF(U158:AY158,"A")</f>
      </c>
      <c r="BA158" s="121">
        <f>COUNTIF(U158:AY158,"F")</f>
      </c>
      <c r="BB158" s="119">
        <f>COUNTIF(U158:AY158,"E")</f>
      </c>
    </row>
    <row r="159" spans="1:54" x14ac:dyDescent="0.2">
      <c r="A159" s="84"/>
      <c r="B159" s="107"/>
      <c r="C159" s="85"/>
      <c r="D159" s="85"/>
      <c r="E159" s="86"/>
      <c r="F159" s="16">
        <f>IF(E159="","",DATEDIF(E159,$I$7,"Y"))</f>
      </c>
      <c r="G159" s="85"/>
      <c r="H159" s="85"/>
      <c r="I159" s="87"/>
      <c r="J159" s="85"/>
      <c r="K159" s="85"/>
      <c r="L159" s="10"/>
      <c r="M159" s="10"/>
      <c r="N159" s="10"/>
      <c r="O159" s="10"/>
      <c r="P159" s="85"/>
      <c r="Q159" s="88"/>
      <c r="R159" s="3">
        <f>IFERROR(VLOOKUP(TablaFebrero[[#This Row],[BARRIO]],SECTOR!$A:$B,2,0),"")</f>
      </c>
      <c r="S159" s="89"/>
      <c r="T159" s="90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6"/>
      <c r="AZ159" s="120">
        <f>COUNTIF(U159:AY159,"A")</f>
      </c>
      <c r="BA159" s="121">
        <f>COUNTIF(U159:AY159,"F")</f>
      </c>
      <c r="BB159" s="119">
        <f>COUNTIF(U159:AY159,"E")</f>
      </c>
    </row>
    <row r="160" spans="1:54" x14ac:dyDescent="0.2">
      <c r="A160" s="84"/>
      <c r="B160" s="107"/>
      <c r="C160" s="85"/>
      <c r="D160" s="85"/>
      <c r="E160" s="86"/>
      <c r="F160" s="16">
        <f>IF(E160="","",DATEDIF(E160,$I$7,"Y"))</f>
      </c>
      <c r="G160" s="85"/>
      <c r="H160" s="85"/>
      <c r="I160" s="87"/>
      <c r="J160" s="85"/>
      <c r="K160" s="85"/>
      <c r="L160" s="10"/>
      <c r="M160" s="10"/>
      <c r="N160" s="10"/>
      <c r="O160" s="10"/>
      <c r="P160" s="85"/>
      <c r="Q160" s="88"/>
      <c r="R160" s="3">
        <f>IFERROR(VLOOKUP(TablaFebrero[[#This Row],[BARRIO]],SECTOR!$A:$B,2,0),"")</f>
      </c>
      <c r="S160" s="89"/>
      <c r="T160" s="90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6"/>
      <c r="AZ160" s="120">
        <f>COUNTIF(U160:AY160,"A")</f>
      </c>
      <c r="BA160" s="121">
        <f>COUNTIF(U160:AY160,"F")</f>
      </c>
      <c r="BB160" s="119">
        <f>COUNTIF(U160:AY160,"E")</f>
      </c>
    </row>
    <row r="161" spans="1:54" x14ac:dyDescent="0.2">
      <c r="A161" s="84"/>
      <c r="B161" s="107"/>
      <c r="C161" s="85"/>
      <c r="D161" s="85"/>
      <c r="E161" s="86"/>
      <c r="F161" s="16">
        <f>IF(E161="","",DATEDIF(E161,$I$7,"Y"))</f>
      </c>
      <c r="G161" s="85"/>
      <c r="H161" s="85"/>
      <c r="I161" s="87"/>
      <c r="J161" s="85"/>
      <c r="K161" s="85"/>
      <c r="L161" s="10"/>
      <c r="M161" s="10"/>
      <c r="N161" s="10"/>
      <c r="O161" s="10"/>
      <c r="P161" s="85"/>
      <c r="Q161" s="88"/>
      <c r="R161" s="3">
        <f>IFERROR(VLOOKUP(TablaFebrero[[#This Row],[BARRIO]],SECTOR!$A:$B,2,0),"")</f>
      </c>
      <c r="S161" s="89"/>
      <c r="T161" s="90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6"/>
      <c r="AZ161" s="120">
        <f>COUNTIF(U161:AY161,"A")</f>
      </c>
      <c r="BA161" s="121">
        <f>COUNTIF(U161:AY161,"F")</f>
      </c>
      <c r="BB161" s="119">
        <f>COUNTIF(U161:AY161,"E")</f>
      </c>
    </row>
    <row r="162" spans="1:54" x14ac:dyDescent="0.2">
      <c r="A162" s="84"/>
      <c r="B162" s="107"/>
      <c r="C162" s="85"/>
      <c r="D162" s="85"/>
      <c r="E162" s="86"/>
      <c r="F162" s="16">
        <f>IF(E162="","",DATEDIF(E162,$I$7,"Y"))</f>
      </c>
      <c r="G162" s="85"/>
      <c r="H162" s="85"/>
      <c r="I162" s="87"/>
      <c r="J162" s="85"/>
      <c r="K162" s="85"/>
      <c r="L162" s="10"/>
      <c r="M162" s="10"/>
      <c r="N162" s="10"/>
      <c r="O162" s="10"/>
      <c r="P162" s="85"/>
      <c r="Q162" s="88"/>
      <c r="R162" s="3">
        <f>IFERROR(VLOOKUP(TablaFebrero[[#This Row],[BARRIO]],SECTOR!$A:$B,2,0),"")</f>
      </c>
      <c r="S162" s="89"/>
      <c r="T162" s="90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6"/>
      <c r="AZ162" s="120">
        <f>COUNTIF(U162:AY162,"A")</f>
      </c>
      <c r="BA162" s="121">
        <f>COUNTIF(U162:AY162,"F")</f>
      </c>
      <c r="BB162" s="119">
        <f>COUNTIF(U162:AY162,"E")</f>
      </c>
    </row>
    <row r="163" spans="1:54" x14ac:dyDescent="0.2">
      <c r="A163" s="84"/>
      <c r="B163" s="107"/>
      <c r="C163" s="85"/>
      <c r="D163" s="85"/>
      <c r="E163" s="86"/>
      <c r="F163" s="16">
        <f>IF(E163="","",DATEDIF(E163,$I$7,"Y"))</f>
      </c>
      <c r="G163" s="85"/>
      <c r="H163" s="85"/>
      <c r="I163" s="87"/>
      <c r="J163" s="85"/>
      <c r="K163" s="85"/>
      <c r="L163" s="10"/>
      <c r="M163" s="10"/>
      <c r="N163" s="10"/>
      <c r="O163" s="10"/>
      <c r="P163" s="85"/>
      <c r="Q163" s="88"/>
      <c r="R163" s="3">
        <f>IFERROR(VLOOKUP(TablaFebrero[[#This Row],[BARRIO]],SECTOR!$A:$B,2,0),"")</f>
      </c>
      <c r="S163" s="89"/>
      <c r="T163" s="90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6"/>
      <c r="AZ163" s="120">
        <f>COUNTIF(U163:AY163,"A")</f>
      </c>
      <c r="BA163" s="121">
        <f>COUNTIF(U163:AY163,"F")</f>
      </c>
      <c r="BB163" s="119">
        <f>COUNTIF(U163:AY163,"E")</f>
      </c>
    </row>
    <row r="164" spans="1:54" x14ac:dyDescent="0.2">
      <c r="A164" s="84"/>
      <c r="B164" s="107"/>
      <c r="C164" s="85"/>
      <c r="D164" s="85"/>
      <c r="E164" s="86"/>
      <c r="F164" s="16">
        <f>IF(E164="","",DATEDIF(E164,$I$7,"Y"))</f>
      </c>
      <c r="G164" s="85"/>
      <c r="H164" s="85"/>
      <c r="I164" s="87"/>
      <c r="J164" s="85"/>
      <c r="K164" s="85"/>
      <c r="L164" s="10"/>
      <c r="M164" s="10"/>
      <c r="N164" s="10"/>
      <c r="O164" s="10"/>
      <c r="P164" s="85"/>
      <c r="Q164" s="88"/>
      <c r="R164" s="3">
        <f>IFERROR(VLOOKUP(TablaFebrero[[#This Row],[BARRIO]],SECTOR!$A:$B,2,0),"")</f>
      </c>
      <c r="S164" s="89"/>
      <c r="T164" s="90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6"/>
      <c r="AZ164" s="120">
        <f>COUNTIF(U164:AY164,"A")</f>
      </c>
      <c r="BA164" s="121">
        <f>COUNTIF(U164:AY164,"F")</f>
      </c>
      <c r="BB164" s="119">
        <f>COUNTIF(U164:AY164,"E")</f>
      </c>
    </row>
    <row r="165" spans="1:54" x14ac:dyDescent="0.2">
      <c r="A165" s="84"/>
      <c r="B165" s="107"/>
      <c r="C165" s="85"/>
      <c r="D165" s="85"/>
      <c r="E165" s="86"/>
      <c r="F165" s="16">
        <f>IF(E165="","",DATEDIF(E165,$I$7,"Y"))</f>
      </c>
      <c r="G165" s="85"/>
      <c r="H165" s="85"/>
      <c r="I165" s="87"/>
      <c r="J165" s="85"/>
      <c r="K165" s="85"/>
      <c r="L165" s="10"/>
      <c r="M165" s="10"/>
      <c r="N165" s="10"/>
      <c r="O165" s="10"/>
      <c r="P165" s="85"/>
      <c r="Q165" s="88"/>
      <c r="R165" s="3">
        <f>IFERROR(VLOOKUP(TablaFebrero[[#This Row],[BARRIO]],SECTOR!$A:$B,2,0),"")</f>
      </c>
      <c r="S165" s="89"/>
      <c r="T165" s="90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6"/>
      <c r="AZ165" s="120">
        <f>COUNTIF(U165:AY165,"A")</f>
      </c>
      <c r="BA165" s="121">
        <f>COUNTIF(U165:AY165,"F")</f>
      </c>
      <c r="BB165" s="119">
        <f>COUNTIF(U165:AY165,"E")</f>
      </c>
    </row>
    <row r="166" spans="1:54" x14ac:dyDescent="0.2">
      <c r="A166" s="84"/>
      <c r="B166" s="107"/>
      <c r="C166" s="85"/>
      <c r="D166" s="85"/>
      <c r="E166" s="86"/>
      <c r="F166" s="16">
        <f>IF(E166="","",DATEDIF(E166,$I$7,"Y"))</f>
      </c>
      <c r="G166" s="85"/>
      <c r="H166" s="85"/>
      <c r="I166" s="87"/>
      <c r="J166" s="85"/>
      <c r="K166" s="85"/>
      <c r="L166" s="10"/>
      <c r="M166" s="10"/>
      <c r="N166" s="10"/>
      <c r="O166" s="10"/>
      <c r="P166" s="85"/>
      <c r="Q166" s="88"/>
      <c r="R166" s="3">
        <f>IFERROR(VLOOKUP(TablaFebrero[[#This Row],[BARRIO]],SECTOR!$A:$B,2,0),"")</f>
      </c>
      <c r="S166" s="89"/>
      <c r="T166" s="90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6"/>
      <c r="AZ166" s="120">
        <f>COUNTIF(U166:AY166,"A")</f>
      </c>
      <c r="BA166" s="121">
        <f>COUNTIF(U166:AY166,"F")</f>
      </c>
      <c r="BB166" s="119">
        <f>COUNTIF(U166:AY166,"E")</f>
      </c>
    </row>
    <row r="167" spans="1:54" x14ac:dyDescent="0.2">
      <c r="A167" s="84"/>
      <c r="B167" s="107"/>
      <c r="C167" s="85"/>
      <c r="D167" s="85"/>
      <c r="E167" s="86"/>
      <c r="F167" s="16">
        <f>IF(E167="","",DATEDIF(E167,$I$7,"Y"))</f>
      </c>
      <c r="G167" s="85"/>
      <c r="H167" s="85"/>
      <c r="I167" s="87"/>
      <c r="J167" s="85"/>
      <c r="K167" s="85"/>
      <c r="L167" s="10"/>
      <c r="M167" s="10"/>
      <c r="N167" s="10"/>
      <c r="O167" s="10"/>
      <c r="P167" s="85"/>
      <c r="Q167" s="88"/>
      <c r="R167" s="3">
        <f>IFERROR(VLOOKUP(TablaFebrero[[#This Row],[BARRIO]],SECTOR!$A:$B,2,0),"")</f>
      </c>
      <c r="S167" s="89"/>
      <c r="T167" s="90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6"/>
      <c r="AZ167" s="120">
        <f>COUNTIF(U167:AY167,"A")</f>
      </c>
      <c r="BA167" s="121">
        <f>COUNTIF(U167:AY167,"F")</f>
      </c>
      <c r="BB167" s="119">
        <f>COUNTIF(U167:AY167,"E")</f>
      </c>
    </row>
    <row r="168" spans="1:54" x14ac:dyDescent="0.2">
      <c r="A168" s="84"/>
      <c r="B168" s="107"/>
      <c r="C168" s="85"/>
      <c r="D168" s="85"/>
      <c r="E168" s="86"/>
      <c r="F168" s="16">
        <f>IF(E168="","",DATEDIF(E168,$I$7,"Y"))</f>
      </c>
      <c r="G168" s="85"/>
      <c r="H168" s="85"/>
      <c r="I168" s="87"/>
      <c r="J168" s="85"/>
      <c r="K168" s="85"/>
      <c r="L168" s="2"/>
      <c r="M168" s="2"/>
      <c r="N168" s="10"/>
      <c r="O168" s="2"/>
      <c r="P168" s="85"/>
      <c r="Q168" s="88"/>
      <c r="R168" s="3">
        <f>IFERROR(VLOOKUP(TablaFebrero[[#This Row],[BARRIO]],SECTOR!$A:$B,2,0),"")</f>
      </c>
      <c r="S168" s="89"/>
      <c r="T168" s="90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6"/>
      <c r="AZ168" s="120">
        <f>COUNTIF(U168:AY168,"A")</f>
      </c>
      <c r="BA168" s="121">
        <f>COUNTIF(U168:AY168,"F")</f>
      </c>
      <c r="BB168" s="119">
        <f>COUNTIF(U168:AY168,"E")</f>
      </c>
    </row>
    <row r="169" spans="1:54" x14ac:dyDescent="0.2">
      <c r="A169" s="84"/>
      <c r="B169" s="85"/>
      <c r="C169" s="85"/>
      <c r="D169" s="85"/>
      <c r="E169" s="86"/>
      <c r="F169" s="16">
        <f>IF(E169="","",DATEDIF(E169,$I$7,"Y"))</f>
      </c>
      <c r="G169" s="85"/>
      <c r="H169" s="85"/>
      <c r="I169" s="87"/>
      <c r="J169" s="85"/>
      <c r="K169" s="85"/>
      <c r="L169" s="10"/>
      <c r="M169" s="10"/>
      <c r="N169" s="10"/>
      <c r="O169" s="10"/>
      <c r="P169" s="85"/>
      <c r="Q169" s="88"/>
      <c r="R169" s="3">
        <f>IFERROR(VLOOKUP(TablaFebrero[[#This Row],[BARRIO]],SECTOR!$A:$B,2,0),"")</f>
      </c>
      <c r="S169" s="89"/>
      <c r="T169" s="90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6"/>
      <c r="AZ169" s="30">
        <f>COUNTIF(U169:AY169,"A")</f>
      </c>
      <c r="BA169" s="32">
        <f>COUNTIF(U169:AY169,"F")</f>
      </c>
      <c r="BB169" s="119">
        <f>COUNTIF(U169:AY169,"E")</f>
      </c>
    </row>
    <row r="170" spans="1:54" x14ac:dyDescent="0.2">
      <c r="A170" s="84"/>
      <c r="B170" s="85"/>
      <c r="C170" s="85"/>
      <c r="D170" s="85"/>
      <c r="E170" s="86"/>
      <c r="F170" s="16">
        <f>IF(E170="","",DATEDIF(E170,$I$7,"Y"))</f>
      </c>
      <c r="G170" s="85"/>
      <c r="H170" s="85"/>
      <c r="I170" s="87"/>
      <c r="J170" s="85"/>
      <c r="K170" s="85"/>
      <c r="L170" s="10"/>
      <c r="M170" s="10"/>
      <c r="N170" s="10"/>
      <c r="O170" s="10"/>
      <c r="P170" s="85"/>
      <c r="Q170" s="88"/>
      <c r="R170" s="3">
        <f>IFERROR(VLOOKUP(TablaFebrero[[#This Row],[BARRIO]],SECTOR!$A:$B,2,0),"")</f>
      </c>
      <c r="S170" s="89"/>
      <c r="T170" s="90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6"/>
      <c r="AZ170" s="120">
        <f>COUNTIF(U170:AY170,"A")</f>
      </c>
      <c r="BA170" s="121">
        <f>COUNTIF(U170:AY170,"F")</f>
      </c>
      <c r="BB170" s="119">
        <f>COUNTIF(U170:AY170,"E")</f>
      </c>
    </row>
    <row r="171" spans="1:54" x14ac:dyDescent="0.2">
      <c r="A171" s="84"/>
      <c r="B171" s="85"/>
      <c r="C171" s="85"/>
      <c r="D171" s="85"/>
      <c r="E171" s="86"/>
      <c r="F171" s="16">
        <f>IF(E171="","",DATEDIF(E171,$I$7,"Y"))</f>
      </c>
      <c r="G171" s="85"/>
      <c r="H171" s="85"/>
      <c r="I171" s="87"/>
      <c r="J171" s="85"/>
      <c r="K171" s="85"/>
      <c r="L171" s="10"/>
      <c r="M171" s="10"/>
      <c r="N171" s="10"/>
      <c r="O171" s="10"/>
      <c r="P171" s="85"/>
      <c r="Q171" s="88"/>
      <c r="R171" s="3">
        <f>IFERROR(VLOOKUP(TablaFebrero[[#This Row],[BARRIO]],SECTOR!$A:$B,2,0),"")</f>
      </c>
      <c r="S171" s="89"/>
      <c r="T171" s="90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6"/>
      <c r="AZ171" s="120">
        <f>COUNTIF(U171:AY171,"A")</f>
      </c>
      <c r="BA171" s="121">
        <f>COUNTIF(U171:AY171,"F")</f>
      </c>
      <c r="BB171" s="119">
        <f>COUNTIF(U171:AY171,"E")</f>
      </c>
    </row>
    <row r="172" spans="1:54" x14ac:dyDescent="0.2">
      <c r="A172" s="84"/>
      <c r="B172" s="85"/>
      <c r="C172" s="85"/>
      <c r="D172" s="85"/>
      <c r="E172" s="86"/>
      <c r="F172" s="16">
        <f>IF(E172="","",DATEDIF(E172,$I$7,"Y"))</f>
      </c>
      <c r="G172" s="85"/>
      <c r="H172" s="85"/>
      <c r="I172" s="87"/>
      <c r="J172" s="85"/>
      <c r="K172" s="85"/>
      <c r="L172" s="10"/>
      <c r="M172" s="10"/>
      <c r="N172" s="10"/>
      <c r="O172" s="10"/>
      <c r="P172" s="85"/>
      <c r="Q172" s="88"/>
      <c r="R172" s="3">
        <f>IFERROR(VLOOKUP(TablaFebrero[[#This Row],[BARRIO]],SECTOR!$A:$B,2,0),"")</f>
      </c>
      <c r="S172" s="89"/>
      <c r="T172" s="90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6"/>
      <c r="AZ172" s="120">
        <f>COUNTIF(U172:AY172,"A")</f>
      </c>
      <c r="BA172" s="121">
        <f>COUNTIF(U172:AY172,"F")</f>
      </c>
      <c r="BB172" s="119">
        <f>COUNTIF(U172:AY172,"E")</f>
      </c>
    </row>
    <row r="173" spans="1:54" x14ac:dyDescent="0.2">
      <c r="A173" s="84"/>
      <c r="B173" s="85"/>
      <c r="C173" s="85"/>
      <c r="D173" s="85"/>
      <c r="E173" s="86"/>
      <c r="F173" s="16">
        <f>IF(E173="","",DATEDIF(E173,$I$7,"Y"))</f>
      </c>
      <c r="G173" s="85"/>
      <c r="H173" s="85"/>
      <c r="I173" s="87"/>
      <c r="J173" s="85"/>
      <c r="K173" s="85"/>
      <c r="L173" s="10"/>
      <c r="M173" s="10"/>
      <c r="N173" s="10"/>
      <c r="O173" s="10"/>
      <c r="P173" s="85"/>
      <c r="Q173" s="88"/>
      <c r="R173" s="3">
        <f>IFERROR(VLOOKUP(TablaFebrero[[#This Row],[BARRIO]],SECTOR!$A:$B,2,0),"")</f>
      </c>
      <c r="S173" s="89"/>
      <c r="T173" s="90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6"/>
      <c r="AZ173" s="120">
        <f>COUNTIF(U173:AY173,"A")</f>
      </c>
      <c r="BA173" s="121">
        <f>COUNTIF(U173:AY173,"F")</f>
      </c>
      <c r="BB173" s="119">
        <f>COUNTIF(U173:AY173,"E")</f>
      </c>
    </row>
    <row r="174" spans="1:54" x14ac:dyDescent="0.2">
      <c r="A174" s="84"/>
      <c r="B174" s="85"/>
      <c r="C174" s="85"/>
      <c r="D174" s="85"/>
      <c r="E174" s="86"/>
      <c r="F174" s="16">
        <f>IF(E174="","",DATEDIF(E174,$I$7,"Y"))</f>
      </c>
      <c r="G174" s="85"/>
      <c r="H174" s="85"/>
      <c r="I174" s="87"/>
      <c r="J174" s="85"/>
      <c r="K174" s="85"/>
      <c r="L174" s="10"/>
      <c r="M174" s="10"/>
      <c r="N174" s="10"/>
      <c r="O174" s="10"/>
      <c r="P174" s="85"/>
      <c r="Q174" s="88"/>
      <c r="R174" s="3">
        <f>IFERROR(VLOOKUP(TablaFebrero[[#This Row],[BARRIO]],SECTOR!$A:$B,2,0),"")</f>
      </c>
      <c r="S174" s="89"/>
      <c r="T174" s="90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6"/>
      <c r="AZ174" s="120">
        <f>COUNTIF(U174:AY174,"A")</f>
      </c>
      <c r="BA174" s="121">
        <f>COUNTIF(U174:AY174,"F")</f>
      </c>
      <c r="BB174" s="119">
        <f>COUNTIF(U174:AY174,"E")</f>
      </c>
    </row>
    <row r="175" spans="1:54" x14ac:dyDescent="0.2">
      <c r="A175" s="84"/>
      <c r="B175" s="85"/>
      <c r="C175" s="85"/>
      <c r="D175" s="85"/>
      <c r="E175" s="86"/>
      <c r="F175" s="16">
        <f>IF(E175="","",DATEDIF(E175,$I$7,"Y"))</f>
      </c>
      <c r="G175" s="85"/>
      <c r="H175" s="85"/>
      <c r="I175" s="87"/>
      <c r="J175" s="85"/>
      <c r="K175" s="85"/>
      <c r="L175" s="10"/>
      <c r="M175" s="10"/>
      <c r="N175" s="10"/>
      <c r="O175" s="10"/>
      <c r="P175" s="85"/>
      <c r="Q175" s="88"/>
      <c r="R175" s="3">
        <f>IFERROR(VLOOKUP(TablaFebrero[[#This Row],[BARRIO]],SECTOR!$A:$B,2,0),"")</f>
      </c>
      <c r="S175" s="89"/>
      <c r="T175" s="90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6"/>
      <c r="AZ175" s="120">
        <f>COUNTIF(U175:AY175,"A")</f>
      </c>
      <c r="BA175" s="121">
        <f>COUNTIF(U175:AY175,"F")</f>
      </c>
      <c r="BB175" s="119">
        <f>COUNTIF(U175:AY175,"E")</f>
      </c>
    </row>
    <row r="176" spans="1:54" x14ac:dyDescent="0.2">
      <c r="A176" s="84"/>
      <c r="B176" s="85"/>
      <c r="C176" s="85"/>
      <c r="D176" s="85"/>
      <c r="E176" s="86"/>
      <c r="F176" s="16">
        <f>IF(E176="","",DATEDIF(E176,$I$7,"Y"))</f>
      </c>
      <c r="G176" s="85"/>
      <c r="H176" s="85"/>
      <c r="I176" s="87"/>
      <c r="J176" s="85"/>
      <c r="K176" s="85"/>
      <c r="L176" s="10"/>
      <c r="M176" s="10"/>
      <c r="N176" s="10"/>
      <c r="O176" s="10"/>
      <c r="P176" s="85"/>
      <c r="Q176" s="88"/>
      <c r="R176" s="3">
        <f>IFERROR(VLOOKUP(TablaFebrero[[#This Row],[BARRIO]],SECTOR!$A:$B,2,0),"")</f>
      </c>
      <c r="S176" s="89"/>
      <c r="T176" s="90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6"/>
      <c r="AZ176" s="120">
        <f>COUNTIF(U176:AY176,"A")</f>
      </c>
      <c r="BA176" s="121">
        <f>COUNTIF(U176:AY176,"F")</f>
      </c>
      <c r="BB176" s="119">
        <f>COUNTIF(U176:AY176,"E")</f>
      </c>
    </row>
    <row r="177" spans="1:54" x14ac:dyDescent="0.2">
      <c r="A177" s="84"/>
      <c r="B177" s="85"/>
      <c r="C177" s="85"/>
      <c r="D177" s="85"/>
      <c r="E177" s="86"/>
      <c r="F177" s="16">
        <f>IF(E177="","",DATEDIF(E177,$I$7,"Y"))</f>
      </c>
      <c r="G177" s="85"/>
      <c r="H177" s="85"/>
      <c r="I177" s="87"/>
      <c r="J177" s="85"/>
      <c r="K177" s="85"/>
      <c r="L177" s="10"/>
      <c r="M177" s="10"/>
      <c r="N177" s="10"/>
      <c r="O177" s="10"/>
      <c r="P177" s="85"/>
      <c r="Q177" s="88"/>
      <c r="R177" s="3">
        <f>IFERROR(VLOOKUP(TablaFebrero[[#This Row],[BARRIO]],SECTOR!$A:$B,2,0),"")</f>
      </c>
      <c r="S177" s="89"/>
      <c r="T177" s="90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6"/>
      <c r="AZ177" s="120">
        <f>COUNTIF(U177:AY177,"A")</f>
      </c>
      <c r="BA177" s="121">
        <f>COUNTIF(U177:AY177,"F")</f>
      </c>
      <c r="BB177" s="119">
        <f>COUNTIF(U177:AY177,"E")</f>
      </c>
    </row>
    <row r="178" spans="1:54" x14ac:dyDescent="0.2">
      <c r="A178" s="84"/>
      <c r="B178" s="85"/>
      <c r="C178" s="85"/>
      <c r="D178" s="85"/>
      <c r="E178" s="86"/>
      <c r="F178" s="16">
        <f>IF(E178="","",DATEDIF(E178,$I$7,"Y"))</f>
      </c>
      <c r="G178" s="85"/>
      <c r="H178" s="85"/>
      <c r="I178" s="87"/>
      <c r="J178" s="85"/>
      <c r="K178" s="85"/>
      <c r="L178" s="10"/>
      <c r="M178" s="10"/>
      <c r="N178" s="10"/>
      <c r="O178" s="10"/>
      <c r="P178" s="85"/>
      <c r="Q178" s="88"/>
      <c r="R178" s="3">
        <f>IFERROR(VLOOKUP(TablaFebrero[[#This Row],[BARRIO]],SECTOR!$A:$B,2,0),"")</f>
      </c>
      <c r="S178" s="89"/>
      <c r="T178" s="90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6"/>
      <c r="AZ178" s="120">
        <f>COUNTIF(U178:AY178,"A")</f>
      </c>
      <c r="BA178" s="121">
        <f>COUNTIF(U178:AY178,"F")</f>
      </c>
      <c r="BB178" s="119">
        <f>COUNTIF(U178:AY178,"E")</f>
      </c>
    </row>
    <row r="179" spans="1:54" x14ac:dyDescent="0.2">
      <c r="A179" s="84"/>
      <c r="B179" s="85"/>
      <c r="C179" s="85"/>
      <c r="D179" s="85"/>
      <c r="E179" s="86"/>
      <c r="F179" s="16">
        <f>IF(E179="","",DATEDIF(E179,$I$7,"Y"))</f>
      </c>
      <c r="G179" s="85"/>
      <c r="H179" s="85"/>
      <c r="I179" s="87"/>
      <c r="J179" s="85"/>
      <c r="K179" s="85"/>
      <c r="L179" s="10"/>
      <c r="M179" s="10"/>
      <c r="N179" s="10"/>
      <c r="O179" s="10"/>
      <c r="P179" s="85"/>
      <c r="Q179" s="88"/>
      <c r="R179" s="3">
        <f>IFERROR(VLOOKUP(TablaFebrero[[#This Row],[BARRIO]],SECTOR!$A:$B,2,0),"")</f>
      </c>
      <c r="S179" s="89"/>
      <c r="T179" s="90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6"/>
      <c r="AZ179" s="120">
        <f>COUNTIF(U179:AY179,"A")</f>
      </c>
      <c r="BA179" s="121">
        <f>COUNTIF(U179:AY179,"F")</f>
      </c>
      <c r="BB179" s="119">
        <f>COUNTIF(U179:AY179,"E")</f>
      </c>
    </row>
    <row r="180" spans="1:54" x14ac:dyDescent="0.2">
      <c r="A180" s="84"/>
      <c r="B180" s="85"/>
      <c r="C180" s="85"/>
      <c r="D180" s="85"/>
      <c r="E180" s="86"/>
      <c r="F180" s="16">
        <f>IF(E180="","",DATEDIF(E180,$I$7,"Y"))</f>
      </c>
      <c r="G180" s="85"/>
      <c r="H180" s="85"/>
      <c r="I180" s="87"/>
      <c r="J180" s="85"/>
      <c r="K180" s="85"/>
      <c r="L180" s="10"/>
      <c r="M180" s="10"/>
      <c r="N180" s="10"/>
      <c r="O180" s="10"/>
      <c r="P180" s="85"/>
      <c r="Q180" s="88"/>
      <c r="R180" s="3">
        <f>IFERROR(VLOOKUP(TablaFebrero[[#This Row],[BARRIO]],SECTOR!$A:$B,2,0),"")</f>
      </c>
      <c r="S180" s="89"/>
      <c r="T180" s="90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6"/>
      <c r="AZ180" s="120">
        <f>COUNTIF(U180:AY180,"A")</f>
      </c>
      <c r="BA180" s="121">
        <f>COUNTIF(U180:AY180,"F")</f>
      </c>
      <c r="BB180" s="119">
        <f>COUNTIF(U180:AY180,"E")</f>
      </c>
    </row>
    <row r="181" spans="1:54" x14ac:dyDescent="0.2">
      <c r="A181" s="84"/>
      <c r="B181" s="85"/>
      <c r="C181" s="85"/>
      <c r="D181" s="85"/>
      <c r="E181" s="86"/>
      <c r="F181" s="16">
        <f>IF(E181="","",DATEDIF(E181,$I$7,"Y"))</f>
      </c>
      <c r="G181" s="85"/>
      <c r="H181" s="85"/>
      <c r="I181" s="87"/>
      <c r="J181" s="85"/>
      <c r="K181" s="85"/>
      <c r="L181" s="10"/>
      <c r="M181" s="10"/>
      <c r="N181" s="10"/>
      <c r="O181" s="10"/>
      <c r="P181" s="85"/>
      <c r="Q181" s="88"/>
      <c r="R181" s="3">
        <f>IFERROR(VLOOKUP(TablaFebrero[[#This Row],[BARRIO]],SECTOR!$A:$B,2,0),"")</f>
      </c>
      <c r="S181" s="89"/>
      <c r="T181" s="90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6"/>
      <c r="AZ181" s="120">
        <f>COUNTIF(U181:AY181,"A")</f>
      </c>
      <c r="BA181" s="121">
        <f>COUNTIF(U181:AY181,"F")</f>
      </c>
      <c r="BB181" s="119">
        <f>COUNTIF(U181:AY181,"E")</f>
      </c>
    </row>
    <row r="182" spans="1:54" x14ac:dyDescent="0.2">
      <c r="A182" s="84"/>
      <c r="B182" s="85"/>
      <c r="C182" s="85"/>
      <c r="D182" s="85"/>
      <c r="E182" s="86"/>
      <c r="F182" s="16">
        <f>IF(E182="","",DATEDIF(E182,$I$7,"Y"))</f>
      </c>
      <c r="G182" s="85"/>
      <c r="H182" s="85"/>
      <c r="I182" s="87"/>
      <c r="J182" s="85"/>
      <c r="K182" s="85"/>
      <c r="L182" s="10"/>
      <c r="M182" s="10"/>
      <c r="N182" s="10"/>
      <c r="O182" s="10"/>
      <c r="P182" s="85"/>
      <c r="Q182" s="88"/>
      <c r="R182" s="3">
        <f>IFERROR(VLOOKUP(TablaFebrero[[#This Row],[BARRIO]],SECTOR!$A:$B,2,0),"")</f>
      </c>
      <c r="S182" s="89"/>
      <c r="T182" s="90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6"/>
      <c r="AZ182" s="120">
        <f>COUNTIF(U182:AY182,"A")</f>
      </c>
      <c r="BA182" s="121">
        <f>COUNTIF(U182:AY182,"F")</f>
      </c>
      <c r="BB182" s="119">
        <f>COUNTIF(U182:AY182,"E")</f>
      </c>
    </row>
    <row r="183" spans="1:54" x14ac:dyDescent="0.2">
      <c r="A183" s="84"/>
      <c r="B183" s="85"/>
      <c r="C183" s="85"/>
      <c r="D183" s="85"/>
      <c r="E183" s="86"/>
      <c r="F183" s="16">
        <f>IF(E183="","",DATEDIF(E183,$I$7,"Y"))</f>
      </c>
      <c r="G183" s="85"/>
      <c r="H183" s="85"/>
      <c r="I183" s="87"/>
      <c r="J183" s="85"/>
      <c r="K183" s="85"/>
      <c r="L183" s="10"/>
      <c r="M183" s="10"/>
      <c r="N183" s="10"/>
      <c r="O183" s="10"/>
      <c r="P183" s="85"/>
      <c r="Q183" s="88"/>
      <c r="R183" s="3">
        <f>IFERROR(VLOOKUP(TablaFebrero[[#This Row],[BARRIO]],SECTOR!$A:$B,2,0),"")</f>
      </c>
      <c r="S183" s="89"/>
      <c r="T183" s="90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6"/>
      <c r="AZ183" s="120">
        <f>COUNTIF(U183:AY183,"A")</f>
      </c>
      <c r="BA183" s="121">
        <f>COUNTIF(U183:AY183,"F")</f>
      </c>
      <c r="BB183" s="119">
        <f>COUNTIF(U183:AY183,"E")</f>
      </c>
    </row>
    <row r="184" spans="1:54" x14ac:dyDescent="0.2">
      <c r="A184" s="84"/>
      <c r="B184" s="85"/>
      <c r="C184" s="85"/>
      <c r="D184" s="85"/>
      <c r="E184" s="86"/>
      <c r="F184" s="16">
        <f>IF(E184="","",DATEDIF(E184,$I$7,"Y"))</f>
      </c>
      <c r="G184" s="85"/>
      <c r="H184" s="85"/>
      <c r="I184" s="87"/>
      <c r="J184" s="85"/>
      <c r="K184" s="85"/>
      <c r="L184" s="10"/>
      <c r="M184" s="10"/>
      <c r="N184" s="10"/>
      <c r="O184" s="10"/>
      <c r="P184" s="85"/>
      <c r="Q184" s="88"/>
      <c r="R184" s="3">
        <f>IFERROR(VLOOKUP(TablaFebrero[[#This Row],[BARRIO]],SECTOR!$A:$B,2,0),"")</f>
      </c>
      <c r="S184" s="89"/>
      <c r="T184" s="90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6"/>
      <c r="AZ184" s="120">
        <f>COUNTIF(U184:AY184,"A")</f>
      </c>
      <c r="BA184" s="121">
        <f>COUNTIF(U184:AY184,"F")</f>
      </c>
      <c r="BB184" s="119">
        <f>COUNTIF(U184:AY184,"E")</f>
      </c>
    </row>
    <row r="185" spans="1:54" x14ac:dyDescent="0.2">
      <c r="A185" s="84"/>
      <c r="B185" s="85"/>
      <c r="C185" s="85"/>
      <c r="D185" s="85"/>
      <c r="E185" s="86"/>
      <c r="F185" s="16">
        <f>IF(E185="","",DATEDIF(E185,$I$7,"Y"))</f>
      </c>
      <c r="G185" s="85"/>
      <c r="H185" s="85"/>
      <c r="I185" s="87"/>
      <c r="J185" s="85"/>
      <c r="K185" s="85"/>
      <c r="L185" s="10"/>
      <c r="M185" s="10"/>
      <c r="N185" s="10"/>
      <c r="O185" s="10"/>
      <c r="P185" s="85"/>
      <c r="Q185" s="88"/>
      <c r="R185" s="3">
        <f>IFERROR(VLOOKUP(TablaFebrero[[#This Row],[BARRIO]],SECTOR!$A:$B,2,0),"")</f>
      </c>
      <c r="S185" s="89"/>
      <c r="T185" s="90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6"/>
      <c r="AZ185" s="120">
        <f>COUNTIF(U185:AY185,"A")</f>
      </c>
      <c r="BA185" s="121">
        <f>COUNTIF(U185:AY185,"F")</f>
      </c>
      <c r="BB185" s="119">
        <f>COUNTIF(U185:AY185,"E")</f>
      </c>
    </row>
    <row r="186" spans="1:54" x14ac:dyDescent="0.2">
      <c r="A186" s="84"/>
      <c r="B186" s="85"/>
      <c r="C186" s="85"/>
      <c r="D186" s="85"/>
      <c r="E186" s="86"/>
      <c r="F186" s="16">
        <f>IF(E186="","",DATEDIF(E186,$I$7,"Y"))</f>
      </c>
      <c r="G186" s="85"/>
      <c r="H186" s="85"/>
      <c r="I186" s="87"/>
      <c r="J186" s="85"/>
      <c r="K186" s="85"/>
      <c r="L186" s="10"/>
      <c r="M186" s="10"/>
      <c r="N186" s="10"/>
      <c r="O186" s="10"/>
      <c r="P186" s="85"/>
      <c r="Q186" s="88"/>
      <c r="R186" s="3">
        <f>IFERROR(VLOOKUP(TablaFebrero[[#This Row],[BARRIO]],SECTOR!$A:$B,2,0),"")</f>
      </c>
      <c r="S186" s="89"/>
      <c r="T186" s="90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6"/>
      <c r="AZ186" s="120">
        <f>COUNTIF(U186:AY186,"A")</f>
      </c>
      <c r="BA186" s="121">
        <f>COUNTIF(U186:AY186,"F")</f>
      </c>
      <c r="BB186" s="119">
        <f>COUNTIF(U186:AY186,"E")</f>
      </c>
    </row>
    <row r="187" spans="1:54" x14ac:dyDescent="0.2">
      <c r="A187" s="84"/>
      <c r="B187" s="85"/>
      <c r="C187" s="85"/>
      <c r="D187" s="85"/>
      <c r="E187" s="86"/>
      <c r="F187" s="16">
        <f>IF(E187="","",DATEDIF(E187,$I$7,"Y"))</f>
      </c>
      <c r="G187" s="85"/>
      <c r="H187" s="85"/>
      <c r="I187" s="87"/>
      <c r="J187" s="85"/>
      <c r="K187" s="85"/>
      <c r="L187" s="10"/>
      <c r="M187" s="10"/>
      <c r="N187" s="10"/>
      <c r="O187" s="10"/>
      <c r="P187" s="85"/>
      <c r="Q187" s="88"/>
      <c r="R187" s="3">
        <f>IFERROR(VLOOKUP(TablaFebrero[[#This Row],[BARRIO]],SECTOR!$A:$B,2,0),"")</f>
      </c>
      <c r="S187" s="89"/>
      <c r="T187" s="90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6"/>
      <c r="AZ187" s="120">
        <f>COUNTIF(U187:AY187,"A")</f>
      </c>
      <c r="BA187" s="121">
        <f>COUNTIF(U187:AY187,"F")</f>
      </c>
      <c r="BB187" s="119">
        <f>COUNTIF(U187:AY187,"E")</f>
      </c>
    </row>
    <row r="188" spans="1:54" x14ac:dyDescent="0.2">
      <c r="A188" s="84"/>
      <c r="B188" s="85"/>
      <c r="C188" s="85"/>
      <c r="D188" s="85"/>
      <c r="E188" s="86"/>
      <c r="F188" s="16">
        <f>IF(E188="","",DATEDIF(E188,$I$7,"Y"))</f>
      </c>
      <c r="G188" s="85"/>
      <c r="H188" s="85"/>
      <c r="I188" s="87"/>
      <c r="J188" s="85"/>
      <c r="K188" s="85"/>
      <c r="L188" s="10"/>
      <c r="M188" s="10"/>
      <c r="N188" s="10"/>
      <c r="O188" s="10"/>
      <c r="P188" s="85"/>
      <c r="Q188" s="88"/>
      <c r="R188" s="3">
        <f>IFERROR(VLOOKUP(TablaFebrero[[#This Row],[BARRIO]],SECTOR!$A:$B,2,0),"")</f>
      </c>
      <c r="S188" s="89"/>
      <c r="T188" s="90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6"/>
      <c r="AZ188" s="120">
        <f>COUNTIF(U188:AY188,"A")</f>
      </c>
      <c r="BA188" s="121">
        <f>COUNTIF(U188:AY188,"F")</f>
      </c>
      <c r="BB188" s="119">
        <f>COUNTIF(U188:AY188,"E")</f>
      </c>
    </row>
    <row r="189" spans="1:54" x14ac:dyDescent="0.2">
      <c r="A189" s="84"/>
      <c r="B189" s="85"/>
      <c r="C189" s="85"/>
      <c r="D189" s="85"/>
      <c r="E189" s="86"/>
      <c r="F189" s="16">
        <f>IF(E189="","",DATEDIF(E189,$I$7,"Y"))</f>
      </c>
      <c r="G189" s="85"/>
      <c r="H189" s="85"/>
      <c r="I189" s="87"/>
      <c r="J189" s="85"/>
      <c r="K189" s="85"/>
      <c r="L189" s="10"/>
      <c r="M189" s="10"/>
      <c r="N189" s="10"/>
      <c r="O189" s="10"/>
      <c r="P189" s="85"/>
      <c r="Q189" s="88"/>
      <c r="R189" s="3">
        <f>IFERROR(VLOOKUP(TablaFebrero[[#This Row],[BARRIO]],SECTOR!$A:$B,2,0),"")</f>
      </c>
      <c r="S189" s="89"/>
      <c r="T189" s="90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6"/>
      <c r="AZ189" s="120">
        <f>COUNTIF(U189:AY189,"A")</f>
      </c>
      <c r="BA189" s="121">
        <f>COUNTIF(U189:AY189,"F")</f>
      </c>
      <c r="BB189" s="119">
        <f>COUNTIF(U189:AY189,"E")</f>
      </c>
    </row>
    <row r="190" spans="1:54" x14ac:dyDescent="0.2">
      <c r="A190" s="84"/>
      <c r="B190" s="85"/>
      <c r="C190" s="85"/>
      <c r="D190" s="85"/>
      <c r="E190" s="86"/>
      <c r="F190" s="16">
        <f>IF(E190="","",DATEDIF(E190,$I$7,"Y"))</f>
      </c>
      <c r="G190" s="85"/>
      <c r="H190" s="85"/>
      <c r="I190" s="87"/>
      <c r="J190" s="85"/>
      <c r="K190" s="85"/>
      <c r="L190" s="10"/>
      <c r="M190" s="10"/>
      <c r="N190" s="10"/>
      <c r="O190" s="10"/>
      <c r="P190" s="85"/>
      <c r="Q190" s="88"/>
      <c r="R190" s="3">
        <f>IFERROR(VLOOKUP(TablaFebrero[[#This Row],[BARRIO]],SECTOR!$A:$B,2,0),"")</f>
      </c>
      <c r="S190" s="89"/>
      <c r="T190" s="90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6"/>
      <c r="AZ190" s="120">
        <f>COUNTIF(U190:AY190,"A")</f>
      </c>
      <c r="BA190" s="121">
        <f>COUNTIF(U190:AY190,"F")</f>
      </c>
      <c r="BB190" s="119">
        <f>COUNTIF(U190:AY190,"E")</f>
      </c>
    </row>
    <row r="191" spans="1:54" x14ac:dyDescent="0.2">
      <c r="A191" s="84"/>
      <c r="B191" s="85"/>
      <c r="C191" s="85"/>
      <c r="D191" s="85"/>
      <c r="E191" s="86"/>
      <c r="F191" s="16">
        <f>IF(E191="","",DATEDIF(E191,$I$7,"Y"))</f>
      </c>
      <c r="G191" s="85"/>
      <c r="H191" s="85"/>
      <c r="I191" s="87"/>
      <c r="J191" s="85"/>
      <c r="K191" s="85"/>
      <c r="L191" s="10"/>
      <c r="M191" s="10"/>
      <c r="N191" s="10"/>
      <c r="O191" s="10"/>
      <c r="P191" s="85"/>
      <c r="Q191" s="88"/>
      <c r="R191" s="3">
        <f>IFERROR(VLOOKUP(TablaFebrero[[#This Row],[BARRIO]],SECTOR!$A:$B,2,0),"")</f>
      </c>
      <c r="S191" s="89"/>
      <c r="T191" s="90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6"/>
      <c r="AZ191" s="120">
        <f>COUNTIF(U191:AY191,"A")</f>
      </c>
      <c r="BA191" s="121">
        <f>COUNTIF(U191:AY191,"F")</f>
      </c>
      <c r="BB191" s="119">
        <f>COUNTIF(U191:AY191,"E")</f>
      </c>
    </row>
    <row r="192" spans="1:54" x14ac:dyDescent="0.2">
      <c r="A192" s="84"/>
      <c r="B192" s="85"/>
      <c r="C192" s="85"/>
      <c r="D192" s="85"/>
      <c r="E192" s="86"/>
      <c r="F192" s="16">
        <f>IF(E192="","",DATEDIF(E192,$I$7,"Y"))</f>
      </c>
      <c r="G192" s="85"/>
      <c r="H192" s="85"/>
      <c r="I192" s="87"/>
      <c r="J192" s="85"/>
      <c r="K192" s="85"/>
      <c r="L192" s="10"/>
      <c r="M192" s="10"/>
      <c r="N192" s="10"/>
      <c r="O192" s="10"/>
      <c r="P192" s="85"/>
      <c r="Q192" s="88"/>
      <c r="R192" s="3">
        <f>IFERROR(VLOOKUP(TablaFebrero[[#This Row],[BARRIO]],SECTOR!$A:$B,2,0),"")</f>
      </c>
      <c r="S192" s="89"/>
      <c r="T192" s="90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6"/>
      <c r="AZ192" s="120">
        <f>COUNTIF(U192:AY192,"A")</f>
      </c>
      <c r="BA192" s="121">
        <f>COUNTIF(U192:AY192,"F")</f>
      </c>
      <c r="BB192" s="119">
        <f>COUNTIF(U192:AY192,"E")</f>
      </c>
    </row>
    <row r="193" spans="1:54" x14ac:dyDescent="0.2">
      <c r="A193" s="84"/>
      <c r="B193" s="85"/>
      <c r="C193" s="85"/>
      <c r="D193" s="85"/>
      <c r="E193" s="86"/>
      <c r="F193" s="16">
        <f>IF(E193="","",DATEDIF(E193,$I$7,"Y"))</f>
      </c>
      <c r="G193" s="85"/>
      <c r="H193" s="85"/>
      <c r="I193" s="87"/>
      <c r="J193" s="85"/>
      <c r="K193" s="85"/>
      <c r="L193" s="10"/>
      <c r="M193" s="10"/>
      <c r="N193" s="10"/>
      <c r="O193" s="10"/>
      <c r="P193" s="85"/>
      <c r="Q193" s="88"/>
      <c r="R193" s="3">
        <f>IFERROR(VLOOKUP(TablaFebrero[[#This Row],[BARRIO]],SECTOR!$A:$B,2,0),"")</f>
      </c>
      <c r="S193" s="89"/>
      <c r="T193" s="90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6"/>
      <c r="AZ193" s="120">
        <f>COUNTIF(U193:AY193,"A")</f>
      </c>
      <c r="BA193" s="121">
        <f>COUNTIF(U193:AY193,"F")</f>
      </c>
      <c r="BB193" s="119">
        <f>COUNTIF(U193:AY193,"E")</f>
      </c>
    </row>
    <row r="194" spans="1:54" x14ac:dyDescent="0.2">
      <c r="A194" s="84"/>
      <c r="B194" s="85"/>
      <c r="C194" s="85"/>
      <c r="D194" s="85"/>
      <c r="E194" s="86"/>
      <c r="F194" s="16">
        <f>IF(E194="","",DATEDIF(E194,$I$7,"Y"))</f>
      </c>
      <c r="G194" s="85"/>
      <c r="H194" s="85"/>
      <c r="I194" s="87"/>
      <c r="J194" s="85"/>
      <c r="K194" s="85"/>
      <c r="L194" s="10"/>
      <c r="M194" s="10"/>
      <c r="N194" s="10"/>
      <c r="O194" s="10"/>
      <c r="P194" s="85"/>
      <c r="Q194" s="88"/>
      <c r="R194" s="3">
        <f>IFERROR(VLOOKUP(TablaFebrero[[#This Row],[BARRIO]],SECTOR!$A:$B,2,0),"")</f>
      </c>
      <c r="S194" s="89"/>
      <c r="T194" s="90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6"/>
      <c r="AZ194" s="120">
        <f>COUNTIF(U194:AY194,"A")</f>
      </c>
      <c r="BA194" s="121">
        <f>COUNTIF(U194:AY194,"F")</f>
      </c>
      <c r="BB194" s="119">
        <f>COUNTIF(U194:AY194,"E")</f>
      </c>
    </row>
    <row r="195" spans="1:54" x14ac:dyDescent="0.2">
      <c r="A195" s="84"/>
      <c r="B195" s="85"/>
      <c r="C195" s="85"/>
      <c r="D195" s="85"/>
      <c r="E195" s="86"/>
      <c r="F195" s="16">
        <f>IF(E195="","",DATEDIF(E195,$I$7,"Y"))</f>
      </c>
      <c r="G195" s="85"/>
      <c r="H195" s="85"/>
      <c r="I195" s="87"/>
      <c r="J195" s="85"/>
      <c r="K195" s="85"/>
      <c r="L195" s="10"/>
      <c r="M195" s="10"/>
      <c r="N195" s="10"/>
      <c r="O195" s="10"/>
      <c r="P195" s="85"/>
      <c r="Q195" s="88"/>
      <c r="R195" s="3">
        <f>IFERROR(VLOOKUP(TablaFebrero[[#This Row],[BARRIO]],SECTOR!$A:$B,2,0),"")</f>
      </c>
      <c r="S195" s="89"/>
      <c r="T195" s="90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6"/>
      <c r="AZ195" s="120">
        <f>COUNTIF(U195:AY195,"A")</f>
      </c>
      <c r="BA195" s="121">
        <f>COUNTIF(U195:AY195,"F")</f>
      </c>
      <c r="BB195" s="119">
        <f>COUNTIF(U195:AY195,"E")</f>
      </c>
    </row>
    <row r="196" spans="1:54" x14ac:dyDescent="0.2">
      <c r="A196" s="84"/>
      <c r="B196" s="85"/>
      <c r="C196" s="85"/>
      <c r="D196" s="85"/>
      <c r="E196" s="86"/>
      <c r="F196" s="16">
        <f>IF(E196="","",DATEDIF(E196,$I$7,"Y"))</f>
      </c>
      <c r="G196" s="85"/>
      <c r="H196" s="85"/>
      <c r="I196" s="87"/>
      <c r="J196" s="85"/>
      <c r="K196" s="85"/>
      <c r="L196" s="10"/>
      <c r="M196" s="10"/>
      <c r="N196" s="10"/>
      <c r="O196" s="10"/>
      <c r="P196" s="85"/>
      <c r="Q196" s="88"/>
      <c r="R196" s="3">
        <f>IFERROR(VLOOKUP(TablaFebrero[[#This Row],[BARRIO]],SECTOR!$A:$B,2,0),"")</f>
      </c>
      <c r="S196" s="89"/>
      <c r="T196" s="90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6"/>
      <c r="AZ196" s="120">
        <f>COUNTIF(U196:AY196,"A")</f>
      </c>
      <c r="BA196" s="121">
        <f>COUNTIF(U196:AY196,"F")</f>
      </c>
      <c r="BB196" s="119">
        <f>COUNTIF(U196:AY196,"E")</f>
      </c>
    </row>
    <row r="197" spans="1:54" x14ac:dyDescent="0.2">
      <c r="A197" s="84"/>
      <c r="B197" s="85"/>
      <c r="C197" s="85"/>
      <c r="D197" s="85"/>
      <c r="E197" s="86"/>
      <c r="F197" s="16">
        <f>IF(E197="","",DATEDIF(E197,$I$7,"Y"))</f>
      </c>
      <c r="G197" s="85"/>
      <c r="H197" s="85"/>
      <c r="I197" s="87"/>
      <c r="J197" s="85"/>
      <c r="K197" s="85"/>
      <c r="L197" s="10"/>
      <c r="M197" s="10"/>
      <c r="N197" s="10"/>
      <c r="O197" s="10"/>
      <c r="P197" s="85"/>
      <c r="Q197" s="88"/>
      <c r="R197" s="3">
        <f>IFERROR(VLOOKUP(TablaFebrero[[#This Row],[BARRIO]],SECTOR!$A:$B,2,0),"")</f>
      </c>
      <c r="S197" s="89"/>
      <c r="T197" s="90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6"/>
      <c r="AZ197" s="120">
        <f>COUNTIF(U197:AY197,"A")</f>
      </c>
      <c r="BA197" s="121">
        <f>COUNTIF(U197:AY197,"F")</f>
      </c>
      <c r="BB197" s="119">
        <f>COUNTIF(U197:AY197,"E")</f>
      </c>
    </row>
    <row r="198" spans="1:54" x14ac:dyDescent="0.2">
      <c r="A198" s="84"/>
      <c r="B198" s="85"/>
      <c r="C198" s="85"/>
      <c r="D198" s="85"/>
      <c r="E198" s="86"/>
      <c r="F198" s="16">
        <f>IF(E198="","",DATEDIF(E198,$I$7,"Y"))</f>
      </c>
      <c r="G198" s="85"/>
      <c r="H198" s="85"/>
      <c r="I198" s="87"/>
      <c r="J198" s="85"/>
      <c r="K198" s="85"/>
      <c r="L198" s="10"/>
      <c r="M198" s="10"/>
      <c r="N198" s="10"/>
      <c r="O198" s="10"/>
      <c r="P198" s="85"/>
      <c r="Q198" s="88"/>
      <c r="R198" s="3">
        <f>IFERROR(VLOOKUP(TablaFebrero[[#This Row],[BARRIO]],SECTOR!$A:$B,2,0),"")</f>
      </c>
      <c r="S198" s="89"/>
      <c r="T198" s="90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6"/>
      <c r="AZ198" s="120">
        <f>COUNTIF(U198:AY198,"A")</f>
      </c>
      <c r="BA198" s="121">
        <f>COUNTIF(U198:AY198,"F")</f>
      </c>
      <c r="BB198" s="119">
        <f>COUNTIF(U198:AY198,"E")</f>
      </c>
    </row>
    <row r="199" spans="1:54" x14ac:dyDescent="0.2">
      <c r="A199" s="84"/>
      <c r="B199" s="85"/>
      <c r="C199" s="85"/>
      <c r="D199" s="85"/>
      <c r="E199" s="86"/>
      <c r="F199" s="16">
        <f>IF(E199="","",DATEDIF(E199,$I$7,"Y"))</f>
      </c>
      <c r="G199" s="85"/>
      <c r="H199" s="85"/>
      <c r="I199" s="87"/>
      <c r="J199" s="85"/>
      <c r="K199" s="85"/>
      <c r="L199" s="10"/>
      <c r="M199" s="10"/>
      <c r="N199" s="10"/>
      <c r="O199" s="10"/>
      <c r="P199" s="85"/>
      <c r="Q199" s="88"/>
      <c r="R199" s="3">
        <f>IFERROR(VLOOKUP(TablaFebrero[[#This Row],[BARRIO]],SECTOR!$A:$B,2,0),"")</f>
      </c>
      <c r="S199" s="89"/>
      <c r="T199" s="90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6"/>
      <c r="AZ199" s="120">
        <f>COUNTIF(U199:AY199,"A")</f>
      </c>
      <c r="BA199" s="121">
        <f>COUNTIF(U199:AY199,"F")</f>
      </c>
      <c r="BB199" s="119">
        <f>COUNTIF(U199:AY199,"E")</f>
      </c>
    </row>
    <row r="200" spans="1:54" x14ac:dyDescent="0.2">
      <c r="A200" s="84"/>
      <c r="B200" s="85"/>
      <c r="C200" s="85"/>
      <c r="D200" s="85"/>
      <c r="E200" s="86"/>
      <c r="F200" s="16">
        <f>IF(E200="","",DATEDIF(E200,$I$7,"Y"))</f>
      </c>
      <c r="G200" s="85"/>
      <c r="H200" s="85"/>
      <c r="I200" s="87"/>
      <c r="J200" s="85"/>
      <c r="K200" s="85"/>
      <c r="L200" s="10"/>
      <c r="M200" s="10"/>
      <c r="N200" s="10"/>
      <c r="O200" s="10"/>
      <c r="P200" s="85"/>
      <c r="Q200" s="88"/>
      <c r="R200" s="3">
        <f>IFERROR(VLOOKUP(TablaFebrero[[#This Row],[BARRIO]],SECTOR!$A:$B,2,0),"")</f>
      </c>
      <c r="S200" s="89"/>
      <c r="T200" s="90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6"/>
      <c r="AZ200" s="120">
        <f>COUNTIF(U200:AY200,"A")</f>
      </c>
      <c r="BA200" s="121">
        <f>COUNTIF(U200:AY200,"F")</f>
      </c>
      <c r="BB200" s="119">
        <f>COUNTIF(U200:AY200,"E")</f>
      </c>
    </row>
    <row r="201" spans="1:54" x14ac:dyDescent="0.2">
      <c r="A201" s="84"/>
      <c r="B201" s="85"/>
      <c r="C201" s="85"/>
      <c r="D201" s="85"/>
      <c r="E201" s="86"/>
      <c r="F201" s="16">
        <f>IF(E201="","",DATEDIF(E201,$I$7,"Y"))</f>
      </c>
      <c r="G201" s="85"/>
      <c r="H201" s="85"/>
      <c r="I201" s="87"/>
      <c r="J201" s="85"/>
      <c r="K201" s="85"/>
      <c r="L201" s="10"/>
      <c r="M201" s="10"/>
      <c r="N201" s="10"/>
      <c r="O201" s="10"/>
      <c r="P201" s="85"/>
      <c r="Q201" s="88"/>
      <c r="R201" s="3">
        <f>IFERROR(VLOOKUP(TablaFebrero[[#This Row],[BARRIO]],SECTOR!$A:$B,2,0),"")</f>
      </c>
      <c r="S201" s="89"/>
      <c r="T201" s="90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6"/>
      <c r="AZ201" s="120">
        <f>COUNTIF(U201:AY201,"A")</f>
      </c>
      <c r="BA201" s="121">
        <f>COUNTIF(U201:AY201,"F")</f>
      </c>
      <c r="BB201" s="119">
        <f>COUNTIF(U201:AY201,"E")</f>
      </c>
    </row>
    <row r="202" spans="1:54" x14ac:dyDescent="0.2">
      <c r="A202" s="84"/>
      <c r="B202" s="85"/>
      <c r="C202" s="85"/>
      <c r="D202" s="85"/>
      <c r="E202" s="86"/>
      <c r="F202" s="16">
        <f>IF(E202="","",DATEDIF(E202,$I$7,"Y"))</f>
      </c>
      <c r="G202" s="85"/>
      <c r="H202" s="85"/>
      <c r="I202" s="87"/>
      <c r="J202" s="85"/>
      <c r="K202" s="85"/>
      <c r="L202" s="10"/>
      <c r="M202" s="10"/>
      <c r="N202" s="10"/>
      <c r="O202" s="10"/>
      <c r="P202" s="85"/>
      <c r="Q202" s="88"/>
      <c r="R202" s="3">
        <f>IFERROR(VLOOKUP(TablaFebrero[[#This Row],[BARRIO]],SECTOR!$A:$B,2,0),"")</f>
      </c>
      <c r="S202" s="89"/>
      <c r="T202" s="90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6"/>
      <c r="AZ202" s="120">
        <f>COUNTIF(U202:AY202,"A")</f>
      </c>
      <c r="BA202" s="121">
        <f>COUNTIF(U202:AY202,"F")</f>
      </c>
      <c r="BB202" s="119">
        <f>COUNTIF(U202:AY202,"E")</f>
      </c>
    </row>
    <row r="203" spans="1:54" x14ac:dyDescent="0.2">
      <c r="A203" s="84"/>
      <c r="B203" s="85"/>
      <c r="C203" s="85"/>
      <c r="D203" s="85"/>
      <c r="E203" s="86"/>
      <c r="F203" s="16">
        <f>IF(E203="","",DATEDIF(E203,$I$7,"Y"))</f>
      </c>
      <c r="G203" s="85"/>
      <c r="H203" s="85"/>
      <c r="I203" s="87"/>
      <c r="J203" s="85"/>
      <c r="K203" s="85"/>
      <c r="L203" s="10"/>
      <c r="M203" s="10"/>
      <c r="N203" s="10"/>
      <c r="O203" s="10"/>
      <c r="P203" s="85"/>
      <c r="Q203" s="88"/>
      <c r="R203" s="3">
        <f>IFERROR(VLOOKUP(TablaFebrero[[#This Row],[BARRIO]],SECTOR!$A:$B,2,0),"")</f>
      </c>
      <c r="S203" s="89"/>
      <c r="T203" s="90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6"/>
      <c r="AZ203" s="120">
        <f>COUNTIF(U203:AY203,"A")</f>
      </c>
      <c r="BA203" s="121">
        <f>COUNTIF(U203:AY203,"F")</f>
      </c>
      <c r="BB203" s="119">
        <f>COUNTIF(U203:AY203,"E")</f>
      </c>
    </row>
    <row r="204" spans="1:54" x14ac:dyDescent="0.2">
      <c r="A204" s="84"/>
      <c r="B204" s="85"/>
      <c r="C204" s="85"/>
      <c r="D204" s="85"/>
      <c r="E204" s="86"/>
      <c r="F204" s="16">
        <f>IF(E204="","",DATEDIF(E204,$I$7,"Y"))</f>
      </c>
      <c r="G204" s="85"/>
      <c r="H204" s="85"/>
      <c r="I204" s="87"/>
      <c r="J204" s="85"/>
      <c r="K204" s="85"/>
      <c r="L204" s="10"/>
      <c r="M204" s="10"/>
      <c r="N204" s="10"/>
      <c r="O204" s="10"/>
      <c r="P204" s="85"/>
      <c r="Q204" s="88"/>
      <c r="R204" s="3">
        <f>IFERROR(VLOOKUP(TablaFebrero[[#This Row],[BARRIO]],SECTOR!$A:$B,2,0),"")</f>
      </c>
      <c r="S204" s="89"/>
      <c r="T204" s="90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6"/>
      <c r="AZ204" s="120">
        <f>COUNTIF(U204:AY204,"A")</f>
      </c>
      <c r="BA204" s="121">
        <f>COUNTIF(U204:AY204,"F")</f>
      </c>
      <c r="BB204" s="119">
        <f>COUNTIF(U204:AY204,"E")</f>
      </c>
    </row>
    <row r="205" spans="1:54" x14ac:dyDescent="0.2">
      <c r="A205" s="84"/>
      <c r="B205" s="85"/>
      <c r="C205" s="85"/>
      <c r="D205" s="85"/>
      <c r="E205" s="86"/>
      <c r="F205" s="16">
        <f>IF(E205="","",DATEDIF(E205,$I$7,"Y"))</f>
      </c>
      <c r="G205" s="85"/>
      <c r="H205" s="85"/>
      <c r="I205" s="87"/>
      <c r="J205" s="85"/>
      <c r="K205" s="85"/>
      <c r="L205" s="10"/>
      <c r="M205" s="10"/>
      <c r="N205" s="10"/>
      <c r="O205" s="10"/>
      <c r="P205" s="85"/>
      <c r="Q205" s="88"/>
      <c r="R205" s="3">
        <f>IFERROR(VLOOKUP(TablaFebrero[[#This Row],[BARRIO]],SECTOR!$A:$B,2,0),"")</f>
      </c>
      <c r="S205" s="89"/>
      <c r="T205" s="90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6"/>
      <c r="AZ205" s="120">
        <f>COUNTIF(U205:AY205,"A")</f>
      </c>
      <c r="BA205" s="121">
        <f>COUNTIF(U205:AY205,"F")</f>
      </c>
      <c r="BB205" s="119">
        <f>COUNTIF(U205:AY205,"E")</f>
      </c>
    </row>
    <row r="206" spans="1:54" x14ac:dyDescent="0.2">
      <c r="A206" s="84"/>
      <c r="B206" s="85"/>
      <c r="C206" s="85"/>
      <c r="D206" s="85"/>
      <c r="E206" s="86"/>
      <c r="F206" s="16">
        <f>IF(E206="","",DATEDIF(E206,$I$7,"Y"))</f>
      </c>
      <c r="G206" s="85"/>
      <c r="H206" s="85"/>
      <c r="I206" s="87"/>
      <c r="J206" s="85"/>
      <c r="K206" s="85"/>
      <c r="L206" s="10"/>
      <c r="M206" s="10"/>
      <c r="N206" s="10"/>
      <c r="O206" s="10"/>
      <c r="P206" s="85"/>
      <c r="Q206" s="88"/>
      <c r="R206" s="3">
        <f>IFERROR(VLOOKUP(TablaFebrero[[#This Row],[BARRIO]],SECTOR!$A:$B,2,0),"")</f>
      </c>
      <c r="S206" s="89"/>
      <c r="T206" s="90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6"/>
      <c r="AZ206" s="120">
        <f>COUNTIF(U206:AY206,"A")</f>
      </c>
      <c r="BA206" s="121">
        <f>COUNTIF(U206:AY206,"F")</f>
      </c>
      <c r="BB206" s="119">
        <f>COUNTIF(U206:AY206,"E")</f>
      </c>
    </row>
    <row r="207" spans="1:54" x14ac:dyDescent="0.2">
      <c r="A207" s="84"/>
      <c r="B207" s="85"/>
      <c r="C207" s="85"/>
      <c r="D207" s="85"/>
      <c r="E207" s="86"/>
      <c r="F207" s="16">
        <f>IF(E207="","",DATEDIF(E207,$I$7,"Y"))</f>
      </c>
      <c r="G207" s="85"/>
      <c r="H207" s="85"/>
      <c r="I207" s="87"/>
      <c r="J207" s="85"/>
      <c r="K207" s="85"/>
      <c r="L207" s="10"/>
      <c r="M207" s="10"/>
      <c r="N207" s="10"/>
      <c r="O207" s="10"/>
      <c r="P207" s="85"/>
      <c r="Q207" s="88"/>
      <c r="R207" s="3">
        <f>IFERROR(VLOOKUP(TablaFebrero[[#This Row],[BARRIO]],SECTOR!$A:$B,2,0),"")</f>
      </c>
      <c r="S207" s="89"/>
      <c r="T207" s="90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6"/>
      <c r="AZ207" s="120">
        <f>COUNTIF(U207:AY207,"A")</f>
      </c>
      <c r="BA207" s="121">
        <f>COUNTIF(U207:AY207,"F")</f>
      </c>
      <c r="BB207" s="119">
        <f>COUNTIF(U207:AY207,"E")</f>
      </c>
    </row>
    <row r="208" spans="1:54" x14ac:dyDescent="0.2">
      <c r="A208" s="84"/>
      <c r="B208" s="85"/>
      <c r="C208" s="85"/>
      <c r="D208" s="85"/>
      <c r="E208" s="86"/>
      <c r="F208" s="16">
        <f>IF(E208="","",DATEDIF(E208,$I$7,"Y"))</f>
      </c>
      <c r="G208" s="85"/>
      <c r="H208" s="85"/>
      <c r="I208" s="87"/>
      <c r="J208" s="85"/>
      <c r="K208" s="85"/>
      <c r="L208" s="10"/>
      <c r="M208" s="10"/>
      <c r="N208" s="10"/>
      <c r="O208" s="10"/>
      <c r="P208" s="85"/>
      <c r="Q208" s="88"/>
      <c r="R208" s="3">
        <f>IFERROR(VLOOKUP(TablaFebrero[[#This Row],[BARRIO]],SECTOR!$A:$B,2,0),"")</f>
      </c>
      <c r="S208" s="89"/>
      <c r="T208" s="90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6"/>
      <c r="AZ208" s="120">
        <f>COUNTIF(U208:AY208,"A")</f>
      </c>
      <c r="BA208" s="121">
        <f>COUNTIF(U208:AY208,"F")</f>
      </c>
      <c r="BB208" s="119">
        <f>COUNTIF(U208:AY208,"E")</f>
      </c>
    </row>
    <row r="209" spans="1:54" x14ac:dyDescent="0.2">
      <c r="A209" s="84"/>
      <c r="B209" s="85"/>
      <c r="C209" s="85"/>
      <c r="D209" s="85"/>
      <c r="E209" s="86"/>
      <c r="F209" s="16">
        <f>IF(E209="","",DATEDIF(E209,$I$7,"Y"))</f>
      </c>
      <c r="G209" s="85"/>
      <c r="H209" s="85"/>
      <c r="I209" s="87"/>
      <c r="J209" s="85"/>
      <c r="K209" s="85"/>
      <c r="L209" s="10"/>
      <c r="M209" s="10"/>
      <c r="N209" s="10"/>
      <c r="O209" s="10"/>
      <c r="P209" s="85"/>
      <c r="Q209" s="88"/>
      <c r="R209" s="3">
        <f>IFERROR(VLOOKUP(TablaFebrero[[#This Row],[BARRIO]],SECTOR!$A:$B,2,0),"")</f>
      </c>
      <c r="S209" s="89"/>
      <c r="T209" s="90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6"/>
      <c r="AZ209" s="120">
        <f>COUNTIF(U209:AY209,"A")</f>
      </c>
      <c r="BA209" s="121">
        <f>COUNTIF(U209:AY209,"F")</f>
      </c>
      <c r="BB209" s="119">
        <f>COUNTIF(U209:AY209,"E")</f>
      </c>
    </row>
    <row r="210" spans="1:54" x14ac:dyDescent="0.2">
      <c r="A210" s="84"/>
      <c r="B210" s="85"/>
      <c r="C210" s="85"/>
      <c r="D210" s="85"/>
      <c r="E210" s="86"/>
      <c r="F210" s="16">
        <f>IF(E210="","",DATEDIF(E210,$I$7,"Y"))</f>
      </c>
      <c r="G210" s="85"/>
      <c r="H210" s="85"/>
      <c r="I210" s="87"/>
      <c r="J210" s="85"/>
      <c r="K210" s="85"/>
      <c r="L210" s="10"/>
      <c r="M210" s="10"/>
      <c r="N210" s="10"/>
      <c r="O210" s="10"/>
      <c r="P210" s="85"/>
      <c r="Q210" s="88"/>
      <c r="R210" s="3">
        <f>IFERROR(VLOOKUP(TablaFebrero[[#This Row],[BARRIO]],SECTOR!$A:$B,2,0),"")</f>
      </c>
      <c r="S210" s="89"/>
      <c r="T210" s="90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6"/>
      <c r="AZ210" s="120">
        <f>COUNTIF(U210:AY210,"A")</f>
      </c>
      <c r="BA210" s="121">
        <f>COUNTIF(U210:AY210,"F")</f>
      </c>
      <c r="BB210" s="119">
        <f>COUNTIF(U210:AY210,"E")</f>
      </c>
    </row>
    <row r="211" spans="1:54" x14ac:dyDescent="0.2">
      <c r="A211" s="84"/>
      <c r="B211" s="85"/>
      <c r="C211" s="85"/>
      <c r="D211" s="85"/>
      <c r="E211" s="86"/>
      <c r="F211" s="16">
        <f>IF(E211="","",DATEDIF(E211,$I$7,"Y"))</f>
      </c>
      <c r="G211" s="85"/>
      <c r="H211" s="85"/>
      <c r="I211" s="87"/>
      <c r="J211" s="85"/>
      <c r="K211" s="85"/>
      <c r="L211" s="10"/>
      <c r="M211" s="10"/>
      <c r="N211" s="10"/>
      <c r="O211" s="10"/>
      <c r="P211" s="85"/>
      <c r="Q211" s="88"/>
      <c r="R211" s="3">
        <f>IFERROR(VLOOKUP(TablaFebrero[[#This Row],[BARRIO]],SECTOR!$A:$B,2,0),"")</f>
      </c>
      <c r="S211" s="89"/>
      <c r="T211" s="90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6"/>
      <c r="AZ211" s="120">
        <f>COUNTIF(U211:AY211,"A")</f>
      </c>
      <c r="BA211" s="121">
        <f>COUNTIF(U211:AY211,"F")</f>
      </c>
      <c r="BB211" s="119">
        <f>COUNTIF(U211:AY211,"E")</f>
      </c>
    </row>
    <row r="212" spans="1:54" x14ac:dyDescent="0.2">
      <c r="A212" s="84"/>
      <c r="B212" s="85"/>
      <c r="C212" s="85"/>
      <c r="D212" s="85"/>
      <c r="E212" s="86"/>
      <c r="F212" s="16">
        <f>IF(E212="","",DATEDIF(E212,$I$7,"Y"))</f>
      </c>
      <c r="G212" s="85"/>
      <c r="H212" s="85"/>
      <c r="I212" s="87"/>
      <c r="J212" s="85"/>
      <c r="K212" s="85"/>
      <c r="L212" s="10"/>
      <c r="M212" s="10"/>
      <c r="N212" s="10"/>
      <c r="O212" s="10"/>
      <c r="P212" s="85"/>
      <c r="Q212" s="88"/>
      <c r="R212" s="3">
        <f>IFERROR(VLOOKUP(TablaFebrero[[#This Row],[BARRIO]],SECTOR!$A:$B,2,0),"")</f>
      </c>
      <c r="S212" s="89"/>
      <c r="T212" s="90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6"/>
      <c r="AZ212" s="120">
        <f>COUNTIF(U212:AY212,"A")</f>
      </c>
      <c r="BA212" s="121">
        <f>COUNTIF(U212:AY212,"F")</f>
      </c>
      <c r="BB212" s="119">
        <f>COUNTIF(U212:AY212,"E")</f>
      </c>
    </row>
    <row r="213" spans="1:54" x14ac:dyDescent="0.2">
      <c r="A213" s="84"/>
      <c r="B213" s="85"/>
      <c r="C213" s="85"/>
      <c r="D213" s="85"/>
      <c r="E213" s="86"/>
      <c r="F213" s="16">
        <f>IF(E213="","",DATEDIF(E213,$I$7,"Y"))</f>
      </c>
      <c r="G213" s="85"/>
      <c r="H213" s="85"/>
      <c r="I213" s="87"/>
      <c r="J213" s="85"/>
      <c r="K213" s="85"/>
      <c r="L213" s="10"/>
      <c r="M213" s="10"/>
      <c r="N213" s="10"/>
      <c r="O213" s="10"/>
      <c r="P213" s="85"/>
      <c r="Q213" s="88"/>
      <c r="R213" s="3">
        <f>IFERROR(VLOOKUP(TablaFebrero[[#This Row],[BARRIO]],SECTOR!$A:$B,2,0),"")</f>
      </c>
      <c r="S213" s="89"/>
      <c r="T213" s="90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6"/>
      <c r="AZ213" s="120">
        <f>COUNTIF(U213:AY213,"A")</f>
      </c>
      <c r="BA213" s="121">
        <f>COUNTIF(U213:AY213,"F")</f>
      </c>
      <c r="BB213" s="119">
        <f>COUNTIF(U213:AY213,"E")</f>
      </c>
    </row>
    <row r="214" spans="1:54" x14ac:dyDescent="0.2">
      <c r="A214" s="84"/>
      <c r="B214" s="85"/>
      <c r="C214" s="85"/>
      <c r="D214" s="85"/>
      <c r="E214" s="86"/>
      <c r="F214" s="16">
        <f>IF(E214="","",DATEDIF(E214,$I$7,"Y"))</f>
      </c>
      <c r="G214" s="85"/>
      <c r="H214" s="85"/>
      <c r="I214" s="87"/>
      <c r="J214" s="85"/>
      <c r="K214" s="85"/>
      <c r="L214" s="10"/>
      <c r="M214" s="10"/>
      <c r="N214" s="10"/>
      <c r="O214" s="10"/>
      <c r="P214" s="85"/>
      <c r="Q214" s="88"/>
      <c r="R214" s="3">
        <f>IFERROR(VLOOKUP(TablaFebrero[[#This Row],[BARRIO]],SECTOR!$A:$B,2,0),"")</f>
      </c>
      <c r="S214" s="89"/>
      <c r="T214" s="90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6"/>
      <c r="AZ214" s="120">
        <f>COUNTIF(U214:AY214,"A")</f>
      </c>
      <c r="BA214" s="121">
        <f>COUNTIF(U214:AY214,"F")</f>
      </c>
      <c r="BB214" s="119">
        <f>COUNTIF(U214:AY214,"E")</f>
      </c>
    </row>
    <row r="215" spans="1:54" x14ac:dyDescent="0.2">
      <c r="A215" s="84"/>
      <c r="B215" s="85"/>
      <c r="C215" s="85"/>
      <c r="D215" s="85"/>
      <c r="E215" s="86"/>
      <c r="F215" s="16">
        <f>IF(E215="","",DATEDIF(E215,$I$7,"Y"))</f>
      </c>
      <c r="G215" s="85"/>
      <c r="H215" s="85"/>
      <c r="I215" s="87"/>
      <c r="J215" s="85"/>
      <c r="K215" s="85"/>
      <c r="L215" s="10"/>
      <c r="M215" s="10"/>
      <c r="N215" s="10"/>
      <c r="O215" s="10"/>
      <c r="P215" s="85"/>
      <c r="Q215" s="88"/>
      <c r="R215" s="3">
        <f>IFERROR(VLOOKUP(TablaFebrero[[#This Row],[BARRIO]],SECTOR!$A:$B,2,0),"")</f>
      </c>
      <c r="S215" s="89"/>
      <c r="T215" s="90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6"/>
      <c r="AZ215" s="120">
        <f>COUNTIF(U215:AY215,"A")</f>
      </c>
      <c r="BA215" s="121">
        <f>COUNTIF(U215:AY215,"F")</f>
      </c>
      <c r="BB215" s="119">
        <f>COUNTIF(U215:AY215,"E")</f>
      </c>
    </row>
    <row r="216" spans="1:54" x14ac:dyDescent="0.2">
      <c r="A216" s="84"/>
      <c r="B216" s="85"/>
      <c r="C216" s="85"/>
      <c r="D216" s="85"/>
      <c r="E216" s="86"/>
      <c r="F216" s="16">
        <f>IF(E216="","",DATEDIF(E216,$I$7,"Y"))</f>
      </c>
      <c r="G216" s="85"/>
      <c r="H216" s="85"/>
      <c r="I216" s="87"/>
      <c r="J216" s="85"/>
      <c r="K216" s="85"/>
      <c r="L216" s="10"/>
      <c r="M216" s="10"/>
      <c r="N216" s="10"/>
      <c r="O216" s="10"/>
      <c r="P216" s="85"/>
      <c r="Q216" s="88"/>
      <c r="R216" s="3">
        <f>IFERROR(VLOOKUP(TablaFebrero[[#This Row],[BARRIO]],SECTOR!$A:$B,2,0),"")</f>
      </c>
      <c r="S216" s="89"/>
      <c r="T216" s="90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6"/>
      <c r="AZ216" s="120">
        <f>COUNTIF(U216:AY216,"A")</f>
      </c>
      <c r="BA216" s="121">
        <f>COUNTIF(U216:AY216,"F")</f>
      </c>
      <c r="BB216" s="119">
        <f>COUNTIF(U216:AY216,"E")</f>
      </c>
    </row>
    <row r="217" spans="1:54" x14ac:dyDescent="0.2">
      <c r="A217" s="84"/>
      <c r="B217" s="85"/>
      <c r="C217" s="85"/>
      <c r="D217" s="85"/>
      <c r="E217" s="86"/>
      <c r="F217" s="16">
        <f>IF(E217="","",DATEDIF(E217,$I$7,"Y"))</f>
      </c>
      <c r="G217" s="85"/>
      <c r="H217" s="85"/>
      <c r="I217" s="87"/>
      <c r="J217" s="85"/>
      <c r="K217" s="85"/>
      <c r="L217" s="10"/>
      <c r="M217" s="10"/>
      <c r="N217" s="10"/>
      <c r="O217" s="10"/>
      <c r="P217" s="85"/>
      <c r="Q217" s="88"/>
      <c r="R217" s="3">
        <f>IFERROR(VLOOKUP(TablaFebrero[[#This Row],[BARRIO]],SECTOR!$A:$B,2,0),"")</f>
      </c>
      <c r="S217" s="89"/>
      <c r="T217" s="90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6"/>
      <c r="AZ217" s="120">
        <f>COUNTIF(U217:AY217,"A")</f>
      </c>
      <c r="BA217" s="121">
        <f>COUNTIF(U217:AY217,"F")</f>
      </c>
      <c r="BB217" s="119">
        <f>COUNTIF(U217:AY217,"E")</f>
      </c>
    </row>
    <row r="218" spans="1:54" x14ac:dyDescent="0.2">
      <c r="A218" s="84"/>
      <c r="B218" s="85"/>
      <c r="C218" s="85"/>
      <c r="D218" s="85"/>
      <c r="E218" s="86"/>
      <c r="F218" s="16">
        <f>IF(E218="","",DATEDIF(E218,$I$7,"Y"))</f>
      </c>
      <c r="G218" s="85"/>
      <c r="H218" s="85"/>
      <c r="I218" s="87"/>
      <c r="J218" s="85"/>
      <c r="K218" s="85"/>
      <c r="L218" s="10"/>
      <c r="M218" s="10"/>
      <c r="N218" s="10"/>
      <c r="O218" s="10"/>
      <c r="P218" s="85"/>
      <c r="Q218" s="88"/>
      <c r="R218" s="3">
        <f>IFERROR(VLOOKUP(TablaFebrero[[#This Row],[BARRIO]],SECTOR!$A:$B,2,0),"")</f>
      </c>
      <c r="S218" s="89"/>
      <c r="T218" s="90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6"/>
      <c r="AZ218" s="120">
        <f>COUNTIF(U218:AY218,"A")</f>
      </c>
      <c r="BA218" s="121">
        <f>COUNTIF(U218:AY218,"F")</f>
      </c>
      <c r="BB218" s="119">
        <f>COUNTIF(U218:AY218,"E")</f>
      </c>
    </row>
    <row r="219" spans="1:54" x14ac:dyDescent="0.2">
      <c r="A219" s="84"/>
      <c r="B219" s="85"/>
      <c r="C219" s="85"/>
      <c r="D219" s="85"/>
      <c r="E219" s="86"/>
      <c r="F219" s="16">
        <f>IF(E219="","",DATEDIF(E219,$I$7,"Y"))</f>
      </c>
      <c r="G219" s="85"/>
      <c r="H219" s="85"/>
      <c r="I219" s="87"/>
      <c r="J219" s="85"/>
      <c r="K219" s="85"/>
      <c r="L219" s="10"/>
      <c r="M219" s="10"/>
      <c r="N219" s="10"/>
      <c r="O219" s="10"/>
      <c r="P219" s="85"/>
      <c r="Q219" s="88"/>
      <c r="R219" s="3">
        <f>IFERROR(VLOOKUP(TablaFebrero[[#This Row],[BARRIO]],SECTOR!$A:$B,2,0),"")</f>
      </c>
      <c r="S219" s="89"/>
      <c r="T219" s="90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6"/>
      <c r="AZ219" s="120">
        <f>COUNTIF(U219:AY219,"A")</f>
      </c>
      <c r="BA219" s="121">
        <f>COUNTIF(U219:AY219,"F")</f>
      </c>
      <c r="BB219" s="119">
        <f>COUNTIF(U219:AY219,"E")</f>
      </c>
    </row>
    <row r="220" spans="1:54" x14ac:dyDescent="0.2">
      <c r="A220" s="84"/>
      <c r="B220" s="85"/>
      <c r="C220" s="85"/>
      <c r="D220" s="85"/>
      <c r="E220" s="86"/>
      <c r="F220" s="16">
        <f>IF(E220="","",DATEDIF(E220,$I$7,"Y"))</f>
      </c>
      <c r="G220" s="85"/>
      <c r="H220" s="85"/>
      <c r="I220" s="87"/>
      <c r="J220" s="85"/>
      <c r="K220" s="85"/>
      <c r="L220" s="10"/>
      <c r="M220" s="10"/>
      <c r="N220" s="10"/>
      <c r="O220" s="10"/>
      <c r="P220" s="85"/>
      <c r="Q220" s="88"/>
      <c r="R220" s="3">
        <f>IFERROR(VLOOKUP(TablaFebrero[[#This Row],[BARRIO]],SECTOR!$A:$B,2,0),"")</f>
      </c>
      <c r="S220" s="89"/>
      <c r="T220" s="90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6"/>
      <c r="AZ220" s="120">
        <f>COUNTIF(U220:AY220,"A")</f>
      </c>
      <c r="BA220" s="121">
        <f>COUNTIF(U220:AY220,"F")</f>
      </c>
      <c r="BB220" s="119">
        <f>COUNTIF(U220:AY220,"E")</f>
      </c>
    </row>
    <row r="221" spans="1:54" x14ac:dyDescent="0.2">
      <c r="A221" s="84"/>
      <c r="B221" s="85"/>
      <c r="C221" s="85"/>
      <c r="D221" s="85"/>
      <c r="E221" s="86"/>
      <c r="F221" s="16">
        <f>IF(E221="","",DATEDIF(E221,$I$7,"Y"))</f>
      </c>
      <c r="G221" s="85"/>
      <c r="H221" s="85"/>
      <c r="I221" s="87"/>
      <c r="J221" s="85"/>
      <c r="K221" s="85"/>
      <c r="L221" s="10"/>
      <c r="M221" s="10"/>
      <c r="N221" s="10"/>
      <c r="O221" s="10"/>
      <c r="P221" s="85"/>
      <c r="Q221" s="88"/>
      <c r="R221" s="3">
        <f>IFERROR(VLOOKUP(TablaFebrero[[#This Row],[BARRIO]],SECTOR!$A:$B,2,0),"")</f>
      </c>
      <c r="S221" s="89"/>
      <c r="T221" s="90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6"/>
      <c r="AZ221" s="120">
        <f>COUNTIF(U221:AY221,"A")</f>
      </c>
      <c r="BA221" s="121">
        <f>COUNTIF(U221:AY221,"F")</f>
      </c>
      <c r="BB221" s="119">
        <f>COUNTIF(U221:AY221,"E")</f>
      </c>
    </row>
    <row r="222" spans="1:54" x14ac:dyDescent="0.2">
      <c r="A222" s="84"/>
      <c r="B222" s="85"/>
      <c r="C222" s="85"/>
      <c r="D222" s="85"/>
      <c r="E222" s="86"/>
      <c r="F222" s="16">
        <f>IF(E222="","",DATEDIF(E222,$I$7,"Y"))</f>
      </c>
      <c r="G222" s="85"/>
      <c r="H222" s="85"/>
      <c r="I222" s="87"/>
      <c r="J222" s="85"/>
      <c r="K222" s="85"/>
      <c r="L222" s="10"/>
      <c r="M222" s="10"/>
      <c r="N222" s="10"/>
      <c r="O222" s="10"/>
      <c r="P222" s="85"/>
      <c r="Q222" s="88"/>
      <c r="R222" s="3">
        <f>IFERROR(VLOOKUP(TablaFebrero[[#This Row],[BARRIO]],SECTOR!$A:$B,2,0),"")</f>
      </c>
      <c r="S222" s="89"/>
      <c r="T222" s="90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6"/>
      <c r="AZ222" s="120">
        <f>COUNTIF(U222:AY222,"A")</f>
      </c>
      <c r="BA222" s="121">
        <f>COUNTIF(U222:AY222,"F")</f>
      </c>
      <c r="BB222" s="119">
        <f>COUNTIF(U222:AY222,"E")</f>
      </c>
    </row>
    <row r="223" spans="1:54" x14ac:dyDescent="0.2">
      <c r="A223" s="84"/>
      <c r="B223" s="85"/>
      <c r="C223" s="85"/>
      <c r="D223" s="85"/>
      <c r="E223" s="86"/>
      <c r="F223" s="16">
        <f>IF(E223="","",DATEDIF(E223,$I$7,"Y"))</f>
      </c>
      <c r="G223" s="85"/>
      <c r="H223" s="85"/>
      <c r="I223" s="87"/>
      <c r="J223" s="85"/>
      <c r="K223" s="85"/>
      <c r="L223" s="10"/>
      <c r="M223" s="10"/>
      <c r="N223" s="10"/>
      <c r="O223" s="10"/>
      <c r="P223" s="85"/>
      <c r="Q223" s="88"/>
      <c r="R223" s="3">
        <f>IFERROR(VLOOKUP(TablaFebrero[[#This Row],[BARRIO]],SECTOR!$A:$B,2,0),"")</f>
      </c>
      <c r="S223" s="89"/>
      <c r="T223" s="90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6"/>
      <c r="AZ223" s="120">
        <f>COUNTIF(U223:AY223,"A")</f>
      </c>
      <c r="BA223" s="121">
        <f>COUNTIF(U223:AY223,"F")</f>
      </c>
      <c r="BB223" s="119">
        <f>COUNTIF(U223:AY223,"E")</f>
      </c>
    </row>
    <row r="224" spans="1:54" x14ac:dyDescent="0.2">
      <c r="A224" s="84"/>
      <c r="B224" s="85"/>
      <c r="C224" s="85"/>
      <c r="D224" s="85"/>
      <c r="E224" s="86"/>
      <c r="F224" s="16">
        <f>IF(E224="","",DATEDIF(E224,$I$7,"Y"))</f>
      </c>
      <c r="G224" s="85"/>
      <c r="H224" s="85"/>
      <c r="I224" s="87"/>
      <c r="J224" s="85"/>
      <c r="K224" s="85"/>
      <c r="L224" s="10"/>
      <c r="M224" s="10"/>
      <c r="N224" s="10"/>
      <c r="O224" s="10"/>
      <c r="P224" s="85"/>
      <c r="Q224" s="88"/>
      <c r="R224" s="3">
        <f>IFERROR(VLOOKUP(TablaFebrero[[#This Row],[BARRIO]],SECTOR!$A:$B,2,0),"")</f>
      </c>
      <c r="S224" s="89"/>
      <c r="T224" s="90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6"/>
      <c r="AZ224" s="120">
        <f>COUNTIF(U224:AY224,"A")</f>
      </c>
      <c r="BA224" s="121">
        <f>COUNTIF(U224:AY224,"F")</f>
      </c>
      <c r="BB224" s="119">
        <f>COUNTIF(U224:AY224,"E")</f>
      </c>
    </row>
    <row r="225" spans="1:54" x14ac:dyDescent="0.2">
      <c r="A225" s="84"/>
      <c r="B225" s="85"/>
      <c r="C225" s="85"/>
      <c r="D225" s="85"/>
      <c r="E225" s="86"/>
      <c r="F225" s="16">
        <f>IF(E225="","",DATEDIF(E225,$I$7,"Y"))</f>
      </c>
      <c r="G225" s="85"/>
      <c r="H225" s="85"/>
      <c r="I225" s="87"/>
      <c r="J225" s="85"/>
      <c r="K225" s="85"/>
      <c r="L225" s="10"/>
      <c r="M225" s="10"/>
      <c r="N225" s="10"/>
      <c r="O225" s="10"/>
      <c r="P225" s="85"/>
      <c r="Q225" s="88"/>
      <c r="R225" s="3">
        <f>IFERROR(VLOOKUP(TablaFebrero[[#This Row],[BARRIO]],SECTOR!$A:$B,2,0),"")</f>
      </c>
      <c r="S225" s="89"/>
      <c r="T225" s="90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6"/>
      <c r="AZ225" s="120">
        <f>COUNTIF(U225:AY225,"A")</f>
      </c>
      <c r="BA225" s="121">
        <f>COUNTIF(U225:AY225,"F")</f>
      </c>
      <c r="BB225" s="119">
        <f>COUNTIF(U225:AY225,"E")</f>
      </c>
    </row>
    <row r="226" spans="1:54" x14ac:dyDescent="0.2">
      <c r="A226" s="84"/>
      <c r="B226" s="85"/>
      <c r="C226" s="85"/>
      <c r="D226" s="85"/>
      <c r="E226" s="86"/>
      <c r="F226" s="16">
        <f>IF(E226="","",DATEDIF(E226,$I$7,"Y"))</f>
      </c>
      <c r="G226" s="85"/>
      <c r="H226" s="85"/>
      <c r="I226" s="87"/>
      <c r="J226" s="85"/>
      <c r="K226" s="85"/>
      <c r="L226" s="10"/>
      <c r="M226" s="10"/>
      <c r="N226" s="10"/>
      <c r="O226" s="10"/>
      <c r="P226" s="85"/>
      <c r="Q226" s="88"/>
      <c r="R226" s="3">
        <f>IFERROR(VLOOKUP(TablaFebrero[[#This Row],[BARRIO]],SECTOR!$A:$B,2,0),"")</f>
      </c>
      <c r="S226" s="89"/>
      <c r="T226" s="90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6"/>
      <c r="AZ226" s="120">
        <f>COUNTIF(U226:AY226,"A")</f>
      </c>
      <c r="BA226" s="121">
        <f>COUNTIF(U226:AY226,"F")</f>
      </c>
      <c r="BB226" s="119">
        <f>COUNTIF(U226:AY226,"E")</f>
      </c>
    </row>
    <row r="227" spans="1:54" x14ac:dyDescent="0.2">
      <c r="A227" s="84"/>
      <c r="B227" s="85"/>
      <c r="C227" s="85"/>
      <c r="D227" s="85"/>
      <c r="E227" s="86"/>
      <c r="F227" s="16">
        <f>IF(E227="","",DATEDIF(E227,$I$7,"Y"))</f>
      </c>
      <c r="G227" s="85"/>
      <c r="H227" s="85"/>
      <c r="I227" s="87"/>
      <c r="J227" s="85"/>
      <c r="K227" s="85"/>
      <c r="L227" s="10"/>
      <c r="M227" s="10"/>
      <c r="N227" s="10"/>
      <c r="O227" s="10"/>
      <c r="P227" s="85"/>
      <c r="Q227" s="88"/>
      <c r="R227" s="3">
        <f>IFERROR(VLOOKUP(TablaFebrero[[#This Row],[BARRIO]],SECTOR!$A:$B,2,0),"")</f>
      </c>
      <c r="S227" s="89"/>
      <c r="T227" s="90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6"/>
      <c r="AZ227" s="120">
        <f>COUNTIF(U227:AY227,"A")</f>
      </c>
      <c r="BA227" s="121">
        <f>COUNTIF(U227:AY227,"F")</f>
      </c>
      <c r="BB227" s="119">
        <f>COUNTIF(U227:AY227,"E")</f>
      </c>
    </row>
    <row r="228" spans="1:54" x14ac:dyDescent="0.2">
      <c r="A228" s="84"/>
      <c r="B228" s="85"/>
      <c r="C228" s="85"/>
      <c r="D228" s="85"/>
      <c r="E228" s="86"/>
      <c r="F228" s="16">
        <f>IF(E228="","",DATEDIF(E228,$I$7,"Y"))</f>
      </c>
      <c r="G228" s="85"/>
      <c r="H228" s="85"/>
      <c r="I228" s="87"/>
      <c r="J228" s="85"/>
      <c r="K228" s="85"/>
      <c r="L228" s="10"/>
      <c r="M228" s="10"/>
      <c r="N228" s="10"/>
      <c r="O228" s="10"/>
      <c r="P228" s="85"/>
      <c r="Q228" s="88"/>
      <c r="R228" s="3">
        <f>IFERROR(VLOOKUP(TablaFebrero[[#This Row],[BARRIO]],SECTOR!$A:$B,2,0),"")</f>
      </c>
      <c r="S228" s="89"/>
      <c r="T228" s="90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6"/>
      <c r="AZ228" s="120">
        <f>COUNTIF(U228:AY228,"A")</f>
      </c>
      <c r="BA228" s="121">
        <f>COUNTIF(U228:AY228,"F")</f>
      </c>
      <c r="BB228" s="119">
        <f>COUNTIF(U228:AY228,"E")</f>
      </c>
    </row>
    <row r="229" spans="1:54" x14ac:dyDescent="0.2">
      <c r="A229" s="84"/>
      <c r="B229" s="85"/>
      <c r="C229" s="85"/>
      <c r="D229" s="85"/>
      <c r="E229" s="86"/>
      <c r="F229" s="16">
        <f>IF(E229="","",DATEDIF(E229,$I$7,"Y"))</f>
      </c>
      <c r="G229" s="85"/>
      <c r="H229" s="85"/>
      <c r="I229" s="87"/>
      <c r="J229" s="85"/>
      <c r="K229" s="85"/>
      <c r="L229" s="10"/>
      <c r="M229" s="10"/>
      <c r="N229" s="10"/>
      <c r="O229" s="10"/>
      <c r="P229" s="85"/>
      <c r="Q229" s="88"/>
      <c r="R229" s="3">
        <f>IFERROR(VLOOKUP(TablaFebrero[[#This Row],[BARRIO]],SECTOR!$A:$B,2,0),"")</f>
      </c>
      <c r="S229" s="89"/>
      <c r="T229" s="90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6"/>
      <c r="AZ229" s="120">
        <f>COUNTIF(U229:AY229,"A")</f>
      </c>
      <c r="BA229" s="121">
        <f>COUNTIF(U229:AY229,"F")</f>
      </c>
      <c r="BB229" s="119">
        <f>COUNTIF(U229:AY229,"E")</f>
      </c>
    </row>
    <row r="230" spans="1:54" x14ac:dyDescent="0.2">
      <c r="A230" s="84"/>
      <c r="B230" s="85"/>
      <c r="C230" s="85"/>
      <c r="D230" s="85"/>
      <c r="E230" s="86"/>
      <c r="F230" s="16">
        <f>IF(E230="","",DATEDIF(E230,$I$7,"Y"))</f>
      </c>
      <c r="G230" s="85"/>
      <c r="H230" s="85"/>
      <c r="I230" s="87"/>
      <c r="J230" s="85"/>
      <c r="K230" s="85"/>
      <c r="L230" s="10"/>
      <c r="M230" s="10"/>
      <c r="N230" s="10"/>
      <c r="O230" s="10"/>
      <c r="P230" s="85"/>
      <c r="Q230" s="88"/>
      <c r="R230" s="3">
        <f>IFERROR(VLOOKUP(TablaFebrero[[#This Row],[BARRIO]],SECTOR!$A:$B,2,0),"")</f>
      </c>
      <c r="S230" s="89"/>
      <c r="T230" s="90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6"/>
      <c r="AZ230" s="120">
        <f>COUNTIF(U230:AY230,"A")</f>
      </c>
      <c r="BA230" s="121">
        <f>COUNTIF(U230:AY230,"F")</f>
      </c>
      <c r="BB230" s="119">
        <f>COUNTIF(U230:AY230,"E")</f>
      </c>
    </row>
    <row r="231" spans="1:54" x14ac:dyDescent="0.2">
      <c r="A231" s="84"/>
      <c r="B231" s="85"/>
      <c r="C231" s="85"/>
      <c r="D231" s="85"/>
      <c r="E231" s="86"/>
      <c r="F231" s="16">
        <f>IF(E231="","",DATEDIF(E231,$I$7,"Y"))</f>
      </c>
      <c r="G231" s="85"/>
      <c r="H231" s="85"/>
      <c r="I231" s="87"/>
      <c r="J231" s="85"/>
      <c r="K231" s="85"/>
      <c r="L231" s="10"/>
      <c r="M231" s="10"/>
      <c r="N231" s="10"/>
      <c r="O231" s="10"/>
      <c r="P231" s="85"/>
      <c r="Q231" s="88"/>
      <c r="R231" s="3">
        <f>IFERROR(VLOOKUP(TablaFebrero[[#This Row],[BARRIO]],SECTOR!$A:$B,2,0),"")</f>
      </c>
      <c r="S231" s="89"/>
      <c r="T231" s="90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6"/>
      <c r="AZ231" s="120">
        <f>COUNTIF(U231:AY231,"A")</f>
      </c>
      <c r="BA231" s="121">
        <f>COUNTIF(U231:AY231,"F")</f>
      </c>
      <c r="BB231" s="119">
        <f>COUNTIF(U231:AY231,"E")</f>
      </c>
    </row>
    <row r="232" spans="1:54" x14ac:dyDescent="0.2">
      <c r="A232" s="84"/>
      <c r="B232" s="85"/>
      <c r="C232" s="85"/>
      <c r="D232" s="85"/>
      <c r="E232" s="86"/>
      <c r="F232" s="16">
        <f>IF(E232="","",DATEDIF(E232,$I$7,"Y"))</f>
      </c>
      <c r="G232" s="85"/>
      <c r="H232" s="85"/>
      <c r="I232" s="87"/>
      <c r="J232" s="85"/>
      <c r="K232" s="85"/>
      <c r="L232" s="10"/>
      <c r="M232" s="10"/>
      <c r="N232" s="10"/>
      <c r="O232" s="10"/>
      <c r="P232" s="85"/>
      <c r="Q232" s="88"/>
      <c r="R232" s="3">
        <f>IFERROR(VLOOKUP(TablaFebrero[[#This Row],[BARRIO]],SECTOR!$A:$B,2,0),"")</f>
      </c>
      <c r="S232" s="89"/>
      <c r="T232" s="90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6"/>
      <c r="AZ232" s="120">
        <f>COUNTIF(U232:AY232,"A")</f>
      </c>
      <c r="BA232" s="121">
        <f>COUNTIF(U232:AY232,"F")</f>
      </c>
      <c r="BB232" s="119">
        <f>COUNTIF(U232:AY232,"E")</f>
      </c>
    </row>
    <row r="233" spans="1:54" x14ac:dyDescent="0.2">
      <c r="A233" s="84"/>
      <c r="B233" s="85"/>
      <c r="C233" s="85"/>
      <c r="D233" s="85"/>
      <c r="E233" s="86"/>
      <c r="F233" s="16">
        <f>IF(E233="","",DATEDIF(E233,$I$7,"Y"))</f>
      </c>
      <c r="G233" s="85"/>
      <c r="H233" s="85"/>
      <c r="I233" s="87"/>
      <c r="J233" s="85"/>
      <c r="K233" s="85"/>
      <c r="L233" s="10"/>
      <c r="M233" s="10"/>
      <c r="N233" s="10"/>
      <c r="O233" s="10"/>
      <c r="P233" s="85"/>
      <c r="Q233" s="88"/>
      <c r="R233" s="3">
        <f>IFERROR(VLOOKUP(TablaFebrero[[#This Row],[BARRIO]],SECTOR!$A:$B,2,0),"")</f>
      </c>
      <c r="S233" s="89"/>
      <c r="T233" s="90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6"/>
      <c r="AZ233" s="120">
        <f>COUNTIF(U233:AY233,"A")</f>
      </c>
      <c r="BA233" s="121">
        <f>COUNTIF(U233:AY233,"F")</f>
      </c>
      <c r="BB233" s="119">
        <f>COUNTIF(U233:AY233,"E")</f>
      </c>
    </row>
    <row r="234" spans="1:54" x14ac:dyDescent="0.2">
      <c r="A234" s="84"/>
      <c r="B234" s="85"/>
      <c r="C234" s="85"/>
      <c r="D234" s="85"/>
      <c r="E234" s="86"/>
      <c r="F234" s="16">
        <f>IF(E234="","",DATEDIF(E234,$I$7,"Y"))</f>
      </c>
      <c r="G234" s="85"/>
      <c r="H234" s="85"/>
      <c r="I234" s="87"/>
      <c r="J234" s="85"/>
      <c r="K234" s="85"/>
      <c r="L234" s="10"/>
      <c r="M234" s="10"/>
      <c r="N234" s="10"/>
      <c r="O234" s="10"/>
      <c r="P234" s="85"/>
      <c r="Q234" s="88"/>
      <c r="R234" s="3">
        <f>IFERROR(VLOOKUP(TablaFebrero[[#This Row],[BARRIO]],SECTOR!$A:$B,2,0),"")</f>
      </c>
      <c r="S234" s="89"/>
      <c r="T234" s="90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6"/>
      <c r="AZ234" s="120">
        <f>COUNTIF(U234:AY234,"A")</f>
      </c>
      <c r="BA234" s="121">
        <f>COUNTIF(U234:AY234,"F")</f>
      </c>
      <c r="BB234" s="119">
        <f>COUNTIF(U234:AY234,"E")</f>
      </c>
    </row>
    <row r="235" spans="1:54" x14ac:dyDescent="0.2">
      <c r="A235" s="84"/>
      <c r="B235" s="85"/>
      <c r="C235" s="85"/>
      <c r="D235" s="85"/>
      <c r="E235" s="86"/>
      <c r="F235" s="16">
        <f>IF(E235="","",DATEDIF(E235,$I$7,"Y"))</f>
      </c>
      <c r="G235" s="85"/>
      <c r="H235" s="85"/>
      <c r="I235" s="87"/>
      <c r="J235" s="85"/>
      <c r="K235" s="85"/>
      <c r="L235" s="10"/>
      <c r="M235" s="10"/>
      <c r="N235" s="10"/>
      <c r="O235" s="10"/>
      <c r="P235" s="85"/>
      <c r="Q235" s="88"/>
      <c r="R235" s="3">
        <f>IFERROR(VLOOKUP(TablaFebrero[[#This Row],[BARRIO]],SECTOR!$A:$B,2,0),"")</f>
      </c>
      <c r="S235" s="89"/>
      <c r="T235" s="90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6"/>
      <c r="AZ235" s="120">
        <f>COUNTIF(U235:AY235,"A")</f>
      </c>
      <c r="BA235" s="121">
        <f>COUNTIF(U235:AY235,"F")</f>
      </c>
      <c r="BB235" s="119">
        <f>COUNTIF(U235:AY235,"E")</f>
      </c>
    </row>
    <row r="236" spans="1:54" x14ac:dyDescent="0.2">
      <c r="A236" s="84"/>
      <c r="B236" s="85"/>
      <c r="C236" s="85"/>
      <c r="D236" s="85"/>
      <c r="E236" s="86"/>
      <c r="F236" s="16">
        <f>IF(E236="","",DATEDIF(E236,$I$7,"Y"))</f>
      </c>
      <c r="G236" s="85"/>
      <c r="H236" s="85"/>
      <c r="I236" s="87"/>
      <c r="J236" s="85"/>
      <c r="K236" s="85"/>
      <c r="L236" s="10"/>
      <c r="M236" s="10"/>
      <c r="N236" s="10"/>
      <c r="O236" s="10"/>
      <c r="P236" s="85"/>
      <c r="Q236" s="88"/>
      <c r="R236" s="3">
        <f>IFERROR(VLOOKUP(TablaFebrero[[#This Row],[BARRIO]],SECTOR!$A:$B,2,0),"")</f>
      </c>
      <c r="S236" s="89"/>
      <c r="T236" s="90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6"/>
      <c r="AZ236" s="120">
        <f>COUNTIF(U236:AY236,"A")</f>
      </c>
      <c r="BA236" s="121">
        <f>COUNTIF(U236:AY236,"F")</f>
      </c>
      <c r="BB236" s="119">
        <f>COUNTIF(U236:AY236,"E")</f>
      </c>
    </row>
    <row r="237" spans="1:54" x14ac:dyDescent="0.2">
      <c r="A237" s="84"/>
      <c r="B237" s="85"/>
      <c r="C237" s="85"/>
      <c r="D237" s="85"/>
      <c r="E237" s="86"/>
      <c r="F237" s="16">
        <f>IF(E237="","",DATEDIF(E237,$I$7,"Y"))</f>
      </c>
      <c r="G237" s="85"/>
      <c r="H237" s="85"/>
      <c r="I237" s="87"/>
      <c r="J237" s="85"/>
      <c r="K237" s="85"/>
      <c r="L237" s="10"/>
      <c r="M237" s="10"/>
      <c r="N237" s="10"/>
      <c r="O237" s="10"/>
      <c r="P237" s="85"/>
      <c r="Q237" s="88"/>
      <c r="R237" s="3">
        <f>IFERROR(VLOOKUP(TablaFebrero[[#This Row],[BARRIO]],SECTOR!$A:$B,2,0),"")</f>
      </c>
      <c r="S237" s="89"/>
      <c r="T237" s="90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6"/>
      <c r="AZ237" s="120">
        <f>COUNTIF(U237:AY237,"A")</f>
      </c>
      <c r="BA237" s="121">
        <f>COUNTIF(U237:AY237,"F")</f>
      </c>
      <c r="BB237" s="119">
        <f>COUNTIF(U237:AY237,"E")</f>
      </c>
    </row>
    <row r="238" spans="1:54" x14ac:dyDescent="0.2">
      <c r="A238" s="84"/>
      <c r="B238" s="85"/>
      <c r="C238" s="85"/>
      <c r="D238" s="85"/>
      <c r="E238" s="86"/>
      <c r="F238" s="16">
        <f>IF(E238="","",DATEDIF(E238,$I$7,"Y"))</f>
      </c>
      <c r="G238" s="85"/>
      <c r="H238" s="85"/>
      <c r="I238" s="87"/>
      <c r="J238" s="85"/>
      <c r="K238" s="85"/>
      <c r="L238" s="10"/>
      <c r="M238" s="10"/>
      <c r="N238" s="10"/>
      <c r="O238" s="10"/>
      <c r="P238" s="85"/>
      <c r="Q238" s="88"/>
      <c r="R238" s="3">
        <f>IFERROR(VLOOKUP(TablaFebrero[[#This Row],[BARRIO]],SECTOR!$A:$B,2,0),"")</f>
      </c>
      <c r="S238" s="89"/>
      <c r="T238" s="90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6"/>
      <c r="AZ238" s="120">
        <f>COUNTIF(U238:AY238,"A")</f>
      </c>
      <c r="BA238" s="121">
        <f>COUNTIF(U238:AY238,"F")</f>
      </c>
      <c r="BB238" s="119">
        <f>COUNTIF(U238:AY238,"E")</f>
      </c>
    </row>
    <row r="239" spans="1:54" x14ac:dyDescent="0.2">
      <c r="A239" s="84"/>
      <c r="B239" s="85"/>
      <c r="C239" s="85"/>
      <c r="D239" s="85"/>
      <c r="E239" s="86"/>
      <c r="F239" s="16">
        <f>IF(E239="","",DATEDIF(E239,$I$7,"Y"))</f>
      </c>
      <c r="G239" s="85"/>
      <c r="H239" s="85"/>
      <c r="I239" s="87"/>
      <c r="J239" s="85"/>
      <c r="K239" s="85"/>
      <c r="L239" s="10"/>
      <c r="M239" s="10"/>
      <c r="N239" s="10"/>
      <c r="O239" s="10"/>
      <c r="P239" s="85"/>
      <c r="Q239" s="88"/>
      <c r="R239" s="3">
        <f>IFERROR(VLOOKUP(TablaFebrero[[#This Row],[BARRIO]],SECTOR!$A:$B,2,0),"")</f>
      </c>
      <c r="S239" s="89"/>
      <c r="T239" s="90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6"/>
      <c r="AZ239" s="120">
        <f>COUNTIF(U239:AY239,"A")</f>
      </c>
      <c r="BA239" s="121">
        <f>COUNTIF(U239:AY239,"F")</f>
      </c>
      <c r="BB239" s="119">
        <f>COUNTIF(U239:AY239,"E")</f>
      </c>
    </row>
    <row r="240" spans="1:54" x14ac:dyDescent="0.2">
      <c r="A240" s="84"/>
      <c r="B240" s="85"/>
      <c r="C240" s="85"/>
      <c r="D240" s="85"/>
      <c r="E240" s="86"/>
      <c r="F240" s="16">
        <f>IF(E240="","",DATEDIF(E240,$I$7,"Y"))</f>
      </c>
      <c r="G240" s="85"/>
      <c r="H240" s="85"/>
      <c r="I240" s="87"/>
      <c r="J240" s="85"/>
      <c r="K240" s="85"/>
      <c r="L240" s="10"/>
      <c r="M240" s="10"/>
      <c r="N240" s="10"/>
      <c r="O240" s="10"/>
      <c r="P240" s="85"/>
      <c r="Q240" s="88"/>
      <c r="R240" s="3">
        <f>IFERROR(VLOOKUP(TablaFebrero[[#This Row],[BARRIO]],SECTOR!$A:$B,2,0),"")</f>
      </c>
      <c r="S240" s="89"/>
      <c r="T240" s="90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6"/>
      <c r="AZ240" s="120">
        <f>COUNTIF(U240:AY240,"A")</f>
      </c>
      <c r="BA240" s="121">
        <f>COUNTIF(U240:AY240,"F")</f>
      </c>
      <c r="BB240" s="119">
        <f>COUNTIF(U240:AY240,"E")</f>
      </c>
    </row>
    <row r="241" spans="1:54" x14ac:dyDescent="0.2">
      <c r="A241" s="84"/>
      <c r="B241" s="85"/>
      <c r="C241" s="85"/>
      <c r="D241" s="85"/>
      <c r="E241" s="86"/>
      <c r="F241" s="16">
        <f>IF(E241="","",DATEDIF(E241,$I$7,"Y"))</f>
      </c>
      <c r="G241" s="85"/>
      <c r="H241" s="85"/>
      <c r="I241" s="87"/>
      <c r="J241" s="85"/>
      <c r="K241" s="85"/>
      <c r="L241" s="10"/>
      <c r="M241" s="10"/>
      <c r="N241" s="10"/>
      <c r="O241" s="10"/>
      <c r="P241" s="85"/>
      <c r="Q241" s="88"/>
      <c r="R241" s="3">
        <f>IFERROR(VLOOKUP(TablaFebrero[[#This Row],[BARRIO]],SECTOR!$A:$B,2,0),"")</f>
      </c>
      <c r="S241" s="89"/>
      <c r="T241" s="90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6"/>
      <c r="AZ241" s="120">
        <f>COUNTIF(U241:AY241,"A")</f>
      </c>
      <c r="BA241" s="121">
        <f>COUNTIF(U241:AY241,"F")</f>
      </c>
      <c r="BB241" s="119">
        <f>COUNTIF(U241:AY241,"E")</f>
      </c>
    </row>
    <row r="242" spans="1:54" x14ac:dyDescent="0.2">
      <c r="A242" s="84"/>
      <c r="B242" s="85"/>
      <c r="C242" s="85"/>
      <c r="D242" s="85"/>
      <c r="E242" s="86"/>
      <c r="F242" s="16">
        <f>IF(E242="","",DATEDIF(E242,$I$7,"Y"))</f>
      </c>
      <c r="G242" s="85"/>
      <c r="H242" s="85"/>
      <c r="I242" s="87"/>
      <c r="J242" s="85"/>
      <c r="K242" s="85"/>
      <c r="L242" s="10"/>
      <c r="M242" s="10"/>
      <c r="N242" s="10"/>
      <c r="O242" s="10"/>
      <c r="P242" s="85"/>
      <c r="Q242" s="88"/>
      <c r="R242" s="3">
        <f>IFERROR(VLOOKUP(TablaFebrero[[#This Row],[BARRIO]],SECTOR!$A:$B,2,0),"")</f>
      </c>
      <c r="S242" s="89"/>
      <c r="T242" s="90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6"/>
      <c r="AZ242" s="120">
        <f>COUNTIF(U242:AY242,"A")</f>
      </c>
      <c r="BA242" s="121">
        <f>COUNTIF(U242:AY242,"F")</f>
      </c>
      <c r="BB242" s="119">
        <f>COUNTIF(U242:AY242,"E")</f>
      </c>
    </row>
    <row r="243" spans="1:54" x14ac:dyDescent="0.2">
      <c r="A243" s="84"/>
      <c r="B243" s="85"/>
      <c r="C243" s="85"/>
      <c r="D243" s="85"/>
      <c r="E243" s="86"/>
      <c r="F243" s="16">
        <f>IF(E243="","",DATEDIF(E243,$I$7,"Y"))</f>
      </c>
      <c r="G243" s="85"/>
      <c r="H243" s="85"/>
      <c r="I243" s="87"/>
      <c r="J243" s="85"/>
      <c r="K243" s="85"/>
      <c r="L243" s="10"/>
      <c r="M243" s="10"/>
      <c r="N243" s="10"/>
      <c r="O243" s="10"/>
      <c r="P243" s="85"/>
      <c r="Q243" s="88"/>
      <c r="R243" s="3">
        <f>IFERROR(VLOOKUP(TablaFebrero[[#This Row],[BARRIO]],SECTOR!$A:$B,2,0),"")</f>
      </c>
      <c r="S243" s="89"/>
      <c r="T243" s="90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6"/>
      <c r="AZ243" s="120">
        <f>COUNTIF(U243:AY243,"A")</f>
      </c>
      <c r="BA243" s="121">
        <f>COUNTIF(U243:AY243,"F")</f>
      </c>
      <c r="BB243" s="119">
        <f>COUNTIF(U243:AY243,"E")</f>
      </c>
    </row>
    <row r="244" spans="1:54" x14ac:dyDescent="0.2">
      <c r="A244" s="84"/>
      <c r="B244" s="85"/>
      <c r="C244" s="85"/>
      <c r="D244" s="85"/>
      <c r="E244" s="86"/>
      <c r="F244" s="16">
        <f>IF(E244="","",DATEDIF(E244,$I$7,"Y"))</f>
      </c>
      <c r="G244" s="85"/>
      <c r="H244" s="85"/>
      <c r="I244" s="87"/>
      <c r="J244" s="85"/>
      <c r="K244" s="85"/>
      <c r="L244" s="10"/>
      <c r="M244" s="10"/>
      <c r="N244" s="10"/>
      <c r="O244" s="10"/>
      <c r="P244" s="85"/>
      <c r="Q244" s="88"/>
      <c r="R244" s="3">
        <f>IFERROR(VLOOKUP(TablaFebrero[[#This Row],[BARRIO]],SECTOR!$A:$B,2,0),"")</f>
      </c>
      <c r="S244" s="89"/>
      <c r="T244" s="90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6"/>
      <c r="AZ244" s="120">
        <f>COUNTIF(U244:AY244,"A")</f>
      </c>
      <c r="BA244" s="121">
        <f>COUNTIF(U244:AY244,"F")</f>
      </c>
      <c r="BB244" s="119">
        <f>COUNTIF(U244:AY244,"E")</f>
      </c>
    </row>
    <row r="245" spans="1:54" x14ac:dyDescent="0.2">
      <c r="A245" s="84"/>
      <c r="B245" s="85"/>
      <c r="C245" s="85"/>
      <c r="D245" s="85"/>
      <c r="E245" s="86"/>
      <c r="F245" s="16">
        <f>IF(E245="","",DATEDIF(E245,$I$7,"Y"))</f>
      </c>
      <c r="G245" s="85"/>
      <c r="H245" s="85"/>
      <c r="I245" s="87"/>
      <c r="J245" s="85"/>
      <c r="K245" s="85"/>
      <c r="L245" s="10"/>
      <c r="M245" s="10"/>
      <c r="N245" s="10"/>
      <c r="O245" s="10"/>
      <c r="P245" s="85"/>
      <c r="Q245" s="88"/>
      <c r="R245" s="3">
        <f>IFERROR(VLOOKUP(TablaFebrero[[#This Row],[BARRIO]],SECTOR!$A:$B,2,0),"")</f>
      </c>
      <c r="S245" s="89"/>
      <c r="T245" s="90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6"/>
      <c r="AZ245" s="120">
        <f>COUNTIF(U245:AY245,"A")</f>
      </c>
      <c r="BA245" s="121">
        <f>COUNTIF(U245:AY245,"F")</f>
      </c>
      <c r="BB245" s="119">
        <f>COUNTIF(U245:AY245,"E")</f>
      </c>
    </row>
    <row r="246" spans="1:54" x14ac:dyDescent="0.2">
      <c r="A246" s="84"/>
      <c r="B246" s="85"/>
      <c r="C246" s="85"/>
      <c r="D246" s="85"/>
      <c r="E246" s="86"/>
      <c r="F246" s="16">
        <f>IF(E246="","",DATEDIF(E246,$I$7,"Y"))</f>
      </c>
      <c r="G246" s="85"/>
      <c r="H246" s="85"/>
      <c r="I246" s="87"/>
      <c r="J246" s="85"/>
      <c r="K246" s="85"/>
      <c r="L246" s="10"/>
      <c r="M246" s="10"/>
      <c r="N246" s="10"/>
      <c r="O246" s="10"/>
      <c r="P246" s="85"/>
      <c r="Q246" s="88"/>
      <c r="R246" s="3">
        <f>IFERROR(VLOOKUP(TablaFebrero[[#This Row],[BARRIO]],SECTOR!$A:$B,2,0),"")</f>
      </c>
      <c r="S246" s="89"/>
      <c r="T246" s="90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6"/>
      <c r="AZ246" s="120">
        <f>COUNTIF(U246:AY246,"A")</f>
      </c>
      <c r="BA246" s="121">
        <f>COUNTIF(U246:AY246,"F")</f>
      </c>
      <c r="BB246" s="119">
        <f>COUNTIF(U246:AY246,"E")</f>
      </c>
    </row>
    <row r="247" spans="1:54" x14ac:dyDescent="0.2">
      <c r="A247" s="84"/>
      <c r="B247" s="85"/>
      <c r="C247" s="85"/>
      <c r="D247" s="85"/>
      <c r="E247" s="86"/>
      <c r="F247" s="16">
        <f>IF(E247="","",DATEDIF(E247,$I$7,"Y"))</f>
      </c>
      <c r="G247" s="85"/>
      <c r="H247" s="85"/>
      <c r="I247" s="87"/>
      <c r="J247" s="85"/>
      <c r="K247" s="85"/>
      <c r="L247" s="10"/>
      <c r="M247" s="10"/>
      <c r="N247" s="10"/>
      <c r="O247" s="10"/>
      <c r="P247" s="85"/>
      <c r="Q247" s="88"/>
      <c r="R247" s="3">
        <f>IFERROR(VLOOKUP(TablaFebrero[[#This Row],[BARRIO]],SECTOR!$A:$B,2,0),"")</f>
      </c>
      <c r="S247" s="89"/>
      <c r="T247" s="90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6"/>
      <c r="AZ247" s="120">
        <f>COUNTIF(U247:AY247,"A")</f>
      </c>
      <c r="BA247" s="121">
        <f>COUNTIF(U247:AY247,"F")</f>
      </c>
      <c r="BB247" s="119">
        <f>COUNTIF(U247:AY247,"E")</f>
      </c>
    </row>
    <row r="248" spans="1:54" x14ac:dyDescent="0.2">
      <c r="A248" s="84"/>
      <c r="B248" s="85"/>
      <c r="C248" s="85"/>
      <c r="D248" s="85"/>
      <c r="E248" s="86"/>
      <c r="F248" s="16">
        <f>IF(E248="","",DATEDIF(E248,$I$7,"Y"))</f>
      </c>
      <c r="G248" s="85"/>
      <c r="H248" s="85"/>
      <c r="I248" s="87"/>
      <c r="J248" s="85"/>
      <c r="K248" s="85"/>
      <c r="L248" s="10"/>
      <c r="M248" s="10"/>
      <c r="N248" s="10"/>
      <c r="O248" s="10"/>
      <c r="P248" s="85"/>
      <c r="Q248" s="88"/>
      <c r="R248" s="3">
        <f>IFERROR(VLOOKUP(TablaFebrero[[#This Row],[BARRIO]],SECTOR!$A:$B,2,0),"")</f>
      </c>
      <c r="S248" s="89"/>
      <c r="T248" s="90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6"/>
      <c r="AZ248" s="120">
        <f>COUNTIF(U248:AY248,"A")</f>
      </c>
      <c r="BA248" s="121">
        <f>COUNTIF(U248:AY248,"F")</f>
      </c>
      <c r="BB248" s="119">
        <f>COUNTIF(U248:AY248,"E")</f>
      </c>
    </row>
    <row r="249" spans="1:54" x14ac:dyDescent="0.2">
      <c r="A249" s="84"/>
      <c r="B249" s="85"/>
      <c r="C249" s="85"/>
      <c r="D249" s="85"/>
      <c r="E249" s="86"/>
      <c r="F249" s="16">
        <f>IF(E249="","",DATEDIF(E249,$I$7,"Y"))</f>
      </c>
      <c r="G249" s="85"/>
      <c r="H249" s="85"/>
      <c r="I249" s="87"/>
      <c r="J249" s="85"/>
      <c r="K249" s="85"/>
      <c r="L249" s="10"/>
      <c r="M249" s="10"/>
      <c r="N249" s="10"/>
      <c r="O249" s="10"/>
      <c r="P249" s="85"/>
      <c r="Q249" s="88"/>
      <c r="R249" s="3">
        <f>IFERROR(VLOOKUP(TablaFebrero[[#This Row],[BARRIO]],SECTOR!$A:$B,2,0),"")</f>
      </c>
      <c r="S249" s="89"/>
      <c r="T249" s="90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6"/>
      <c r="AZ249" s="120">
        <f>COUNTIF(U249:AY249,"A")</f>
      </c>
      <c r="BA249" s="121">
        <f>COUNTIF(U249:AY249,"F")</f>
      </c>
      <c r="BB249" s="119">
        <f>COUNTIF(U249:AY249,"E")</f>
      </c>
    </row>
    <row r="250" spans="1:54" x14ac:dyDescent="0.2">
      <c r="A250" s="84"/>
      <c r="B250" s="85"/>
      <c r="C250" s="85"/>
      <c r="D250" s="85"/>
      <c r="E250" s="86"/>
      <c r="F250" s="16">
        <f>IF(E250="","",DATEDIF(E250,$I$7,"Y"))</f>
      </c>
      <c r="G250" s="85"/>
      <c r="H250" s="85"/>
      <c r="I250" s="87"/>
      <c r="J250" s="85"/>
      <c r="K250" s="85"/>
      <c r="L250" s="10"/>
      <c r="M250" s="10"/>
      <c r="N250" s="10"/>
      <c r="O250" s="10"/>
      <c r="P250" s="85"/>
      <c r="Q250" s="88"/>
      <c r="R250" s="3">
        <f>IFERROR(VLOOKUP(TablaFebrero[[#This Row],[BARRIO]],SECTOR!$A:$B,2,0),"")</f>
      </c>
      <c r="S250" s="89"/>
      <c r="T250" s="90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6"/>
      <c r="AZ250" s="120">
        <f>COUNTIF(U250:AY250,"A")</f>
      </c>
      <c r="BA250" s="121">
        <f>COUNTIF(U250:AY250,"F")</f>
      </c>
      <c r="BB250" s="119">
        <f>COUNTIF(U250:AY250,"E")</f>
      </c>
    </row>
    <row r="251" spans="1:54" x14ac:dyDescent="0.2">
      <c r="A251" s="84"/>
      <c r="B251" s="85"/>
      <c r="C251" s="85"/>
      <c r="D251" s="85"/>
      <c r="E251" s="86"/>
      <c r="F251" s="16">
        <f>IF(E251="","",DATEDIF(E251,$I$7,"Y"))</f>
      </c>
      <c r="G251" s="85"/>
      <c r="H251" s="85"/>
      <c r="I251" s="87"/>
      <c r="J251" s="85"/>
      <c r="K251" s="85"/>
      <c r="L251" s="10"/>
      <c r="M251" s="10"/>
      <c r="N251" s="10"/>
      <c r="O251" s="10"/>
      <c r="P251" s="85"/>
      <c r="Q251" s="88"/>
      <c r="R251" s="3">
        <f>IFERROR(VLOOKUP(TablaFebrero[[#This Row],[BARRIO]],SECTOR!$A:$B,2,0),"")</f>
      </c>
      <c r="S251" s="89"/>
      <c r="T251" s="90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6"/>
      <c r="AZ251" s="120">
        <f>COUNTIF(U251:AY251,"A")</f>
      </c>
      <c r="BA251" s="121">
        <f>COUNTIF(U251:AY251,"F")</f>
      </c>
      <c r="BB251" s="119">
        <f>COUNTIF(U251:AY251,"E")</f>
      </c>
    </row>
    <row r="252" spans="1:54" x14ac:dyDescent="0.2">
      <c r="A252" s="84"/>
      <c r="B252" s="85"/>
      <c r="C252" s="85"/>
      <c r="D252" s="85"/>
      <c r="E252" s="86"/>
      <c r="F252" s="16">
        <f>IF(E252="","",DATEDIF(E252,$I$7,"Y"))</f>
      </c>
      <c r="G252" s="85"/>
      <c r="H252" s="85"/>
      <c r="I252" s="87"/>
      <c r="J252" s="85"/>
      <c r="K252" s="85"/>
      <c r="L252" s="10"/>
      <c r="M252" s="10"/>
      <c r="N252" s="10"/>
      <c r="O252" s="10"/>
      <c r="P252" s="85"/>
      <c r="Q252" s="88"/>
      <c r="R252" s="3">
        <f>IFERROR(VLOOKUP(TablaFebrero[[#This Row],[BARRIO]],SECTOR!$A:$B,2,0),"")</f>
      </c>
      <c r="S252" s="89"/>
      <c r="T252" s="90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6"/>
      <c r="AZ252" s="120">
        <f>COUNTIF(U252:AY252,"A")</f>
      </c>
      <c r="BA252" s="121">
        <f>COUNTIF(U252:AY252,"F")</f>
      </c>
      <c r="BB252" s="119">
        <f>COUNTIF(U252:AY252,"E")</f>
      </c>
    </row>
    <row r="253" spans="1:54" x14ac:dyDescent="0.2">
      <c r="A253" s="84"/>
      <c r="B253" s="85"/>
      <c r="C253" s="85"/>
      <c r="D253" s="85"/>
      <c r="E253" s="86"/>
      <c r="F253" s="16">
        <f>IF(E253="","",DATEDIF(E253,$I$7,"Y"))</f>
      </c>
      <c r="G253" s="85"/>
      <c r="H253" s="85"/>
      <c r="I253" s="87"/>
      <c r="J253" s="85"/>
      <c r="K253" s="85"/>
      <c r="L253" s="10"/>
      <c r="M253" s="10"/>
      <c r="N253" s="10"/>
      <c r="O253" s="10"/>
      <c r="P253" s="85"/>
      <c r="Q253" s="88"/>
      <c r="R253" s="3">
        <f>IFERROR(VLOOKUP(TablaFebrero[[#This Row],[BARRIO]],SECTOR!$A:$B,2,0),"")</f>
      </c>
      <c r="S253" s="89"/>
      <c r="T253" s="90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6"/>
      <c r="AZ253" s="120">
        <f>COUNTIF(U253:AY253,"A")</f>
      </c>
      <c r="BA253" s="121">
        <f>COUNTIF(U253:AY253,"F")</f>
      </c>
      <c r="BB253" s="119">
        <f>COUNTIF(U253:AY253,"E")</f>
      </c>
    </row>
    <row r="254" spans="1:54" x14ac:dyDescent="0.2">
      <c r="A254" s="84"/>
      <c r="B254" s="85"/>
      <c r="C254" s="85"/>
      <c r="D254" s="85"/>
      <c r="E254" s="86"/>
      <c r="F254" s="16">
        <f>IF(E254="","",DATEDIF(E254,$I$7,"Y"))</f>
      </c>
      <c r="G254" s="85"/>
      <c r="H254" s="85"/>
      <c r="I254" s="87"/>
      <c r="J254" s="85"/>
      <c r="K254" s="85"/>
      <c r="L254" s="10"/>
      <c r="M254" s="10"/>
      <c r="N254" s="10"/>
      <c r="O254" s="10"/>
      <c r="P254" s="85"/>
      <c r="Q254" s="88"/>
      <c r="R254" s="3">
        <f>IFERROR(VLOOKUP(TablaFebrero[[#This Row],[BARRIO]],SECTOR!$A:$B,2,0),"")</f>
      </c>
      <c r="S254" s="89"/>
      <c r="T254" s="90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6"/>
      <c r="AZ254" s="120">
        <f>COUNTIF(U254:AY254,"A")</f>
      </c>
      <c r="BA254" s="121">
        <f>COUNTIF(U254:AY254,"F")</f>
      </c>
      <c r="BB254" s="119">
        <f>COUNTIF(U254:AY254,"E")</f>
      </c>
    </row>
    <row r="255" spans="1:54" x14ac:dyDescent="0.2">
      <c r="A255" s="84"/>
      <c r="B255" s="85"/>
      <c r="C255" s="85"/>
      <c r="D255" s="85"/>
      <c r="E255" s="86"/>
      <c r="F255" s="16">
        <f>IF(E255="","",DATEDIF(E255,$I$7,"Y"))</f>
      </c>
      <c r="G255" s="85"/>
      <c r="H255" s="85"/>
      <c r="I255" s="87"/>
      <c r="J255" s="85"/>
      <c r="K255" s="85"/>
      <c r="L255" s="10"/>
      <c r="M255" s="10"/>
      <c r="N255" s="10"/>
      <c r="O255" s="10"/>
      <c r="P255" s="85"/>
      <c r="Q255" s="88"/>
      <c r="R255" s="3">
        <f>IFERROR(VLOOKUP(TablaFebrero[[#This Row],[BARRIO]],SECTOR!$A:$B,2,0),"")</f>
      </c>
      <c r="S255" s="89"/>
      <c r="T255" s="90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6"/>
      <c r="AZ255" s="120">
        <f>COUNTIF(U255:AY255,"A")</f>
      </c>
      <c r="BA255" s="121">
        <f>COUNTIF(U255:AY255,"F")</f>
      </c>
      <c r="BB255" s="119">
        <f>COUNTIF(U255:AY255,"E")</f>
      </c>
    </row>
    <row r="256" spans="1:54" x14ac:dyDescent="0.2">
      <c r="A256" s="84"/>
      <c r="B256" s="85"/>
      <c r="C256" s="85"/>
      <c r="D256" s="85"/>
      <c r="E256" s="86"/>
      <c r="F256" s="16">
        <f>IF(E256="","",DATEDIF(E256,$I$7,"Y"))</f>
      </c>
      <c r="G256" s="85"/>
      <c r="H256" s="85"/>
      <c r="I256" s="87"/>
      <c r="J256" s="85"/>
      <c r="K256" s="85"/>
      <c r="L256" s="10"/>
      <c r="M256" s="10"/>
      <c r="N256" s="10"/>
      <c r="O256" s="10"/>
      <c r="P256" s="85"/>
      <c r="Q256" s="88"/>
      <c r="R256" s="3">
        <f>IFERROR(VLOOKUP(TablaFebrero[[#This Row],[BARRIO]],SECTOR!$A:$B,2,0),"")</f>
      </c>
      <c r="S256" s="89"/>
      <c r="T256" s="90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6"/>
      <c r="AZ256" s="120">
        <f>COUNTIF(U256:AY256,"A")</f>
      </c>
      <c r="BA256" s="121">
        <f>COUNTIF(U256:AY256,"F")</f>
      </c>
      <c r="BB256" s="119">
        <f>COUNTIF(U256:AY256,"E")</f>
      </c>
    </row>
    <row r="257" spans="1:54" x14ac:dyDescent="0.2">
      <c r="A257" s="84"/>
      <c r="B257" s="85"/>
      <c r="C257" s="85"/>
      <c r="D257" s="85"/>
      <c r="E257" s="86"/>
      <c r="F257" s="16">
        <f>IF(E257="","",DATEDIF(E257,$I$7,"Y"))</f>
      </c>
      <c r="G257" s="85"/>
      <c r="H257" s="85"/>
      <c r="I257" s="87"/>
      <c r="J257" s="85"/>
      <c r="K257" s="85"/>
      <c r="L257" s="10"/>
      <c r="M257" s="10"/>
      <c r="N257" s="10"/>
      <c r="O257" s="10"/>
      <c r="P257" s="85"/>
      <c r="Q257" s="88"/>
      <c r="R257" s="3">
        <f>IFERROR(VLOOKUP(TablaFebrero[[#This Row],[BARRIO]],SECTOR!$A:$B,2,0),"")</f>
      </c>
      <c r="S257" s="89"/>
      <c r="T257" s="90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6"/>
      <c r="AZ257" s="120">
        <f>COUNTIF(U257:AY257,"A")</f>
      </c>
      <c r="BA257" s="121">
        <f>COUNTIF(U257:AY257,"F")</f>
      </c>
      <c r="BB257" s="119">
        <f>COUNTIF(U257:AY257,"E")</f>
      </c>
    </row>
    <row r="258" spans="1:54" x14ac:dyDescent="0.2">
      <c r="A258" s="84"/>
      <c r="B258" s="85"/>
      <c r="C258" s="85"/>
      <c r="D258" s="85"/>
      <c r="E258" s="86"/>
      <c r="F258" s="16">
        <f>IF(E258="","",DATEDIF(E258,$I$7,"Y"))</f>
      </c>
      <c r="G258" s="85"/>
      <c r="H258" s="85"/>
      <c r="I258" s="87"/>
      <c r="J258" s="85"/>
      <c r="K258" s="85"/>
      <c r="L258" s="10"/>
      <c r="M258" s="10"/>
      <c r="N258" s="10"/>
      <c r="O258" s="10"/>
      <c r="P258" s="85"/>
      <c r="Q258" s="88"/>
      <c r="R258" s="3">
        <f>IFERROR(VLOOKUP(TablaFebrero[[#This Row],[BARRIO]],SECTOR!$A:$B,2,0),"")</f>
      </c>
      <c r="S258" s="89"/>
      <c r="T258" s="90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6"/>
      <c r="AZ258" s="120">
        <f>COUNTIF(U258:AY258,"A")</f>
      </c>
      <c r="BA258" s="121">
        <f>COUNTIF(U258:AY258,"F")</f>
      </c>
      <c r="BB258" s="119">
        <f>COUNTIF(U258:AY258,"E")</f>
      </c>
    </row>
    <row r="259" spans="1:54" x14ac:dyDescent="0.2">
      <c r="A259" s="84"/>
      <c r="B259" s="85"/>
      <c r="C259" s="85"/>
      <c r="D259" s="85"/>
      <c r="E259" s="86"/>
      <c r="F259" s="16">
        <f>IF(E259="","",DATEDIF(E259,$I$7,"Y"))</f>
      </c>
      <c r="G259" s="85"/>
      <c r="H259" s="85"/>
      <c r="I259" s="87"/>
      <c r="J259" s="85"/>
      <c r="K259" s="85"/>
      <c r="L259" s="10"/>
      <c r="M259" s="10"/>
      <c r="N259" s="10"/>
      <c r="O259" s="10"/>
      <c r="P259" s="85"/>
      <c r="Q259" s="88"/>
      <c r="R259" s="3">
        <f>IFERROR(VLOOKUP(TablaFebrero[[#This Row],[BARRIO]],SECTOR!$A:$B,2,0),"")</f>
      </c>
      <c r="S259" s="89"/>
      <c r="T259" s="90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6"/>
      <c r="AZ259" s="120">
        <f>COUNTIF(U259:AY259,"A")</f>
      </c>
      <c r="BA259" s="121">
        <f>COUNTIF(U259:AY259,"F")</f>
      </c>
      <c r="BB259" s="119">
        <f>COUNTIF(U259:AY259,"E")</f>
      </c>
    </row>
    <row r="260" spans="1:54" x14ac:dyDescent="0.2">
      <c r="A260" s="84"/>
      <c r="B260" s="85"/>
      <c r="C260" s="85"/>
      <c r="D260" s="85"/>
      <c r="E260" s="86"/>
      <c r="F260" s="16">
        <f>IF(E260="","",DATEDIF(E260,$I$7,"Y"))</f>
      </c>
      <c r="G260" s="85"/>
      <c r="H260" s="85"/>
      <c r="I260" s="87"/>
      <c r="J260" s="85"/>
      <c r="K260" s="85"/>
      <c r="L260" s="10"/>
      <c r="M260" s="10"/>
      <c r="N260" s="10"/>
      <c r="O260" s="10"/>
      <c r="P260" s="85"/>
      <c r="Q260" s="88"/>
      <c r="R260" s="3">
        <f>IFERROR(VLOOKUP(TablaFebrero[[#This Row],[BARRIO]],SECTOR!$A:$B,2,0),"")</f>
      </c>
      <c r="S260" s="89"/>
      <c r="T260" s="90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6"/>
      <c r="AZ260" s="120">
        <f>COUNTIF(U260:AY260,"A")</f>
      </c>
      <c r="BA260" s="121">
        <f>COUNTIF(U260:AY260,"F")</f>
      </c>
      <c r="BB260" s="119">
        <f>COUNTIF(U260:AY260,"E")</f>
      </c>
    </row>
    <row r="261" spans="1:54" x14ac:dyDescent="0.2">
      <c r="A261" s="84"/>
      <c r="B261" s="85"/>
      <c r="C261" s="85"/>
      <c r="D261" s="85"/>
      <c r="E261" s="86"/>
      <c r="F261" s="16">
        <f>IF(E261="","",DATEDIF(E261,$I$7,"Y"))</f>
      </c>
      <c r="G261" s="85"/>
      <c r="H261" s="85"/>
      <c r="I261" s="87"/>
      <c r="J261" s="85"/>
      <c r="K261" s="85"/>
      <c r="L261" s="10"/>
      <c r="M261" s="10"/>
      <c r="N261" s="10"/>
      <c r="O261" s="10"/>
      <c r="P261" s="85"/>
      <c r="Q261" s="88"/>
      <c r="R261" s="3">
        <f>IFERROR(VLOOKUP(TablaFebrero[[#This Row],[BARRIO]],SECTOR!$A:$B,2,0),"")</f>
      </c>
      <c r="S261" s="89"/>
      <c r="T261" s="90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6"/>
      <c r="AZ261" s="120">
        <f>COUNTIF(U261:AY261,"A")</f>
      </c>
      <c r="BA261" s="121">
        <f>COUNTIF(U261:AY261,"F")</f>
      </c>
      <c r="BB261" s="119">
        <f>COUNTIF(U261:AY261,"E")</f>
      </c>
    </row>
    <row r="262" spans="1:54" x14ac:dyDescent="0.2">
      <c r="A262" s="84"/>
      <c r="B262" s="85"/>
      <c r="C262" s="85"/>
      <c r="D262" s="85"/>
      <c r="E262" s="86"/>
      <c r="F262" s="16">
        <f>IF(E262="","",DATEDIF(E262,$I$7,"Y"))</f>
      </c>
      <c r="G262" s="85"/>
      <c r="H262" s="85"/>
      <c r="I262" s="87"/>
      <c r="J262" s="85"/>
      <c r="K262" s="85"/>
      <c r="L262" s="10"/>
      <c r="M262" s="10"/>
      <c r="N262" s="10"/>
      <c r="O262" s="10"/>
      <c r="P262" s="85"/>
      <c r="Q262" s="88"/>
      <c r="R262" s="3">
        <f>IFERROR(VLOOKUP(TablaFebrero[[#This Row],[BARRIO]],SECTOR!$A:$B,2,0),"")</f>
      </c>
      <c r="S262" s="89"/>
      <c r="T262" s="90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6"/>
      <c r="AZ262" s="120">
        <f>COUNTIF(U262:AY262,"A")</f>
      </c>
      <c r="BA262" s="121">
        <f>COUNTIF(U262:AY262,"F")</f>
      </c>
      <c r="BB262" s="119">
        <f>COUNTIF(U262:AY262,"E")</f>
      </c>
    </row>
    <row r="263" spans="1:54" x14ac:dyDescent="0.2">
      <c r="A263" s="84"/>
      <c r="B263" s="85"/>
      <c r="C263" s="85"/>
      <c r="D263" s="85"/>
      <c r="E263" s="86"/>
      <c r="F263" s="16">
        <f>IF(E263="","",DATEDIF(E263,$I$7,"Y"))</f>
      </c>
      <c r="G263" s="85"/>
      <c r="H263" s="85"/>
      <c r="I263" s="87"/>
      <c r="J263" s="85"/>
      <c r="K263" s="85"/>
      <c r="L263" s="10"/>
      <c r="M263" s="10"/>
      <c r="N263" s="10"/>
      <c r="O263" s="10"/>
      <c r="P263" s="85"/>
      <c r="Q263" s="88"/>
      <c r="R263" s="3">
        <f>IFERROR(VLOOKUP(TablaFebrero[[#This Row],[BARRIO]],SECTOR!$A:$B,2,0),"")</f>
      </c>
      <c r="S263" s="89"/>
      <c r="T263" s="90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6"/>
      <c r="AZ263" s="120">
        <f>COUNTIF(U263:AY263,"A")</f>
      </c>
      <c r="BA263" s="121">
        <f>COUNTIF(U263:AY263,"F")</f>
      </c>
      <c r="BB263" s="119">
        <f>COUNTIF(U263:AY263,"E")</f>
      </c>
    </row>
    <row r="264" spans="1:54" x14ac:dyDescent="0.2">
      <c r="A264" s="84"/>
      <c r="B264" s="85"/>
      <c r="C264" s="85"/>
      <c r="D264" s="85"/>
      <c r="E264" s="86"/>
      <c r="F264" s="16">
        <f>IF(E264="","",DATEDIF(E264,$I$7,"Y"))</f>
      </c>
      <c r="G264" s="85"/>
      <c r="H264" s="85"/>
      <c r="I264" s="87"/>
      <c r="J264" s="85"/>
      <c r="K264" s="85"/>
      <c r="L264" s="10"/>
      <c r="M264" s="10"/>
      <c r="N264" s="10"/>
      <c r="O264" s="10"/>
      <c r="P264" s="85"/>
      <c r="Q264" s="88"/>
      <c r="R264" s="3">
        <f>IFERROR(VLOOKUP(TablaFebrero[[#This Row],[BARRIO]],SECTOR!$A:$B,2,0),"")</f>
      </c>
      <c r="S264" s="89"/>
      <c r="T264" s="90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6"/>
      <c r="AZ264" s="120">
        <f>COUNTIF(U264:AY264,"A")</f>
      </c>
      <c r="BA264" s="121">
        <f>COUNTIF(U264:AY264,"F")</f>
      </c>
      <c r="BB264" s="119">
        <f>COUNTIF(U264:AY264,"E")</f>
      </c>
    </row>
    <row r="265" spans="1:54" x14ac:dyDescent="0.2">
      <c r="A265" s="84"/>
      <c r="B265" s="85"/>
      <c r="C265" s="85"/>
      <c r="D265" s="85"/>
      <c r="E265" s="86"/>
      <c r="F265" s="16">
        <f>IF(E265="","",DATEDIF(E265,$I$7,"Y"))</f>
      </c>
      <c r="G265" s="85"/>
      <c r="H265" s="85"/>
      <c r="I265" s="87"/>
      <c r="J265" s="85"/>
      <c r="K265" s="85"/>
      <c r="L265" s="10"/>
      <c r="M265" s="10"/>
      <c r="N265" s="10"/>
      <c r="O265" s="10"/>
      <c r="P265" s="85"/>
      <c r="Q265" s="88"/>
      <c r="R265" s="3">
        <f>IFERROR(VLOOKUP(TablaFebrero[[#This Row],[BARRIO]],SECTOR!$A:$B,2,0),"")</f>
      </c>
      <c r="S265" s="89"/>
      <c r="T265" s="90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6"/>
      <c r="AZ265" s="120">
        <f>COUNTIF(U265:AY265,"A")</f>
      </c>
      <c r="BA265" s="121">
        <f>COUNTIF(U265:AY265,"F")</f>
      </c>
      <c r="BB265" s="119">
        <f>COUNTIF(U265:AY265,"E")</f>
      </c>
    </row>
    <row r="266" spans="1:54" x14ac:dyDescent="0.2">
      <c r="A266" s="84"/>
      <c r="B266" s="85"/>
      <c r="C266" s="85"/>
      <c r="D266" s="85"/>
      <c r="E266" s="86"/>
      <c r="F266" s="16">
        <f>IF(E266="","",DATEDIF(E266,$I$7,"Y"))</f>
      </c>
      <c r="G266" s="85"/>
      <c r="H266" s="85"/>
      <c r="I266" s="87"/>
      <c r="J266" s="85"/>
      <c r="K266" s="85"/>
      <c r="L266" s="10"/>
      <c r="M266" s="10"/>
      <c r="N266" s="10"/>
      <c r="O266" s="10"/>
      <c r="P266" s="85"/>
      <c r="Q266" s="88"/>
      <c r="R266" s="3">
        <f>IFERROR(VLOOKUP(TablaFebrero[[#This Row],[BARRIO]],SECTOR!$A:$B,2,0),"")</f>
      </c>
      <c r="S266" s="89"/>
      <c r="T266" s="90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6"/>
      <c r="AZ266" s="120">
        <f>COUNTIF(U266:AY266,"A")</f>
      </c>
      <c r="BA266" s="121">
        <f>COUNTIF(U266:AY266,"F")</f>
      </c>
      <c r="BB266" s="119">
        <f>COUNTIF(U266:AY266,"E")</f>
      </c>
    </row>
    <row r="267" spans="1:54" x14ac:dyDescent="0.2">
      <c r="A267" s="84"/>
      <c r="B267" s="85"/>
      <c r="C267" s="85"/>
      <c r="D267" s="85"/>
      <c r="E267" s="86"/>
      <c r="F267" s="16">
        <f>IF(E267="","",DATEDIF(E267,$I$7,"Y"))</f>
      </c>
      <c r="G267" s="85"/>
      <c r="H267" s="85"/>
      <c r="I267" s="87"/>
      <c r="J267" s="85"/>
      <c r="K267" s="85"/>
      <c r="L267" s="10"/>
      <c r="M267" s="10"/>
      <c r="N267" s="10"/>
      <c r="O267" s="10"/>
      <c r="P267" s="85"/>
      <c r="Q267" s="88"/>
      <c r="R267" s="3">
        <f>IFERROR(VLOOKUP(TablaFebrero[[#This Row],[BARRIO]],SECTOR!$A:$B,2,0),"")</f>
      </c>
      <c r="S267" s="89"/>
      <c r="T267" s="90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6"/>
      <c r="AZ267" s="120">
        <f>COUNTIF(U267:AY267,"A")</f>
      </c>
      <c r="BA267" s="121">
        <f>COUNTIF(U267:AY267,"F")</f>
      </c>
      <c r="BB267" s="119">
        <f>COUNTIF(U267:AY267,"E")</f>
      </c>
    </row>
    <row r="268" spans="1:54" x14ac:dyDescent="0.2">
      <c r="A268" s="84"/>
      <c r="B268" s="85"/>
      <c r="C268" s="85"/>
      <c r="D268" s="85"/>
      <c r="E268" s="86"/>
      <c r="F268" s="16">
        <f>IF(E268="","",DATEDIF(E268,$I$7,"Y"))</f>
      </c>
      <c r="G268" s="85"/>
      <c r="H268" s="85"/>
      <c r="I268" s="87"/>
      <c r="J268" s="85"/>
      <c r="K268" s="85"/>
      <c r="L268" s="10"/>
      <c r="M268" s="10"/>
      <c r="N268" s="10"/>
      <c r="O268" s="10"/>
      <c r="P268" s="85"/>
      <c r="Q268" s="88"/>
      <c r="R268" s="3">
        <f>IFERROR(VLOOKUP(TablaFebrero[[#This Row],[BARRIO]],SECTOR!$A:$B,2,0),"")</f>
      </c>
      <c r="S268" s="89"/>
      <c r="T268" s="90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6"/>
      <c r="AZ268" s="120">
        <f>COUNTIF(U268:AY268,"A")</f>
      </c>
      <c r="BA268" s="121">
        <f>COUNTIF(U268:AY268,"F")</f>
      </c>
      <c r="BB268" s="119">
        <f>COUNTIF(U268:AY268,"E")</f>
      </c>
    </row>
    <row r="269" spans="1:54" x14ac:dyDescent="0.2">
      <c r="A269" s="84"/>
      <c r="B269" s="85"/>
      <c r="C269" s="85"/>
      <c r="D269" s="85"/>
      <c r="E269" s="86"/>
      <c r="F269" s="16">
        <f>IF(E269="","",DATEDIF(E269,$I$7,"Y"))</f>
      </c>
      <c r="G269" s="85"/>
      <c r="H269" s="85"/>
      <c r="I269" s="87"/>
      <c r="J269" s="85"/>
      <c r="K269" s="85"/>
      <c r="L269" s="10"/>
      <c r="M269" s="10"/>
      <c r="N269" s="10"/>
      <c r="O269" s="10"/>
      <c r="P269" s="85"/>
      <c r="Q269" s="88"/>
      <c r="R269" s="3">
        <f>IFERROR(VLOOKUP(TablaFebrero[[#This Row],[BARRIO]],SECTOR!$A:$B,2,0),"")</f>
      </c>
      <c r="S269" s="89"/>
      <c r="T269" s="90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6"/>
      <c r="AZ269" s="120">
        <f>COUNTIF(U269:AY269,"A")</f>
      </c>
      <c r="BA269" s="121">
        <f>COUNTIF(U269:AY269,"F")</f>
      </c>
      <c r="BB269" s="119">
        <f>COUNTIF(U269:AY269,"E")</f>
      </c>
    </row>
    <row r="270" spans="1:54" x14ac:dyDescent="0.2">
      <c r="A270" s="84"/>
      <c r="B270" s="85"/>
      <c r="C270" s="85"/>
      <c r="D270" s="85"/>
      <c r="E270" s="86"/>
      <c r="F270" s="16">
        <f>IF(E270="","",DATEDIF(E270,$I$7,"Y"))</f>
      </c>
      <c r="G270" s="85"/>
      <c r="H270" s="85"/>
      <c r="I270" s="87"/>
      <c r="J270" s="85"/>
      <c r="K270" s="85"/>
      <c r="L270" s="10"/>
      <c r="M270" s="10"/>
      <c r="N270" s="10"/>
      <c r="O270" s="10"/>
      <c r="P270" s="85"/>
      <c r="Q270" s="88"/>
      <c r="R270" s="3">
        <f>IFERROR(VLOOKUP(TablaFebrero[[#This Row],[BARRIO]],SECTOR!$A:$B,2,0),"")</f>
      </c>
      <c r="S270" s="89"/>
      <c r="T270" s="90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6"/>
      <c r="AZ270" s="120">
        <f>COUNTIF(U270:AY270,"A")</f>
      </c>
      <c r="BA270" s="121">
        <f>COUNTIF(U270:AY270,"F")</f>
      </c>
      <c r="BB270" s="119">
        <f>COUNTIF(U270:AY270,"E")</f>
      </c>
    </row>
    <row r="271" spans="1:54" x14ac:dyDescent="0.2">
      <c r="A271" s="84"/>
      <c r="B271" s="85"/>
      <c r="C271" s="85"/>
      <c r="D271" s="85"/>
      <c r="E271" s="86"/>
      <c r="F271" s="16">
        <f>IF(E271="","",DATEDIF(E271,$I$7,"Y"))</f>
      </c>
      <c r="G271" s="85"/>
      <c r="H271" s="85"/>
      <c r="I271" s="87"/>
      <c r="J271" s="85"/>
      <c r="K271" s="85"/>
      <c r="L271" s="10"/>
      <c r="M271" s="10"/>
      <c r="N271" s="10"/>
      <c r="O271" s="10"/>
      <c r="P271" s="85"/>
      <c r="Q271" s="88"/>
      <c r="R271" s="3">
        <f>IFERROR(VLOOKUP(TablaFebrero[[#This Row],[BARRIO]],SECTOR!$A:$B,2,0),"")</f>
      </c>
      <c r="S271" s="89"/>
      <c r="T271" s="90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6"/>
      <c r="AZ271" s="120">
        <f>COUNTIF(U271:AY271,"A")</f>
      </c>
      <c r="BA271" s="121">
        <f>COUNTIF(U271:AY271,"F")</f>
      </c>
      <c r="BB271" s="119">
        <f>COUNTIF(U271:AY271,"E")</f>
      </c>
    </row>
    <row r="272" spans="1:54" x14ac:dyDescent="0.2">
      <c r="A272" s="84"/>
      <c r="B272" s="85"/>
      <c r="C272" s="85"/>
      <c r="D272" s="85"/>
      <c r="E272" s="86"/>
      <c r="F272" s="16">
        <f>IF(E272="","",DATEDIF(E272,$I$7,"Y"))</f>
      </c>
      <c r="G272" s="85"/>
      <c r="H272" s="85"/>
      <c r="I272" s="87"/>
      <c r="J272" s="85"/>
      <c r="K272" s="85"/>
      <c r="L272" s="10"/>
      <c r="M272" s="10"/>
      <c r="N272" s="10"/>
      <c r="O272" s="10"/>
      <c r="P272" s="85"/>
      <c r="Q272" s="88"/>
      <c r="R272" s="3">
        <f>IFERROR(VLOOKUP(TablaFebrero[[#This Row],[BARRIO]],SECTOR!$A:$B,2,0),"")</f>
      </c>
      <c r="S272" s="89"/>
      <c r="T272" s="90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6"/>
      <c r="AZ272" s="120">
        <f>COUNTIF(U272:AY272,"A")</f>
      </c>
      <c r="BA272" s="121">
        <f>COUNTIF(U272:AY272,"F")</f>
      </c>
      <c r="BB272" s="119">
        <f>COUNTIF(U272:AY272,"E")</f>
      </c>
    </row>
    <row r="273" spans="1:54" x14ac:dyDescent="0.2">
      <c r="A273" s="84"/>
      <c r="B273" s="85"/>
      <c r="C273" s="85"/>
      <c r="D273" s="85"/>
      <c r="E273" s="86"/>
      <c r="F273" s="16">
        <f>IF(E273="","",DATEDIF(E273,$I$7,"Y"))</f>
      </c>
      <c r="G273" s="85"/>
      <c r="H273" s="85"/>
      <c r="I273" s="87"/>
      <c r="J273" s="85"/>
      <c r="K273" s="85"/>
      <c r="L273" s="10"/>
      <c r="M273" s="10"/>
      <c r="N273" s="10"/>
      <c r="O273" s="10"/>
      <c r="P273" s="85"/>
      <c r="Q273" s="88"/>
      <c r="R273" s="3">
        <f>IFERROR(VLOOKUP(TablaFebrero[[#This Row],[BARRIO]],SECTOR!$A:$B,2,0),"")</f>
      </c>
      <c r="S273" s="89"/>
      <c r="T273" s="90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6"/>
      <c r="AZ273" s="120">
        <f>COUNTIF(U273:AY273,"A")</f>
      </c>
      <c r="BA273" s="121">
        <f>COUNTIF(U273:AY273,"F")</f>
      </c>
      <c r="BB273" s="119">
        <f>COUNTIF(U273:AY273,"E")</f>
      </c>
    </row>
    <row r="274" spans="1:54" x14ac:dyDescent="0.2">
      <c r="A274" s="84"/>
      <c r="B274" s="85"/>
      <c r="C274" s="85"/>
      <c r="D274" s="85"/>
      <c r="E274" s="86"/>
      <c r="F274" s="16">
        <f>IF(E274="","",DATEDIF(E274,$I$7,"Y"))</f>
      </c>
      <c r="G274" s="85"/>
      <c r="H274" s="85"/>
      <c r="I274" s="87"/>
      <c r="J274" s="85"/>
      <c r="K274" s="85"/>
      <c r="L274" s="10"/>
      <c r="M274" s="10"/>
      <c r="N274" s="10"/>
      <c r="O274" s="10"/>
      <c r="P274" s="85"/>
      <c r="Q274" s="88"/>
      <c r="R274" s="3">
        <f>IFERROR(VLOOKUP(TablaFebrero[[#This Row],[BARRIO]],SECTOR!$A:$B,2,0),"")</f>
      </c>
      <c r="S274" s="89"/>
      <c r="T274" s="90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6"/>
      <c r="AZ274" s="120">
        <f>COUNTIF(U274:AY274,"A")</f>
      </c>
      <c r="BA274" s="121">
        <f>COUNTIF(U274:AY274,"F")</f>
      </c>
      <c r="BB274" s="119">
        <f>COUNTIF(U274:AY274,"E")</f>
      </c>
    </row>
    <row r="275" spans="1:54" x14ac:dyDescent="0.2">
      <c r="A275" s="84"/>
      <c r="B275" s="85"/>
      <c r="C275" s="85"/>
      <c r="D275" s="85"/>
      <c r="E275" s="86"/>
      <c r="F275" s="16">
        <f>IF(E275="","",DATEDIF(E275,$I$7,"Y"))</f>
      </c>
      <c r="G275" s="85"/>
      <c r="H275" s="85"/>
      <c r="I275" s="87"/>
      <c r="J275" s="85"/>
      <c r="K275" s="85"/>
      <c r="L275" s="10"/>
      <c r="M275" s="10"/>
      <c r="N275" s="10"/>
      <c r="O275" s="10"/>
      <c r="P275" s="85"/>
      <c r="Q275" s="88"/>
      <c r="R275" s="3">
        <f>IFERROR(VLOOKUP(TablaFebrero[[#This Row],[BARRIO]],SECTOR!$A:$B,2,0),"")</f>
      </c>
      <c r="S275" s="89"/>
      <c r="T275" s="90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6"/>
      <c r="AZ275" s="120">
        <f>COUNTIF(U275:AY275,"A")</f>
      </c>
      <c r="BA275" s="121">
        <f>COUNTIF(U275:AY275,"F")</f>
      </c>
      <c r="BB275" s="119">
        <f>COUNTIF(U275:AY275,"E")</f>
      </c>
    </row>
    <row r="276" spans="1:54" x14ac:dyDescent="0.2">
      <c r="A276" s="84"/>
      <c r="B276" s="85"/>
      <c r="C276" s="85"/>
      <c r="D276" s="85"/>
      <c r="E276" s="86"/>
      <c r="F276" s="16">
        <f>IF(E276="","",DATEDIF(E276,$I$7,"Y"))</f>
      </c>
      <c r="G276" s="85"/>
      <c r="H276" s="85"/>
      <c r="I276" s="87"/>
      <c r="J276" s="85"/>
      <c r="K276" s="85"/>
      <c r="L276" s="10"/>
      <c r="M276" s="10"/>
      <c r="N276" s="10"/>
      <c r="O276" s="10"/>
      <c r="P276" s="85"/>
      <c r="Q276" s="88"/>
      <c r="R276" s="3">
        <f>IFERROR(VLOOKUP(TablaFebrero[[#This Row],[BARRIO]],SECTOR!$A:$B,2,0),"")</f>
      </c>
      <c r="S276" s="89"/>
      <c r="T276" s="90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6"/>
      <c r="AZ276" s="120">
        <f>COUNTIF(U276:AY276,"A")</f>
      </c>
      <c r="BA276" s="121">
        <f>COUNTIF(U276:AY276,"F")</f>
      </c>
      <c r="BB276" s="119">
        <f>COUNTIF(U276:AY276,"E")</f>
      </c>
    </row>
    <row r="277" spans="1:54" x14ac:dyDescent="0.2">
      <c r="A277" s="84"/>
      <c r="B277" s="85"/>
      <c r="C277" s="85"/>
      <c r="D277" s="85"/>
      <c r="E277" s="86"/>
      <c r="F277" s="16">
        <f>IF(E277="","",DATEDIF(E277,$I$7,"Y"))</f>
      </c>
      <c r="G277" s="85"/>
      <c r="H277" s="85"/>
      <c r="I277" s="87"/>
      <c r="J277" s="85"/>
      <c r="K277" s="85"/>
      <c r="L277" s="10"/>
      <c r="M277" s="10"/>
      <c r="N277" s="10"/>
      <c r="O277" s="10"/>
      <c r="P277" s="85"/>
      <c r="Q277" s="88"/>
      <c r="R277" s="3">
        <f>IFERROR(VLOOKUP(TablaFebrero[[#This Row],[BARRIO]],SECTOR!$A:$B,2,0),"")</f>
      </c>
      <c r="S277" s="89"/>
      <c r="T277" s="90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6"/>
      <c r="AZ277" s="120">
        <f>COUNTIF(U277:AY277,"A")</f>
      </c>
      <c r="BA277" s="121">
        <f>COUNTIF(U277:AY277,"F")</f>
      </c>
      <c r="BB277" s="119">
        <f>COUNTIF(U277:AY277,"E")</f>
      </c>
    </row>
    <row r="278" spans="1:54" x14ac:dyDescent="0.2">
      <c r="A278" s="84"/>
      <c r="B278" s="85"/>
      <c r="C278" s="85"/>
      <c r="D278" s="85"/>
      <c r="E278" s="86"/>
      <c r="F278" s="16">
        <f>IF(E278="","",DATEDIF(E278,$I$7,"Y"))</f>
      </c>
      <c r="G278" s="85"/>
      <c r="H278" s="85"/>
      <c r="I278" s="87"/>
      <c r="J278" s="85"/>
      <c r="K278" s="85"/>
      <c r="L278" s="10"/>
      <c r="M278" s="10"/>
      <c r="N278" s="10"/>
      <c r="O278" s="10"/>
      <c r="P278" s="85"/>
      <c r="Q278" s="88"/>
      <c r="R278" s="3">
        <f>IFERROR(VLOOKUP(TablaFebrero[[#This Row],[BARRIO]],SECTOR!$A:$B,2,0),"")</f>
      </c>
      <c r="S278" s="89"/>
      <c r="T278" s="90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6"/>
      <c r="AZ278" s="120">
        <f>COUNTIF(U278:AY278,"A")</f>
      </c>
      <c r="BA278" s="121">
        <f>COUNTIF(U278:AY278,"F")</f>
      </c>
      <c r="BB278" s="119">
        <f>COUNTIF(U278:AY278,"E")</f>
      </c>
    </row>
    <row r="279" spans="1:54" x14ac:dyDescent="0.2">
      <c r="A279" s="84"/>
      <c r="B279" s="85"/>
      <c r="C279" s="85"/>
      <c r="D279" s="85"/>
      <c r="E279" s="86"/>
      <c r="F279" s="16">
        <f>IF(E279="","",DATEDIF(E279,$I$7,"Y"))</f>
      </c>
      <c r="G279" s="85"/>
      <c r="H279" s="85"/>
      <c r="I279" s="87"/>
      <c r="J279" s="85"/>
      <c r="K279" s="85"/>
      <c r="L279" s="10"/>
      <c r="M279" s="10"/>
      <c r="N279" s="10"/>
      <c r="O279" s="10"/>
      <c r="P279" s="85"/>
      <c r="Q279" s="88"/>
      <c r="R279" s="3">
        <f>IFERROR(VLOOKUP(TablaFebrero[[#This Row],[BARRIO]],SECTOR!$A:$B,2,0),"")</f>
      </c>
      <c r="S279" s="89"/>
      <c r="T279" s="90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6"/>
      <c r="AZ279" s="120">
        <f>COUNTIF(U279:AY279,"A")</f>
      </c>
      <c r="BA279" s="121">
        <f>COUNTIF(U279:AY279,"F")</f>
      </c>
      <c r="BB279" s="119">
        <f>COUNTIF(U279:AY279,"E")</f>
      </c>
    </row>
    <row r="280" spans="1:54" x14ac:dyDescent="0.2">
      <c r="A280" s="84"/>
      <c r="B280" s="85"/>
      <c r="C280" s="85"/>
      <c r="D280" s="85"/>
      <c r="E280" s="86"/>
      <c r="F280" s="16">
        <f>IF(E280="","",DATEDIF(E280,$I$7,"Y"))</f>
      </c>
      <c r="G280" s="85"/>
      <c r="H280" s="85"/>
      <c r="I280" s="87"/>
      <c r="J280" s="85"/>
      <c r="K280" s="85"/>
      <c r="L280" s="10"/>
      <c r="M280" s="10"/>
      <c r="N280" s="10"/>
      <c r="O280" s="10"/>
      <c r="P280" s="85"/>
      <c r="Q280" s="88"/>
      <c r="R280" s="3">
        <f>IFERROR(VLOOKUP(TablaFebrero[[#This Row],[BARRIO]],SECTOR!$A:$B,2,0),"")</f>
      </c>
      <c r="S280" s="89"/>
      <c r="T280" s="90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6"/>
      <c r="AZ280" s="120">
        <f>COUNTIF(U280:AY280,"A")</f>
      </c>
      <c r="BA280" s="121">
        <f>COUNTIF(U280:AY280,"F")</f>
      </c>
      <c r="BB280" s="119">
        <f>COUNTIF(U280:AY280,"E")</f>
      </c>
    </row>
    <row r="281" spans="1:54" x14ac:dyDescent="0.2">
      <c r="A281" s="84"/>
      <c r="B281" s="85"/>
      <c r="C281" s="85"/>
      <c r="D281" s="85"/>
      <c r="E281" s="86"/>
      <c r="F281" s="16">
        <f>IF(E281="","",DATEDIF(E281,$I$7,"Y"))</f>
      </c>
      <c r="G281" s="85"/>
      <c r="H281" s="85"/>
      <c r="I281" s="87"/>
      <c r="J281" s="85"/>
      <c r="K281" s="85"/>
      <c r="L281" s="10"/>
      <c r="M281" s="10"/>
      <c r="N281" s="10"/>
      <c r="O281" s="10"/>
      <c r="P281" s="85"/>
      <c r="Q281" s="88"/>
      <c r="R281" s="3">
        <f>IFERROR(VLOOKUP(TablaFebrero[[#This Row],[BARRIO]],SECTOR!$A:$B,2,0),"")</f>
      </c>
      <c r="S281" s="89"/>
      <c r="T281" s="90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6"/>
      <c r="AZ281" s="120">
        <f>COUNTIF(U281:AY281,"A")</f>
      </c>
      <c r="BA281" s="121">
        <f>COUNTIF(U281:AY281,"F")</f>
      </c>
      <c r="BB281" s="119">
        <f>COUNTIF(U281:AY281,"E")</f>
      </c>
    </row>
    <row r="282" spans="1:54" x14ac:dyDescent="0.2">
      <c r="A282" s="84"/>
      <c r="B282" s="85"/>
      <c r="C282" s="85"/>
      <c r="D282" s="85"/>
      <c r="E282" s="86"/>
      <c r="F282" s="16">
        <f>IF(E282="","",DATEDIF(E282,$I$7,"Y"))</f>
      </c>
      <c r="G282" s="85"/>
      <c r="H282" s="85"/>
      <c r="I282" s="87"/>
      <c r="J282" s="85"/>
      <c r="K282" s="85"/>
      <c r="L282" s="10"/>
      <c r="M282" s="10"/>
      <c r="N282" s="10"/>
      <c r="O282" s="10"/>
      <c r="P282" s="85"/>
      <c r="Q282" s="88"/>
      <c r="R282" s="3">
        <f>IFERROR(VLOOKUP(TablaFebrero[[#This Row],[BARRIO]],SECTOR!$A:$B,2,0),"")</f>
      </c>
      <c r="S282" s="89"/>
      <c r="T282" s="90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6"/>
      <c r="AZ282" s="120">
        <f>COUNTIF(U282:AY282,"A")</f>
      </c>
      <c r="BA282" s="121">
        <f>COUNTIF(U282:AY282,"F")</f>
      </c>
      <c r="BB282" s="119">
        <f>COUNTIF(U282:AY282,"E")</f>
      </c>
    </row>
    <row r="283" spans="1:54" x14ac:dyDescent="0.2">
      <c r="A283" s="84"/>
      <c r="B283" s="85"/>
      <c r="C283" s="85"/>
      <c r="D283" s="85"/>
      <c r="E283" s="86"/>
      <c r="F283" s="16">
        <f>IF(E283="","",DATEDIF(E283,$I$7,"Y"))</f>
      </c>
      <c r="G283" s="85"/>
      <c r="H283" s="85"/>
      <c r="I283" s="87"/>
      <c r="J283" s="85"/>
      <c r="K283" s="85"/>
      <c r="L283" s="10"/>
      <c r="M283" s="10"/>
      <c r="N283" s="10"/>
      <c r="O283" s="10"/>
      <c r="P283" s="85"/>
      <c r="Q283" s="88"/>
      <c r="R283" s="3">
        <f>IFERROR(VLOOKUP(TablaFebrero[[#This Row],[BARRIO]],SECTOR!$A:$B,2,0),"")</f>
      </c>
      <c r="S283" s="89"/>
      <c r="T283" s="90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6"/>
      <c r="AZ283" s="120">
        <f>COUNTIF(U283:AY283,"A")</f>
      </c>
      <c r="BA283" s="121">
        <f>COUNTIF(U283:AY283,"F")</f>
      </c>
      <c r="BB283" s="119">
        <f>COUNTIF(U283:AY283,"E")</f>
      </c>
    </row>
    <row r="284" spans="1:54" x14ac:dyDescent="0.2">
      <c r="A284" s="84"/>
      <c r="B284" s="85"/>
      <c r="C284" s="85"/>
      <c r="D284" s="85"/>
      <c r="E284" s="86"/>
      <c r="F284" s="16">
        <f>IF(E284="","",DATEDIF(E284,$I$7,"Y"))</f>
      </c>
      <c r="G284" s="85"/>
      <c r="H284" s="85"/>
      <c r="I284" s="87"/>
      <c r="J284" s="85"/>
      <c r="K284" s="85"/>
      <c r="L284" s="10"/>
      <c r="M284" s="10"/>
      <c r="N284" s="10"/>
      <c r="O284" s="10"/>
      <c r="P284" s="85"/>
      <c r="Q284" s="88"/>
      <c r="R284" s="3">
        <f>IFERROR(VLOOKUP(TablaFebrero[[#This Row],[BARRIO]],SECTOR!$A:$B,2,0),"")</f>
      </c>
      <c r="S284" s="89"/>
      <c r="T284" s="90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6"/>
      <c r="AZ284" s="120">
        <f>COUNTIF(U284:AY284,"A")</f>
      </c>
      <c r="BA284" s="121">
        <f>COUNTIF(U284:AY284,"F")</f>
      </c>
      <c r="BB284" s="119">
        <f>COUNTIF(U284:AY284,"E")</f>
      </c>
    </row>
    <row r="285" spans="1:54" x14ac:dyDescent="0.2">
      <c r="A285" s="84"/>
      <c r="B285" s="85"/>
      <c r="C285" s="85"/>
      <c r="D285" s="85"/>
      <c r="E285" s="86"/>
      <c r="F285" s="16">
        <f>IF(E285="","",DATEDIF(E285,$I$7,"Y"))</f>
      </c>
      <c r="G285" s="85"/>
      <c r="H285" s="85"/>
      <c r="I285" s="87"/>
      <c r="J285" s="85"/>
      <c r="K285" s="85"/>
      <c r="L285" s="10"/>
      <c r="M285" s="10"/>
      <c r="N285" s="10"/>
      <c r="O285" s="10"/>
      <c r="P285" s="85"/>
      <c r="Q285" s="88"/>
      <c r="R285" s="3">
        <f>IFERROR(VLOOKUP(TablaFebrero[[#This Row],[BARRIO]],SECTOR!$A:$B,2,0),"")</f>
      </c>
      <c r="S285" s="89"/>
      <c r="T285" s="90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6"/>
      <c r="AZ285" s="120">
        <f>COUNTIF(U285:AY285,"A")</f>
      </c>
      <c r="BA285" s="121">
        <f>COUNTIF(U285:AY285,"F")</f>
      </c>
      <c r="BB285" s="119">
        <f>COUNTIF(U285:AY285,"E")</f>
      </c>
    </row>
    <row r="286" spans="1:54" x14ac:dyDescent="0.2">
      <c r="A286" s="84"/>
      <c r="B286" s="85"/>
      <c r="C286" s="85"/>
      <c r="D286" s="85"/>
      <c r="E286" s="86"/>
      <c r="F286" s="16">
        <f>IF(E286="","",DATEDIF(E286,$I$7,"Y"))</f>
      </c>
      <c r="G286" s="85"/>
      <c r="H286" s="85"/>
      <c r="I286" s="87"/>
      <c r="J286" s="85"/>
      <c r="K286" s="85"/>
      <c r="L286" s="10"/>
      <c r="M286" s="10"/>
      <c r="N286" s="10"/>
      <c r="O286" s="10"/>
      <c r="P286" s="85"/>
      <c r="Q286" s="88"/>
      <c r="R286" s="3">
        <f>IFERROR(VLOOKUP(TablaFebrero[[#This Row],[BARRIO]],SECTOR!$A:$B,2,0),"")</f>
      </c>
      <c r="S286" s="89"/>
      <c r="T286" s="90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6"/>
      <c r="AZ286" s="120">
        <f>COUNTIF(U286:AY286,"A")</f>
      </c>
      <c r="BA286" s="121">
        <f>COUNTIF(U286:AY286,"F")</f>
      </c>
      <c r="BB286" s="119">
        <f>COUNTIF(U286:AY286,"E")</f>
      </c>
    </row>
    <row r="287" spans="1:54" x14ac:dyDescent="0.2">
      <c r="A287" s="84"/>
      <c r="B287" s="85"/>
      <c r="C287" s="85"/>
      <c r="D287" s="85"/>
      <c r="E287" s="86"/>
      <c r="F287" s="16">
        <f>IF(E287="","",DATEDIF(E287,$I$7,"Y"))</f>
      </c>
      <c r="G287" s="85"/>
      <c r="H287" s="85"/>
      <c r="I287" s="87"/>
      <c r="J287" s="85"/>
      <c r="K287" s="85"/>
      <c r="L287" s="10"/>
      <c r="M287" s="10"/>
      <c r="N287" s="10"/>
      <c r="O287" s="10"/>
      <c r="P287" s="85"/>
      <c r="Q287" s="88"/>
      <c r="R287" s="3">
        <f>IFERROR(VLOOKUP(TablaFebrero[[#This Row],[BARRIO]],SECTOR!$A:$B,2,0),"")</f>
      </c>
      <c r="S287" s="89"/>
      <c r="T287" s="90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6"/>
      <c r="AZ287" s="120">
        <f>COUNTIF(U287:AY287,"A")</f>
      </c>
      <c r="BA287" s="121">
        <f>COUNTIF(U287:AY287,"F")</f>
      </c>
      <c r="BB287" s="119">
        <f>COUNTIF(U287:AY287,"E")</f>
      </c>
    </row>
    <row r="288" spans="1:54" x14ac:dyDescent="0.2">
      <c r="A288" s="84"/>
      <c r="B288" s="85"/>
      <c r="C288" s="85"/>
      <c r="D288" s="85"/>
      <c r="E288" s="86"/>
      <c r="F288" s="16">
        <f>IF(E288="","",DATEDIF(E288,$I$7,"Y"))</f>
      </c>
      <c r="G288" s="85"/>
      <c r="H288" s="85"/>
      <c r="I288" s="87"/>
      <c r="J288" s="85"/>
      <c r="K288" s="85"/>
      <c r="L288" s="10"/>
      <c r="M288" s="10"/>
      <c r="N288" s="10"/>
      <c r="O288" s="10"/>
      <c r="P288" s="85"/>
      <c r="Q288" s="88"/>
      <c r="R288" s="3">
        <f>IFERROR(VLOOKUP(TablaFebrero[[#This Row],[BARRIO]],SECTOR!$A:$B,2,0),"")</f>
      </c>
      <c r="S288" s="89"/>
      <c r="T288" s="90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6"/>
      <c r="AZ288" s="120">
        <f>COUNTIF(U288:AY288,"A")</f>
      </c>
      <c r="BA288" s="121">
        <f>COUNTIF(U288:AY288,"F")</f>
      </c>
      <c r="BB288" s="119">
        <f>COUNTIF(U288:AY288,"E")</f>
      </c>
    </row>
    <row r="289" spans="1:54" x14ac:dyDescent="0.2">
      <c r="A289" s="84"/>
      <c r="B289" s="85"/>
      <c r="C289" s="85"/>
      <c r="D289" s="85"/>
      <c r="E289" s="86"/>
      <c r="F289" s="16">
        <f>IF(E289="","",DATEDIF(E289,$I$7,"Y"))</f>
      </c>
      <c r="G289" s="85"/>
      <c r="H289" s="85"/>
      <c r="I289" s="87"/>
      <c r="J289" s="85"/>
      <c r="K289" s="85"/>
      <c r="L289" s="10"/>
      <c r="M289" s="10"/>
      <c r="N289" s="10"/>
      <c r="O289" s="10"/>
      <c r="P289" s="85"/>
      <c r="Q289" s="88"/>
      <c r="R289" s="3">
        <f>IFERROR(VLOOKUP(TablaFebrero[[#This Row],[BARRIO]],SECTOR!$A:$B,2,0),"")</f>
      </c>
      <c r="S289" s="89"/>
      <c r="T289" s="90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6"/>
      <c r="AZ289" s="120">
        <f>COUNTIF(U289:AY289,"A")</f>
      </c>
      <c r="BA289" s="121">
        <f>COUNTIF(U289:AY289,"F")</f>
      </c>
      <c r="BB289" s="119">
        <f>COUNTIF(U289:AY289,"E")</f>
      </c>
    </row>
    <row r="290" spans="1:54" x14ac:dyDescent="0.2">
      <c r="A290" s="84"/>
      <c r="B290" s="85"/>
      <c r="C290" s="85"/>
      <c r="D290" s="85"/>
      <c r="E290" s="86"/>
      <c r="F290" s="16">
        <f>IF(E290="","",DATEDIF(E290,$I$7,"Y"))</f>
      </c>
      <c r="G290" s="85"/>
      <c r="H290" s="85"/>
      <c r="I290" s="87"/>
      <c r="J290" s="85"/>
      <c r="K290" s="85"/>
      <c r="L290" s="10"/>
      <c r="M290" s="10"/>
      <c r="N290" s="10"/>
      <c r="O290" s="10"/>
      <c r="P290" s="85"/>
      <c r="Q290" s="88"/>
      <c r="R290" s="3">
        <f>IFERROR(VLOOKUP(TablaFebrero[[#This Row],[BARRIO]],SECTOR!$A:$B,2,0),"")</f>
      </c>
      <c r="S290" s="89"/>
      <c r="T290" s="90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6"/>
      <c r="AZ290" s="120">
        <f>COUNTIF(U290:AY290,"A")</f>
      </c>
      <c r="BA290" s="121">
        <f>COUNTIF(U290:AY290,"F")</f>
      </c>
      <c r="BB290" s="119">
        <f>COUNTIF(U290:AY290,"E")</f>
      </c>
    </row>
    <row r="291" spans="1:54" x14ac:dyDescent="0.2">
      <c r="A291" s="84"/>
      <c r="B291" s="85"/>
      <c r="C291" s="85"/>
      <c r="D291" s="85"/>
      <c r="E291" s="86"/>
      <c r="F291" s="16">
        <f>IF(E291="","",DATEDIF(E291,$I$7,"Y"))</f>
      </c>
      <c r="G291" s="85"/>
      <c r="H291" s="85"/>
      <c r="I291" s="87"/>
      <c r="J291" s="85"/>
      <c r="K291" s="85"/>
      <c r="L291" s="10"/>
      <c r="M291" s="10"/>
      <c r="N291" s="10"/>
      <c r="O291" s="10"/>
      <c r="P291" s="85"/>
      <c r="Q291" s="88"/>
      <c r="R291" s="3">
        <f>IFERROR(VLOOKUP(TablaFebrero[[#This Row],[BARRIO]],SECTOR!$A:$B,2,0),"")</f>
      </c>
      <c r="S291" s="89"/>
      <c r="T291" s="90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6"/>
      <c r="AZ291" s="120">
        <f>COUNTIF(U291:AY291,"A")</f>
      </c>
      <c r="BA291" s="121">
        <f>COUNTIF(U291:AY291,"F")</f>
      </c>
      <c r="BB291" s="119">
        <f>COUNTIF(U291:AY291,"E")</f>
      </c>
    </row>
    <row r="292" spans="1:54" x14ac:dyDescent="0.2">
      <c r="A292" s="84"/>
      <c r="B292" s="85"/>
      <c r="C292" s="85"/>
      <c r="D292" s="85"/>
      <c r="E292" s="86"/>
      <c r="F292" s="16">
        <f>IF(E292="","",DATEDIF(E292,$I$7,"Y"))</f>
      </c>
      <c r="G292" s="85"/>
      <c r="H292" s="85"/>
      <c r="I292" s="87"/>
      <c r="J292" s="85"/>
      <c r="K292" s="85"/>
      <c r="L292" s="10"/>
      <c r="M292" s="10"/>
      <c r="N292" s="10"/>
      <c r="O292" s="10"/>
      <c r="P292" s="85"/>
      <c r="Q292" s="88"/>
      <c r="R292" s="3">
        <f>IFERROR(VLOOKUP(TablaFebrero[[#This Row],[BARRIO]],SECTOR!$A:$B,2,0),"")</f>
      </c>
      <c r="S292" s="89"/>
      <c r="T292" s="90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6"/>
      <c r="AZ292" s="120">
        <f>COUNTIF(U292:AY292,"A")</f>
      </c>
      <c r="BA292" s="121">
        <f>COUNTIF(U292:AY292,"F")</f>
      </c>
      <c r="BB292" s="119">
        <f>COUNTIF(U292:AY292,"E")</f>
      </c>
    </row>
    <row r="293" spans="1:54" x14ac:dyDescent="0.2">
      <c r="A293" s="84"/>
      <c r="B293" s="85"/>
      <c r="C293" s="85"/>
      <c r="D293" s="85"/>
      <c r="E293" s="86"/>
      <c r="F293" s="16">
        <f>IF(E293="","",DATEDIF(E293,$I$7,"Y"))</f>
      </c>
      <c r="G293" s="85"/>
      <c r="H293" s="85"/>
      <c r="I293" s="87"/>
      <c r="J293" s="85"/>
      <c r="K293" s="85"/>
      <c r="L293" s="10"/>
      <c r="M293" s="10"/>
      <c r="N293" s="10"/>
      <c r="O293" s="10"/>
      <c r="P293" s="85"/>
      <c r="Q293" s="88"/>
      <c r="R293" s="3">
        <f>IFERROR(VLOOKUP(TablaFebrero[[#This Row],[BARRIO]],SECTOR!$A:$B,2,0),"")</f>
      </c>
      <c r="S293" s="89"/>
      <c r="T293" s="90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6"/>
      <c r="AZ293" s="120">
        <f>COUNTIF(U293:AY293,"A")</f>
      </c>
      <c r="BA293" s="121">
        <f>COUNTIF(U293:AY293,"F")</f>
      </c>
      <c r="BB293" s="119">
        <f>COUNTIF(U293:AY293,"E")</f>
      </c>
    </row>
    <row r="294" spans="1:54" x14ac:dyDescent="0.2">
      <c r="A294" s="84"/>
      <c r="B294" s="85"/>
      <c r="C294" s="85"/>
      <c r="D294" s="85"/>
      <c r="E294" s="86"/>
      <c r="F294" s="16">
        <f>IF(E294="","",DATEDIF(E294,$I$7,"Y"))</f>
      </c>
      <c r="G294" s="85"/>
      <c r="H294" s="85"/>
      <c r="I294" s="87"/>
      <c r="J294" s="85"/>
      <c r="K294" s="85"/>
      <c r="L294" s="10"/>
      <c r="M294" s="10"/>
      <c r="N294" s="10"/>
      <c r="O294" s="10"/>
      <c r="P294" s="85"/>
      <c r="Q294" s="88"/>
      <c r="R294" s="3">
        <f>IFERROR(VLOOKUP(TablaFebrero[[#This Row],[BARRIO]],SECTOR!$A:$B,2,0),"")</f>
      </c>
      <c r="S294" s="89"/>
      <c r="T294" s="90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6"/>
      <c r="AZ294" s="120">
        <f>COUNTIF(U294:AY294,"A")</f>
      </c>
      <c r="BA294" s="121">
        <f>COUNTIF(U294:AY294,"F")</f>
      </c>
      <c r="BB294" s="119">
        <f>COUNTIF(U294:AY294,"E")</f>
      </c>
    </row>
    <row r="295" spans="1:54" x14ac:dyDescent="0.2">
      <c r="A295" s="84"/>
      <c r="B295" s="85"/>
      <c r="C295" s="85"/>
      <c r="D295" s="85"/>
      <c r="E295" s="86"/>
      <c r="F295" s="16">
        <f>IF(E295="","",DATEDIF(E295,$I$7,"Y"))</f>
      </c>
      <c r="G295" s="85"/>
      <c r="H295" s="85"/>
      <c r="I295" s="87"/>
      <c r="J295" s="85"/>
      <c r="K295" s="85"/>
      <c r="L295" s="10"/>
      <c r="M295" s="10"/>
      <c r="N295" s="10"/>
      <c r="O295" s="10"/>
      <c r="P295" s="85"/>
      <c r="Q295" s="88"/>
      <c r="R295" s="3">
        <f>IFERROR(VLOOKUP(TablaFebrero[[#This Row],[BARRIO]],SECTOR!$A:$B,2,0),"")</f>
      </c>
      <c r="S295" s="89"/>
      <c r="T295" s="90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6"/>
      <c r="AZ295" s="120">
        <f>COUNTIF(U295:AY295,"A")</f>
      </c>
      <c r="BA295" s="121">
        <f>COUNTIF(U295:AY295,"F")</f>
      </c>
      <c r="BB295" s="119">
        <f>COUNTIF(U295:AY295,"E")</f>
      </c>
    </row>
    <row r="296" spans="1:54" x14ac:dyDescent="0.2">
      <c r="A296" s="84"/>
      <c r="B296" s="85"/>
      <c r="C296" s="85"/>
      <c r="D296" s="85"/>
      <c r="E296" s="86"/>
      <c r="F296" s="16">
        <f>IF(E296="","",DATEDIF(E296,$I$7,"Y"))</f>
      </c>
      <c r="G296" s="85"/>
      <c r="H296" s="85"/>
      <c r="I296" s="87"/>
      <c r="J296" s="85"/>
      <c r="K296" s="85"/>
      <c r="L296" s="10"/>
      <c r="M296" s="10"/>
      <c r="N296" s="10"/>
      <c r="O296" s="10"/>
      <c r="P296" s="85"/>
      <c r="Q296" s="88"/>
      <c r="R296" s="3">
        <f>IFERROR(VLOOKUP(TablaFebrero[[#This Row],[BARRIO]],SECTOR!$A:$B,2,0),"")</f>
      </c>
      <c r="S296" s="89"/>
      <c r="T296" s="90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6"/>
      <c r="AZ296" s="120">
        <f>COUNTIF(U296:AY296,"A")</f>
      </c>
      <c r="BA296" s="121">
        <f>COUNTIF(U296:AY296,"F")</f>
      </c>
      <c r="BB296" s="119">
        <f>COUNTIF(U296:AY296,"E")</f>
      </c>
    </row>
    <row r="297" spans="1:54" x14ac:dyDescent="0.2">
      <c r="A297" s="84"/>
      <c r="B297" s="85"/>
      <c r="C297" s="85"/>
      <c r="D297" s="85"/>
      <c r="E297" s="86"/>
      <c r="F297" s="16">
        <f>IF(E297="","",DATEDIF(E297,$I$7,"Y"))</f>
      </c>
      <c r="G297" s="85"/>
      <c r="H297" s="85"/>
      <c r="I297" s="87"/>
      <c r="J297" s="85"/>
      <c r="K297" s="85"/>
      <c r="L297" s="10"/>
      <c r="M297" s="10"/>
      <c r="N297" s="10"/>
      <c r="O297" s="10"/>
      <c r="P297" s="85"/>
      <c r="Q297" s="88"/>
      <c r="R297" s="3">
        <f>IFERROR(VLOOKUP(TablaFebrero[[#This Row],[BARRIO]],SECTOR!$A:$B,2,0),"")</f>
      </c>
      <c r="S297" s="89"/>
      <c r="T297" s="90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6"/>
      <c r="AZ297" s="120">
        <f>COUNTIF(U297:AY297,"A")</f>
      </c>
      <c r="BA297" s="121">
        <f>COUNTIF(U297:AY297,"F")</f>
      </c>
      <c r="BB297" s="119">
        <f>COUNTIF(U297:AY297,"E")</f>
      </c>
    </row>
    <row r="298" spans="1:54" x14ac:dyDescent="0.2">
      <c r="A298" s="84"/>
      <c r="B298" s="85"/>
      <c r="C298" s="85"/>
      <c r="D298" s="85"/>
      <c r="E298" s="86"/>
      <c r="F298" s="16">
        <f>IF(E298="","",DATEDIF(E298,$I$7,"Y"))</f>
      </c>
      <c r="G298" s="85"/>
      <c r="H298" s="85"/>
      <c r="I298" s="87"/>
      <c r="J298" s="85"/>
      <c r="K298" s="85"/>
      <c r="L298" s="10"/>
      <c r="M298" s="10"/>
      <c r="N298" s="10"/>
      <c r="O298" s="10"/>
      <c r="P298" s="85"/>
      <c r="Q298" s="88"/>
      <c r="R298" s="3">
        <f>IFERROR(VLOOKUP(TablaFebrero[[#This Row],[BARRIO]],SECTOR!$A:$B,2,0),"")</f>
      </c>
      <c r="S298" s="89"/>
      <c r="T298" s="90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6"/>
      <c r="AZ298" s="120">
        <f>COUNTIF(U298:AY298,"A")</f>
      </c>
      <c r="BA298" s="121">
        <f>COUNTIF(U298:AY298,"F")</f>
      </c>
      <c r="BB298" s="119">
        <f>COUNTIF(U298:AY298,"E")</f>
      </c>
    </row>
    <row r="299" spans="1:54" x14ac:dyDescent="0.2">
      <c r="A299" s="84"/>
      <c r="B299" s="85"/>
      <c r="C299" s="85"/>
      <c r="D299" s="85"/>
      <c r="E299" s="86"/>
      <c r="F299" s="16">
        <f>IF(E299="","",DATEDIF(E299,$I$7,"Y"))</f>
      </c>
      <c r="G299" s="85"/>
      <c r="H299" s="85"/>
      <c r="I299" s="87"/>
      <c r="J299" s="85"/>
      <c r="K299" s="85"/>
      <c r="L299" s="10"/>
      <c r="M299" s="10"/>
      <c r="N299" s="10"/>
      <c r="O299" s="10"/>
      <c r="P299" s="85"/>
      <c r="Q299" s="88"/>
      <c r="R299" s="3">
        <f>IFERROR(VLOOKUP(TablaFebrero[[#This Row],[BARRIO]],SECTOR!$A:$B,2,0),"")</f>
      </c>
      <c r="S299" s="89"/>
      <c r="T299" s="90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6"/>
      <c r="AZ299" s="120">
        <f>COUNTIF(U299:AY299,"A")</f>
      </c>
      <c r="BA299" s="121">
        <f>COUNTIF(U299:AY299,"F")</f>
      </c>
      <c r="BB299" s="119">
        <f>COUNTIF(U299:AY299,"E")</f>
      </c>
    </row>
    <row r="300" spans="1:54" x14ac:dyDescent="0.2">
      <c r="A300" s="84"/>
      <c r="B300" s="85"/>
      <c r="C300" s="85"/>
      <c r="D300" s="85"/>
      <c r="E300" s="86"/>
      <c r="F300" s="16">
        <f>IF(E300="","",DATEDIF(E300,$I$7,"Y"))</f>
      </c>
      <c r="G300" s="85"/>
      <c r="H300" s="85"/>
      <c r="I300" s="87"/>
      <c r="J300" s="85"/>
      <c r="K300" s="85"/>
      <c r="L300" s="10"/>
      <c r="M300" s="10"/>
      <c r="N300" s="10"/>
      <c r="O300" s="10"/>
      <c r="P300" s="85"/>
      <c r="Q300" s="88"/>
      <c r="R300" s="3">
        <f>IFERROR(VLOOKUP(TablaFebrero[[#This Row],[BARRIO]],SECTOR!$A:$B,2,0),"")</f>
      </c>
      <c r="S300" s="89"/>
      <c r="T300" s="90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6"/>
      <c r="AZ300" s="120">
        <f>COUNTIF(U300:AY300,"A")</f>
      </c>
      <c r="BA300" s="121">
        <f>COUNTIF(U300:AY300,"F")</f>
      </c>
      <c r="BB300" s="119">
        <f>COUNTIF(U300:AY300,"E")</f>
      </c>
    </row>
    <row r="301" spans="1:54" x14ac:dyDescent="0.2">
      <c r="A301" s="84"/>
      <c r="B301" s="85"/>
      <c r="C301" s="85"/>
      <c r="D301" s="85"/>
      <c r="E301" s="86"/>
      <c r="F301" s="16">
        <f>IF(E301="","",DATEDIF(E301,$I$7,"Y"))</f>
      </c>
      <c r="G301" s="85"/>
      <c r="H301" s="85"/>
      <c r="I301" s="87"/>
      <c r="J301" s="85"/>
      <c r="K301" s="85"/>
      <c r="L301" s="10"/>
      <c r="M301" s="10"/>
      <c r="N301" s="10"/>
      <c r="O301" s="10"/>
      <c r="P301" s="85"/>
      <c r="Q301" s="88"/>
      <c r="R301" s="3">
        <f>IFERROR(VLOOKUP(TablaFebrero[[#This Row],[BARRIO]],SECTOR!$A:$B,2,0),"")</f>
      </c>
      <c r="S301" s="89"/>
      <c r="T301" s="90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6"/>
      <c r="AZ301" s="120">
        <f>COUNTIF(U301:AY301,"A")</f>
      </c>
      <c r="BA301" s="121">
        <f>COUNTIF(U301:AY301,"F")</f>
      </c>
      <c r="BB301" s="119">
        <f>COUNTIF(U301:AY301,"E")</f>
      </c>
    </row>
    <row r="302" spans="1:54" x14ac:dyDescent="0.2">
      <c r="A302" s="84"/>
      <c r="B302" s="85"/>
      <c r="C302" s="85"/>
      <c r="D302" s="85"/>
      <c r="E302" s="86"/>
      <c r="F302" s="16">
        <f>IF(E302="","",DATEDIF(E302,$I$7,"Y"))</f>
      </c>
      <c r="G302" s="85"/>
      <c r="H302" s="85"/>
      <c r="I302" s="87"/>
      <c r="J302" s="85"/>
      <c r="K302" s="85"/>
      <c r="L302" s="10"/>
      <c r="M302" s="10"/>
      <c r="N302" s="10"/>
      <c r="O302" s="10"/>
      <c r="P302" s="85"/>
      <c r="Q302" s="88"/>
      <c r="R302" s="3">
        <f>IFERROR(VLOOKUP(TablaFebrero[[#This Row],[BARRIO]],SECTOR!$A:$B,2,0),"")</f>
      </c>
      <c r="S302" s="89"/>
      <c r="T302" s="90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6"/>
      <c r="AZ302" s="120">
        <f>COUNTIF(U302:AY302,"A")</f>
      </c>
      <c r="BA302" s="121">
        <f>COUNTIF(U302:AY302,"F")</f>
      </c>
      <c r="BB302" s="119">
        <f>COUNTIF(U302:AY302,"E")</f>
      </c>
    </row>
    <row r="303" spans="1:54" x14ac:dyDescent="0.2">
      <c r="A303" s="84"/>
      <c r="B303" s="85"/>
      <c r="C303" s="85"/>
      <c r="D303" s="85"/>
      <c r="E303" s="86"/>
      <c r="F303" s="16">
        <f>IF(E303="","",DATEDIF(E303,$I$7,"Y"))</f>
      </c>
      <c r="G303" s="85"/>
      <c r="H303" s="85"/>
      <c r="I303" s="87"/>
      <c r="J303" s="85"/>
      <c r="K303" s="85"/>
      <c r="L303" s="10"/>
      <c r="M303" s="10"/>
      <c r="N303" s="10"/>
      <c r="O303" s="10"/>
      <c r="P303" s="85"/>
      <c r="Q303" s="88"/>
      <c r="R303" s="3">
        <f>IFERROR(VLOOKUP(TablaFebrero[[#This Row],[BARRIO]],SECTOR!$A:$B,2,0),"")</f>
      </c>
      <c r="S303" s="89"/>
      <c r="T303" s="90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6"/>
      <c r="AZ303" s="120">
        <f>COUNTIF(U303:AY303,"A")</f>
      </c>
      <c r="BA303" s="121">
        <f>COUNTIF(U303:AY303,"F")</f>
      </c>
      <c r="BB303" s="119">
        <f>COUNTIF(U303:AY303,"E")</f>
      </c>
    </row>
    <row r="304" spans="1:54" x14ac:dyDescent="0.2">
      <c r="A304" s="84"/>
      <c r="B304" s="85"/>
      <c r="C304" s="85"/>
      <c r="D304" s="85"/>
      <c r="E304" s="86"/>
      <c r="F304" s="16">
        <f>IF(E304="","",DATEDIF(E304,$I$7,"Y"))</f>
      </c>
      <c r="G304" s="85"/>
      <c r="H304" s="85"/>
      <c r="I304" s="87"/>
      <c r="J304" s="85"/>
      <c r="K304" s="85"/>
      <c r="L304" s="10"/>
      <c r="M304" s="10"/>
      <c r="N304" s="10"/>
      <c r="O304" s="10"/>
      <c r="P304" s="85"/>
      <c r="Q304" s="88"/>
      <c r="R304" s="3">
        <f>IFERROR(VLOOKUP(TablaFebrero[[#This Row],[BARRIO]],SECTOR!$A:$B,2,0),"")</f>
      </c>
      <c r="S304" s="89"/>
      <c r="T304" s="90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6"/>
      <c r="AZ304" s="120">
        <f>COUNTIF(U304:AY304,"A")</f>
      </c>
      <c r="BA304" s="121">
        <f>COUNTIF(U304:AY304,"F")</f>
      </c>
      <c r="BB304" s="119">
        <f>COUNTIF(U304:AY304,"E")</f>
      </c>
    </row>
    <row r="305" spans="1:54" x14ac:dyDescent="0.2">
      <c r="A305" s="84"/>
      <c r="B305" s="85"/>
      <c r="C305" s="85"/>
      <c r="D305" s="85"/>
      <c r="E305" s="86"/>
      <c r="F305" s="16">
        <f>IF(E305="","",DATEDIF(E305,$I$7,"Y"))</f>
      </c>
      <c r="G305" s="85"/>
      <c r="H305" s="85"/>
      <c r="I305" s="87"/>
      <c r="J305" s="85"/>
      <c r="K305" s="85"/>
      <c r="L305" s="10"/>
      <c r="M305" s="10"/>
      <c r="N305" s="10"/>
      <c r="O305" s="10"/>
      <c r="P305" s="85"/>
      <c r="Q305" s="88"/>
      <c r="R305" s="3">
        <f>IFERROR(VLOOKUP(TablaFebrero[[#This Row],[BARRIO]],SECTOR!$A:$B,2,0),"")</f>
      </c>
      <c r="S305" s="89"/>
      <c r="T305" s="90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6"/>
      <c r="AZ305" s="120">
        <f>COUNTIF(U305:AY305,"A")</f>
      </c>
      <c r="BA305" s="121">
        <f>COUNTIF(U305:AY305,"F")</f>
      </c>
      <c r="BB305" s="119">
        <f>COUNTIF(U305:AY305,"E")</f>
      </c>
    </row>
    <row r="306" spans="1:54" x14ac:dyDescent="0.2">
      <c r="A306" s="84"/>
      <c r="B306" s="85"/>
      <c r="C306" s="85"/>
      <c r="D306" s="85"/>
      <c r="E306" s="86"/>
      <c r="F306" s="16">
        <f>IF(E306="","",DATEDIF(E306,$I$7,"Y"))</f>
      </c>
      <c r="G306" s="85"/>
      <c r="H306" s="85"/>
      <c r="I306" s="87"/>
      <c r="J306" s="85"/>
      <c r="K306" s="85"/>
      <c r="L306" s="10"/>
      <c r="M306" s="10"/>
      <c r="N306" s="10"/>
      <c r="O306" s="10"/>
      <c r="P306" s="85"/>
      <c r="Q306" s="88"/>
      <c r="R306" s="3">
        <f>IFERROR(VLOOKUP(TablaFebrero[[#This Row],[BARRIO]],SECTOR!$A:$B,2,0),"")</f>
      </c>
      <c r="S306" s="89"/>
      <c r="T306" s="90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6"/>
      <c r="AZ306" s="120">
        <f>COUNTIF(U306:AY306,"A")</f>
      </c>
      <c r="BA306" s="121">
        <f>COUNTIF(U306:AY306,"F")</f>
      </c>
      <c r="BB306" s="119">
        <f>COUNTIF(U306:AY306,"E")</f>
      </c>
    </row>
    <row r="307" spans="1:54" x14ac:dyDescent="0.2">
      <c r="A307" s="84"/>
      <c r="B307" s="85"/>
      <c r="C307" s="85"/>
      <c r="D307" s="85"/>
      <c r="E307" s="86"/>
      <c r="F307" s="16">
        <f>IF(E307="","",DATEDIF(E307,$I$7,"Y"))</f>
      </c>
      <c r="G307" s="85"/>
      <c r="H307" s="85"/>
      <c r="I307" s="87"/>
      <c r="J307" s="85"/>
      <c r="K307" s="85"/>
      <c r="L307" s="10"/>
      <c r="M307" s="10"/>
      <c r="N307" s="10"/>
      <c r="O307" s="10"/>
      <c r="P307" s="85"/>
      <c r="Q307" s="88"/>
      <c r="R307" s="3">
        <f>IFERROR(VLOOKUP(TablaFebrero[[#This Row],[BARRIO]],SECTOR!$A:$B,2,0),"")</f>
      </c>
      <c r="S307" s="89"/>
      <c r="T307" s="90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6"/>
      <c r="AZ307" s="120">
        <f>COUNTIF(U307:AY307,"A")</f>
      </c>
      <c r="BA307" s="121">
        <f>COUNTIF(U307:AY307,"F")</f>
      </c>
      <c r="BB307" s="119">
        <f>COUNTIF(U307:AY307,"E")</f>
      </c>
    </row>
    <row r="308" spans="1:54" x14ac:dyDescent="0.2">
      <c r="A308" s="84"/>
      <c r="B308" s="85"/>
      <c r="C308" s="85"/>
      <c r="D308" s="85"/>
      <c r="E308" s="86"/>
      <c r="F308" s="16">
        <f>IF(E308="","",DATEDIF(E308,$I$7,"Y"))</f>
      </c>
      <c r="G308" s="85"/>
      <c r="H308" s="85"/>
      <c r="I308" s="87"/>
      <c r="J308" s="85"/>
      <c r="K308" s="85"/>
      <c r="L308" s="10"/>
      <c r="M308" s="10"/>
      <c r="N308" s="10"/>
      <c r="O308" s="10"/>
      <c r="P308" s="85"/>
      <c r="Q308" s="88"/>
      <c r="R308" s="3">
        <f>IFERROR(VLOOKUP(TablaFebrero[[#This Row],[BARRIO]],SECTOR!$A:$B,2,0),"")</f>
      </c>
      <c r="S308" s="89"/>
      <c r="T308" s="90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6"/>
      <c r="AZ308" s="120">
        <f>COUNTIF(U308:AY308,"A")</f>
      </c>
      <c r="BA308" s="121">
        <f>COUNTIF(U308:AY308,"F")</f>
      </c>
      <c r="BB308" s="119">
        <f>COUNTIF(U308:AY308,"E")</f>
      </c>
    </row>
    <row r="309" spans="1:54" x14ac:dyDescent="0.2">
      <c r="A309" s="84"/>
      <c r="B309" s="85"/>
      <c r="C309" s="85"/>
      <c r="D309" s="85"/>
      <c r="E309" s="86"/>
      <c r="F309" s="16">
        <f>IF(E309="","",DATEDIF(E309,$I$7,"Y"))</f>
      </c>
      <c r="G309" s="85"/>
      <c r="H309" s="85"/>
      <c r="I309" s="87"/>
      <c r="J309" s="85"/>
      <c r="K309" s="85"/>
      <c r="L309" s="10"/>
      <c r="M309" s="10"/>
      <c r="N309" s="10"/>
      <c r="O309" s="10"/>
      <c r="P309" s="85"/>
      <c r="Q309" s="88"/>
      <c r="R309" s="3">
        <f>IFERROR(VLOOKUP(TablaFebrero[[#This Row],[BARRIO]],SECTOR!$A:$B,2,0),"")</f>
      </c>
      <c r="S309" s="89"/>
      <c r="T309" s="90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6"/>
      <c r="AZ309" s="120">
        <f>COUNTIF(U309:AY309,"A")</f>
      </c>
      <c r="BA309" s="121">
        <f>COUNTIF(U309:AY309,"F")</f>
      </c>
      <c r="BB309" s="119">
        <f>COUNTIF(U309:AY309,"E")</f>
      </c>
    </row>
    <row r="310" spans="1:54" x14ac:dyDescent="0.2">
      <c r="A310" s="84"/>
      <c r="B310" s="85"/>
      <c r="C310" s="85"/>
      <c r="D310" s="85"/>
      <c r="E310" s="86"/>
      <c r="F310" s="16">
        <f>IF(E310="","",DATEDIF(E310,$I$7,"Y"))</f>
      </c>
      <c r="G310" s="85"/>
      <c r="H310" s="85"/>
      <c r="I310" s="87"/>
      <c r="J310" s="85"/>
      <c r="K310" s="85"/>
      <c r="L310" s="10"/>
      <c r="M310" s="10"/>
      <c r="N310" s="10"/>
      <c r="O310" s="10"/>
      <c r="P310" s="85"/>
      <c r="Q310" s="88"/>
      <c r="R310" s="3">
        <f>IFERROR(VLOOKUP(TablaFebrero[[#This Row],[BARRIO]],SECTOR!$A:$B,2,0),"")</f>
      </c>
      <c r="S310" s="89"/>
      <c r="T310" s="90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6"/>
      <c r="AZ310" s="120">
        <f>COUNTIF(U310:AY310,"A")</f>
      </c>
      <c r="BA310" s="121">
        <f>COUNTIF(U310:AY310,"F")</f>
      </c>
      <c r="BB310" s="119">
        <f>COUNTIF(U310:AY310,"E")</f>
      </c>
    </row>
    <row r="311" spans="1:54" x14ac:dyDescent="0.2">
      <c r="A311" s="84"/>
      <c r="B311" s="85"/>
      <c r="C311" s="85"/>
      <c r="D311" s="85"/>
      <c r="E311" s="86"/>
      <c r="F311" s="16">
        <f>IF(E311="","",DATEDIF(E311,$I$7,"Y"))</f>
      </c>
      <c r="G311" s="85"/>
      <c r="H311" s="85"/>
      <c r="I311" s="87"/>
      <c r="J311" s="85"/>
      <c r="K311" s="85"/>
      <c r="L311" s="10"/>
      <c r="M311" s="10"/>
      <c r="N311" s="10"/>
      <c r="O311" s="10"/>
      <c r="P311" s="85"/>
      <c r="Q311" s="88"/>
      <c r="R311" s="3">
        <f>IFERROR(VLOOKUP(TablaFebrero[[#This Row],[BARRIO]],SECTOR!$A:$B,2,0),"")</f>
      </c>
      <c r="S311" s="89"/>
      <c r="T311" s="90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6"/>
      <c r="AZ311" s="120">
        <f>COUNTIF(U311:AY311,"A")</f>
      </c>
      <c r="BA311" s="121">
        <f>COUNTIF(U311:AY311,"F")</f>
      </c>
      <c r="BB311" s="119">
        <f>COUNTIF(U311:AY311,"E")</f>
      </c>
    </row>
    <row r="312" spans="1:54" x14ac:dyDescent="0.2">
      <c r="A312" s="84"/>
      <c r="B312" s="85"/>
      <c r="C312" s="85"/>
      <c r="D312" s="85"/>
      <c r="E312" s="86"/>
      <c r="F312" s="16">
        <f>IF(E312="","",DATEDIF(E312,$I$7,"Y"))</f>
      </c>
      <c r="G312" s="85"/>
      <c r="H312" s="85"/>
      <c r="I312" s="87"/>
      <c r="J312" s="85"/>
      <c r="K312" s="85"/>
      <c r="L312" s="10"/>
      <c r="M312" s="10"/>
      <c r="N312" s="10"/>
      <c r="O312" s="10"/>
      <c r="P312" s="85"/>
      <c r="Q312" s="88"/>
      <c r="R312" s="3">
        <f>IFERROR(VLOOKUP(TablaFebrero[[#This Row],[BARRIO]],SECTOR!$A:$B,2,0),"")</f>
      </c>
      <c r="S312" s="89"/>
      <c r="T312" s="90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6"/>
      <c r="AZ312" s="120">
        <f>COUNTIF(U312:AY312,"A")</f>
      </c>
      <c r="BA312" s="121">
        <f>COUNTIF(U312:AY312,"F")</f>
      </c>
      <c r="BB312" s="119">
        <f>COUNTIF(U312:AY312,"E")</f>
      </c>
    </row>
    <row r="313" spans="1:54" x14ac:dyDescent="0.2">
      <c r="A313" s="84"/>
      <c r="B313" s="85"/>
      <c r="C313" s="85"/>
      <c r="D313" s="85"/>
      <c r="E313" s="86"/>
      <c r="F313" s="16">
        <f>IF(E313="","",DATEDIF(E313,$I$7,"Y"))</f>
      </c>
      <c r="G313" s="85"/>
      <c r="H313" s="85"/>
      <c r="I313" s="87"/>
      <c r="J313" s="85"/>
      <c r="K313" s="85"/>
      <c r="L313" s="10"/>
      <c r="M313" s="10"/>
      <c r="N313" s="10"/>
      <c r="O313" s="10"/>
      <c r="P313" s="85"/>
      <c r="Q313" s="88"/>
      <c r="R313" s="3">
        <f>IFERROR(VLOOKUP(TablaFebrero[[#This Row],[BARRIO]],SECTOR!$A:$B,2,0),"")</f>
      </c>
      <c r="S313" s="89"/>
      <c r="T313" s="90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6"/>
      <c r="AZ313" s="120">
        <f>COUNTIF(U313:AY313,"A")</f>
      </c>
      <c r="BA313" s="121">
        <f>COUNTIF(U313:AY313,"F")</f>
      </c>
      <c r="BB313" s="119">
        <f>COUNTIF(U313:AY313,"E")</f>
      </c>
    </row>
    <row r="314" spans="1:54" x14ac:dyDescent="0.2">
      <c r="A314" s="84"/>
      <c r="B314" s="85"/>
      <c r="C314" s="85"/>
      <c r="D314" s="85"/>
      <c r="E314" s="86"/>
      <c r="F314" s="16">
        <f>IF(E314="","",DATEDIF(E314,$I$7,"Y"))</f>
      </c>
      <c r="G314" s="85"/>
      <c r="H314" s="85"/>
      <c r="I314" s="87"/>
      <c r="J314" s="85"/>
      <c r="K314" s="85"/>
      <c r="L314" s="10"/>
      <c r="M314" s="10"/>
      <c r="N314" s="10"/>
      <c r="O314" s="10"/>
      <c r="P314" s="85"/>
      <c r="Q314" s="88"/>
      <c r="R314" s="3">
        <f>IFERROR(VLOOKUP(TablaFebrero[[#This Row],[BARRIO]],SECTOR!$A:$B,2,0),"")</f>
      </c>
      <c r="S314" s="89"/>
      <c r="T314" s="90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6"/>
      <c r="AZ314" s="120">
        <f>COUNTIF(U314:AY314,"A")</f>
      </c>
      <c r="BA314" s="121">
        <f>COUNTIF(U314:AY314,"F")</f>
      </c>
      <c r="BB314" s="119">
        <f>COUNTIF(U314:AY314,"E")</f>
      </c>
    </row>
    <row r="315" spans="1:54" x14ac:dyDescent="0.2">
      <c r="A315" s="84"/>
      <c r="B315" s="85"/>
      <c r="C315" s="85"/>
      <c r="D315" s="85"/>
      <c r="E315" s="86"/>
      <c r="F315" s="16">
        <f>IF(E315="","",DATEDIF(E315,$I$7,"Y"))</f>
      </c>
      <c r="G315" s="85"/>
      <c r="H315" s="85"/>
      <c r="I315" s="87"/>
      <c r="J315" s="85"/>
      <c r="K315" s="85"/>
      <c r="L315" s="10"/>
      <c r="M315" s="10"/>
      <c r="N315" s="10"/>
      <c r="O315" s="10"/>
      <c r="P315" s="85"/>
      <c r="Q315" s="88"/>
      <c r="R315" s="3">
        <f>IFERROR(VLOOKUP(TablaFebrero[[#This Row],[BARRIO]],SECTOR!$A:$B,2,0),"")</f>
      </c>
      <c r="S315" s="89"/>
      <c r="T315" s="90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6"/>
      <c r="AZ315" s="120">
        <f>COUNTIF(U315:AY315,"A")</f>
      </c>
      <c r="BA315" s="121">
        <f>COUNTIF(U315:AY315,"F")</f>
      </c>
      <c r="BB315" s="119">
        <f>COUNTIF(U315:AY315,"E")</f>
      </c>
    </row>
    <row r="316" spans="1:54" x14ac:dyDescent="0.2">
      <c r="A316" s="84"/>
      <c r="B316" s="85"/>
      <c r="C316" s="85"/>
      <c r="D316" s="85"/>
      <c r="E316" s="86"/>
      <c r="F316" s="16">
        <f>IF(E316="","",DATEDIF(E316,$I$7,"Y"))</f>
      </c>
      <c r="G316" s="85"/>
      <c r="H316" s="85"/>
      <c r="I316" s="87"/>
      <c r="J316" s="85"/>
      <c r="K316" s="85"/>
      <c r="L316" s="10"/>
      <c r="M316" s="10"/>
      <c r="N316" s="10"/>
      <c r="O316" s="10"/>
      <c r="P316" s="85"/>
      <c r="Q316" s="88"/>
      <c r="R316" s="3">
        <f>IFERROR(VLOOKUP(TablaFebrero[[#This Row],[BARRIO]],SECTOR!$A:$B,2,0),"")</f>
      </c>
      <c r="S316" s="89"/>
      <c r="T316" s="90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6"/>
      <c r="AZ316" s="120">
        <f>COUNTIF(U316:AY316,"A")</f>
      </c>
      <c r="BA316" s="121">
        <f>COUNTIF(U316:AY316,"F")</f>
      </c>
      <c r="BB316" s="119">
        <f>COUNTIF(U316:AY316,"E")</f>
      </c>
    </row>
    <row r="317" spans="1:54" x14ac:dyDescent="0.2">
      <c r="A317" s="84"/>
      <c r="B317" s="85"/>
      <c r="C317" s="85"/>
      <c r="D317" s="85"/>
      <c r="E317" s="86"/>
      <c r="F317" s="16">
        <f>IF(E317="","",DATEDIF(E317,$I$7,"Y"))</f>
      </c>
      <c r="G317" s="85"/>
      <c r="H317" s="85"/>
      <c r="I317" s="87"/>
      <c r="J317" s="85"/>
      <c r="K317" s="85"/>
      <c r="L317" s="10"/>
      <c r="M317" s="10"/>
      <c r="N317" s="10"/>
      <c r="O317" s="10"/>
      <c r="P317" s="85"/>
      <c r="Q317" s="88"/>
      <c r="R317" s="3">
        <f>IFERROR(VLOOKUP(TablaFebrero[[#This Row],[BARRIO]],SECTOR!$A:$B,2,0),"")</f>
      </c>
      <c r="S317" s="89"/>
      <c r="T317" s="90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6"/>
      <c r="AZ317" s="120">
        <f>COUNTIF(U317:AY317,"A")</f>
      </c>
      <c r="BA317" s="121">
        <f>COUNTIF(U317:AY317,"F")</f>
      </c>
      <c r="BB317" s="119">
        <f>COUNTIF(U317:AY317,"E")</f>
      </c>
    </row>
    <row r="318" spans="1:54" x14ac:dyDescent="0.2">
      <c r="A318" s="84"/>
      <c r="B318" s="85"/>
      <c r="C318" s="85"/>
      <c r="D318" s="85"/>
      <c r="E318" s="86"/>
      <c r="F318" s="16">
        <f>IF(E318="","",DATEDIF(E318,$I$7,"Y"))</f>
      </c>
      <c r="G318" s="85"/>
      <c r="H318" s="85"/>
      <c r="I318" s="87"/>
      <c r="J318" s="85"/>
      <c r="K318" s="85"/>
      <c r="L318" s="10"/>
      <c r="M318" s="10"/>
      <c r="N318" s="10"/>
      <c r="O318" s="10"/>
      <c r="P318" s="85"/>
      <c r="Q318" s="88"/>
      <c r="R318" s="3">
        <f>IFERROR(VLOOKUP(TablaFebrero[[#This Row],[BARRIO]],SECTOR!$A:$B,2,0),"")</f>
      </c>
      <c r="S318" s="89"/>
      <c r="T318" s="90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6"/>
      <c r="AZ318" s="120">
        <f>COUNTIF(U318:AY318,"A")</f>
      </c>
      <c r="BA318" s="121">
        <f>COUNTIF(U318:AY318,"F")</f>
      </c>
      <c r="BB318" s="119">
        <f>COUNTIF(U318:AY318,"E")</f>
      </c>
    </row>
    <row r="319" spans="1:54" x14ac:dyDescent="0.2">
      <c r="A319" s="84"/>
      <c r="B319" s="85"/>
      <c r="C319" s="85"/>
      <c r="D319" s="85"/>
      <c r="E319" s="86"/>
      <c r="F319" s="16">
        <f>IF(E319="","",DATEDIF(E319,$I$7,"Y"))</f>
      </c>
      <c r="G319" s="85"/>
      <c r="H319" s="85"/>
      <c r="I319" s="87"/>
      <c r="J319" s="85"/>
      <c r="K319" s="85"/>
      <c r="L319" s="10"/>
      <c r="M319" s="10"/>
      <c r="N319" s="10"/>
      <c r="O319" s="10"/>
      <c r="P319" s="85"/>
      <c r="Q319" s="88"/>
      <c r="R319" s="3">
        <f>IFERROR(VLOOKUP(TablaFebrero[[#This Row],[BARRIO]],SECTOR!$A:$B,2,0),"")</f>
      </c>
      <c r="S319" s="89"/>
      <c r="T319" s="90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6"/>
      <c r="AZ319" s="120">
        <f>COUNTIF(U319:AY319,"A")</f>
      </c>
      <c r="BA319" s="121">
        <f>COUNTIF(U319:AY319,"F")</f>
      </c>
      <c r="BB319" s="119">
        <f>COUNTIF(U319:AY319,"E")</f>
      </c>
    </row>
    <row r="320" spans="1:54" x14ac:dyDescent="0.2">
      <c r="A320" s="84"/>
      <c r="B320" s="85"/>
      <c r="C320" s="85"/>
      <c r="D320" s="85"/>
      <c r="E320" s="86"/>
      <c r="F320" s="16">
        <f>IF(E320="","",DATEDIF(E320,$I$7,"Y"))</f>
      </c>
      <c r="G320" s="85"/>
      <c r="H320" s="85"/>
      <c r="I320" s="87"/>
      <c r="J320" s="85"/>
      <c r="K320" s="85"/>
      <c r="L320" s="10"/>
      <c r="M320" s="10"/>
      <c r="N320" s="10"/>
      <c r="O320" s="10"/>
      <c r="P320" s="85"/>
      <c r="Q320" s="88"/>
      <c r="R320" s="3">
        <f>IFERROR(VLOOKUP(TablaFebrero[[#This Row],[BARRIO]],SECTOR!$A:$B,2,0),"")</f>
      </c>
      <c r="S320" s="89"/>
      <c r="T320" s="90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6"/>
      <c r="AZ320" s="120">
        <f>COUNTIF(U320:AY320,"A")</f>
      </c>
      <c r="BA320" s="121">
        <f>COUNTIF(U320:AY320,"F")</f>
      </c>
      <c r="BB320" s="119">
        <f>COUNTIF(U320:AY320,"E")</f>
      </c>
    </row>
    <row r="321" spans="1:54" x14ac:dyDescent="0.2">
      <c r="A321" s="84"/>
      <c r="B321" s="85"/>
      <c r="C321" s="85"/>
      <c r="D321" s="85"/>
      <c r="E321" s="86"/>
      <c r="F321" s="16">
        <f>IF(E321="","",DATEDIF(E321,$I$7,"Y"))</f>
      </c>
      <c r="G321" s="85"/>
      <c r="H321" s="85"/>
      <c r="I321" s="87"/>
      <c r="J321" s="85"/>
      <c r="K321" s="85"/>
      <c r="L321" s="10"/>
      <c r="M321" s="10"/>
      <c r="N321" s="10"/>
      <c r="O321" s="10"/>
      <c r="P321" s="85"/>
      <c r="Q321" s="88"/>
      <c r="R321" s="3">
        <f>IFERROR(VLOOKUP(TablaFebrero[[#This Row],[BARRIO]],SECTOR!$A:$B,2,0),"")</f>
      </c>
      <c r="S321" s="89"/>
      <c r="T321" s="90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6"/>
      <c r="AZ321" s="120">
        <f>COUNTIF(U321:AY321,"A")</f>
      </c>
      <c r="BA321" s="121">
        <f>COUNTIF(U321:AY321,"F")</f>
      </c>
      <c r="BB321" s="119">
        <f>COUNTIF(U321:AY321,"E")</f>
      </c>
    </row>
    <row r="322" spans="1:54" x14ac:dyDescent="0.2">
      <c r="A322" s="84"/>
      <c r="B322" s="85"/>
      <c r="C322" s="85"/>
      <c r="D322" s="85"/>
      <c r="E322" s="86"/>
      <c r="F322" s="16">
        <f>IF(E322="","",DATEDIF(E322,$I$7,"Y"))</f>
      </c>
      <c r="G322" s="85"/>
      <c r="H322" s="85"/>
      <c r="I322" s="87"/>
      <c r="J322" s="85"/>
      <c r="K322" s="85"/>
      <c r="L322" s="10"/>
      <c r="M322" s="10"/>
      <c r="N322" s="10"/>
      <c r="O322" s="10"/>
      <c r="P322" s="85"/>
      <c r="Q322" s="88"/>
      <c r="R322" s="3">
        <f>IFERROR(VLOOKUP(TablaFebrero[[#This Row],[BARRIO]],SECTOR!$A:$B,2,0),"")</f>
      </c>
      <c r="S322" s="89"/>
      <c r="T322" s="90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6"/>
      <c r="AZ322" s="120">
        <f>COUNTIF(U322:AY322,"A")</f>
      </c>
      <c r="BA322" s="121">
        <f>COUNTIF(U322:AY322,"F")</f>
      </c>
      <c r="BB322" s="119">
        <f>COUNTIF(U322:AY322,"E")</f>
      </c>
    </row>
    <row r="323" spans="1:54" x14ac:dyDescent="0.2">
      <c r="A323" s="84"/>
      <c r="B323" s="85"/>
      <c r="C323" s="85"/>
      <c r="D323" s="85"/>
      <c r="E323" s="86"/>
      <c r="F323" s="16">
        <f>IF(E323="","",DATEDIF(E323,$I$7,"Y"))</f>
      </c>
      <c r="G323" s="85"/>
      <c r="H323" s="85"/>
      <c r="I323" s="87"/>
      <c r="J323" s="85"/>
      <c r="K323" s="85"/>
      <c r="L323" s="10"/>
      <c r="M323" s="10"/>
      <c r="N323" s="10"/>
      <c r="O323" s="10"/>
      <c r="P323" s="85"/>
      <c r="Q323" s="88"/>
      <c r="R323" s="3">
        <f>IFERROR(VLOOKUP(TablaFebrero[[#This Row],[BARRIO]],SECTOR!$A:$B,2,0),"")</f>
      </c>
      <c r="S323" s="89"/>
      <c r="T323" s="90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6"/>
      <c r="AZ323" s="120">
        <f>COUNTIF(U323:AY323,"A")</f>
      </c>
      <c r="BA323" s="121">
        <f>COUNTIF(U323:AY323,"F")</f>
      </c>
      <c r="BB323" s="119">
        <f>COUNTIF(U323:AY323,"E")</f>
      </c>
    </row>
    <row r="324" spans="1:54" x14ac:dyDescent="0.2">
      <c r="A324" s="84"/>
      <c r="B324" s="85"/>
      <c r="C324" s="85"/>
      <c r="D324" s="85"/>
      <c r="E324" s="86"/>
      <c r="F324" s="16">
        <f>IF(E324="","",DATEDIF(E324,$I$7,"Y"))</f>
      </c>
      <c r="G324" s="85"/>
      <c r="H324" s="85"/>
      <c r="I324" s="87"/>
      <c r="J324" s="85"/>
      <c r="K324" s="85"/>
      <c r="L324" s="10"/>
      <c r="M324" s="10"/>
      <c r="N324" s="10"/>
      <c r="O324" s="10"/>
      <c r="P324" s="85"/>
      <c r="Q324" s="88"/>
      <c r="R324" s="3">
        <f>IFERROR(VLOOKUP(TablaFebrero[[#This Row],[BARRIO]],SECTOR!$A:$B,2,0),"")</f>
      </c>
      <c r="S324" s="89"/>
      <c r="T324" s="90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6"/>
      <c r="AZ324" s="120">
        <f>COUNTIF(U324:AY324,"A")</f>
      </c>
      <c r="BA324" s="121">
        <f>COUNTIF(U324:AY324,"F")</f>
      </c>
      <c r="BB324" s="119">
        <f>COUNTIF(U324:AY324,"E")</f>
      </c>
    </row>
    <row r="325" spans="1:54" x14ac:dyDescent="0.2">
      <c r="A325" s="84"/>
      <c r="B325" s="85"/>
      <c r="C325" s="85"/>
      <c r="D325" s="85"/>
      <c r="E325" s="86"/>
      <c r="F325" s="16">
        <f>IF(E325="","",DATEDIF(E325,$I$7,"Y"))</f>
      </c>
      <c r="G325" s="85"/>
      <c r="H325" s="85"/>
      <c r="I325" s="87"/>
      <c r="J325" s="85"/>
      <c r="K325" s="85"/>
      <c r="L325" s="10"/>
      <c r="M325" s="10"/>
      <c r="N325" s="10"/>
      <c r="O325" s="10"/>
      <c r="P325" s="85"/>
      <c r="Q325" s="88"/>
      <c r="R325" s="3">
        <f>IFERROR(VLOOKUP(TablaFebrero[[#This Row],[BARRIO]],SECTOR!$A:$B,2,0),"")</f>
      </c>
      <c r="S325" s="89"/>
      <c r="T325" s="90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6"/>
      <c r="AZ325" s="120">
        <f>COUNTIF(U325:AY325,"A")</f>
      </c>
      <c r="BA325" s="121">
        <f>COUNTIF(U325:AY325,"F")</f>
      </c>
      <c r="BB325" s="119">
        <f>COUNTIF(U325:AY325,"E")</f>
      </c>
    </row>
    <row r="326" spans="1:54" x14ac:dyDescent="0.2">
      <c r="A326" s="84"/>
      <c r="B326" s="85"/>
      <c r="C326" s="85"/>
      <c r="D326" s="85"/>
      <c r="E326" s="86"/>
      <c r="F326" s="16">
        <f>IF(E326="","",DATEDIF(E326,$I$7,"Y"))</f>
      </c>
      <c r="G326" s="85"/>
      <c r="H326" s="85"/>
      <c r="I326" s="87"/>
      <c r="J326" s="85"/>
      <c r="K326" s="85"/>
      <c r="L326" s="10"/>
      <c r="M326" s="10"/>
      <c r="N326" s="10"/>
      <c r="O326" s="10"/>
      <c r="P326" s="85"/>
      <c r="Q326" s="88"/>
      <c r="R326" s="3">
        <f>IFERROR(VLOOKUP(TablaFebrero[[#This Row],[BARRIO]],SECTOR!$A:$B,2,0),"")</f>
      </c>
      <c r="S326" s="89"/>
      <c r="T326" s="90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6"/>
      <c r="AZ326" s="120">
        <f>COUNTIF(U326:AY326,"A")</f>
      </c>
      <c r="BA326" s="121">
        <f>COUNTIF(U326:AY326,"F")</f>
      </c>
      <c r="BB326" s="119">
        <f>COUNTIF(U326:AY326,"E")</f>
      </c>
    </row>
    <row r="327" spans="1:54" x14ac:dyDescent="0.2">
      <c r="A327" s="84"/>
      <c r="B327" s="85"/>
      <c r="C327" s="85"/>
      <c r="D327" s="85"/>
      <c r="E327" s="86"/>
      <c r="F327" s="16">
        <f>IF(E327="","",DATEDIF(E327,$I$7,"Y"))</f>
      </c>
      <c r="G327" s="85"/>
      <c r="H327" s="85"/>
      <c r="I327" s="87"/>
      <c r="J327" s="85"/>
      <c r="K327" s="85"/>
      <c r="L327" s="10"/>
      <c r="M327" s="10"/>
      <c r="N327" s="10"/>
      <c r="O327" s="10"/>
      <c r="P327" s="85"/>
      <c r="Q327" s="88"/>
      <c r="R327" s="3">
        <f>IFERROR(VLOOKUP(TablaFebrero[[#This Row],[BARRIO]],SECTOR!$A:$B,2,0),"")</f>
      </c>
      <c r="S327" s="89"/>
      <c r="T327" s="90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6"/>
      <c r="AZ327" s="120">
        <f>COUNTIF(U327:AY327,"A")</f>
      </c>
      <c r="BA327" s="121">
        <f>COUNTIF(U327:AY327,"F")</f>
      </c>
      <c r="BB327" s="119">
        <f>COUNTIF(U327:AY327,"E")</f>
      </c>
    </row>
    <row r="328" spans="1:54" x14ac:dyDescent="0.2">
      <c r="A328" s="84"/>
      <c r="B328" s="85"/>
      <c r="C328" s="85"/>
      <c r="D328" s="85"/>
      <c r="E328" s="86"/>
      <c r="F328" s="16">
        <f>IF(E328="","",DATEDIF(E328,$I$7,"Y"))</f>
      </c>
      <c r="G328" s="85"/>
      <c r="H328" s="85"/>
      <c r="I328" s="87"/>
      <c r="J328" s="85"/>
      <c r="K328" s="85"/>
      <c r="L328" s="10"/>
      <c r="M328" s="10"/>
      <c r="N328" s="10"/>
      <c r="O328" s="10"/>
      <c r="P328" s="85"/>
      <c r="Q328" s="88"/>
      <c r="R328" s="3">
        <f>IFERROR(VLOOKUP(TablaFebrero[[#This Row],[BARRIO]],SECTOR!$A:$B,2,0),"")</f>
      </c>
      <c r="S328" s="89"/>
      <c r="T328" s="90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6"/>
      <c r="AZ328" s="120">
        <f>COUNTIF(U328:AY328,"A")</f>
      </c>
      <c r="BA328" s="121">
        <f>COUNTIF(U328:AY328,"F")</f>
      </c>
      <c r="BB328" s="119">
        <f>COUNTIF(U328:AY328,"E")</f>
      </c>
    </row>
    <row r="329" spans="1:54" x14ac:dyDescent="0.2">
      <c r="A329" s="84"/>
      <c r="B329" s="85"/>
      <c r="C329" s="85"/>
      <c r="D329" s="85"/>
      <c r="E329" s="86"/>
      <c r="F329" s="16">
        <f>IF(E329="","",DATEDIF(E329,$I$7,"Y"))</f>
      </c>
      <c r="G329" s="85"/>
      <c r="H329" s="85"/>
      <c r="I329" s="87"/>
      <c r="J329" s="85"/>
      <c r="K329" s="85"/>
      <c r="L329" s="10"/>
      <c r="M329" s="10"/>
      <c r="N329" s="10"/>
      <c r="O329" s="10"/>
      <c r="P329" s="85"/>
      <c r="Q329" s="88"/>
      <c r="R329" s="3">
        <f>IFERROR(VLOOKUP(TablaFebrero[[#This Row],[BARRIO]],SECTOR!$A:$B,2,0),"")</f>
      </c>
      <c r="S329" s="89"/>
      <c r="T329" s="90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6"/>
      <c r="AZ329" s="120">
        <f>COUNTIF(U329:AY329,"A")</f>
      </c>
      <c r="BA329" s="121">
        <f>COUNTIF(U329:AY329,"F")</f>
      </c>
      <c r="BB329" s="119">
        <f>COUNTIF(U329:AY329,"E")</f>
      </c>
    </row>
    <row r="330" spans="1:54" x14ac:dyDescent="0.2">
      <c r="A330" s="84"/>
      <c r="B330" s="85"/>
      <c r="C330" s="85"/>
      <c r="D330" s="85"/>
      <c r="E330" s="86"/>
      <c r="F330" s="16">
        <f>IF(E330="","",DATEDIF(E330,$I$7,"Y"))</f>
      </c>
      <c r="G330" s="85"/>
      <c r="H330" s="85"/>
      <c r="I330" s="87"/>
      <c r="J330" s="85"/>
      <c r="K330" s="85"/>
      <c r="L330" s="10"/>
      <c r="M330" s="10"/>
      <c r="N330" s="10"/>
      <c r="O330" s="10"/>
      <c r="P330" s="85"/>
      <c r="Q330" s="88"/>
      <c r="R330" s="3">
        <f>IFERROR(VLOOKUP(TablaFebrero[[#This Row],[BARRIO]],SECTOR!$A:$B,2,0),"")</f>
      </c>
      <c r="S330" s="89"/>
      <c r="T330" s="90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6"/>
      <c r="AZ330" s="120">
        <f>COUNTIF(U330:AY330,"A")</f>
      </c>
      <c r="BA330" s="121">
        <f>COUNTIF(U330:AY330,"F")</f>
      </c>
      <c r="BB330" s="119">
        <f>COUNTIF(U330:AY330,"E")</f>
      </c>
    </row>
    <row r="331" spans="1:54" x14ac:dyDescent="0.2">
      <c r="A331" s="84"/>
      <c r="B331" s="85"/>
      <c r="C331" s="85"/>
      <c r="D331" s="85"/>
      <c r="E331" s="86"/>
      <c r="F331" s="16">
        <f>IF(E331="","",DATEDIF(E331,$I$7,"Y"))</f>
      </c>
      <c r="G331" s="85"/>
      <c r="H331" s="85"/>
      <c r="I331" s="87"/>
      <c r="J331" s="85"/>
      <c r="K331" s="85"/>
      <c r="L331" s="10"/>
      <c r="M331" s="10"/>
      <c r="N331" s="10"/>
      <c r="O331" s="10"/>
      <c r="P331" s="85"/>
      <c r="Q331" s="88"/>
      <c r="R331" s="3">
        <f>IFERROR(VLOOKUP(TablaFebrero[[#This Row],[BARRIO]],SECTOR!$A:$B,2,0),"")</f>
      </c>
      <c r="S331" s="89"/>
      <c r="T331" s="90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6"/>
      <c r="AZ331" s="120">
        <f>COUNTIF(U331:AY331,"A")</f>
      </c>
      <c r="BA331" s="121">
        <f>COUNTIF(U331:AY331,"F")</f>
      </c>
      <c r="BB331" s="119">
        <f>COUNTIF(U331:AY331,"E")</f>
      </c>
    </row>
    <row r="332" spans="1:54" x14ac:dyDescent="0.2">
      <c r="A332" s="84"/>
      <c r="B332" s="85"/>
      <c r="C332" s="85"/>
      <c r="D332" s="85"/>
      <c r="E332" s="86"/>
      <c r="F332" s="16">
        <f>IF(E332="","",DATEDIF(E332,$I$7,"Y"))</f>
      </c>
      <c r="G332" s="85"/>
      <c r="H332" s="85"/>
      <c r="I332" s="87"/>
      <c r="J332" s="85"/>
      <c r="K332" s="85"/>
      <c r="L332" s="10"/>
      <c r="M332" s="10"/>
      <c r="N332" s="10"/>
      <c r="O332" s="10"/>
      <c r="P332" s="85"/>
      <c r="Q332" s="88"/>
      <c r="R332" s="3">
        <f>IFERROR(VLOOKUP(TablaFebrero[[#This Row],[BARRIO]],SECTOR!$A:$B,2,0),"")</f>
      </c>
      <c r="S332" s="89"/>
      <c r="T332" s="90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6"/>
      <c r="AZ332" s="120">
        <f>COUNTIF(U332:AY332,"A")</f>
      </c>
      <c r="BA332" s="121">
        <f>COUNTIF(U332:AY332,"F")</f>
      </c>
      <c r="BB332" s="119">
        <f>COUNTIF(U332:AY332,"E")</f>
      </c>
    </row>
    <row r="333" spans="1:54" x14ac:dyDescent="0.2">
      <c r="A333" s="84"/>
      <c r="B333" s="85"/>
      <c r="C333" s="85"/>
      <c r="D333" s="85"/>
      <c r="E333" s="86"/>
      <c r="F333" s="16">
        <f>IF(E333="","",DATEDIF(E333,$I$7,"Y"))</f>
      </c>
      <c r="G333" s="85"/>
      <c r="H333" s="85"/>
      <c r="I333" s="87"/>
      <c r="J333" s="85"/>
      <c r="K333" s="85"/>
      <c r="L333" s="10"/>
      <c r="M333" s="10"/>
      <c r="N333" s="10"/>
      <c r="O333" s="10"/>
      <c r="P333" s="85"/>
      <c r="Q333" s="88"/>
      <c r="R333" s="3">
        <f>IFERROR(VLOOKUP(TablaFebrero[[#This Row],[BARRIO]],SECTOR!$A:$B,2,0),"")</f>
      </c>
      <c r="S333" s="89"/>
      <c r="T333" s="90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6"/>
      <c r="AZ333" s="120">
        <f>COUNTIF(U333:AY333,"A")</f>
      </c>
      <c r="BA333" s="121">
        <f>COUNTIF(U333:AY333,"F")</f>
      </c>
      <c r="BB333" s="119">
        <f>COUNTIF(U333:AY333,"E")</f>
      </c>
    </row>
    <row r="334" spans="1:54" x14ac:dyDescent="0.2">
      <c r="A334" s="84"/>
      <c r="B334" s="85"/>
      <c r="C334" s="85"/>
      <c r="D334" s="85"/>
      <c r="E334" s="86"/>
      <c r="F334" s="16">
        <f>IF(E334="","",DATEDIF(E334,$I$7,"Y"))</f>
      </c>
      <c r="G334" s="85"/>
      <c r="H334" s="85"/>
      <c r="I334" s="87"/>
      <c r="J334" s="85"/>
      <c r="K334" s="85"/>
      <c r="L334" s="10"/>
      <c r="M334" s="10"/>
      <c r="N334" s="10"/>
      <c r="O334" s="10"/>
      <c r="P334" s="85"/>
      <c r="Q334" s="88"/>
      <c r="R334" s="3">
        <f>IFERROR(VLOOKUP(TablaFebrero[[#This Row],[BARRIO]],SECTOR!$A:$B,2,0),"")</f>
      </c>
      <c r="S334" s="89"/>
      <c r="T334" s="90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6"/>
      <c r="AZ334" s="120">
        <f>COUNTIF(U334:AY334,"A")</f>
      </c>
      <c r="BA334" s="121">
        <f>COUNTIF(U334:AY334,"F")</f>
      </c>
      <c r="BB334" s="119">
        <f>COUNTIF(U334:AY334,"E")</f>
      </c>
    </row>
    <row r="335" spans="1:54" x14ac:dyDescent="0.2">
      <c r="A335" s="84"/>
      <c r="B335" s="85"/>
      <c r="C335" s="85"/>
      <c r="D335" s="85"/>
      <c r="E335" s="86"/>
      <c r="F335" s="16">
        <f>IF(E335="","",DATEDIF(E335,$I$7,"Y"))</f>
      </c>
      <c r="G335" s="85"/>
      <c r="H335" s="85"/>
      <c r="I335" s="87"/>
      <c r="J335" s="85"/>
      <c r="K335" s="85"/>
      <c r="L335" s="10"/>
      <c r="M335" s="10"/>
      <c r="N335" s="10"/>
      <c r="O335" s="10"/>
      <c r="P335" s="85"/>
      <c r="Q335" s="88"/>
      <c r="R335" s="3">
        <f>IFERROR(VLOOKUP(TablaFebrero[[#This Row],[BARRIO]],SECTOR!$A:$B,2,0),"")</f>
      </c>
      <c r="S335" s="89"/>
      <c r="T335" s="90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6"/>
      <c r="AZ335" s="120">
        <f>COUNTIF(U335:AY335,"A")</f>
      </c>
      <c r="BA335" s="121">
        <f>COUNTIF(U335:AY335,"F")</f>
      </c>
      <c r="BB335" s="119">
        <f>COUNTIF(U335:AY335,"E")</f>
      </c>
    </row>
    <row r="336" spans="1:54" x14ac:dyDescent="0.2">
      <c r="A336" s="84"/>
      <c r="B336" s="85"/>
      <c r="C336" s="85"/>
      <c r="D336" s="85"/>
      <c r="E336" s="86"/>
      <c r="F336" s="16">
        <f>IF(E336="","",DATEDIF(E336,$I$7,"Y"))</f>
      </c>
      <c r="G336" s="85"/>
      <c r="H336" s="85"/>
      <c r="I336" s="87"/>
      <c r="J336" s="85"/>
      <c r="K336" s="85"/>
      <c r="L336" s="10"/>
      <c r="M336" s="10"/>
      <c r="N336" s="10"/>
      <c r="O336" s="10"/>
      <c r="P336" s="85"/>
      <c r="Q336" s="88"/>
      <c r="R336" s="3">
        <f>IFERROR(VLOOKUP(TablaFebrero[[#This Row],[BARRIO]],SECTOR!$A:$B,2,0),"")</f>
      </c>
      <c r="S336" s="89"/>
      <c r="T336" s="90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6"/>
      <c r="AZ336" s="120">
        <f>COUNTIF(U336:AY336,"A")</f>
      </c>
      <c r="BA336" s="121">
        <f>COUNTIF(U336:AY336,"F")</f>
      </c>
      <c r="BB336" s="119">
        <f>COUNTIF(U336:AY336,"E")</f>
      </c>
    </row>
    <row r="337" spans="1:54" x14ac:dyDescent="0.2">
      <c r="A337" s="84"/>
      <c r="B337" s="85"/>
      <c r="C337" s="85"/>
      <c r="D337" s="85"/>
      <c r="E337" s="86"/>
      <c r="F337" s="16">
        <f>IF(E337="","",DATEDIF(E337,$I$7,"Y"))</f>
      </c>
      <c r="G337" s="85"/>
      <c r="H337" s="85"/>
      <c r="I337" s="87"/>
      <c r="J337" s="85"/>
      <c r="K337" s="85"/>
      <c r="L337" s="10"/>
      <c r="M337" s="10"/>
      <c r="N337" s="10"/>
      <c r="O337" s="10"/>
      <c r="P337" s="85"/>
      <c r="Q337" s="88"/>
      <c r="R337" s="3">
        <f>IFERROR(VLOOKUP(TablaFebrero[[#This Row],[BARRIO]],SECTOR!$A:$B,2,0),"")</f>
      </c>
      <c r="S337" s="89"/>
      <c r="T337" s="90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6"/>
      <c r="AZ337" s="120">
        <f>COUNTIF(U337:AY337,"A")</f>
      </c>
      <c r="BA337" s="121">
        <f>COUNTIF(U337:AY337,"F")</f>
      </c>
      <c r="BB337" s="119">
        <f>COUNTIF(U337:AY337,"E")</f>
      </c>
    </row>
    <row r="338" spans="1:54" x14ac:dyDescent="0.2">
      <c r="A338" s="84"/>
      <c r="B338" s="85"/>
      <c r="C338" s="85"/>
      <c r="D338" s="85"/>
      <c r="E338" s="86"/>
      <c r="F338" s="16">
        <f>IF(E338="","",DATEDIF(E338,$I$7,"Y"))</f>
      </c>
      <c r="G338" s="85"/>
      <c r="H338" s="85"/>
      <c r="I338" s="87"/>
      <c r="J338" s="85"/>
      <c r="K338" s="85"/>
      <c r="L338" s="10"/>
      <c r="M338" s="10"/>
      <c r="N338" s="10"/>
      <c r="O338" s="10"/>
      <c r="P338" s="85"/>
      <c r="Q338" s="88"/>
      <c r="R338" s="3">
        <f>IFERROR(VLOOKUP(TablaFebrero[[#This Row],[BARRIO]],SECTOR!$A:$B,2,0),"")</f>
      </c>
      <c r="S338" s="89"/>
      <c r="T338" s="90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6"/>
      <c r="AZ338" s="120">
        <f>COUNTIF(U338:AY338,"A")</f>
      </c>
      <c r="BA338" s="121">
        <f>COUNTIF(U338:AY338,"F")</f>
      </c>
      <c r="BB338" s="119">
        <f>COUNTIF(U338:AY338,"E")</f>
      </c>
    </row>
    <row r="339" spans="1:54" x14ac:dyDescent="0.2">
      <c r="A339" s="84"/>
      <c r="B339" s="85"/>
      <c r="C339" s="85"/>
      <c r="D339" s="85"/>
      <c r="E339" s="86"/>
      <c r="F339" s="16">
        <f>IF(E339="","",DATEDIF(E339,$I$7,"Y"))</f>
      </c>
      <c r="G339" s="85"/>
      <c r="H339" s="85"/>
      <c r="I339" s="87"/>
      <c r="J339" s="85"/>
      <c r="K339" s="85"/>
      <c r="L339" s="10"/>
      <c r="M339" s="10"/>
      <c r="N339" s="10"/>
      <c r="O339" s="10"/>
      <c r="P339" s="85"/>
      <c r="Q339" s="88"/>
      <c r="R339" s="3">
        <f>IFERROR(VLOOKUP(TablaFebrero[[#This Row],[BARRIO]],SECTOR!$A:$B,2,0),"")</f>
      </c>
      <c r="S339" s="89"/>
      <c r="T339" s="90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6"/>
      <c r="AZ339" s="120">
        <f>COUNTIF(U339:AY339,"A")</f>
      </c>
      <c r="BA339" s="121">
        <f>COUNTIF(U339:AY339,"F")</f>
      </c>
      <c r="BB339" s="119">
        <f>COUNTIF(U339:AY339,"E")</f>
      </c>
    </row>
    <row r="340" spans="1:54" x14ac:dyDescent="0.2">
      <c r="A340" s="84"/>
      <c r="B340" s="85"/>
      <c r="C340" s="85"/>
      <c r="D340" s="85"/>
      <c r="E340" s="86"/>
      <c r="F340" s="16">
        <f>IF(E340="","",DATEDIF(E340,$I$7,"Y"))</f>
      </c>
      <c r="G340" s="85"/>
      <c r="H340" s="85"/>
      <c r="I340" s="87"/>
      <c r="J340" s="85"/>
      <c r="K340" s="85"/>
      <c r="L340" s="10"/>
      <c r="M340" s="10"/>
      <c r="N340" s="10"/>
      <c r="O340" s="10"/>
      <c r="P340" s="85"/>
      <c r="Q340" s="88"/>
      <c r="R340" s="3">
        <f>IFERROR(VLOOKUP(TablaFebrero[[#This Row],[BARRIO]],SECTOR!$A:$B,2,0),"")</f>
      </c>
      <c r="S340" s="89"/>
      <c r="T340" s="90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6"/>
      <c r="AZ340" s="120">
        <f>COUNTIF(U340:AY340,"A")</f>
      </c>
      <c r="BA340" s="121">
        <f>COUNTIF(U340:AY340,"F")</f>
      </c>
      <c r="BB340" s="119">
        <f>COUNTIF(U340:AY340,"E")</f>
      </c>
    </row>
    <row r="341" spans="1:54" x14ac:dyDescent="0.2">
      <c r="A341" s="84"/>
      <c r="B341" s="85"/>
      <c r="C341" s="85"/>
      <c r="D341" s="85"/>
      <c r="E341" s="86"/>
      <c r="F341" s="16">
        <f>IF(E341="","",DATEDIF(E341,$I$7,"Y"))</f>
      </c>
      <c r="G341" s="85"/>
      <c r="H341" s="85"/>
      <c r="I341" s="87"/>
      <c r="J341" s="85"/>
      <c r="K341" s="85"/>
      <c r="L341" s="10"/>
      <c r="M341" s="10"/>
      <c r="N341" s="10"/>
      <c r="O341" s="10"/>
      <c r="P341" s="85"/>
      <c r="Q341" s="88"/>
      <c r="R341" s="3">
        <f>IFERROR(VLOOKUP(TablaFebrero[[#This Row],[BARRIO]],SECTOR!$A:$B,2,0),"")</f>
      </c>
      <c r="S341" s="89"/>
      <c r="T341" s="90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6"/>
      <c r="AZ341" s="120">
        <f>COUNTIF(U341:AY341,"A")</f>
      </c>
      <c r="BA341" s="121">
        <f>COUNTIF(U341:AY341,"F")</f>
      </c>
      <c r="BB341" s="119">
        <f>COUNTIF(U341:AY341,"E")</f>
      </c>
    </row>
    <row r="342" spans="1:54" x14ac:dyDescent="0.2">
      <c r="A342" s="84"/>
      <c r="B342" s="85"/>
      <c r="C342" s="85"/>
      <c r="D342" s="85"/>
      <c r="E342" s="86"/>
      <c r="F342" s="16">
        <f>IF(E342="","",DATEDIF(E342,$I$7,"Y"))</f>
      </c>
      <c r="G342" s="85"/>
      <c r="H342" s="85"/>
      <c r="I342" s="87"/>
      <c r="J342" s="85"/>
      <c r="K342" s="85"/>
      <c r="L342" s="10"/>
      <c r="M342" s="10"/>
      <c r="N342" s="10"/>
      <c r="O342" s="10"/>
      <c r="P342" s="85"/>
      <c r="Q342" s="88"/>
      <c r="R342" s="3">
        <f>IFERROR(VLOOKUP(TablaFebrero[[#This Row],[BARRIO]],SECTOR!$A:$B,2,0),"")</f>
      </c>
      <c r="S342" s="89"/>
      <c r="T342" s="90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6"/>
      <c r="AZ342" s="120">
        <f>COUNTIF(U342:AY342,"A")</f>
      </c>
      <c r="BA342" s="121">
        <f>COUNTIF(U342:AY342,"F")</f>
      </c>
      <c r="BB342" s="119">
        <f>COUNTIF(U342:AY342,"E")</f>
      </c>
    </row>
    <row r="343" spans="1:54" x14ac:dyDescent="0.2">
      <c r="A343" s="84"/>
      <c r="B343" s="85"/>
      <c r="C343" s="85"/>
      <c r="D343" s="85"/>
      <c r="E343" s="86"/>
      <c r="F343" s="16">
        <f>IF(E343="","",DATEDIF(E343,$I$7,"Y"))</f>
      </c>
      <c r="G343" s="85"/>
      <c r="H343" s="85"/>
      <c r="I343" s="87"/>
      <c r="J343" s="85"/>
      <c r="K343" s="85"/>
      <c r="L343" s="10"/>
      <c r="M343" s="10"/>
      <c r="N343" s="10"/>
      <c r="O343" s="10"/>
      <c r="P343" s="85"/>
      <c r="Q343" s="88"/>
      <c r="R343" s="3">
        <f>IFERROR(VLOOKUP(TablaFebrero[[#This Row],[BARRIO]],SECTOR!$A:$B,2,0),"")</f>
      </c>
      <c r="S343" s="89"/>
      <c r="T343" s="90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6"/>
      <c r="AZ343" s="120">
        <f>COUNTIF(U343:AY343,"A")</f>
      </c>
      <c r="BA343" s="121">
        <f>COUNTIF(U343:AY343,"F")</f>
      </c>
      <c r="BB343" s="119">
        <f>COUNTIF(U343:AY343,"E")</f>
      </c>
    </row>
    <row r="344" spans="1:54" x14ac:dyDescent="0.2">
      <c r="A344" s="84"/>
      <c r="B344" s="85"/>
      <c r="C344" s="85"/>
      <c r="D344" s="85"/>
      <c r="E344" s="86"/>
      <c r="F344" s="16">
        <f>IF(E344="","",DATEDIF(E344,$I$7,"Y"))</f>
      </c>
      <c r="G344" s="85"/>
      <c r="H344" s="85"/>
      <c r="I344" s="87"/>
      <c r="J344" s="85"/>
      <c r="K344" s="85"/>
      <c r="L344" s="10"/>
      <c r="M344" s="10"/>
      <c r="N344" s="10"/>
      <c r="O344" s="10"/>
      <c r="P344" s="85"/>
      <c r="Q344" s="88"/>
      <c r="R344" s="3">
        <f>IFERROR(VLOOKUP(TablaFebrero[[#This Row],[BARRIO]],SECTOR!$A:$B,2,0),"")</f>
      </c>
      <c r="S344" s="89"/>
      <c r="T344" s="90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6"/>
      <c r="AZ344" s="120">
        <f>COUNTIF(U344:AY344,"A")</f>
      </c>
      <c r="BA344" s="121">
        <f>COUNTIF(U344:AY344,"F")</f>
      </c>
      <c r="BB344" s="119">
        <f>COUNTIF(U344:AY344,"E")</f>
      </c>
    </row>
    <row r="345" spans="1:54" x14ac:dyDescent="0.2">
      <c r="A345" s="84"/>
      <c r="B345" s="85"/>
      <c r="C345" s="85"/>
      <c r="D345" s="85"/>
      <c r="E345" s="86"/>
      <c r="F345" s="16">
        <f>IF(E345="","",DATEDIF(E345,$I$7,"Y"))</f>
      </c>
      <c r="G345" s="85"/>
      <c r="H345" s="85"/>
      <c r="I345" s="87"/>
      <c r="J345" s="85"/>
      <c r="K345" s="85"/>
      <c r="L345" s="10"/>
      <c r="M345" s="10"/>
      <c r="N345" s="10"/>
      <c r="O345" s="10"/>
      <c r="P345" s="85"/>
      <c r="Q345" s="88"/>
      <c r="R345" s="3">
        <f>IFERROR(VLOOKUP(TablaFebrero[[#This Row],[BARRIO]],SECTOR!$A:$B,2,0),"")</f>
      </c>
      <c r="S345" s="89"/>
      <c r="T345" s="90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6"/>
      <c r="AZ345" s="120">
        <f>COUNTIF(U345:AY345,"A")</f>
      </c>
      <c r="BA345" s="121">
        <f>COUNTIF(U345:AY345,"F")</f>
      </c>
      <c r="BB345" s="119">
        <f>COUNTIF(U345:AY345,"E")</f>
      </c>
    </row>
    <row r="346" spans="1:54" x14ac:dyDescent="0.2">
      <c r="A346" s="84"/>
      <c r="B346" s="85"/>
      <c r="C346" s="85"/>
      <c r="D346" s="85"/>
      <c r="E346" s="86"/>
      <c r="F346" s="16">
        <f>IF(E346="","",DATEDIF(E346,$I$7,"Y"))</f>
      </c>
      <c r="G346" s="85"/>
      <c r="H346" s="85"/>
      <c r="I346" s="87"/>
      <c r="J346" s="85"/>
      <c r="K346" s="85"/>
      <c r="L346" s="10"/>
      <c r="M346" s="10"/>
      <c r="N346" s="10"/>
      <c r="O346" s="10"/>
      <c r="P346" s="85"/>
      <c r="Q346" s="88"/>
      <c r="R346" s="3">
        <f>IFERROR(VLOOKUP(TablaFebrero[[#This Row],[BARRIO]],SECTOR!$A:$B,2,0),"")</f>
      </c>
      <c r="S346" s="89"/>
      <c r="T346" s="90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6"/>
      <c r="AZ346" s="120">
        <f>COUNTIF(U346:AY346,"A")</f>
      </c>
      <c r="BA346" s="121">
        <f>COUNTIF(U346:AY346,"F")</f>
      </c>
      <c r="BB346" s="119">
        <f>COUNTIF(U346:AY346,"E")</f>
      </c>
    </row>
    <row r="347" spans="1:54" x14ac:dyDescent="0.2">
      <c r="A347" s="84"/>
      <c r="B347" s="85"/>
      <c r="C347" s="85"/>
      <c r="D347" s="85"/>
      <c r="E347" s="86"/>
      <c r="F347" s="16">
        <f>IF(E347="","",DATEDIF(E347,$I$7,"Y"))</f>
      </c>
      <c r="G347" s="85"/>
      <c r="H347" s="85"/>
      <c r="I347" s="87"/>
      <c r="J347" s="85"/>
      <c r="K347" s="85"/>
      <c r="L347" s="10"/>
      <c r="M347" s="10"/>
      <c r="N347" s="10"/>
      <c r="O347" s="10"/>
      <c r="P347" s="85"/>
      <c r="Q347" s="88"/>
      <c r="R347" s="3">
        <f>IFERROR(VLOOKUP(TablaFebrero[[#This Row],[BARRIO]],SECTOR!$A:$B,2,0),"")</f>
      </c>
      <c r="S347" s="89"/>
      <c r="T347" s="90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6"/>
      <c r="AZ347" s="120">
        <f>COUNTIF(U347:AY347,"A")</f>
      </c>
      <c r="BA347" s="121">
        <f>COUNTIF(U347:AY347,"F")</f>
      </c>
      <c r="BB347" s="119">
        <f>COUNTIF(U347:AY347,"E")</f>
      </c>
    </row>
    <row r="348" spans="1:54" x14ac:dyDescent="0.2">
      <c r="A348" s="84"/>
      <c r="B348" s="85"/>
      <c r="C348" s="85"/>
      <c r="D348" s="85"/>
      <c r="E348" s="86"/>
      <c r="F348" s="16">
        <f>IF(E348="","",DATEDIF(E348,$I$7,"Y"))</f>
      </c>
      <c r="G348" s="85"/>
      <c r="H348" s="85"/>
      <c r="I348" s="87"/>
      <c r="J348" s="85"/>
      <c r="K348" s="85"/>
      <c r="L348" s="10"/>
      <c r="M348" s="10"/>
      <c r="N348" s="10"/>
      <c r="O348" s="10"/>
      <c r="P348" s="85"/>
      <c r="Q348" s="88"/>
      <c r="R348" s="3">
        <f>IFERROR(VLOOKUP(TablaFebrero[[#This Row],[BARRIO]],SECTOR!$A:$B,2,0),"")</f>
      </c>
      <c r="S348" s="89"/>
      <c r="T348" s="90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6"/>
      <c r="AZ348" s="120">
        <f>COUNTIF(U348:AY348,"A")</f>
      </c>
      <c r="BA348" s="121">
        <f>COUNTIF(U348:AY348,"F")</f>
      </c>
      <c r="BB348" s="119">
        <f>COUNTIF(U348:AY348,"E")</f>
      </c>
    </row>
    <row r="349" spans="1:54" x14ac:dyDescent="0.2">
      <c r="A349" s="84"/>
      <c r="B349" s="85"/>
      <c r="C349" s="85"/>
      <c r="D349" s="85"/>
      <c r="E349" s="86"/>
      <c r="F349" s="16">
        <f>IF(E349="","",DATEDIF(E349,$I$7,"Y"))</f>
      </c>
      <c r="G349" s="85"/>
      <c r="H349" s="85"/>
      <c r="I349" s="87"/>
      <c r="J349" s="85"/>
      <c r="K349" s="85"/>
      <c r="L349" s="10"/>
      <c r="M349" s="10"/>
      <c r="N349" s="10"/>
      <c r="O349" s="10"/>
      <c r="P349" s="85"/>
      <c r="Q349" s="88"/>
      <c r="R349" s="3">
        <f>IFERROR(VLOOKUP(TablaFebrero[[#This Row],[BARRIO]],SECTOR!$A:$B,2,0),"")</f>
      </c>
      <c r="S349" s="89"/>
      <c r="T349" s="90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6"/>
      <c r="AZ349" s="120">
        <f>COUNTIF(U349:AY349,"A")</f>
      </c>
      <c r="BA349" s="121">
        <f>COUNTIF(U349:AY349,"F")</f>
      </c>
      <c r="BB349" s="119">
        <f>COUNTIF(U349:AY349,"E")</f>
      </c>
    </row>
    <row r="350" spans="1:54" x14ac:dyDescent="0.2">
      <c r="A350" s="84"/>
      <c r="B350" s="85"/>
      <c r="C350" s="85"/>
      <c r="D350" s="85"/>
      <c r="E350" s="86"/>
      <c r="F350" s="16">
        <f>IF(E350="","",DATEDIF(E350,$I$7,"Y"))</f>
      </c>
      <c r="G350" s="85"/>
      <c r="H350" s="85"/>
      <c r="I350" s="87"/>
      <c r="J350" s="85"/>
      <c r="K350" s="85"/>
      <c r="L350" s="10"/>
      <c r="M350" s="10"/>
      <c r="N350" s="10"/>
      <c r="O350" s="10"/>
      <c r="P350" s="85"/>
      <c r="Q350" s="88"/>
      <c r="R350" s="3">
        <f>IFERROR(VLOOKUP(TablaFebrero[[#This Row],[BARRIO]],SECTOR!$A:$B,2,0),"")</f>
      </c>
      <c r="S350" s="89"/>
      <c r="T350" s="90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6"/>
      <c r="AZ350" s="120">
        <f>COUNTIF(U350:AY350,"A")</f>
      </c>
      <c r="BA350" s="121">
        <f>COUNTIF(U350:AY350,"F")</f>
      </c>
      <c r="BB350" s="119">
        <f>COUNTIF(U350:AY350,"E")</f>
      </c>
    </row>
    <row r="351" spans="1:54" x14ac:dyDescent="0.2">
      <c r="A351" s="84"/>
      <c r="B351" s="85"/>
      <c r="C351" s="85"/>
      <c r="D351" s="85"/>
      <c r="E351" s="86"/>
      <c r="F351" s="16">
        <f>IF(E351="","",DATEDIF(E351,$I$7,"Y"))</f>
      </c>
      <c r="G351" s="85"/>
      <c r="H351" s="85"/>
      <c r="I351" s="87"/>
      <c r="J351" s="85"/>
      <c r="K351" s="85"/>
      <c r="L351" s="10"/>
      <c r="M351" s="10"/>
      <c r="N351" s="10"/>
      <c r="O351" s="10"/>
      <c r="P351" s="85"/>
      <c r="Q351" s="88"/>
      <c r="R351" s="3">
        <f>IFERROR(VLOOKUP(TablaFebrero[[#This Row],[BARRIO]],SECTOR!$A:$B,2,0),"")</f>
      </c>
      <c r="S351" s="89"/>
      <c r="T351" s="90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6"/>
      <c r="AZ351" s="120">
        <f>COUNTIF(U351:AY351,"A")</f>
      </c>
      <c r="BA351" s="121">
        <f>COUNTIF(U351:AY351,"F")</f>
      </c>
      <c r="BB351" s="119">
        <f>COUNTIF(U351:AY351,"E")</f>
      </c>
    </row>
    <row r="352" spans="1:54" x14ac:dyDescent="0.2">
      <c r="A352" s="84"/>
      <c r="B352" s="85"/>
      <c r="C352" s="85"/>
      <c r="D352" s="85"/>
      <c r="E352" s="86"/>
      <c r="F352" s="16">
        <f>IF(E352="","",DATEDIF(E352,$I$7,"Y"))</f>
      </c>
      <c r="G352" s="85"/>
      <c r="H352" s="85"/>
      <c r="I352" s="87"/>
      <c r="J352" s="85"/>
      <c r="K352" s="85"/>
      <c r="L352" s="10"/>
      <c r="M352" s="10"/>
      <c r="N352" s="10"/>
      <c r="O352" s="10"/>
      <c r="P352" s="85"/>
      <c r="Q352" s="88"/>
      <c r="R352" s="3">
        <f>IFERROR(VLOOKUP(TablaFebrero[[#This Row],[BARRIO]],SECTOR!$A:$B,2,0),"")</f>
      </c>
      <c r="S352" s="89"/>
      <c r="T352" s="90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6"/>
      <c r="AZ352" s="120">
        <f>COUNTIF(U352:AY352,"A")</f>
      </c>
      <c r="BA352" s="121">
        <f>COUNTIF(U352:AY352,"F")</f>
      </c>
      <c r="BB352" s="119">
        <f>COUNTIF(U352:AY352,"E")</f>
      </c>
    </row>
    <row r="353" spans="1:54" x14ac:dyDescent="0.2">
      <c r="A353" s="84"/>
      <c r="B353" s="85"/>
      <c r="C353" s="85"/>
      <c r="D353" s="85"/>
      <c r="E353" s="86"/>
      <c r="F353" s="16">
        <f>IF(E353="","",DATEDIF(E353,$I$7,"Y"))</f>
      </c>
      <c r="G353" s="85"/>
      <c r="H353" s="85"/>
      <c r="I353" s="87"/>
      <c r="J353" s="85"/>
      <c r="K353" s="85"/>
      <c r="L353" s="10"/>
      <c r="M353" s="10"/>
      <c r="N353" s="10"/>
      <c r="O353" s="10"/>
      <c r="P353" s="85"/>
      <c r="Q353" s="88"/>
      <c r="R353" s="3">
        <f>IFERROR(VLOOKUP(TablaFebrero[[#This Row],[BARRIO]],SECTOR!$A:$B,2,0),"")</f>
      </c>
      <c r="S353" s="89"/>
      <c r="T353" s="90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6"/>
      <c r="AZ353" s="120">
        <f>COUNTIF(U353:AY353,"A")</f>
      </c>
      <c r="BA353" s="121">
        <f>COUNTIF(U353:AY353,"F")</f>
      </c>
      <c r="BB353" s="119">
        <f>COUNTIF(U353:AY353,"E")</f>
      </c>
    </row>
    <row r="354" spans="1:54" x14ac:dyDescent="0.2">
      <c r="A354" s="84"/>
      <c r="B354" s="85"/>
      <c r="C354" s="85"/>
      <c r="D354" s="85"/>
      <c r="E354" s="86"/>
      <c r="F354" s="16">
        <f>IF(E354="","",DATEDIF(E354,$I$7,"Y"))</f>
      </c>
      <c r="G354" s="85"/>
      <c r="H354" s="85"/>
      <c r="I354" s="87"/>
      <c r="J354" s="85"/>
      <c r="K354" s="85"/>
      <c r="L354" s="10"/>
      <c r="M354" s="10"/>
      <c r="N354" s="10"/>
      <c r="O354" s="10"/>
      <c r="P354" s="85"/>
      <c r="Q354" s="88"/>
      <c r="R354" s="3">
        <f>IFERROR(VLOOKUP(TablaFebrero[[#This Row],[BARRIO]],SECTOR!$A:$B,2,0),"")</f>
      </c>
      <c r="S354" s="89"/>
      <c r="T354" s="90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6"/>
      <c r="AZ354" s="120">
        <f>COUNTIF(U354:AY354,"A")</f>
      </c>
      <c r="BA354" s="121">
        <f>COUNTIF(U354:AY354,"F")</f>
      </c>
      <c r="BB354" s="119">
        <f>COUNTIF(U354:AY354,"E")</f>
      </c>
    </row>
    <row r="355" spans="1:54" x14ac:dyDescent="0.2">
      <c r="A355" s="84"/>
      <c r="B355" s="85"/>
      <c r="C355" s="85"/>
      <c r="D355" s="85"/>
      <c r="E355" s="86"/>
      <c r="F355" s="16">
        <f>IF(E355="","",DATEDIF(E355,$I$7,"Y"))</f>
      </c>
      <c r="G355" s="85"/>
      <c r="H355" s="85"/>
      <c r="I355" s="87"/>
      <c r="J355" s="85"/>
      <c r="K355" s="85"/>
      <c r="L355" s="10"/>
      <c r="M355" s="10"/>
      <c r="N355" s="10"/>
      <c r="O355" s="10"/>
      <c r="P355" s="85"/>
      <c r="Q355" s="88"/>
      <c r="R355" s="3">
        <f>IFERROR(VLOOKUP(TablaFebrero[[#This Row],[BARRIO]],SECTOR!$A:$B,2,0),"")</f>
      </c>
      <c r="S355" s="89"/>
      <c r="T355" s="90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6"/>
      <c r="AZ355" s="120">
        <f>COUNTIF(U355:AY355,"A")</f>
      </c>
      <c r="BA355" s="121">
        <f>COUNTIF(U355:AY355,"F")</f>
      </c>
      <c r="BB355" s="119">
        <f>COUNTIF(U355:AY355,"E")</f>
      </c>
    </row>
    <row r="356" spans="1:54" x14ac:dyDescent="0.2">
      <c r="A356" s="84"/>
      <c r="B356" s="85"/>
      <c r="C356" s="85"/>
      <c r="D356" s="85"/>
      <c r="E356" s="86"/>
      <c r="F356" s="16">
        <f>IF(E356="","",DATEDIF(E356,$I$7,"Y"))</f>
      </c>
      <c r="G356" s="85"/>
      <c r="H356" s="85"/>
      <c r="I356" s="87"/>
      <c r="J356" s="85"/>
      <c r="K356" s="85"/>
      <c r="L356" s="10"/>
      <c r="M356" s="10"/>
      <c r="N356" s="10"/>
      <c r="O356" s="10"/>
      <c r="P356" s="85"/>
      <c r="Q356" s="88"/>
      <c r="R356" s="3">
        <f>IFERROR(VLOOKUP(TablaFebrero[[#This Row],[BARRIO]],SECTOR!$A:$B,2,0),"")</f>
      </c>
      <c r="S356" s="89"/>
      <c r="T356" s="90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6"/>
      <c r="AZ356" s="120">
        <f>COUNTIF(U356:AY356,"A")</f>
      </c>
      <c r="BA356" s="121">
        <f>COUNTIF(U356:AY356,"F")</f>
      </c>
      <c r="BB356" s="119">
        <f>COUNTIF(U356:AY356,"E")</f>
      </c>
    </row>
    <row r="357" spans="1:54" x14ac:dyDescent="0.2">
      <c r="A357" s="84"/>
      <c r="B357" s="85"/>
      <c r="C357" s="85"/>
      <c r="D357" s="85"/>
      <c r="E357" s="86"/>
      <c r="F357" s="16">
        <f>IF(E357="","",DATEDIF(E357,$I$7,"Y"))</f>
      </c>
      <c r="G357" s="85"/>
      <c r="H357" s="85"/>
      <c r="I357" s="87"/>
      <c r="J357" s="85"/>
      <c r="K357" s="85"/>
      <c r="L357" s="10"/>
      <c r="M357" s="10"/>
      <c r="N357" s="10"/>
      <c r="O357" s="10"/>
      <c r="P357" s="85"/>
      <c r="Q357" s="88"/>
      <c r="R357" s="3">
        <f>IFERROR(VLOOKUP(TablaFebrero[[#This Row],[BARRIO]],SECTOR!$A:$B,2,0),"")</f>
      </c>
      <c r="S357" s="89"/>
      <c r="T357" s="90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6"/>
      <c r="AZ357" s="120">
        <f>COUNTIF(U357:AY357,"A")</f>
      </c>
      <c r="BA357" s="121">
        <f>COUNTIF(U357:AY357,"F")</f>
      </c>
      <c r="BB357" s="119">
        <f>COUNTIF(U357:AY357,"E")</f>
      </c>
    </row>
    <row r="358" spans="1:54" x14ac:dyDescent="0.2">
      <c r="A358" s="84"/>
      <c r="B358" s="85"/>
      <c r="C358" s="85"/>
      <c r="D358" s="85"/>
      <c r="E358" s="86"/>
      <c r="F358" s="16">
        <f>IF(E358="","",DATEDIF(E358,$I$7,"Y"))</f>
      </c>
      <c r="G358" s="85"/>
      <c r="H358" s="85"/>
      <c r="I358" s="87"/>
      <c r="J358" s="85"/>
      <c r="K358" s="85"/>
      <c r="L358" s="10"/>
      <c r="M358" s="10"/>
      <c r="N358" s="10"/>
      <c r="O358" s="10"/>
      <c r="P358" s="85"/>
      <c r="Q358" s="88"/>
      <c r="R358" s="3">
        <f>IFERROR(VLOOKUP(TablaFebrero[[#This Row],[BARRIO]],SECTOR!$A:$B,2,0),"")</f>
      </c>
      <c r="S358" s="89"/>
      <c r="T358" s="90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6"/>
      <c r="AZ358" s="120">
        <f>COUNTIF(U358:AY358,"A")</f>
      </c>
      <c r="BA358" s="121">
        <f>COUNTIF(U358:AY358,"F")</f>
      </c>
      <c r="BB358" s="119">
        <f>COUNTIF(U358:AY358,"E")</f>
      </c>
    </row>
    <row r="359" spans="1:54" x14ac:dyDescent="0.2">
      <c r="A359" s="84"/>
      <c r="B359" s="85"/>
      <c r="C359" s="85"/>
      <c r="D359" s="85"/>
      <c r="E359" s="86"/>
      <c r="F359" s="16">
        <f>IF(E359="","",DATEDIF(E359,$I$7,"Y"))</f>
      </c>
      <c r="G359" s="85"/>
      <c r="H359" s="85"/>
      <c r="I359" s="87"/>
      <c r="J359" s="85"/>
      <c r="K359" s="85"/>
      <c r="L359" s="10"/>
      <c r="M359" s="10"/>
      <c r="N359" s="10"/>
      <c r="O359" s="10"/>
      <c r="P359" s="85"/>
      <c r="Q359" s="88"/>
      <c r="R359" s="3">
        <f>IFERROR(VLOOKUP(TablaFebrero[[#This Row],[BARRIO]],SECTOR!$A:$B,2,0),"")</f>
      </c>
      <c r="S359" s="89"/>
      <c r="T359" s="90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6"/>
      <c r="AZ359" s="120">
        <f>COUNTIF(U359:AY359,"A")</f>
      </c>
      <c r="BA359" s="121">
        <f>COUNTIF(U359:AY359,"F")</f>
      </c>
      <c r="BB359" s="119">
        <f>COUNTIF(U359:AY359,"E")</f>
      </c>
    </row>
    <row r="360" spans="1:54" x14ac:dyDescent="0.2">
      <c r="A360" s="84"/>
      <c r="B360" s="85"/>
      <c r="C360" s="85"/>
      <c r="D360" s="85"/>
      <c r="E360" s="86"/>
      <c r="F360" s="16">
        <f>IF(E360="","",DATEDIF(E360,$I$7,"Y"))</f>
      </c>
      <c r="G360" s="85"/>
      <c r="H360" s="85"/>
      <c r="I360" s="87"/>
      <c r="J360" s="85"/>
      <c r="K360" s="85"/>
      <c r="L360" s="10"/>
      <c r="M360" s="10"/>
      <c r="N360" s="10"/>
      <c r="O360" s="10"/>
      <c r="P360" s="85"/>
      <c r="Q360" s="88"/>
      <c r="R360" s="3">
        <f>IFERROR(VLOOKUP(TablaFebrero[[#This Row],[BARRIO]],SECTOR!$A:$B,2,0),"")</f>
      </c>
      <c r="S360" s="89"/>
      <c r="T360" s="90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6"/>
      <c r="AZ360" s="120">
        <f>COUNTIF(U360:AY360,"A")</f>
      </c>
      <c r="BA360" s="121">
        <f>COUNTIF(U360:AY360,"F")</f>
      </c>
      <c r="BB360" s="119">
        <f>COUNTIF(U360:AY360,"E")</f>
      </c>
    </row>
    <row r="361" spans="1:54" x14ac:dyDescent="0.2">
      <c r="A361" s="84"/>
      <c r="B361" s="85"/>
      <c r="C361" s="85"/>
      <c r="D361" s="85"/>
      <c r="E361" s="86"/>
      <c r="F361" s="16">
        <f>IF(E361="","",DATEDIF(E361,$I$7,"Y"))</f>
      </c>
      <c r="G361" s="85"/>
      <c r="H361" s="85"/>
      <c r="I361" s="87"/>
      <c r="J361" s="85"/>
      <c r="K361" s="85"/>
      <c r="L361" s="10"/>
      <c r="M361" s="10"/>
      <c r="N361" s="10"/>
      <c r="O361" s="10"/>
      <c r="P361" s="85"/>
      <c r="Q361" s="88"/>
      <c r="R361" s="3">
        <f>IFERROR(VLOOKUP(TablaFebrero[[#This Row],[BARRIO]],SECTOR!$A:$B,2,0),"")</f>
      </c>
      <c r="S361" s="89"/>
      <c r="T361" s="90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6"/>
      <c r="AZ361" s="120">
        <f>COUNTIF(U361:AY361,"A")</f>
      </c>
      <c r="BA361" s="121">
        <f>COUNTIF(U361:AY361,"F")</f>
      </c>
      <c r="BB361" s="119">
        <f>COUNTIF(U361:AY361,"E")</f>
      </c>
    </row>
    <row r="362" spans="1:54" x14ac:dyDescent="0.2">
      <c r="A362" s="84"/>
      <c r="B362" s="85"/>
      <c r="C362" s="85"/>
      <c r="D362" s="85"/>
      <c r="E362" s="86"/>
      <c r="F362" s="16">
        <f>IF(E362="","",DATEDIF(E362,$I$7,"Y"))</f>
      </c>
      <c r="G362" s="85"/>
      <c r="H362" s="85"/>
      <c r="I362" s="87"/>
      <c r="J362" s="85"/>
      <c r="K362" s="85"/>
      <c r="L362" s="10"/>
      <c r="M362" s="10"/>
      <c r="N362" s="10"/>
      <c r="O362" s="10"/>
      <c r="P362" s="85"/>
      <c r="Q362" s="88"/>
      <c r="R362" s="3">
        <f>IFERROR(VLOOKUP(TablaFebrero[[#This Row],[BARRIO]],SECTOR!$A:$B,2,0),"")</f>
      </c>
      <c r="S362" s="89"/>
      <c r="T362" s="90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6"/>
      <c r="AZ362" s="120">
        <f>COUNTIF(U362:AY362,"A")</f>
      </c>
      <c r="BA362" s="121">
        <f>COUNTIF(U362:AY362,"F")</f>
      </c>
      <c r="BB362" s="119">
        <f>COUNTIF(U362:AY362,"E")</f>
      </c>
    </row>
    <row r="363" spans="1:54" x14ac:dyDescent="0.2">
      <c r="A363" s="84"/>
      <c r="B363" s="85"/>
      <c r="C363" s="85"/>
      <c r="D363" s="85"/>
      <c r="E363" s="86"/>
      <c r="F363" s="16">
        <f>IF(E363="","",DATEDIF(E363,$I$7,"Y"))</f>
      </c>
      <c r="G363" s="85"/>
      <c r="H363" s="85"/>
      <c r="I363" s="87"/>
      <c r="J363" s="85"/>
      <c r="K363" s="85"/>
      <c r="L363" s="10"/>
      <c r="M363" s="10"/>
      <c r="N363" s="10"/>
      <c r="O363" s="10"/>
      <c r="P363" s="85"/>
      <c r="Q363" s="88"/>
      <c r="R363" s="3">
        <f>IFERROR(VLOOKUP(TablaFebrero[[#This Row],[BARRIO]],SECTOR!$A:$B,2,0),"")</f>
      </c>
      <c r="S363" s="89"/>
      <c r="T363" s="90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6"/>
      <c r="AZ363" s="120">
        <f>COUNTIF(U363:AY363,"A")</f>
      </c>
      <c r="BA363" s="121">
        <f>COUNTIF(U363:AY363,"F")</f>
      </c>
      <c r="BB363" s="119">
        <f>COUNTIF(U363:AY363,"E")</f>
      </c>
    </row>
    <row r="364" spans="1:54" x14ac:dyDescent="0.2">
      <c r="A364" s="84"/>
      <c r="B364" s="85"/>
      <c r="C364" s="85"/>
      <c r="D364" s="85"/>
      <c r="E364" s="86"/>
      <c r="F364" s="16">
        <f>IF(E364="","",DATEDIF(E364,$I$7,"Y"))</f>
      </c>
      <c r="G364" s="85"/>
      <c r="H364" s="85"/>
      <c r="I364" s="87"/>
      <c r="J364" s="85"/>
      <c r="K364" s="85"/>
      <c r="L364" s="10"/>
      <c r="M364" s="10"/>
      <c r="N364" s="10"/>
      <c r="O364" s="10"/>
      <c r="P364" s="85"/>
      <c r="Q364" s="88"/>
      <c r="R364" s="3">
        <f>IFERROR(VLOOKUP(TablaFebrero[[#This Row],[BARRIO]],SECTOR!$A:$B,2,0),"")</f>
      </c>
      <c r="S364" s="89"/>
      <c r="T364" s="90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6"/>
      <c r="AZ364" s="120">
        <f>COUNTIF(U364:AY364,"A")</f>
      </c>
      <c r="BA364" s="121">
        <f>COUNTIF(U364:AY364,"F")</f>
      </c>
      <c r="BB364" s="119">
        <f>COUNTIF(U364:AY364,"E")</f>
      </c>
    </row>
    <row r="365" spans="1:54" x14ac:dyDescent="0.2">
      <c r="A365" s="84"/>
      <c r="B365" s="85"/>
      <c r="C365" s="85"/>
      <c r="D365" s="85"/>
      <c r="E365" s="86"/>
      <c r="F365" s="16">
        <f>IF(E365="","",DATEDIF(E365,$I$7,"Y"))</f>
      </c>
      <c r="G365" s="85"/>
      <c r="H365" s="85"/>
      <c r="I365" s="87"/>
      <c r="J365" s="85"/>
      <c r="K365" s="85"/>
      <c r="L365" s="10"/>
      <c r="M365" s="10"/>
      <c r="N365" s="10"/>
      <c r="O365" s="10"/>
      <c r="P365" s="85"/>
      <c r="Q365" s="88"/>
      <c r="R365" s="3">
        <f>IFERROR(VLOOKUP(TablaFebrero[[#This Row],[BARRIO]],SECTOR!$A:$B,2,0),"")</f>
      </c>
      <c r="S365" s="89"/>
      <c r="T365" s="90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6"/>
      <c r="AZ365" s="120">
        <f>COUNTIF(U365:AY365,"A")</f>
      </c>
      <c r="BA365" s="121">
        <f>COUNTIF(U365:AY365,"F")</f>
      </c>
      <c r="BB365" s="119">
        <f>COUNTIF(U365:AY365,"E")</f>
      </c>
    </row>
    <row r="366" spans="1:54" x14ac:dyDescent="0.2">
      <c r="A366" s="84"/>
      <c r="B366" s="85"/>
      <c r="C366" s="85"/>
      <c r="D366" s="85"/>
      <c r="E366" s="86"/>
      <c r="F366" s="16">
        <f>IF(E366="","",DATEDIF(E366,$I$7,"Y"))</f>
      </c>
      <c r="G366" s="85"/>
      <c r="H366" s="85"/>
      <c r="I366" s="87"/>
      <c r="J366" s="85"/>
      <c r="K366" s="85"/>
      <c r="L366" s="10"/>
      <c r="M366" s="10"/>
      <c r="N366" s="10"/>
      <c r="O366" s="10"/>
      <c r="P366" s="85"/>
      <c r="Q366" s="88"/>
      <c r="R366" s="3">
        <f>IFERROR(VLOOKUP(TablaFebrero[[#This Row],[BARRIO]],SECTOR!$A:$B,2,0),"")</f>
      </c>
      <c r="S366" s="89"/>
      <c r="T366" s="90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6"/>
      <c r="AZ366" s="120">
        <f>COUNTIF(U366:AY366,"A")</f>
      </c>
      <c r="BA366" s="121">
        <f>COUNTIF(U366:AY366,"F")</f>
      </c>
      <c r="BB366" s="119">
        <f>COUNTIF(U366:AY366,"E")</f>
      </c>
    </row>
    <row r="367" spans="1:54" x14ac:dyDescent="0.2">
      <c r="A367" s="84"/>
      <c r="B367" s="85"/>
      <c r="C367" s="85"/>
      <c r="D367" s="85"/>
      <c r="E367" s="86"/>
      <c r="F367" s="16">
        <f>IF(E367="","",DATEDIF(E367,$I$7,"Y"))</f>
      </c>
      <c r="G367" s="85"/>
      <c r="H367" s="85"/>
      <c r="I367" s="87"/>
      <c r="J367" s="85"/>
      <c r="K367" s="85"/>
      <c r="L367" s="10"/>
      <c r="M367" s="10"/>
      <c r="N367" s="10"/>
      <c r="O367" s="10"/>
      <c r="P367" s="85"/>
      <c r="Q367" s="88"/>
      <c r="R367" s="3">
        <f>IFERROR(VLOOKUP(TablaFebrero[[#This Row],[BARRIO]],SECTOR!$A:$B,2,0),"")</f>
      </c>
      <c r="S367" s="89"/>
      <c r="T367" s="90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6"/>
      <c r="AZ367" s="120">
        <f>COUNTIF(U367:AY367,"A")</f>
      </c>
      <c r="BA367" s="121">
        <f>COUNTIF(U367:AY367,"F")</f>
      </c>
      <c r="BB367" s="119">
        <f>COUNTIF(U367:AY367,"E")</f>
      </c>
    </row>
    <row r="368" spans="1:54" x14ac:dyDescent="0.2">
      <c r="A368" s="84"/>
      <c r="B368" s="85"/>
      <c r="C368" s="85"/>
      <c r="D368" s="85"/>
      <c r="E368" s="86"/>
      <c r="F368" s="16">
        <f>IF(E368="","",DATEDIF(E368,$I$7,"Y"))</f>
      </c>
      <c r="G368" s="85"/>
      <c r="H368" s="85"/>
      <c r="I368" s="87"/>
      <c r="J368" s="85"/>
      <c r="K368" s="85"/>
      <c r="L368" s="10"/>
      <c r="M368" s="10"/>
      <c r="N368" s="10"/>
      <c r="O368" s="10"/>
      <c r="P368" s="85"/>
      <c r="Q368" s="88"/>
      <c r="R368" s="3">
        <f>IFERROR(VLOOKUP(TablaFebrero[[#This Row],[BARRIO]],SECTOR!$A:$B,2,0),"")</f>
      </c>
      <c r="S368" s="89"/>
      <c r="T368" s="90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6"/>
      <c r="AZ368" s="120">
        <f>COUNTIF(U368:AY368,"A")</f>
      </c>
      <c r="BA368" s="121">
        <f>COUNTIF(U368:AY368,"F")</f>
      </c>
      <c r="BB368" s="119">
        <f>COUNTIF(U368:AY368,"E")</f>
      </c>
    </row>
    <row r="369" spans="1:54" x14ac:dyDescent="0.2">
      <c r="A369" s="84"/>
      <c r="B369" s="85"/>
      <c r="C369" s="85"/>
      <c r="D369" s="85"/>
      <c r="E369" s="86"/>
      <c r="F369" s="16">
        <f>IF(E369="","",DATEDIF(E369,$I$7,"Y"))</f>
      </c>
      <c r="G369" s="85"/>
      <c r="H369" s="85"/>
      <c r="I369" s="87"/>
      <c r="J369" s="85"/>
      <c r="K369" s="85"/>
      <c r="L369" s="10"/>
      <c r="M369" s="10"/>
      <c r="N369" s="10"/>
      <c r="O369" s="10"/>
      <c r="P369" s="85"/>
      <c r="Q369" s="88"/>
      <c r="R369" s="3">
        <f>IFERROR(VLOOKUP(TablaFebrero[[#This Row],[BARRIO]],SECTOR!$A:$B,2,0),"")</f>
      </c>
      <c r="S369" s="89"/>
      <c r="T369" s="90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6"/>
      <c r="AZ369" s="120">
        <f>COUNTIF(U369:AY369,"A")</f>
      </c>
      <c r="BA369" s="121">
        <f>COUNTIF(U369:AY369,"F")</f>
      </c>
      <c r="BB369" s="119">
        <f>COUNTIF(U369:AY369,"E")</f>
      </c>
    </row>
    <row r="370" spans="1:54" x14ac:dyDescent="0.2">
      <c r="A370" s="84"/>
      <c r="B370" s="85"/>
      <c r="C370" s="85"/>
      <c r="D370" s="85"/>
      <c r="E370" s="86"/>
      <c r="F370" s="16">
        <f>IF(E370="","",DATEDIF(E370,$I$7,"Y"))</f>
      </c>
      <c r="G370" s="85"/>
      <c r="H370" s="85"/>
      <c r="I370" s="87"/>
      <c r="J370" s="85"/>
      <c r="K370" s="85"/>
      <c r="L370" s="10"/>
      <c r="M370" s="10"/>
      <c r="N370" s="10"/>
      <c r="O370" s="10"/>
      <c r="P370" s="85"/>
      <c r="Q370" s="88"/>
      <c r="R370" s="3">
        <f>IFERROR(VLOOKUP(TablaFebrero[[#This Row],[BARRIO]],SECTOR!$A:$B,2,0),"")</f>
      </c>
      <c r="S370" s="89"/>
      <c r="T370" s="90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6"/>
      <c r="AZ370" s="120">
        <f>COUNTIF(U370:AY370,"A")</f>
      </c>
      <c r="BA370" s="121">
        <f>COUNTIF(U370:AY370,"F")</f>
      </c>
      <c r="BB370" s="119">
        <f>COUNTIF(U370:AY370,"E")</f>
      </c>
    </row>
    <row r="371" spans="1:54" x14ac:dyDescent="0.2">
      <c r="A371" s="84"/>
      <c r="B371" s="85"/>
      <c r="C371" s="85"/>
      <c r="D371" s="85"/>
      <c r="E371" s="86"/>
      <c r="F371" s="16">
        <f>IF(E371="","",DATEDIF(E371,$I$7,"Y"))</f>
      </c>
      <c r="G371" s="85"/>
      <c r="H371" s="85"/>
      <c r="I371" s="87"/>
      <c r="J371" s="85"/>
      <c r="K371" s="85"/>
      <c r="L371" s="10"/>
      <c r="M371" s="10"/>
      <c r="N371" s="10"/>
      <c r="O371" s="10"/>
      <c r="P371" s="85"/>
      <c r="Q371" s="88"/>
      <c r="R371" s="3">
        <f>IFERROR(VLOOKUP(TablaFebrero[[#This Row],[BARRIO]],SECTOR!$A:$B,2,0),"")</f>
      </c>
      <c r="S371" s="89"/>
      <c r="T371" s="90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6"/>
      <c r="AZ371" s="120">
        <f>COUNTIF(U371:AY371,"A")</f>
      </c>
      <c r="BA371" s="121">
        <f>COUNTIF(U371:AY371,"F")</f>
      </c>
      <c r="BB371" s="119">
        <f>COUNTIF(U371:AY371,"E")</f>
      </c>
    </row>
    <row r="372" spans="1:54" x14ac:dyDescent="0.2">
      <c r="A372" s="84"/>
      <c r="B372" s="85"/>
      <c r="C372" s="85"/>
      <c r="D372" s="85"/>
      <c r="E372" s="86"/>
      <c r="F372" s="16">
        <f>IF(E372="","",DATEDIF(E372,$I$7,"Y"))</f>
      </c>
      <c r="G372" s="85"/>
      <c r="H372" s="85"/>
      <c r="I372" s="87"/>
      <c r="J372" s="85"/>
      <c r="K372" s="85"/>
      <c r="L372" s="10"/>
      <c r="M372" s="10"/>
      <c r="N372" s="10"/>
      <c r="O372" s="10"/>
      <c r="P372" s="85"/>
      <c r="Q372" s="88"/>
      <c r="R372" s="3">
        <f>IFERROR(VLOOKUP(TablaFebrero[[#This Row],[BARRIO]],SECTOR!$A:$B,2,0),"")</f>
      </c>
      <c r="S372" s="89"/>
      <c r="T372" s="90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6"/>
      <c r="AZ372" s="120">
        <f>COUNTIF(U372:AY372,"A")</f>
      </c>
      <c r="BA372" s="121">
        <f>COUNTIF(U372:AY372,"F")</f>
      </c>
      <c r="BB372" s="119">
        <f>COUNTIF(U372:AY372,"E")</f>
      </c>
    </row>
    <row r="373" spans="1:54" x14ac:dyDescent="0.2">
      <c r="A373" s="84"/>
      <c r="B373" s="85"/>
      <c r="C373" s="85"/>
      <c r="D373" s="85"/>
      <c r="E373" s="86"/>
      <c r="F373" s="16">
        <f>IF(E373="","",DATEDIF(E373,$I$7,"Y"))</f>
      </c>
      <c r="G373" s="85"/>
      <c r="H373" s="85"/>
      <c r="I373" s="87"/>
      <c r="J373" s="85"/>
      <c r="K373" s="85"/>
      <c r="L373" s="10"/>
      <c r="M373" s="10"/>
      <c r="N373" s="10"/>
      <c r="O373" s="10"/>
      <c r="P373" s="85"/>
      <c r="Q373" s="88"/>
      <c r="R373" s="3">
        <f>IFERROR(VLOOKUP(TablaFebrero[[#This Row],[BARRIO]],SECTOR!$A:$B,2,0),"")</f>
      </c>
      <c r="S373" s="89"/>
      <c r="T373" s="90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6"/>
      <c r="AZ373" s="120">
        <f>COUNTIF(U373:AY373,"A")</f>
      </c>
      <c r="BA373" s="121">
        <f>COUNTIF(U373:AY373,"F")</f>
      </c>
      <c r="BB373" s="119">
        <f>COUNTIF(U373:AY373,"E")</f>
      </c>
    </row>
    <row r="374" spans="1:54" x14ac:dyDescent="0.2">
      <c r="A374" s="84"/>
      <c r="B374" s="85"/>
      <c r="C374" s="85"/>
      <c r="D374" s="85"/>
      <c r="E374" s="86"/>
      <c r="F374" s="16">
        <f>IF(E374="","",DATEDIF(E374,$I$7,"Y"))</f>
      </c>
      <c r="G374" s="85"/>
      <c r="H374" s="85"/>
      <c r="I374" s="87"/>
      <c r="J374" s="85"/>
      <c r="K374" s="85"/>
      <c r="L374" s="10"/>
      <c r="M374" s="10"/>
      <c r="N374" s="10"/>
      <c r="O374" s="10"/>
      <c r="P374" s="85"/>
      <c r="Q374" s="88"/>
      <c r="R374" s="3">
        <f>IFERROR(VLOOKUP(TablaFebrero[[#This Row],[BARRIO]],SECTOR!$A:$B,2,0),"")</f>
      </c>
      <c r="S374" s="89"/>
      <c r="T374" s="90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6"/>
      <c r="AZ374" s="120">
        <f>COUNTIF(U374:AY374,"A")</f>
      </c>
      <c r="BA374" s="121">
        <f>COUNTIF(U374:AY374,"F")</f>
      </c>
      <c r="BB374" s="119">
        <f>COUNTIF(U374:AY374,"E")</f>
      </c>
    </row>
    <row r="375" spans="1:54" x14ac:dyDescent="0.2">
      <c r="A375" s="84"/>
      <c r="B375" s="85"/>
      <c r="C375" s="85"/>
      <c r="D375" s="85"/>
      <c r="E375" s="86"/>
      <c r="F375" s="16">
        <f>IF(E375="","",DATEDIF(E375,$I$7,"Y"))</f>
      </c>
      <c r="G375" s="85"/>
      <c r="H375" s="85"/>
      <c r="I375" s="87"/>
      <c r="J375" s="85"/>
      <c r="K375" s="85"/>
      <c r="L375" s="10"/>
      <c r="M375" s="10"/>
      <c r="N375" s="10"/>
      <c r="O375" s="10"/>
      <c r="P375" s="85"/>
      <c r="Q375" s="88"/>
      <c r="R375" s="3">
        <f>IFERROR(VLOOKUP(TablaFebrero[[#This Row],[BARRIO]],SECTOR!$A:$B,2,0),"")</f>
      </c>
      <c r="S375" s="89"/>
      <c r="T375" s="90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6"/>
      <c r="AZ375" s="120">
        <f>COUNTIF(U375:AY375,"A")</f>
      </c>
      <c r="BA375" s="121">
        <f>COUNTIF(U375:AY375,"F")</f>
      </c>
      <c r="BB375" s="119">
        <f>COUNTIF(U375:AY375,"E")</f>
      </c>
    </row>
    <row r="376" spans="1:54" x14ac:dyDescent="0.2">
      <c r="A376" s="84"/>
      <c r="B376" s="85"/>
      <c r="C376" s="85"/>
      <c r="D376" s="85"/>
      <c r="E376" s="86"/>
      <c r="F376" s="16">
        <f>IF(E376="","",DATEDIF(E376,$I$7,"Y"))</f>
      </c>
      <c r="G376" s="85"/>
      <c r="H376" s="85"/>
      <c r="I376" s="87"/>
      <c r="J376" s="85"/>
      <c r="K376" s="85"/>
      <c r="L376" s="10"/>
      <c r="M376" s="10"/>
      <c r="N376" s="10"/>
      <c r="O376" s="10"/>
      <c r="P376" s="85"/>
      <c r="Q376" s="88"/>
      <c r="R376" s="3">
        <f>IFERROR(VLOOKUP(TablaFebrero[[#This Row],[BARRIO]],SECTOR!$A:$B,2,0),"")</f>
      </c>
      <c r="S376" s="89"/>
      <c r="T376" s="90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6"/>
      <c r="AZ376" s="120">
        <f>COUNTIF(U376:AY376,"A")</f>
      </c>
      <c r="BA376" s="121">
        <f>COUNTIF(U376:AY376,"F")</f>
      </c>
      <c r="BB376" s="119">
        <f>COUNTIF(U376:AY376,"E")</f>
      </c>
    </row>
    <row r="377" spans="1:54" x14ac:dyDescent="0.2">
      <c r="A377" s="84"/>
      <c r="B377" s="85"/>
      <c r="C377" s="85"/>
      <c r="D377" s="85"/>
      <c r="E377" s="86"/>
      <c r="F377" s="16">
        <f>IF(E377="","",DATEDIF(E377,$I$7,"Y"))</f>
      </c>
      <c r="G377" s="85"/>
      <c r="H377" s="85"/>
      <c r="I377" s="87"/>
      <c r="J377" s="85"/>
      <c r="K377" s="85"/>
      <c r="L377" s="10"/>
      <c r="M377" s="10"/>
      <c r="N377" s="10"/>
      <c r="O377" s="10"/>
      <c r="P377" s="85"/>
      <c r="Q377" s="88"/>
      <c r="R377" s="3">
        <f>IFERROR(VLOOKUP(TablaFebrero[[#This Row],[BARRIO]],SECTOR!$A:$B,2,0),"")</f>
      </c>
      <c r="S377" s="89"/>
      <c r="T377" s="90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6"/>
      <c r="AZ377" s="120">
        <f>COUNTIF(U377:AY377,"A")</f>
      </c>
      <c r="BA377" s="121">
        <f>COUNTIF(U377:AY377,"F")</f>
      </c>
      <c r="BB377" s="119">
        <f>COUNTIF(U377:AY377,"E")</f>
      </c>
    </row>
    <row r="378" spans="1:54" x14ac:dyDescent="0.2">
      <c r="A378" s="84"/>
      <c r="B378" s="85"/>
      <c r="C378" s="85"/>
      <c r="D378" s="85"/>
      <c r="E378" s="86"/>
      <c r="F378" s="16">
        <f>IF(E378="","",DATEDIF(E378,$I$7,"Y"))</f>
      </c>
      <c r="G378" s="85"/>
      <c r="H378" s="85"/>
      <c r="I378" s="87"/>
      <c r="J378" s="85"/>
      <c r="K378" s="85"/>
      <c r="L378" s="10"/>
      <c r="M378" s="10"/>
      <c r="N378" s="10"/>
      <c r="O378" s="10"/>
      <c r="P378" s="85"/>
      <c r="Q378" s="88"/>
      <c r="R378" s="3">
        <f>IFERROR(VLOOKUP(TablaFebrero[[#This Row],[BARRIO]],SECTOR!$A:$B,2,0),"")</f>
      </c>
      <c r="S378" s="89"/>
      <c r="T378" s="90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6"/>
      <c r="AZ378" s="120">
        <f>COUNTIF(U378:AY378,"A")</f>
      </c>
      <c r="BA378" s="121">
        <f>COUNTIF(U378:AY378,"F")</f>
      </c>
      <c r="BB378" s="119">
        <f>COUNTIF(U378:AY378,"E")</f>
      </c>
    </row>
    <row r="379" spans="1:54" x14ac:dyDescent="0.2">
      <c r="A379" s="84"/>
      <c r="B379" s="85"/>
      <c r="C379" s="85"/>
      <c r="D379" s="85"/>
      <c r="E379" s="86"/>
      <c r="F379" s="16">
        <f>IF(E379="","",DATEDIF(E379,$I$7,"Y"))</f>
      </c>
      <c r="G379" s="85"/>
      <c r="H379" s="85"/>
      <c r="I379" s="87"/>
      <c r="J379" s="85"/>
      <c r="K379" s="85"/>
      <c r="L379" s="10"/>
      <c r="M379" s="10"/>
      <c r="N379" s="10"/>
      <c r="O379" s="10"/>
      <c r="P379" s="85"/>
      <c r="Q379" s="88"/>
      <c r="R379" s="3">
        <f>IFERROR(VLOOKUP(TablaFebrero[[#This Row],[BARRIO]],SECTOR!$A:$B,2,0),"")</f>
      </c>
      <c r="S379" s="89"/>
      <c r="T379" s="90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6"/>
      <c r="AZ379" s="120">
        <f>COUNTIF(U379:AY379,"A")</f>
      </c>
      <c r="BA379" s="121">
        <f>COUNTIF(U379:AY379,"F")</f>
      </c>
      <c r="BB379" s="119">
        <f>COUNTIF(U379:AY379,"E")</f>
      </c>
    </row>
    <row r="380" spans="1:54" x14ac:dyDescent="0.2">
      <c r="A380" s="84"/>
      <c r="B380" s="85"/>
      <c r="C380" s="85"/>
      <c r="D380" s="85"/>
      <c r="E380" s="86"/>
      <c r="F380" s="16">
        <f>IF(E380="","",DATEDIF(E380,$I$7,"Y"))</f>
      </c>
      <c r="G380" s="85"/>
      <c r="H380" s="85"/>
      <c r="I380" s="87"/>
      <c r="J380" s="85"/>
      <c r="K380" s="85"/>
      <c r="L380" s="10"/>
      <c r="M380" s="10"/>
      <c r="N380" s="10"/>
      <c r="O380" s="10"/>
      <c r="P380" s="85"/>
      <c r="Q380" s="88"/>
      <c r="R380" s="3">
        <f>IFERROR(VLOOKUP(TablaFebrero[[#This Row],[BARRIO]],SECTOR!$A:$B,2,0),"")</f>
      </c>
      <c r="S380" s="89"/>
      <c r="T380" s="90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6"/>
      <c r="AZ380" s="120">
        <f>COUNTIF(U380:AY380,"A")</f>
      </c>
      <c r="BA380" s="121">
        <f>COUNTIF(U380:AY380,"F")</f>
      </c>
      <c r="BB380" s="119">
        <f>COUNTIF(U380:AY380,"E")</f>
      </c>
    </row>
    <row r="381" spans="1:54" x14ac:dyDescent="0.2">
      <c r="A381" s="84"/>
      <c r="B381" s="85"/>
      <c r="C381" s="85"/>
      <c r="D381" s="85"/>
      <c r="E381" s="86"/>
      <c r="F381" s="16">
        <f>IF(E381="","",DATEDIF(E381,$I$7,"Y"))</f>
      </c>
      <c r="G381" s="85"/>
      <c r="H381" s="85"/>
      <c r="I381" s="87"/>
      <c r="J381" s="85"/>
      <c r="K381" s="85"/>
      <c r="L381" s="10"/>
      <c r="M381" s="10"/>
      <c r="N381" s="10"/>
      <c r="O381" s="10"/>
      <c r="P381" s="85"/>
      <c r="Q381" s="88"/>
      <c r="R381" s="3">
        <f>IFERROR(VLOOKUP(TablaFebrero[[#This Row],[BARRIO]],SECTOR!$A:$B,2,0),"")</f>
      </c>
      <c r="S381" s="89"/>
      <c r="T381" s="90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6"/>
      <c r="AZ381" s="120">
        <f>COUNTIF(U381:AY381,"A")</f>
      </c>
      <c r="BA381" s="121">
        <f>COUNTIF(U381:AY381,"F")</f>
      </c>
      <c r="BB381" s="119">
        <f>COUNTIF(U381:AY381,"E")</f>
      </c>
    </row>
    <row r="382" spans="1:54" x14ac:dyDescent="0.2">
      <c r="A382" s="84"/>
      <c r="B382" s="85"/>
      <c r="C382" s="85"/>
      <c r="D382" s="85"/>
      <c r="E382" s="86"/>
      <c r="F382" s="16">
        <f>IF(E382="","",DATEDIF(E382,$I$7,"Y"))</f>
      </c>
      <c r="G382" s="85"/>
      <c r="H382" s="85"/>
      <c r="I382" s="87"/>
      <c r="J382" s="85"/>
      <c r="K382" s="85"/>
      <c r="L382" s="10"/>
      <c r="M382" s="10"/>
      <c r="N382" s="10"/>
      <c r="O382" s="10"/>
      <c r="P382" s="85"/>
      <c r="Q382" s="88"/>
      <c r="R382" s="3">
        <f>IFERROR(VLOOKUP(TablaFebrero[[#This Row],[BARRIO]],SECTOR!$A:$B,2,0),"")</f>
      </c>
      <c r="S382" s="89"/>
      <c r="T382" s="90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6"/>
      <c r="AZ382" s="120">
        <f>COUNTIF(U382:AY382,"A")</f>
      </c>
      <c r="BA382" s="121">
        <f>COUNTIF(U382:AY382,"F")</f>
      </c>
      <c r="BB382" s="119">
        <f>COUNTIF(U382:AY382,"E")</f>
      </c>
    </row>
    <row r="383" spans="1:54" x14ac:dyDescent="0.2">
      <c r="A383" s="84"/>
      <c r="B383" s="85"/>
      <c r="C383" s="85"/>
      <c r="D383" s="85"/>
      <c r="E383" s="86"/>
      <c r="F383" s="16">
        <f>IF(E383="","",DATEDIF(E383,$I$7,"Y"))</f>
      </c>
      <c r="G383" s="85"/>
      <c r="H383" s="85"/>
      <c r="I383" s="87"/>
      <c r="J383" s="85"/>
      <c r="K383" s="85"/>
      <c r="L383" s="10"/>
      <c r="M383" s="10"/>
      <c r="N383" s="10"/>
      <c r="O383" s="10"/>
      <c r="P383" s="85"/>
      <c r="Q383" s="88"/>
      <c r="R383" s="3">
        <f>IFERROR(VLOOKUP(TablaFebrero[[#This Row],[BARRIO]],SECTOR!$A:$B,2,0),"")</f>
      </c>
      <c r="S383" s="89"/>
      <c r="T383" s="90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6"/>
      <c r="AZ383" s="120">
        <f>COUNTIF(U383:AY383,"A")</f>
      </c>
      <c r="BA383" s="121">
        <f>COUNTIF(U383:AY383,"F")</f>
      </c>
      <c r="BB383" s="119">
        <f>COUNTIF(U383:AY383,"E")</f>
      </c>
    </row>
    <row r="384" spans="1:54" x14ac:dyDescent="0.2">
      <c r="A384" s="84"/>
      <c r="B384" s="85"/>
      <c r="C384" s="85"/>
      <c r="D384" s="85"/>
      <c r="E384" s="86"/>
      <c r="F384" s="16">
        <f>IF(E384="","",DATEDIF(E384,$I$7,"Y"))</f>
      </c>
      <c r="G384" s="85"/>
      <c r="H384" s="85"/>
      <c r="I384" s="87"/>
      <c r="J384" s="85"/>
      <c r="K384" s="85"/>
      <c r="L384" s="10"/>
      <c r="M384" s="10"/>
      <c r="N384" s="10"/>
      <c r="O384" s="10"/>
      <c r="P384" s="85"/>
      <c r="Q384" s="88"/>
      <c r="R384" s="3">
        <f>IFERROR(VLOOKUP(TablaFebrero[[#This Row],[BARRIO]],SECTOR!$A:$B,2,0),"")</f>
      </c>
      <c r="S384" s="89"/>
      <c r="T384" s="90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6"/>
      <c r="AZ384" s="120">
        <f>COUNTIF(U384:AY384,"A")</f>
      </c>
      <c r="BA384" s="121">
        <f>COUNTIF(U384:AY384,"F")</f>
      </c>
      <c r="BB384" s="119">
        <f>COUNTIF(U384:AY384,"E")</f>
      </c>
    </row>
    <row r="385" spans="1:54" x14ac:dyDescent="0.2">
      <c r="A385" s="84"/>
      <c r="B385" s="85"/>
      <c r="C385" s="85"/>
      <c r="D385" s="85"/>
      <c r="E385" s="86"/>
      <c r="F385" s="16">
        <f>IF(E385="","",DATEDIF(E385,$I$7,"Y"))</f>
      </c>
      <c r="G385" s="85"/>
      <c r="H385" s="85"/>
      <c r="I385" s="87"/>
      <c r="J385" s="85"/>
      <c r="K385" s="85"/>
      <c r="L385" s="10"/>
      <c r="M385" s="10"/>
      <c r="N385" s="10"/>
      <c r="O385" s="10"/>
      <c r="P385" s="85"/>
      <c r="Q385" s="88"/>
      <c r="R385" s="3">
        <f>IFERROR(VLOOKUP(TablaFebrero[[#This Row],[BARRIO]],SECTOR!$A:$B,2,0),"")</f>
      </c>
      <c r="S385" s="89"/>
      <c r="T385" s="90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6"/>
      <c r="AZ385" s="120">
        <f>COUNTIF(U385:AY385,"A")</f>
      </c>
      <c r="BA385" s="121">
        <f>COUNTIF(U385:AY385,"F")</f>
      </c>
      <c r="BB385" s="119">
        <f>COUNTIF(U385:AY385,"E")</f>
      </c>
    </row>
    <row r="386" spans="1:54" x14ac:dyDescent="0.2">
      <c r="A386" s="84"/>
      <c r="B386" s="85"/>
      <c r="C386" s="85"/>
      <c r="D386" s="85"/>
      <c r="E386" s="86"/>
      <c r="F386" s="16">
        <f>IF(E386="","",DATEDIF(E386,$I$7,"Y"))</f>
      </c>
      <c r="G386" s="85"/>
      <c r="H386" s="85"/>
      <c r="I386" s="87"/>
      <c r="J386" s="85"/>
      <c r="K386" s="85"/>
      <c r="L386" s="10"/>
      <c r="M386" s="10"/>
      <c r="N386" s="10"/>
      <c r="O386" s="10"/>
      <c r="P386" s="85"/>
      <c r="Q386" s="88"/>
      <c r="R386" s="3">
        <f>IFERROR(VLOOKUP(TablaFebrero[[#This Row],[BARRIO]],SECTOR!$A:$B,2,0),"")</f>
      </c>
      <c r="S386" s="89"/>
      <c r="T386" s="90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6"/>
      <c r="AZ386" s="120">
        <f>COUNTIF(U386:AY386,"A")</f>
      </c>
      <c r="BA386" s="121">
        <f>COUNTIF(U386:AY386,"F")</f>
      </c>
      <c r="BB386" s="119">
        <f>COUNTIF(U386:AY386,"E")</f>
      </c>
    </row>
    <row r="387" spans="1:54" x14ac:dyDescent="0.2">
      <c r="A387" s="84"/>
      <c r="B387" s="85"/>
      <c r="C387" s="85"/>
      <c r="D387" s="85"/>
      <c r="E387" s="86"/>
      <c r="F387" s="16">
        <f>IF(E387="","",DATEDIF(E387,$I$7,"Y"))</f>
      </c>
      <c r="G387" s="85"/>
      <c r="H387" s="85"/>
      <c r="I387" s="87"/>
      <c r="J387" s="85"/>
      <c r="K387" s="85"/>
      <c r="L387" s="10"/>
      <c r="M387" s="10"/>
      <c r="N387" s="10"/>
      <c r="O387" s="10"/>
      <c r="P387" s="85"/>
      <c r="Q387" s="88"/>
      <c r="R387" s="3">
        <f>IFERROR(VLOOKUP(TablaFebrero[[#This Row],[BARRIO]],SECTOR!$A:$B,2,0),"")</f>
      </c>
      <c r="S387" s="89"/>
      <c r="T387" s="90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6"/>
      <c r="AZ387" s="120">
        <f>COUNTIF(U387:AY387,"A")</f>
      </c>
      <c r="BA387" s="121">
        <f>COUNTIF(U387:AY387,"F")</f>
      </c>
      <c r="BB387" s="119">
        <f>COUNTIF(U387:AY387,"E")</f>
      </c>
    </row>
    <row r="388" spans="1:54" x14ac:dyDescent="0.2">
      <c r="A388" s="84"/>
      <c r="B388" s="85"/>
      <c r="C388" s="85"/>
      <c r="D388" s="85"/>
      <c r="E388" s="86"/>
      <c r="F388" s="16">
        <f>IF(E388="","",DATEDIF(E388,$I$7,"Y"))</f>
      </c>
      <c r="G388" s="85"/>
      <c r="H388" s="85"/>
      <c r="I388" s="87"/>
      <c r="J388" s="85"/>
      <c r="K388" s="85"/>
      <c r="L388" s="10"/>
      <c r="M388" s="10"/>
      <c r="N388" s="10"/>
      <c r="O388" s="10"/>
      <c r="P388" s="85"/>
      <c r="Q388" s="88"/>
      <c r="R388" s="3">
        <f>IFERROR(VLOOKUP(TablaFebrero[[#This Row],[BARRIO]],SECTOR!$A:$B,2,0),"")</f>
      </c>
      <c r="S388" s="89"/>
      <c r="T388" s="90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6"/>
      <c r="AZ388" s="120">
        <f>COUNTIF(U388:AY388,"A")</f>
      </c>
      <c r="BA388" s="121">
        <f>COUNTIF(U388:AY388,"F")</f>
      </c>
      <c r="BB388" s="119">
        <f>COUNTIF(U388:AY388,"E")</f>
      </c>
    </row>
    <row r="389" spans="1:54" x14ac:dyDescent="0.2">
      <c r="A389" s="84"/>
      <c r="B389" s="85"/>
      <c r="C389" s="85"/>
      <c r="D389" s="85"/>
      <c r="E389" s="86"/>
      <c r="F389" s="16">
        <f>IF(E389="","",DATEDIF(E389,$I$7,"Y"))</f>
      </c>
      <c r="G389" s="85"/>
      <c r="H389" s="85"/>
      <c r="I389" s="87"/>
      <c r="J389" s="85"/>
      <c r="K389" s="85"/>
      <c r="L389" s="10"/>
      <c r="M389" s="10"/>
      <c r="N389" s="10"/>
      <c r="O389" s="10"/>
      <c r="P389" s="85"/>
      <c r="Q389" s="88"/>
      <c r="R389" s="3">
        <f>IFERROR(VLOOKUP(TablaFebrero[[#This Row],[BARRIO]],SECTOR!$A:$B,2,0),"")</f>
      </c>
      <c r="S389" s="89"/>
      <c r="T389" s="90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6"/>
      <c r="AZ389" s="120">
        <f>COUNTIF(U389:AY389,"A")</f>
      </c>
      <c r="BA389" s="121">
        <f>COUNTIF(U389:AY389,"F")</f>
      </c>
      <c r="BB389" s="119">
        <f>COUNTIF(U389:AY389,"E")</f>
      </c>
    </row>
    <row r="390" spans="1:54" x14ac:dyDescent="0.2">
      <c r="A390" s="84"/>
      <c r="B390" s="85"/>
      <c r="C390" s="85"/>
      <c r="D390" s="85"/>
      <c r="E390" s="86"/>
      <c r="F390" s="16">
        <f>IF(E390="","",DATEDIF(E390,$I$7,"Y"))</f>
      </c>
      <c r="G390" s="85"/>
      <c r="H390" s="85"/>
      <c r="I390" s="87"/>
      <c r="J390" s="85"/>
      <c r="K390" s="85"/>
      <c r="L390" s="10"/>
      <c r="M390" s="10"/>
      <c r="N390" s="10"/>
      <c r="O390" s="10"/>
      <c r="P390" s="85"/>
      <c r="Q390" s="88"/>
      <c r="R390" s="3">
        <f>IFERROR(VLOOKUP(TablaFebrero[[#This Row],[BARRIO]],SECTOR!$A:$B,2,0),"")</f>
      </c>
      <c r="S390" s="89"/>
      <c r="T390" s="90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6"/>
      <c r="AZ390" s="120">
        <f>COUNTIF(U390:AY390,"A")</f>
      </c>
      <c r="BA390" s="121">
        <f>COUNTIF(U390:AY390,"F")</f>
      </c>
      <c r="BB390" s="119">
        <f>COUNTIF(U390:AY390,"E")</f>
      </c>
    </row>
    <row r="391" spans="1:54" x14ac:dyDescent="0.2">
      <c r="A391" s="84"/>
      <c r="B391" s="85"/>
      <c r="C391" s="85"/>
      <c r="D391" s="85"/>
      <c r="E391" s="86"/>
      <c r="F391" s="16">
        <f>IF(E391="","",DATEDIF(E391,$I$7,"Y"))</f>
      </c>
      <c r="G391" s="85"/>
      <c r="H391" s="85"/>
      <c r="I391" s="87"/>
      <c r="J391" s="85"/>
      <c r="K391" s="85"/>
      <c r="L391" s="10"/>
      <c r="M391" s="10"/>
      <c r="N391" s="10"/>
      <c r="O391" s="10"/>
      <c r="P391" s="85"/>
      <c r="Q391" s="88"/>
      <c r="R391" s="3">
        <f>IFERROR(VLOOKUP(TablaFebrero[[#This Row],[BARRIO]],SECTOR!$A:$B,2,0),"")</f>
      </c>
      <c r="S391" s="89"/>
      <c r="T391" s="90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6"/>
      <c r="AZ391" s="120">
        <f>COUNTIF(U391:AY391,"A")</f>
      </c>
      <c r="BA391" s="121">
        <f>COUNTIF(U391:AY391,"F")</f>
      </c>
      <c r="BB391" s="119">
        <f>COUNTIF(U391:AY391,"E")</f>
      </c>
    </row>
    <row r="392" spans="1:54" x14ac:dyDescent="0.2">
      <c r="A392" s="84"/>
      <c r="B392" s="85"/>
      <c r="C392" s="85"/>
      <c r="D392" s="85"/>
      <c r="E392" s="86"/>
      <c r="F392" s="16">
        <f>IF(E392="","",DATEDIF(E392,$I$7,"Y"))</f>
      </c>
      <c r="G392" s="85"/>
      <c r="H392" s="85"/>
      <c r="I392" s="87"/>
      <c r="J392" s="85"/>
      <c r="K392" s="85"/>
      <c r="L392" s="10"/>
      <c r="M392" s="10"/>
      <c r="N392" s="10"/>
      <c r="O392" s="10"/>
      <c r="P392" s="85"/>
      <c r="Q392" s="88"/>
      <c r="R392" s="3">
        <f>IFERROR(VLOOKUP(TablaFebrero[[#This Row],[BARRIO]],SECTOR!$A:$B,2,0),"")</f>
      </c>
      <c r="S392" s="89"/>
      <c r="T392" s="90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6"/>
      <c r="AZ392" s="120">
        <f>COUNTIF(U392:AY392,"A")</f>
      </c>
      <c r="BA392" s="121">
        <f>COUNTIF(U392:AY392,"F")</f>
      </c>
      <c r="BB392" s="119">
        <f>COUNTIF(U392:AY392,"E")</f>
      </c>
    </row>
    <row r="393" spans="1:54" x14ac:dyDescent="0.2">
      <c r="A393" s="84"/>
      <c r="B393" s="85"/>
      <c r="C393" s="85"/>
      <c r="D393" s="85"/>
      <c r="E393" s="86"/>
      <c r="F393" s="16">
        <f>IF(E393="","",DATEDIF(E393,$I$7,"Y"))</f>
      </c>
      <c r="G393" s="85"/>
      <c r="H393" s="85"/>
      <c r="I393" s="87"/>
      <c r="J393" s="85"/>
      <c r="K393" s="85"/>
      <c r="L393" s="10"/>
      <c r="M393" s="10"/>
      <c r="N393" s="10"/>
      <c r="O393" s="10"/>
      <c r="P393" s="85"/>
      <c r="Q393" s="88"/>
      <c r="R393" s="3">
        <f>IFERROR(VLOOKUP(TablaFebrero[[#This Row],[BARRIO]],SECTOR!$A:$B,2,0),"")</f>
      </c>
      <c r="S393" s="89"/>
      <c r="T393" s="90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6"/>
      <c r="AZ393" s="120">
        <f>COUNTIF(U393:AY393,"A")</f>
      </c>
      <c r="BA393" s="121">
        <f>COUNTIF(U393:AY393,"F")</f>
      </c>
      <c r="BB393" s="119">
        <f>COUNTIF(U393:AY393,"E")</f>
      </c>
    </row>
    <row r="394" spans="1:54" x14ac:dyDescent="0.2">
      <c r="A394" s="84"/>
      <c r="B394" s="85"/>
      <c r="C394" s="85"/>
      <c r="D394" s="85"/>
      <c r="E394" s="86"/>
      <c r="F394" s="16">
        <f>IF(E394="","",DATEDIF(E394,$I$7,"Y"))</f>
      </c>
      <c r="G394" s="85"/>
      <c r="H394" s="85"/>
      <c r="I394" s="87"/>
      <c r="J394" s="85"/>
      <c r="K394" s="85"/>
      <c r="L394" s="10"/>
      <c r="M394" s="10"/>
      <c r="N394" s="10"/>
      <c r="O394" s="10"/>
      <c r="P394" s="85"/>
      <c r="Q394" s="88"/>
      <c r="R394" s="3">
        <f>IFERROR(VLOOKUP(TablaFebrero[[#This Row],[BARRIO]],SECTOR!$A:$B,2,0),"")</f>
      </c>
      <c r="S394" s="89"/>
      <c r="T394" s="90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6"/>
      <c r="AZ394" s="120">
        <f>COUNTIF(U394:AY394,"A")</f>
      </c>
      <c r="BA394" s="121">
        <f>COUNTIF(U394:AY394,"F")</f>
      </c>
      <c r="BB394" s="119">
        <f>COUNTIF(U394:AY394,"E")</f>
      </c>
    </row>
    <row r="395" spans="1:54" x14ac:dyDescent="0.2">
      <c r="A395" s="84"/>
      <c r="B395" s="85"/>
      <c r="C395" s="85"/>
      <c r="D395" s="85"/>
      <c r="E395" s="86"/>
      <c r="F395" s="16">
        <f>IF(E395="","",DATEDIF(E395,$I$7,"Y"))</f>
      </c>
      <c r="G395" s="85"/>
      <c r="H395" s="85"/>
      <c r="I395" s="87"/>
      <c r="J395" s="85"/>
      <c r="K395" s="85"/>
      <c r="L395" s="10"/>
      <c r="M395" s="10"/>
      <c r="N395" s="10"/>
      <c r="O395" s="10"/>
      <c r="P395" s="85"/>
      <c r="Q395" s="88"/>
      <c r="R395" s="3">
        <f>IFERROR(VLOOKUP(TablaFebrero[[#This Row],[BARRIO]],SECTOR!$A:$B,2,0),"")</f>
      </c>
      <c r="S395" s="89"/>
      <c r="T395" s="90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6"/>
      <c r="AZ395" s="120">
        <f>COUNTIF(U395:AY395,"A")</f>
      </c>
      <c r="BA395" s="121">
        <f>COUNTIF(U395:AY395,"F")</f>
      </c>
      <c r="BB395" s="119">
        <f>COUNTIF(U395:AY395,"E")</f>
      </c>
    </row>
    <row r="396" spans="1:54" x14ac:dyDescent="0.2">
      <c r="A396" s="84"/>
      <c r="B396" s="85"/>
      <c r="C396" s="85"/>
      <c r="D396" s="85"/>
      <c r="E396" s="86"/>
      <c r="F396" s="16">
        <f>IF(E396="","",DATEDIF(E396,$I$7,"Y"))</f>
      </c>
      <c r="G396" s="85"/>
      <c r="H396" s="85"/>
      <c r="I396" s="87"/>
      <c r="J396" s="85"/>
      <c r="K396" s="85"/>
      <c r="L396" s="10"/>
      <c r="M396" s="10"/>
      <c r="N396" s="10"/>
      <c r="O396" s="10"/>
      <c r="P396" s="85"/>
      <c r="Q396" s="88"/>
      <c r="R396" s="3">
        <f>IFERROR(VLOOKUP(TablaFebrero[[#This Row],[BARRIO]],SECTOR!$A:$B,2,0),"")</f>
      </c>
      <c r="S396" s="89"/>
      <c r="T396" s="90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6"/>
      <c r="AZ396" s="120">
        <f>COUNTIF(U396:AY396,"A")</f>
      </c>
      <c r="BA396" s="121">
        <f>COUNTIF(U396:AY396,"F")</f>
      </c>
      <c r="BB396" s="119">
        <f>COUNTIF(U396:AY396,"E")</f>
      </c>
    </row>
    <row r="397" spans="1:54" x14ac:dyDescent="0.2">
      <c r="A397" s="84"/>
      <c r="B397" s="85"/>
      <c r="C397" s="85"/>
      <c r="D397" s="85"/>
      <c r="E397" s="86"/>
      <c r="F397" s="16">
        <f>IF(E397="","",DATEDIF(E397,$I$7,"Y"))</f>
      </c>
      <c r="G397" s="85"/>
      <c r="H397" s="85"/>
      <c r="I397" s="87"/>
      <c r="J397" s="85"/>
      <c r="K397" s="85"/>
      <c r="L397" s="10"/>
      <c r="M397" s="10"/>
      <c r="N397" s="10"/>
      <c r="O397" s="10"/>
      <c r="P397" s="85"/>
      <c r="Q397" s="88"/>
      <c r="R397" s="3">
        <f>IFERROR(VLOOKUP(TablaFebrero[[#This Row],[BARRIO]],SECTOR!$A:$B,2,0),"")</f>
      </c>
      <c r="S397" s="89"/>
      <c r="T397" s="90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6"/>
      <c r="AZ397" s="120">
        <f>COUNTIF(U397:AY397,"A")</f>
      </c>
      <c r="BA397" s="121">
        <f>COUNTIF(U397:AY397,"F")</f>
      </c>
      <c r="BB397" s="119">
        <f>COUNTIF(U397:AY397,"E")</f>
      </c>
    </row>
    <row r="398" spans="1:54" x14ac:dyDescent="0.2">
      <c r="A398" s="84"/>
      <c r="B398" s="85"/>
      <c r="C398" s="85"/>
      <c r="D398" s="85"/>
      <c r="E398" s="86"/>
      <c r="F398" s="16">
        <f>IF(E398="","",DATEDIF(E398,$I$7,"Y"))</f>
      </c>
      <c r="G398" s="85"/>
      <c r="H398" s="85"/>
      <c r="I398" s="87"/>
      <c r="J398" s="85"/>
      <c r="K398" s="85"/>
      <c r="L398" s="10"/>
      <c r="M398" s="10"/>
      <c r="N398" s="10"/>
      <c r="O398" s="10"/>
      <c r="P398" s="85"/>
      <c r="Q398" s="88"/>
      <c r="R398" s="3">
        <f>IFERROR(VLOOKUP(TablaFebrero[[#This Row],[BARRIO]],SECTOR!$A:$B,2,0),"")</f>
      </c>
      <c r="S398" s="89"/>
      <c r="T398" s="90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6"/>
      <c r="AZ398" s="120">
        <f>COUNTIF(U398:AY398,"A")</f>
      </c>
      <c r="BA398" s="121">
        <f>COUNTIF(U398:AY398,"F")</f>
      </c>
      <c r="BB398" s="119">
        <f>COUNTIF(U398:AY398,"E")</f>
      </c>
    </row>
    <row r="399" spans="1:54" x14ac:dyDescent="0.2">
      <c r="A399" s="84"/>
      <c r="B399" s="85"/>
      <c r="C399" s="85"/>
      <c r="D399" s="85"/>
      <c r="E399" s="86"/>
      <c r="F399" s="16">
        <f>IF(E399="","",DATEDIF(E399,$I$7,"Y"))</f>
      </c>
      <c r="G399" s="85"/>
      <c r="H399" s="85"/>
      <c r="I399" s="87"/>
      <c r="J399" s="85"/>
      <c r="K399" s="85"/>
      <c r="L399" s="10"/>
      <c r="M399" s="10"/>
      <c r="N399" s="10"/>
      <c r="O399" s="10"/>
      <c r="P399" s="85"/>
      <c r="Q399" s="88"/>
      <c r="R399" s="3">
        <f>IFERROR(VLOOKUP(TablaFebrero[[#This Row],[BARRIO]],SECTOR!$A:$B,2,0),"")</f>
      </c>
      <c r="S399" s="89"/>
      <c r="T399" s="90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6"/>
      <c r="AZ399" s="120">
        <f>COUNTIF(U399:AY399,"A")</f>
      </c>
      <c r="BA399" s="121">
        <f>COUNTIF(U399:AY399,"F")</f>
      </c>
      <c r="BB399" s="119">
        <f>COUNTIF(U399:AY399,"E")</f>
      </c>
    </row>
    <row r="400" spans="1:54" x14ac:dyDescent="0.2">
      <c r="A400" s="84"/>
      <c r="B400" s="85"/>
      <c r="C400" s="85"/>
      <c r="D400" s="85"/>
      <c r="E400" s="86"/>
      <c r="F400" s="16">
        <f>IF(E400="","",DATEDIF(E400,$I$7,"Y"))</f>
      </c>
      <c r="G400" s="85"/>
      <c r="H400" s="85"/>
      <c r="I400" s="87"/>
      <c r="J400" s="85"/>
      <c r="K400" s="85"/>
      <c r="L400" s="10"/>
      <c r="M400" s="10"/>
      <c r="N400" s="10"/>
      <c r="O400" s="10"/>
      <c r="P400" s="85"/>
      <c r="Q400" s="88"/>
      <c r="R400" s="3">
        <f>IFERROR(VLOOKUP(TablaFebrero[[#This Row],[BARRIO]],SECTOR!$A:$B,2,0),"")</f>
      </c>
      <c r="S400" s="89"/>
      <c r="T400" s="90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6"/>
      <c r="AZ400" s="120">
        <f>COUNTIF(U400:AY400,"A")</f>
      </c>
      <c r="BA400" s="121">
        <f>COUNTIF(U400:AY400,"F")</f>
      </c>
      <c r="BB400" s="119">
        <f>COUNTIF(U400:AY400,"E")</f>
      </c>
    </row>
    <row r="401" spans="1:54" x14ac:dyDescent="0.2">
      <c r="A401" s="84"/>
      <c r="B401" s="85"/>
      <c r="C401" s="85"/>
      <c r="D401" s="85"/>
      <c r="E401" s="86"/>
      <c r="F401" s="16">
        <f>IF(E401="","",DATEDIF(E401,$I$7,"Y"))</f>
      </c>
      <c r="G401" s="85"/>
      <c r="H401" s="85"/>
      <c r="I401" s="87"/>
      <c r="J401" s="85"/>
      <c r="K401" s="85"/>
      <c r="L401" s="10"/>
      <c r="M401" s="10"/>
      <c r="N401" s="10"/>
      <c r="O401" s="10"/>
      <c r="P401" s="85"/>
      <c r="Q401" s="88"/>
      <c r="R401" s="3">
        <f>IFERROR(VLOOKUP(TablaFebrero[[#This Row],[BARRIO]],SECTOR!$A:$B,2,0),"")</f>
      </c>
      <c r="S401" s="89"/>
      <c r="T401" s="90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6"/>
      <c r="AZ401" s="120">
        <f>COUNTIF(U401:AY401,"A")</f>
      </c>
      <c r="BA401" s="121">
        <f>COUNTIF(U401:AY401,"F")</f>
      </c>
      <c r="BB401" s="119">
        <f>COUNTIF(U401:AY401,"E")</f>
      </c>
    </row>
    <row r="402" spans="1:54" x14ac:dyDescent="0.2">
      <c r="A402" s="84"/>
      <c r="B402" s="85"/>
      <c r="C402" s="85"/>
      <c r="D402" s="85"/>
      <c r="E402" s="86"/>
      <c r="F402" s="16">
        <f>IF(E402="","",DATEDIF(E402,$I$7,"Y"))</f>
      </c>
      <c r="G402" s="85"/>
      <c r="H402" s="85"/>
      <c r="I402" s="87"/>
      <c r="J402" s="85"/>
      <c r="K402" s="85"/>
      <c r="L402" s="10"/>
      <c r="M402" s="10"/>
      <c r="N402" s="10"/>
      <c r="O402" s="10"/>
      <c r="P402" s="85"/>
      <c r="Q402" s="88"/>
      <c r="R402" s="3">
        <f>IFERROR(VLOOKUP(TablaFebrero[[#This Row],[BARRIO]],SECTOR!$A:$B,2,0),"")</f>
      </c>
      <c r="S402" s="89"/>
      <c r="T402" s="90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6"/>
      <c r="AZ402" s="120">
        <f>COUNTIF(U402:AY402,"A")</f>
      </c>
      <c r="BA402" s="121">
        <f>COUNTIF(U402:AY402,"F")</f>
      </c>
      <c r="BB402" s="119">
        <f>COUNTIF(U402:AY402,"E")</f>
      </c>
    </row>
    <row r="403" spans="1:54" x14ac:dyDescent="0.2">
      <c r="A403" s="84"/>
      <c r="B403" s="85"/>
      <c r="C403" s="85"/>
      <c r="D403" s="85"/>
      <c r="E403" s="86"/>
      <c r="F403" s="16">
        <f>IF(E403="","",DATEDIF(E403,$I$7,"Y"))</f>
      </c>
      <c r="G403" s="85"/>
      <c r="H403" s="85"/>
      <c r="I403" s="87"/>
      <c r="J403" s="85"/>
      <c r="K403" s="85"/>
      <c r="L403" s="10"/>
      <c r="M403" s="10"/>
      <c r="N403" s="10"/>
      <c r="O403" s="10"/>
      <c r="P403" s="85"/>
      <c r="Q403" s="88"/>
      <c r="R403" s="3">
        <f>IFERROR(VLOOKUP(TablaFebrero[[#This Row],[BARRIO]],SECTOR!$A:$B,2,0),"")</f>
      </c>
      <c r="S403" s="89"/>
      <c r="T403" s="90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6"/>
      <c r="AZ403" s="120">
        <f>COUNTIF(U403:AY403,"A")</f>
      </c>
      <c r="BA403" s="121">
        <f>COUNTIF(U403:AY403,"F")</f>
      </c>
      <c r="BB403" s="119">
        <f>COUNTIF(U403:AY403,"E")</f>
      </c>
    </row>
    <row r="404" spans="1:54" x14ac:dyDescent="0.2">
      <c r="A404" s="84"/>
      <c r="B404" s="85"/>
      <c r="C404" s="85"/>
      <c r="D404" s="85"/>
      <c r="E404" s="86"/>
      <c r="F404" s="16">
        <f>IF(E404="","",DATEDIF(E404,$I$7,"Y"))</f>
      </c>
      <c r="G404" s="85"/>
      <c r="H404" s="85"/>
      <c r="I404" s="87"/>
      <c r="J404" s="85"/>
      <c r="K404" s="85"/>
      <c r="L404" s="10"/>
      <c r="M404" s="10"/>
      <c r="N404" s="10"/>
      <c r="O404" s="10"/>
      <c r="P404" s="85"/>
      <c r="Q404" s="88"/>
      <c r="R404" s="3">
        <f>IFERROR(VLOOKUP(TablaFebrero[[#This Row],[BARRIO]],SECTOR!$A:$B,2,0),"")</f>
      </c>
      <c r="S404" s="89"/>
      <c r="T404" s="90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6"/>
      <c r="AZ404" s="120">
        <f>COUNTIF(U404:AY404,"A")</f>
      </c>
      <c r="BA404" s="121">
        <f>COUNTIF(U404:AY404,"F")</f>
      </c>
      <c r="BB404" s="119">
        <f>COUNTIF(U404:AY404,"E")</f>
      </c>
    </row>
    <row r="405" spans="1:54" x14ac:dyDescent="0.2">
      <c r="A405" s="84"/>
      <c r="B405" s="85"/>
      <c r="C405" s="85"/>
      <c r="D405" s="85"/>
      <c r="E405" s="86"/>
      <c r="F405" s="16">
        <f>IF(E405="","",DATEDIF(E405,$I$7,"Y"))</f>
      </c>
      <c r="G405" s="85"/>
      <c r="H405" s="85"/>
      <c r="I405" s="87"/>
      <c r="J405" s="85"/>
      <c r="K405" s="85"/>
      <c r="L405" s="10"/>
      <c r="M405" s="10"/>
      <c r="N405" s="10"/>
      <c r="O405" s="10"/>
      <c r="P405" s="85"/>
      <c r="Q405" s="88"/>
      <c r="R405" s="3">
        <f>IFERROR(VLOOKUP(TablaFebrero[[#This Row],[BARRIO]],SECTOR!$A:$B,2,0),"")</f>
      </c>
      <c r="S405" s="89"/>
      <c r="T405" s="90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6"/>
      <c r="AZ405" s="120">
        <f>COUNTIF(U405:AY405,"A")</f>
      </c>
      <c r="BA405" s="121">
        <f>COUNTIF(U405:AY405,"F")</f>
      </c>
      <c r="BB405" s="119">
        <f>COUNTIF(U405:AY405,"E")</f>
      </c>
    </row>
    <row r="406" spans="1:54" x14ac:dyDescent="0.2">
      <c r="A406" s="84"/>
      <c r="B406" s="85"/>
      <c r="C406" s="85"/>
      <c r="D406" s="85"/>
      <c r="E406" s="86"/>
      <c r="F406" s="16">
        <f>IF(E406="","",DATEDIF(E406,$I$7,"Y"))</f>
      </c>
      <c r="G406" s="85"/>
      <c r="H406" s="85"/>
      <c r="I406" s="87"/>
      <c r="J406" s="85"/>
      <c r="K406" s="85"/>
      <c r="L406" s="10"/>
      <c r="M406" s="10"/>
      <c r="N406" s="10"/>
      <c r="O406" s="10"/>
      <c r="P406" s="85"/>
      <c r="Q406" s="88"/>
      <c r="R406" s="3">
        <f>IFERROR(VLOOKUP(TablaFebrero[[#This Row],[BARRIO]],SECTOR!$A:$B,2,0),"")</f>
      </c>
      <c r="S406" s="89"/>
      <c r="T406" s="90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6"/>
      <c r="AZ406" s="120">
        <f>COUNTIF(U406:AY406,"A")</f>
      </c>
      <c r="BA406" s="121">
        <f>COUNTIF(U406:AY406,"F")</f>
      </c>
      <c r="BB406" s="119">
        <f>COUNTIF(U406:AY406,"E")</f>
      </c>
    </row>
    <row r="407" spans="1:54" x14ac:dyDescent="0.2">
      <c r="A407" s="84"/>
      <c r="B407" s="85"/>
      <c r="C407" s="85"/>
      <c r="D407" s="85"/>
      <c r="E407" s="86"/>
      <c r="F407" s="16">
        <f>IF(E407="","",DATEDIF(E407,$I$7,"Y"))</f>
      </c>
      <c r="G407" s="85"/>
      <c r="H407" s="85"/>
      <c r="I407" s="87"/>
      <c r="J407" s="85"/>
      <c r="K407" s="85"/>
      <c r="L407" s="10"/>
      <c r="M407" s="10"/>
      <c r="N407" s="10"/>
      <c r="O407" s="10"/>
      <c r="P407" s="85"/>
      <c r="Q407" s="88"/>
      <c r="R407" s="3">
        <f>IFERROR(VLOOKUP(TablaFebrero[[#This Row],[BARRIO]],SECTOR!$A:$B,2,0),"")</f>
      </c>
      <c r="S407" s="89"/>
      <c r="T407" s="90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6"/>
      <c r="AZ407" s="120">
        <f>COUNTIF(U407:AY407,"A")</f>
      </c>
      <c r="BA407" s="121">
        <f>COUNTIF(U407:AY407,"F")</f>
      </c>
      <c r="BB407" s="119">
        <f>COUNTIF(U407:AY407,"E")</f>
      </c>
    </row>
    <row r="408" spans="1:54" x14ac:dyDescent="0.2">
      <c r="A408" s="84"/>
      <c r="B408" s="85"/>
      <c r="C408" s="85"/>
      <c r="D408" s="85"/>
      <c r="E408" s="86"/>
      <c r="F408" s="16">
        <f>IF(E408="","",DATEDIF(E408,$I$7,"Y"))</f>
      </c>
      <c r="G408" s="85"/>
      <c r="H408" s="85"/>
      <c r="I408" s="87"/>
      <c r="J408" s="85"/>
      <c r="K408" s="85"/>
      <c r="L408" s="10"/>
      <c r="M408" s="10"/>
      <c r="N408" s="10"/>
      <c r="O408" s="10"/>
      <c r="P408" s="85"/>
      <c r="Q408" s="88"/>
      <c r="R408" s="3">
        <f>IFERROR(VLOOKUP(TablaFebrero[[#This Row],[BARRIO]],SECTOR!$A:$B,2,0),"")</f>
      </c>
      <c r="S408" s="89"/>
      <c r="T408" s="90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6"/>
      <c r="AZ408" s="120">
        <f>COUNTIF(U408:AY408,"A")</f>
      </c>
      <c r="BA408" s="121">
        <f>COUNTIF(U408:AY408,"F")</f>
      </c>
      <c r="BB408" s="119">
        <f>COUNTIF(U408:AY408,"E")</f>
      </c>
    </row>
    <row r="409" spans="1:54" x14ac:dyDescent="0.2">
      <c r="A409" s="84"/>
      <c r="B409" s="85"/>
      <c r="C409" s="85"/>
      <c r="D409" s="85"/>
      <c r="E409" s="86"/>
      <c r="F409" s="16">
        <f>IF(E409="","",DATEDIF(E409,$I$7,"Y"))</f>
      </c>
      <c r="G409" s="85"/>
      <c r="H409" s="85"/>
      <c r="I409" s="87"/>
      <c r="J409" s="85"/>
      <c r="K409" s="85"/>
      <c r="L409" s="10"/>
      <c r="M409" s="10"/>
      <c r="N409" s="10"/>
      <c r="O409" s="10"/>
      <c r="P409" s="85"/>
      <c r="Q409" s="88"/>
      <c r="R409" s="3">
        <f>IFERROR(VLOOKUP(TablaFebrero[[#This Row],[BARRIO]],SECTOR!$A:$B,2,0),"")</f>
      </c>
      <c r="S409" s="89"/>
      <c r="T409" s="90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6"/>
      <c r="AZ409" s="120">
        <f>COUNTIF(U409:AY409,"A")</f>
      </c>
      <c r="BA409" s="121">
        <f>COUNTIF(U409:AY409,"F")</f>
      </c>
      <c r="BB409" s="119">
        <f>COUNTIF(U409:AY409,"E")</f>
      </c>
    </row>
    <row r="410" spans="1:54" x14ac:dyDescent="0.2">
      <c r="A410" s="84"/>
      <c r="B410" s="85"/>
      <c r="C410" s="85"/>
      <c r="D410" s="85"/>
      <c r="E410" s="86"/>
      <c r="F410" s="16">
        <f>IF(E410="","",DATEDIF(E410,$I$7,"Y"))</f>
      </c>
      <c r="G410" s="85"/>
      <c r="H410" s="85"/>
      <c r="I410" s="87"/>
      <c r="J410" s="85"/>
      <c r="K410" s="85"/>
      <c r="L410" s="10"/>
      <c r="M410" s="10"/>
      <c r="N410" s="10"/>
      <c r="O410" s="10"/>
      <c r="P410" s="85"/>
      <c r="Q410" s="88"/>
      <c r="R410" s="3">
        <f>IFERROR(VLOOKUP(TablaFebrero[[#This Row],[BARRIO]],SECTOR!$A:$B,2,0),"")</f>
      </c>
      <c r="S410" s="89"/>
      <c r="T410" s="90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6"/>
      <c r="AZ410" s="120">
        <f>COUNTIF(U410:AY410,"A")</f>
      </c>
      <c r="BA410" s="121">
        <f>COUNTIF(U410:AY410,"F")</f>
      </c>
      <c r="BB410" s="119">
        <f>COUNTIF(U410:AY410,"E")</f>
      </c>
    </row>
    <row r="411" spans="1:54" x14ac:dyDescent="0.2">
      <c r="A411" s="84"/>
      <c r="B411" s="85"/>
      <c r="C411" s="85"/>
      <c r="D411" s="85"/>
      <c r="E411" s="86"/>
      <c r="F411" s="16">
        <f>IF(E411="","",DATEDIF(E411,$I$7,"Y"))</f>
      </c>
      <c r="G411" s="85"/>
      <c r="H411" s="85"/>
      <c r="I411" s="87"/>
      <c r="J411" s="85"/>
      <c r="K411" s="85"/>
      <c r="L411" s="10"/>
      <c r="M411" s="10"/>
      <c r="N411" s="10"/>
      <c r="O411" s="10"/>
      <c r="P411" s="85"/>
      <c r="Q411" s="88"/>
      <c r="R411" s="3">
        <f>IFERROR(VLOOKUP(TablaFebrero[[#This Row],[BARRIO]],SECTOR!$A:$B,2,0),"")</f>
      </c>
      <c r="S411" s="89"/>
      <c r="T411" s="90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6"/>
      <c r="AZ411" s="120">
        <f>COUNTIF(U411:AY411,"A")</f>
      </c>
      <c r="BA411" s="121">
        <f>COUNTIF(U411:AY411,"F")</f>
      </c>
      <c r="BB411" s="119">
        <f>COUNTIF(U411:AY411,"E")</f>
      </c>
    </row>
    <row r="412" spans="1:54" x14ac:dyDescent="0.2">
      <c r="A412" s="84"/>
      <c r="B412" s="85"/>
      <c r="C412" s="85"/>
      <c r="D412" s="85"/>
      <c r="E412" s="86"/>
      <c r="F412" s="16">
        <f>IF(E412="","",DATEDIF(E412,$I$7,"Y"))</f>
      </c>
      <c r="G412" s="85"/>
      <c r="H412" s="85"/>
      <c r="I412" s="87"/>
      <c r="J412" s="85"/>
      <c r="K412" s="85"/>
      <c r="L412" s="10"/>
      <c r="M412" s="10"/>
      <c r="N412" s="10"/>
      <c r="O412" s="10"/>
      <c r="P412" s="85"/>
      <c r="Q412" s="88"/>
      <c r="R412" s="3">
        <f>IFERROR(VLOOKUP(TablaFebrero[[#This Row],[BARRIO]],SECTOR!$A:$B,2,0),"")</f>
      </c>
      <c r="S412" s="89"/>
      <c r="T412" s="90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6"/>
      <c r="AZ412" s="120">
        <f>COUNTIF(U412:AY412,"A")</f>
      </c>
      <c r="BA412" s="121">
        <f>COUNTIF(U412:AY412,"F")</f>
      </c>
      <c r="BB412" s="119">
        <f>COUNTIF(U412:AY412,"E")</f>
      </c>
    </row>
    <row r="413" spans="1:54" x14ac:dyDescent="0.2">
      <c r="A413" s="84"/>
      <c r="B413" s="85"/>
      <c r="C413" s="85"/>
      <c r="D413" s="85"/>
      <c r="E413" s="86"/>
      <c r="F413" s="16">
        <f>IF(E413="","",DATEDIF(E413,$I$7,"Y"))</f>
      </c>
      <c r="G413" s="85"/>
      <c r="H413" s="85"/>
      <c r="I413" s="87"/>
      <c r="J413" s="85"/>
      <c r="K413" s="85"/>
      <c r="L413" s="10"/>
      <c r="M413" s="10"/>
      <c r="N413" s="10"/>
      <c r="O413" s="10"/>
      <c r="P413" s="85"/>
      <c r="Q413" s="88"/>
      <c r="R413" s="3">
        <f>IFERROR(VLOOKUP(TablaFebrero[[#This Row],[BARRIO]],SECTOR!$A:$B,2,0),"")</f>
      </c>
      <c r="S413" s="89"/>
      <c r="T413" s="90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6"/>
      <c r="AZ413" s="120">
        <f>COUNTIF(U413:AY413,"A")</f>
      </c>
      <c r="BA413" s="121">
        <f>COUNTIF(U413:AY413,"F")</f>
      </c>
      <c r="BB413" s="119">
        <f>COUNTIF(U413:AY413,"E")</f>
      </c>
    </row>
    <row r="414" spans="1:54" x14ac:dyDescent="0.2">
      <c r="A414" s="84"/>
      <c r="B414" s="85"/>
      <c r="C414" s="85"/>
      <c r="D414" s="85"/>
      <c r="E414" s="86"/>
      <c r="F414" s="16">
        <f>IF(E414="","",DATEDIF(E414,$I$7,"Y"))</f>
      </c>
      <c r="G414" s="85"/>
      <c r="H414" s="85"/>
      <c r="I414" s="87"/>
      <c r="J414" s="85"/>
      <c r="K414" s="85"/>
      <c r="L414" s="10"/>
      <c r="M414" s="10"/>
      <c r="N414" s="10"/>
      <c r="O414" s="10"/>
      <c r="P414" s="85"/>
      <c r="Q414" s="88"/>
      <c r="R414" s="3">
        <f>IFERROR(VLOOKUP(TablaFebrero[[#This Row],[BARRIO]],SECTOR!$A:$B,2,0),"")</f>
      </c>
      <c r="S414" s="89"/>
      <c r="T414" s="90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6"/>
      <c r="AZ414" s="120">
        <f>COUNTIF(U414:AY414,"A")</f>
      </c>
      <c r="BA414" s="121">
        <f>COUNTIF(U414:AY414,"F")</f>
      </c>
      <c r="BB414" s="119">
        <f>COUNTIF(U414:AY414,"E")</f>
      </c>
    </row>
    <row r="415" spans="1:54" x14ac:dyDescent="0.2">
      <c r="A415" s="84"/>
      <c r="B415" s="85"/>
      <c r="C415" s="85"/>
      <c r="D415" s="85"/>
      <c r="E415" s="86"/>
      <c r="F415" s="16">
        <f>IF(E415="","",DATEDIF(E415,$I$7,"Y"))</f>
      </c>
      <c r="G415" s="85"/>
      <c r="H415" s="85"/>
      <c r="I415" s="87"/>
      <c r="J415" s="85"/>
      <c r="K415" s="85"/>
      <c r="L415" s="10"/>
      <c r="M415" s="10"/>
      <c r="N415" s="10"/>
      <c r="O415" s="10"/>
      <c r="P415" s="85"/>
      <c r="Q415" s="88"/>
      <c r="R415" s="3">
        <f>IFERROR(VLOOKUP(TablaFebrero[[#This Row],[BARRIO]],SECTOR!$A:$B,2,0),"")</f>
      </c>
      <c r="S415" s="89"/>
      <c r="T415" s="90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6"/>
      <c r="AZ415" s="120">
        <f>COUNTIF(U415:AY415,"A")</f>
      </c>
      <c r="BA415" s="121">
        <f>COUNTIF(U415:AY415,"F")</f>
      </c>
      <c r="BB415" s="119">
        <f>COUNTIF(U415:AY415,"E")</f>
      </c>
    </row>
    <row r="416" spans="1:54" x14ac:dyDescent="0.2">
      <c r="A416" s="84"/>
      <c r="B416" s="85"/>
      <c r="C416" s="85"/>
      <c r="D416" s="85"/>
      <c r="E416" s="86"/>
      <c r="F416" s="16">
        <f>IF(E416="","",DATEDIF(E416,$I$7,"Y"))</f>
      </c>
      <c r="G416" s="85"/>
      <c r="H416" s="85"/>
      <c r="I416" s="87"/>
      <c r="J416" s="85"/>
      <c r="K416" s="85"/>
      <c r="L416" s="10"/>
      <c r="M416" s="10"/>
      <c r="N416" s="10"/>
      <c r="O416" s="10"/>
      <c r="P416" s="85"/>
      <c r="Q416" s="88"/>
      <c r="R416" s="3">
        <f>IFERROR(VLOOKUP(TablaFebrero[[#This Row],[BARRIO]],SECTOR!$A:$B,2,0),"")</f>
      </c>
      <c r="S416" s="89"/>
      <c r="T416" s="90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6"/>
      <c r="AZ416" s="120">
        <f>COUNTIF(U416:AY416,"A")</f>
      </c>
      <c r="BA416" s="121">
        <f>COUNTIF(U416:AY416,"F")</f>
      </c>
      <c r="BB416" s="119">
        <f>COUNTIF(U416:AY416,"E")</f>
      </c>
    </row>
    <row r="417" spans="1:54" x14ac:dyDescent="0.2">
      <c r="A417" s="84"/>
      <c r="B417" s="85"/>
      <c r="C417" s="85"/>
      <c r="D417" s="85"/>
      <c r="E417" s="86"/>
      <c r="F417" s="16">
        <f>IF(E417="","",DATEDIF(E417,$I$7,"Y"))</f>
      </c>
      <c r="G417" s="85"/>
      <c r="H417" s="85"/>
      <c r="I417" s="87"/>
      <c r="J417" s="85"/>
      <c r="K417" s="85"/>
      <c r="L417" s="10"/>
      <c r="M417" s="10"/>
      <c r="N417" s="10"/>
      <c r="O417" s="10"/>
      <c r="P417" s="85"/>
      <c r="Q417" s="88"/>
      <c r="R417" s="3">
        <f>IFERROR(VLOOKUP(TablaFebrero[[#This Row],[BARRIO]],SECTOR!$A:$B,2,0),"")</f>
      </c>
      <c r="S417" s="89"/>
      <c r="T417" s="90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6"/>
      <c r="AZ417" s="120">
        <f>COUNTIF(U417:AY417,"A")</f>
      </c>
      <c r="BA417" s="121">
        <f>COUNTIF(U417:AY417,"F")</f>
      </c>
      <c r="BB417" s="119">
        <f>COUNTIF(U417:AY417,"E")</f>
      </c>
    </row>
    <row r="418" spans="1:54" x14ac:dyDescent="0.2">
      <c r="A418" s="84"/>
      <c r="B418" s="85"/>
      <c r="C418" s="85"/>
      <c r="D418" s="85"/>
      <c r="E418" s="86"/>
      <c r="F418" s="16">
        <f>IF(E418="","",DATEDIF(E418,$I$7,"Y"))</f>
      </c>
      <c r="G418" s="85"/>
      <c r="H418" s="85"/>
      <c r="I418" s="87"/>
      <c r="J418" s="85"/>
      <c r="K418" s="85"/>
      <c r="L418" s="10"/>
      <c r="M418" s="10"/>
      <c r="N418" s="10"/>
      <c r="O418" s="10"/>
      <c r="P418" s="85"/>
      <c r="Q418" s="88"/>
      <c r="R418" s="3">
        <f>IFERROR(VLOOKUP(TablaFebrero[[#This Row],[BARRIO]],SECTOR!$A:$B,2,0),"")</f>
      </c>
      <c r="S418" s="89"/>
      <c r="T418" s="90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6"/>
      <c r="AZ418" s="120">
        <f>COUNTIF(U418:AY418,"A")</f>
      </c>
      <c r="BA418" s="121">
        <f>COUNTIF(U418:AY418,"F")</f>
      </c>
      <c r="BB418" s="119">
        <f>COUNTIF(U418:AY418,"E")</f>
      </c>
    </row>
    <row r="419" spans="1:54" x14ac:dyDescent="0.2">
      <c r="A419" s="84"/>
      <c r="B419" s="85"/>
      <c r="C419" s="85"/>
      <c r="D419" s="85"/>
      <c r="E419" s="86"/>
      <c r="F419" s="16">
        <f>IF(E419="","",DATEDIF(E419,$I$7,"Y"))</f>
      </c>
      <c r="G419" s="85"/>
      <c r="H419" s="85"/>
      <c r="I419" s="87"/>
      <c r="J419" s="85"/>
      <c r="K419" s="85"/>
      <c r="L419" s="10"/>
      <c r="M419" s="10"/>
      <c r="N419" s="10"/>
      <c r="O419" s="10"/>
      <c r="P419" s="85"/>
      <c r="Q419" s="88"/>
      <c r="R419" s="3">
        <f>IFERROR(VLOOKUP(TablaFebrero[[#This Row],[BARRIO]],SECTOR!$A:$B,2,0),"")</f>
      </c>
      <c r="S419" s="89"/>
      <c r="T419" s="90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6"/>
      <c r="AZ419" s="120">
        <f>COUNTIF(U419:AY419,"A")</f>
      </c>
      <c r="BA419" s="121">
        <f>COUNTIF(U419:AY419,"F")</f>
      </c>
      <c r="BB419" s="119">
        <f>COUNTIF(U419:AY419,"E")</f>
      </c>
    </row>
    <row r="420" spans="1:54" x14ac:dyDescent="0.2">
      <c r="A420" s="84"/>
      <c r="B420" s="85"/>
      <c r="C420" s="85"/>
      <c r="D420" s="85"/>
      <c r="E420" s="86"/>
      <c r="F420" s="16">
        <f>IF(E420="","",DATEDIF(E420,$I$7,"Y"))</f>
      </c>
      <c r="G420" s="85"/>
      <c r="H420" s="85"/>
      <c r="I420" s="87"/>
      <c r="J420" s="85"/>
      <c r="K420" s="85"/>
      <c r="L420" s="10"/>
      <c r="M420" s="10"/>
      <c r="N420" s="10"/>
      <c r="O420" s="10"/>
      <c r="P420" s="85"/>
      <c r="Q420" s="88"/>
      <c r="R420" s="3">
        <f>IFERROR(VLOOKUP(TablaFebrero[[#This Row],[BARRIO]],SECTOR!$A:$B,2,0),"")</f>
      </c>
      <c r="S420" s="89"/>
      <c r="T420" s="90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6"/>
      <c r="AZ420" s="120">
        <f>COUNTIF(U420:AY420,"A")</f>
      </c>
      <c r="BA420" s="121">
        <f>COUNTIF(U420:AY420,"F")</f>
      </c>
      <c r="BB420" s="119">
        <f>COUNTIF(U420:AY420,"E")</f>
      </c>
    </row>
    <row r="421" spans="1:54" x14ac:dyDescent="0.2">
      <c r="A421" s="84"/>
      <c r="B421" s="85"/>
      <c r="C421" s="85"/>
      <c r="D421" s="85"/>
      <c r="E421" s="86"/>
      <c r="F421" s="16">
        <f>IF(E421="","",DATEDIF(E421,$I$7,"Y"))</f>
      </c>
      <c r="G421" s="85"/>
      <c r="H421" s="85"/>
      <c r="I421" s="87"/>
      <c r="J421" s="85"/>
      <c r="K421" s="85"/>
      <c r="L421" s="10"/>
      <c r="M421" s="10"/>
      <c r="N421" s="10"/>
      <c r="O421" s="10"/>
      <c r="P421" s="85"/>
      <c r="Q421" s="88"/>
      <c r="R421" s="3">
        <f>IFERROR(VLOOKUP(TablaFebrero[[#This Row],[BARRIO]],SECTOR!$A:$B,2,0),"")</f>
      </c>
      <c r="S421" s="89"/>
      <c r="T421" s="90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6"/>
      <c r="AZ421" s="120">
        <f>COUNTIF(U421:AY421,"A")</f>
      </c>
      <c r="BA421" s="121">
        <f>COUNTIF(U421:AY421,"F")</f>
      </c>
      <c r="BB421" s="119">
        <f>COUNTIF(U421:AY421,"E")</f>
      </c>
    </row>
    <row r="422" spans="1:54" x14ac:dyDescent="0.2">
      <c r="A422" s="84"/>
      <c r="B422" s="85"/>
      <c r="C422" s="85"/>
      <c r="D422" s="85"/>
      <c r="E422" s="86"/>
      <c r="F422" s="16">
        <f>IF(E422="","",DATEDIF(E422,$I$7,"Y"))</f>
      </c>
      <c r="G422" s="85"/>
      <c r="H422" s="85"/>
      <c r="I422" s="87"/>
      <c r="J422" s="85"/>
      <c r="K422" s="85"/>
      <c r="L422" s="10"/>
      <c r="M422" s="10"/>
      <c r="N422" s="10"/>
      <c r="O422" s="10"/>
      <c r="P422" s="85"/>
      <c r="Q422" s="88"/>
      <c r="R422" s="3">
        <f>IFERROR(VLOOKUP(TablaFebrero[[#This Row],[BARRIO]],SECTOR!$A:$B,2,0),"")</f>
      </c>
      <c r="S422" s="89"/>
      <c r="T422" s="90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6"/>
      <c r="AZ422" s="120">
        <f>COUNTIF(U422:AY422,"A")</f>
      </c>
      <c r="BA422" s="121">
        <f>COUNTIF(U422:AY422,"F")</f>
      </c>
      <c r="BB422" s="119">
        <f>COUNTIF(U422:AY422,"E")</f>
      </c>
    </row>
    <row r="423" spans="1:54" x14ac:dyDescent="0.2">
      <c r="A423" s="84"/>
      <c r="B423" s="85"/>
      <c r="C423" s="85"/>
      <c r="D423" s="85"/>
      <c r="E423" s="86"/>
      <c r="F423" s="16">
        <f>IF(E423="","",DATEDIF(E423,$I$7,"Y"))</f>
      </c>
      <c r="G423" s="85"/>
      <c r="H423" s="85"/>
      <c r="I423" s="87"/>
      <c r="J423" s="85"/>
      <c r="K423" s="85"/>
      <c r="L423" s="10"/>
      <c r="M423" s="10"/>
      <c r="N423" s="10"/>
      <c r="O423" s="10"/>
      <c r="P423" s="85"/>
      <c r="Q423" s="88"/>
      <c r="R423" s="3">
        <f>IFERROR(VLOOKUP(TablaFebrero[[#This Row],[BARRIO]],SECTOR!$A:$B,2,0),"")</f>
      </c>
      <c r="S423" s="89"/>
      <c r="T423" s="90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6"/>
      <c r="AZ423" s="120">
        <f>COUNTIF(U423:AY423,"A")</f>
      </c>
      <c r="BA423" s="121">
        <f>COUNTIF(U423:AY423,"F")</f>
      </c>
      <c r="BB423" s="119">
        <f>COUNTIF(U423:AY423,"E")</f>
      </c>
    </row>
    <row r="424" spans="1:54" x14ac:dyDescent="0.2">
      <c r="A424" s="84"/>
      <c r="B424" s="85"/>
      <c r="C424" s="85"/>
      <c r="D424" s="85"/>
      <c r="E424" s="86"/>
      <c r="F424" s="16">
        <f>IF(E424="","",DATEDIF(E424,$I$7,"Y"))</f>
      </c>
      <c r="G424" s="85"/>
      <c r="H424" s="85"/>
      <c r="I424" s="87"/>
      <c r="J424" s="85"/>
      <c r="K424" s="85"/>
      <c r="L424" s="10"/>
      <c r="M424" s="10"/>
      <c r="N424" s="10"/>
      <c r="O424" s="10"/>
      <c r="P424" s="85"/>
      <c r="Q424" s="88"/>
      <c r="R424" s="3">
        <f>IFERROR(VLOOKUP(TablaFebrero[[#This Row],[BARRIO]],SECTOR!$A:$B,2,0),"")</f>
      </c>
      <c r="S424" s="89"/>
      <c r="T424" s="90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6"/>
      <c r="AZ424" s="120">
        <f>COUNTIF(U424:AY424,"A")</f>
      </c>
      <c r="BA424" s="121">
        <f>COUNTIF(U424:AY424,"F")</f>
      </c>
      <c r="BB424" s="119">
        <f>COUNTIF(U424:AY424,"E")</f>
      </c>
    </row>
    <row r="425" spans="1:54" x14ac:dyDescent="0.2">
      <c r="A425" s="84"/>
      <c r="B425" s="85"/>
      <c r="C425" s="85"/>
      <c r="D425" s="85"/>
      <c r="E425" s="86"/>
      <c r="F425" s="16">
        <f>IF(E425="","",DATEDIF(E425,$I$7,"Y"))</f>
      </c>
      <c r="G425" s="85"/>
      <c r="H425" s="85"/>
      <c r="I425" s="87"/>
      <c r="J425" s="85"/>
      <c r="K425" s="85"/>
      <c r="L425" s="10"/>
      <c r="M425" s="10"/>
      <c r="N425" s="10"/>
      <c r="O425" s="10"/>
      <c r="P425" s="85"/>
      <c r="Q425" s="88"/>
      <c r="R425" s="3">
        <f>IFERROR(VLOOKUP(TablaFebrero[[#This Row],[BARRIO]],SECTOR!$A:$B,2,0),"")</f>
      </c>
      <c r="S425" s="89"/>
      <c r="T425" s="90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6"/>
      <c r="AZ425" s="120">
        <f>COUNTIF(U425:AY425,"A")</f>
      </c>
      <c r="BA425" s="121">
        <f>COUNTIF(U425:AY425,"F")</f>
      </c>
      <c r="BB425" s="119">
        <f>COUNTIF(U425:AY425,"E")</f>
      </c>
    </row>
    <row r="426" spans="1:54" x14ac:dyDescent="0.2">
      <c r="A426" s="84"/>
      <c r="B426" s="85"/>
      <c r="C426" s="85"/>
      <c r="D426" s="85"/>
      <c r="E426" s="86"/>
      <c r="F426" s="16">
        <f>IF(E426="","",DATEDIF(E426,$I$7,"Y"))</f>
      </c>
      <c r="G426" s="85"/>
      <c r="H426" s="85"/>
      <c r="I426" s="87"/>
      <c r="J426" s="85"/>
      <c r="K426" s="85"/>
      <c r="L426" s="10"/>
      <c r="M426" s="10"/>
      <c r="N426" s="10"/>
      <c r="O426" s="10"/>
      <c r="P426" s="85"/>
      <c r="Q426" s="88"/>
      <c r="R426" s="3">
        <f>IFERROR(VLOOKUP(TablaFebrero[[#This Row],[BARRIO]],SECTOR!$A:$B,2,0),"")</f>
      </c>
      <c r="S426" s="89"/>
      <c r="T426" s="90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6"/>
      <c r="AZ426" s="120">
        <f>COUNTIF(U426:AY426,"A")</f>
      </c>
      <c r="BA426" s="121">
        <f>COUNTIF(U426:AY426,"F")</f>
      </c>
      <c r="BB426" s="119">
        <f>COUNTIF(U426:AY426,"E")</f>
      </c>
    </row>
    <row r="427" spans="1:54" x14ac:dyDescent="0.2">
      <c r="A427" s="84"/>
      <c r="B427" s="85"/>
      <c r="C427" s="85"/>
      <c r="D427" s="85"/>
      <c r="E427" s="86"/>
      <c r="F427" s="16">
        <f>IF(E427="","",DATEDIF(E427,$I$7,"Y"))</f>
      </c>
      <c r="G427" s="85"/>
      <c r="H427" s="85"/>
      <c r="I427" s="87"/>
      <c r="J427" s="85"/>
      <c r="K427" s="85"/>
      <c r="L427" s="10"/>
      <c r="M427" s="10"/>
      <c r="N427" s="10"/>
      <c r="O427" s="10"/>
      <c r="P427" s="85"/>
      <c r="Q427" s="88"/>
      <c r="R427" s="3">
        <f>IFERROR(VLOOKUP(TablaFebrero[[#This Row],[BARRIO]],SECTOR!$A:$B,2,0),"")</f>
      </c>
      <c r="S427" s="89"/>
      <c r="T427" s="90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6"/>
      <c r="AZ427" s="120">
        <f>COUNTIF(U427:AY427,"A")</f>
      </c>
      <c r="BA427" s="121">
        <f>COUNTIF(U427:AY427,"F")</f>
      </c>
      <c r="BB427" s="119">
        <f>COUNTIF(U427:AY427,"E")</f>
      </c>
    </row>
    <row r="428" spans="1:54" x14ac:dyDescent="0.2">
      <c r="A428" s="84"/>
      <c r="B428" s="85"/>
      <c r="C428" s="85"/>
      <c r="D428" s="85"/>
      <c r="E428" s="86"/>
      <c r="F428" s="16">
        <f>IF(E428="","",DATEDIF(E428,$I$7,"Y"))</f>
      </c>
      <c r="G428" s="85"/>
      <c r="H428" s="85"/>
      <c r="I428" s="87"/>
      <c r="J428" s="85"/>
      <c r="K428" s="85"/>
      <c r="L428" s="10"/>
      <c r="M428" s="10"/>
      <c r="N428" s="10"/>
      <c r="O428" s="10"/>
      <c r="P428" s="85"/>
      <c r="Q428" s="88"/>
      <c r="R428" s="3">
        <f>IFERROR(VLOOKUP(TablaFebrero[[#This Row],[BARRIO]],SECTOR!$A:$B,2,0),"")</f>
      </c>
      <c r="S428" s="89"/>
      <c r="T428" s="90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6"/>
      <c r="AZ428" s="120">
        <f>COUNTIF(U428:AY428,"A")</f>
      </c>
      <c r="BA428" s="121">
        <f>COUNTIF(U428:AY428,"F")</f>
      </c>
      <c r="BB428" s="119">
        <f>COUNTIF(U428:AY428,"E")</f>
      </c>
    </row>
    <row r="429" spans="1:54" x14ac:dyDescent="0.2">
      <c r="A429" s="84"/>
      <c r="B429" s="85"/>
      <c r="C429" s="85"/>
      <c r="D429" s="85"/>
      <c r="E429" s="86"/>
      <c r="F429" s="16">
        <f>IF(E429="","",DATEDIF(E429,$I$7,"Y"))</f>
      </c>
      <c r="G429" s="85"/>
      <c r="H429" s="85"/>
      <c r="I429" s="87"/>
      <c r="J429" s="85"/>
      <c r="K429" s="85"/>
      <c r="L429" s="10"/>
      <c r="M429" s="10"/>
      <c r="N429" s="10"/>
      <c r="O429" s="10"/>
      <c r="P429" s="85"/>
      <c r="Q429" s="88"/>
      <c r="R429" s="3">
        <f>IFERROR(VLOOKUP(TablaFebrero[[#This Row],[BARRIO]],SECTOR!$A:$B,2,0),"")</f>
      </c>
      <c r="S429" s="89"/>
      <c r="T429" s="90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6"/>
      <c r="AZ429" s="120">
        <f>COUNTIF(U429:AY429,"A")</f>
      </c>
      <c r="BA429" s="121">
        <f>COUNTIF(U429:AY429,"F")</f>
      </c>
      <c r="BB429" s="119">
        <f>COUNTIF(U429:AY429,"E")</f>
      </c>
    </row>
    <row r="430" spans="1:54" x14ac:dyDescent="0.2">
      <c r="A430" s="84"/>
      <c r="B430" s="85"/>
      <c r="C430" s="85"/>
      <c r="D430" s="85"/>
      <c r="E430" s="86"/>
      <c r="F430" s="16">
        <f>IF(E430="","",DATEDIF(E430,$I$7,"Y"))</f>
      </c>
      <c r="G430" s="85"/>
      <c r="H430" s="85"/>
      <c r="I430" s="87"/>
      <c r="J430" s="85"/>
      <c r="K430" s="85"/>
      <c r="L430" s="10"/>
      <c r="M430" s="10"/>
      <c r="N430" s="10"/>
      <c r="O430" s="10"/>
      <c r="P430" s="85"/>
      <c r="Q430" s="88"/>
      <c r="R430" s="3">
        <f>IFERROR(VLOOKUP(TablaFebrero[[#This Row],[BARRIO]],SECTOR!$A:$B,2,0),"")</f>
      </c>
      <c r="S430" s="89"/>
      <c r="T430" s="90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6"/>
      <c r="AZ430" s="120">
        <f>COUNTIF(U430:AY430,"A")</f>
      </c>
      <c r="BA430" s="121">
        <f>COUNTIF(U430:AY430,"F")</f>
      </c>
      <c r="BB430" s="119">
        <f>COUNTIF(U430:AY430,"E")</f>
      </c>
    </row>
    <row r="431" spans="1:54" x14ac:dyDescent="0.2">
      <c r="A431" s="84"/>
      <c r="B431" s="85"/>
      <c r="C431" s="85"/>
      <c r="D431" s="85"/>
      <c r="E431" s="86"/>
      <c r="F431" s="16">
        <f>IF(E431="","",DATEDIF(E431,$I$7,"Y"))</f>
      </c>
      <c r="G431" s="85"/>
      <c r="H431" s="85"/>
      <c r="I431" s="87"/>
      <c r="J431" s="85"/>
      <c r="K431" s="85"/>
      <c r="L431" s="10"/>
      <c r="M431" s="10"/>
      <c r="N431" s="10"/>
      <c r="O431" s="10"/>
      <c r="P431" s="85"/>
      <c r="Q431" s="88"/>
      <c r="R431" s="3">
        <f>IFERROR(VLOOKUP(TablaFebrero[[#This Row],[BARRIO]],SECTOR!$A:$B,2,0),"")</f>
      </c>
      <c r="S431" s="89"/>
      <c r="T431" s="90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6"/>
      <c r="AZ431" s="120">
        <f>COUNTIF(U431:AY431,"A")</f>
      </c>
      <c r="BA431" s="121">
        <f>COUNTIF(U431:AY431,"F")</f>
      </c>
      <c r="BB431" s="119">
        <f>COUNTIF(U431:AY431,"E")</f>
      </c>
    </row>
    <row r="432" spans="1:54" x14ac:dyDescent="0.2">
      <c r="A432" s="84"/>
      <c r="B432" s="85"/>
      <c r="C432" s="85"/>
      <c r="D432" s="85"/>
      <c r="E432" s="86"/>
      <c r="F432" s="16">
        <f>IF(E432="","",DATEDIF(E432,$I$7,"Y"))</f>
      </c>
      <c r="G432" s="85"/>
      <c r="H432" s="85"/>
      <c r="I432" s="87"/>
      <c r="J432" s="85"/>
      <c r="K432" s="85"/>
      <c r="L432" s="10"/>
      <c r="M432" s="10"/>
      <c r="N432" s="10"/>
      <c r="O432" s="10"/>
      <c r="P432" s="85"/>
      <c r="Q432" s="88"/>
      <c r="R432" s="3">
        <f>IFERROR(VLOOKUP(TablaFebrero[[#This Row],[BARRIO]],SECTOR!$A:$B,2,0),"")</f>
      </c>
      <c r="S432" s="89"/>
      <c r="T432" s="90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6"/>
      <c r="AZ432" s="120">
        <f>COUNTIF(U432:AY432,"A")</f>
      </c>
      <c r="BA432" s="121">
        <f>COUNTIF(U432:AY432,"F")</f>
      </c>
      <c r="BB432" s="119">
        <f>COUNTIF(U432:AY432,"E")</f>
      </c>
    </row>
    <row r="433" spans="1:54" x14ac:dyDescent="0.2">
      <c r="A433" s="84"/>
      <c r="B433" s="85"/>
      <c r="C433" s="85"/>
      <c r="D433" s="85"/>
      <c r="E433" s="86"/>
      <c r="F433" s="16">
        <f>IF(E433="","",DATEDIF(E433,$I$7,"Y"))</f>
      </c>
      <c r="G433" s="85"/>
      <c r="H433" s="85"/>
      <c r="I433" s="87"/>
      <c r="J433" s="85"/>
      <c r="K433" s="85"/>
      <c r="L433" s="10"/>
      <c r="M433" s="10"/>
      <c r="N433" s="10"/>
      <c r="O433" s="10"/>
      <c r="P433" s="85"/>
      <c r="Q433" s="88"/>
      <c r="R433" s="3">
        <f>IFERROR(VLOOKUP(TablaFebrero[[#This Row],[BARRIO]],SECTOR!$A:$B,2,0),"")</f>
      </c>
      <c r="S433" s="89"/>
      <c r="T433" s="90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6"/>
      <c r="AZ433" s="120">
        <f>COUNTIF(U433:AY433,"A")</f>
      </c>
      <c r="BA433" s="121">
        <f>COUNTIF(U433:AY433,"F")</f>
      </c>
      <c r="BB433" s="119">
        <f>COUNTIF(U433:AY433,"E")</f>
      </c>
    </row>
    <row r="434" spans="1:54" x14ac:dyDescent="0.2">
      <c r="A434" s="84"/>
      <c r="B434" s="85"/>
      <c r="C434" s="85"/>
      <c r="D434" s="85"/>
      <c r="E434" s="86"/>
      <c r="F434" s="16">
        <f>IF(E434="","",DATEDIF(E434,$I$7,"Y"))</f>
      </c>
      <c r="G434" s="85"/>
      <c r="H434" s="85"/>
      <c r="I434" s="87"/>
      <c r="J434" s="85"/>
      <c r="K434" s="85"/>
      <c r="L434" s="10"/>
      <c r="M434" s="10"/>
      <c r="N434" s="10"/>
      <c r="O434" s="10"/>
      <c r="P434" s="85"/>
      <c r="Q434" s="88"/>
      <c r="R434" s="3">
        <f>IFERROR(VLOOKUP(TablaFebrero[[#This Row],[BARRIO]],SECTOR!$A:$B,2,0),"")</f>
      </c>
      <c r="S434" s="89"/>
      <c r="T434" s="90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6"/>
      <c r="AZ434" s="120">
        <f>COUNTIF(U434:AY434,"A")</f>
      </c>
      <c r="BA434" s="121">
        <f>COUNTIF(U434:AY434,"F")</f>
      </c>
      <c r="BB434" s="119">
        <f>COUNTIF(U434:AY434,"E")</f>
      </c>
    </row>
    <row r="435" spans="1:54" x14ac:dyDescent="0.2">
      <c r="A435" s="84"/>
      <c r="B435" s="85"/>
      <c r="C435" s="85"/>
      <c r="D435" s="85"/>
      <c r="E435" s="86"/>
      <c r="F435" s="16">
        <f>IF(E435="","",DATEDIF(E435,$I$7,"Y"))</f>
      </c>
      <c r="G435" s="85"/>
      <c r="H435" s="85"/>
      <c r="I435" s="87"/>
      <c r="J435" s="85"/>
      <c r="K435" s="85"/>
      <c r="L435" s="10"/>
      <c r="M435" s="10"/>
      <c r="N435" s="10"/>
      <c r="O435" s="10"/>
      <c r="P435" s="85"/>
      <c r="Q435" s="88"/>
      <c r="R435" s="3">
        <f>IFERROR(VLOOKUP(TablaFebrero[[#This Row],[BARRIO]],SECTOR!$A:$B,2,0),"")</f>
      </c>
      <c r="S435" s="89"/>
      <c r="T435" s="90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6"/>
      <c r="AZ435" s="120">
        <f>COUNTIF(U435:AY435,"A")</f>
      </c>
      <c r="BA435" s="121">
        <f>COUNTIF(U435:AY435,"F")</f>
      </c>
      <c r="BB435" s="119">
        <f>COUNTIF(U435:AY435,"E")</f>
      </c>
    </row>
    <row r="436" spans="1:54" x14ac:dyDescent="0.2">
      <c r="A436" s="84"/>
      <c r="B436" s="85"/>
      <c r="C436" s="85"/>
      <c r="D436" s="85"/>
      <c r="E436" s="86"/>
      <c r="F436" s="16">
        <f>IF(E436="","",DATEDIF(E436,$I$7,"Y"))</f>
      </c>
      <c r="G436" s="85"/>
      <c r="H436" s="85"/>
      <c r="I436" s="87"/>
      <c r="J436" s="85"/>
      <c r="K436" s="85"/>
      <c r="L436" s="10"/>
      <c r="M436" s="10"/>
      <c r="N436" s="10"/>
      <c r="O436" s="10"/>
      <c r="P436" s="85"/>
      <c r="Q436" s="88"/>
      <c r="R436" s="3">
        <f>IFERROR(VLOOKUP(TablaFebrero[[#This Row],[BARRIO]],SECTOR!$A:$B,2,0),"")</f>
      </c>
      <c r="S436" s="89"/>
      <c r="T436" s="90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6"/>
      <c r="AZ436" s="120">
        <f>COUNTIF(U436:AY436,"A")</f>
      </c>
      <c r="BA436" s="121">
        <f>COUNTIF(U436:AY436,"F")</f>
      </c>
      <c r="BB436" s="119">
        <f>COUNTIF(U436:AY436,"E")</f>
      </c>
    </row>
    <row r="437" spans="1:54" x14ac:dyDescent="0.2">
      <c r="A437" s="84"/>
      <c r="B437" s="85"/>
      <c r="C437" s="85"/>
      <c r="D437" s="85"/>
      <c r="E437" s="86"/>
      <c r="F437" s="16">
        <f>IF(E437="","",DATEDIF(E437,$I$7,"Y"))</f>
      </c>
      <c r="G437" s="85"/>
      <c r="H437" s="85"/>
      <c r="I437" s="87"/>
      <c r="J437" s="85"/>
      <c r="K437" s="85"/>
      <c r="L437" s="10"/>
      <c r="M437" s="10"/>
      <c r="N437" s="10"/>
      <c r="O437" s="10"/>
      <c r="P437" s="85"/>
      <c r="Q437" s="88"/>
      <c r="R437" s="3">
        <f>IFERROR(VLOOKUP(TablaFebrero[[#This Row],[BARRIO]],SECTOR!$A:$B,2,0),"")</f>
      </c>
      <c r="S437" s="89"/>
      <c r="T437" s="90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6"/>
      <c r="AZ437" s="120">
        <f>COUNTIF(U437:AY437,"A")</f>
      </c>
      <c r="BA437" s="121">
        <f>COUNTIF(U437:AY437,"F")</f>
      </c>
      <c r="BB437" s="119">
        <f>COUNTIF(U437:AY437,"E")</f>
      </c>
    </row>
    <row r="438" spans="1:54" x14ac:dyDescent="0.2">
      <c r="A438" s="84"/>
      <c r="B438" s="85"/>
      <c r="C438" s="85"/>
      <c r="D438" s="85"/>
      <c r="E438" s="86"/>
      <c r="F438" s="16">
        <f>IF(E438="","",DATEDIF(E438,$I$7,"Y"))</f>
      </c>
      <c r="G438" s="85"/>
      <c r="H438" s="85"/>
      <c r="I438" s="87"/>
      <c r="J438" s="85"/>
      <c r="K438" s="85"/>
      <c r="L438" s="10"/>
      <c r="M438" s="10"/>
      <c r="N438" s="10"/>
      <c r="O438" s="10"/>
      <c r="P438" s="85"/>
      <c r="Q438" s="88"/>
      <c r="R438" s="3">
        <f>IFERROR(VLOOKUP(TablaFebrero[[#This Row],[BARRIO]],SECTOR!$A:$B,2,0),"")</f>
      </c>
      <c r="S438" s="89"/>
      <c r="T438" s="90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6"/>
      <c r="AZ438" s="120">
        <f>COUNTIF(U438:AY438,"A")</f>
      </c>
      <c r="BA438" s="121">
        <f>COUNTIF(U438:AY438,"F")</f>
      </c>
      <c r="BB438" s="119">
        <f>COUNTIF(U438:AY438,"E")</f>
      </c>
    </row>
    <row r="439" spans="1:54" x14ac:dyDescent="0.2">
      <c r="A439" s="84"/>
      <c r="B439" s="85"/>
      <c r="C439" s="85"/>
      <c r="D439" s="85"/>
      <c r="E439" s="86"/>
      <c r="F439" s="16">
        <f>IF(E439="","",DATEDIF(E439,$I$7,"Y"))</f>
      </c>
      <c r="G439" s="85"/>
      <c r="H439" s="85"/>
      <c r="I439" s="87"/>
      <c r="J439" s="85"/>
      <c r="K439" s="85"/>
      <c r="L439" s="10"/>
      <c r="M439" s="10"/>
      <c r="N439" s="10"/>
      <c r="O439" s="10"/>
      <c r="P439" s="85"/>
      <c r="Q439" s="88"/>
      <c r="R439" s="3">
        <f>IFERROR(VLOOKUP(TablaFebrero[[#This Row],[BARRIO]],SECTOR!$A:$B,2,0),"")</f>
      </c>
      <c r="S439" s="89"/>
      <c r="T439" s="90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6"/>
      <c r="AZ439" s="120">
        <f>COUNTIF(U439:AY439,"A")</f>
      </c>
      <c r="BA439" s="121">
        <f>COUNTIF(U439:AY439,"F")</f>
      </c>
      <c r="BB439" s="119">
        <f>COUNTIF(U439:AY439,"E")</f>
      </c>
    </row>
    <row r="440" spans="1:54" x14ac:dyDescent="0.2">
      <c r="A440" s="84"/>
      <c r="B440" s="85"/>
      <c r="C440" s="85"/>
      <c r="D440" s="85"/>
      <c r="E440" s="86"/>
      <c r="F440" s="16">
        <f>IF(E440="","",DATEDIF(E440,$I$7,"Y"))</f>
      </c>
      <c r="G440" s="85"/>
      <c r="H440" s="85"/>
      <c r="I440" s="87"/>
      <c r="J440" s="85"/>
      <c r="K440" s="85"/>
      <c r="L440" s="10"/>
      <c r="M440" s="10"/>
      <c r="N440" s="10"/>
      <c r="O440" s="10"/>
      <c r="P440" s="85"/>
      <c r="Q440" s="88"/>
      <c r="R440" s="3">
        <f>IFERROR(VLOOKUP(TablaFebrero[[#This Row],[BARRIO]],SECTOR!$A:$B,2,0),"")</f>
      </c>
      <c r="S440" s="89"/>
      <c r="T440" s="90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6"/>
      <c r="AZ440" s="120">
        <f>COUNTIF(U440:AY440,"A")</f>
      </c>
      <c r="BA440" s="121">
        <f>COUNTIF(U440:AY440,"F")</f>
      </c>
      <c r="BB440" s="119">
        <f>COUNTIF(U440:AY440,"E")</f>
      </c>
    </row>
    <row r="441" spans="1:54" x14ac:dyDescent="0.2">
      <c r="A441" s="84"/>
      <c r="B441" s="85"/>
      <c r="C441" s="85"/>
      <c r="D441" s="85"/>
      <c r="E441" s="86"/>
      <c r="F441" s="16">
        <f>IF(E441="","",DATEDIF(E441,$I$7,"Y"))</f>
      </c>
      <c r="G441" s="85"/>
      <c r="H441" s="85"/>
      <c r="I441" s="87"/>
      <c r="J441" s="85"/>
      <c r="K441" s="85"/>
      <c r="L441" s="10"/>
      <c r="M441" s="10"/>
      <c r="N441" s="10"/>
      <c r="O441" s="10"/>
      <c r="P441" s="85"/>
      <c r="Q441" s="88"/>
      <c r="R441" s="3">
        <f>IFERROR(VLOOKUP(TablaFebrero[[#This Row],[BARRIO]],SECTOR!$A:$B,2,0),"")</f>
      </c>
      <c r="S441" s="89"/>
      <c r="T441" s="90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6"/>
      <c r="AZ441" s="120">
        <f>COUNTIF(U441:AY441,"A")</f>
      </c>
      <c r="BA441" s="121">
        <f>COUNTIF(U441:AY441,"F")</f>
      </c>
      <c r="BB441" s="119">
        <f>COUNTIF(U441:AY441,"E")</f>
      </c>
    </row>
    <row r="442" spans="1:54" x14ac:dyDescent="0.2">
      <c r="A442" s="84"/>
      <c r="B442" s="85"/>
      <c r="C442" s="85"/>
      <c r="D442" s="85"/>
      <c r="E442" s="86"/>
      <c r="F442" s="16">
        <f>IF(E442="","",DATEDIF(E442,$I$7,"Y"))</f>
      </c>
      <c r="G442" s="85"/>
      <c r="H442" s="85"/>
      <c r="I442" s="87"/>
      <c r="J442" s="85"/>
      <c r="K442" s="85"/>
      <c r="L442" s="10"/>
      <c r="M442" s="10"/>
      <c r="N442" s="10"/>
      <c r="O442" s="10"/>
      <c r="P442" s="85"/>
      <c r="Q442" s="88"/>
      <c r="R442" s="3">
        <f>IFERROR(VLOOKUP(TablaFebrero[[#This Row],[BARRIO]],SECTOR!$A:$B,2,0),"")</f>
      </c>
      <c r="S442" s="89"/>
      <c r="T442" s="90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6"/>
      <c r="AZ442" s="120">
        <f>COUNTIF(U442:AY442,"A")</f>
      </c>
      <c r="BA442" s="121">
        <f>COUNTIF(U442:AY442,"F")</f>
      </c>
      <c r="BB442" s="119">
        <f>COUNTIF(U442:AY442,"E")</f>
      </c>
    </row>
    <row r="443" spans="1:54" x14ac:dyDescent="0.2">
      <c r="A443" s="84"/>
      <c r="B443" s="85"/>
      <c r="C443" s="85"/>
      <c r="D443" s="85"/>
      <c r="E443" s="86"/>
      <c r="F443" s="16">
        <f>IF(E443="","",DATEDIF(E443,$I$7,"Y"))</f>
      </c>
      <c r="G443" s="85"/>
      <c r="H443" s="85"/>
      <c r="I443" s="87"/>
      <c r="J443" s="85"/>
      <c r="K443" s="85"/>
      <c r="L443" s="10"/>
      <c r="M443" s="10"/>
      <c r="N443" s="10"/>
      <c r="O443" s="10"/>
      <c r="P443" s="85"/>
      <c r="Q443" s="88"/>
      <c r="R443" s="3">
        <f>IFERROR(VLOOKUP(TablaFebrero[[#This Row],[BARRIO]],SECTOR!$A:$B,2,0),"")</f>
      </c>
      <c r="S443" s="89"/>
      <c r="T443" s="90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6"/>
      <c r="AZ443" s="120">
        <f>COUNTIF(U443:AY443,"A")</f>
      </c>
      <c r="BA443" s="121">
        <f>COUNTIF(U443:AY443,"F")</f>
      </c>
      <c r="BB443" s="119">
        <f>COUNTIF(U443:AY443,"E")</f>
      </c>
    </row>
    <row r="444" spans="1:54" x14ac:dyDescent="0.2">
      <c r="A444" s="84"/>
      <c r="B444" s="85"/>
      <c r="C444" s="85"/>
      <c r="D444" s="85"/>
      <c r="E444" s="86"/>
      <c r="F444" s="16">
        <f>IF(E444="","",DATEDIF(E444,$I$7,"Y"))</f>
      </c>
      <c r="G444" s="85"/>
      <c r="H444" s="85"/>
      <c r="I444" s="87"/>
      <c r="J444" s="85"/>
      <c r="K444" s="85"/>
      <c r="L444" s="10"/>
      <c r="M444" s="10"/>
      <c r="N444" s="10"/>
      <c r="O444" s="10"/>
      <c r="P444" s="85"/>
      <c r="Q444" s="88"/>
      <c r="R444" s="3">
        <f>IFERROR(VLOOKUP(TablaFebrero[[#This Row],[BARRIO]],SECTOR!$A:$B,2,0),"")</f>
      </c>
      <c r="S444" s="89"/>
      <c r="T444" s="90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6"/>
      <c r="AZ444" s="120">
        <f>COUNTIF(U444:AY444,"A")</f>
      </c>
      <c r="BA444" s="121">
        <f>COUNTIF(U444:AY444,"F")</f>
      </c>
      <c r="BB444" s="119">
        <f>COUNTIF(U444:AY444,"E")</f>
      </c>
    </row>
    <row r="445" spans="1:54" x14ac:dyDescent="0.2">
      <c r="A445" s="84"/>
      <c r="B445" s="85"/>
      <c r="C445" s="85"/>
      <c r="D445" s="85"/>
      <c r="E445" s="86"/>
      <c r="F445" s="16">
        <f>IF(E445="","",DATEDIF(E445,$I$7,"Y"))</f>
      </c>
      <c r="G445" s="85"/>
      <c r="H445" s="85"/>
      <c r="I445" s="87"/>
      <c r="J445" s="85"/>
      <c r="K445" s="85"/>
      <c r="L445" s="10"/>
      <c r="M445" s="10"/>
      <c r="N445" s="10"/>
      <c r="O445" s="10"/>
      <c r="P445" s="85"/>
      <c r="Q445" s="88"/>
      <c r="R445" s="3">
        <f>IFERROR(VLOOKUP(TablaFebrero[[#This Row],[BARRIO]],SECTOR!$A:$B,2,0),"")</f>
      </c>
      <c r="S445" s="89"/>
      <c r="T445" s="90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6"/>
      <c r="AZ445" s="120">
        <f>COUNTIF(U445:AY445,"A")</f>
      </c>
      <c r="BA445" s="121">
        <f>COUNTIF(U445:AY445,"F")</f>
      </c>
      <c r="BB445" s="119">
        <f>COUNTIF(U445:AY445,"E")</f>
      </c>
    </row>
    <row r="446" spans="1:54" x14ac:dyDescent="0.2">
      <c r="A446" s="84"/>
      <c r="B446" s="85"/>
      <c r="C446" s="85"/>
      <c r="D446" s="85"/>
      <c r="E446" s="86"/>
      <c r="F446" s="16">
        <f>IF(E446="","",DATEDIF(E446,$I$7,"Y"))</f>
      </c>
      <c r="G446" s="85"/>
      <c r="H446" s="85"/>
      <c r="I446" s="87"/>
      <c r="J446" s="85"/>
      <c r="K446" s="85"/>
      <c r="L446" s="10"/>
      <c r="M446" s="10"/>
      <c r="N446" s="10"/>
      <c r="O446" s="10"/>
      <c r="P446" s="85"/>
      <c r="Q446" s="88"/>
      <c r="R446" s="3">
        <f>IFERROR(VLOOKUP(TablaFebrero[[#This Row],[BARRIO]],SECTOR!$A:$B,2,0),"")</f>
      </c>
      <c r="S446" s="89"/>
      <c r="T446" s="90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6"/>
      <c r="AZ446" s="120">
        <f>COUNTIF(U446:AY446,"A")</f>
      </c>
      <c r="BA446" s="121">
        <f>COUNTIF(U446:AY446,"F")</f>
      </c>
      <c r="BB446" s="119">
        <f>COUNTIF(U446:AY446,"E")</f>
      </c>
    </row>
    <row r="447" spans="1:54" x14ac:dyDescent="0.2">
      <c r="A447" s="84"/>
      <c r="B447" s="85"/>
      <c r="C447" s="85"/>
      <c r="D447" s="85"/>
      <c r="E447" s="86"/>
      <c r="F447" s="16">
        <f>IF(E447="","",DATEDIF(E447,$I$7,"Y"))</f>
      </c>
      <c r="G447" s="85"/>
      <c r="H447" s="85"/>
      <c r="I447" s="87"/>
      <c r="J447" s="85"/>
      <c r="K447" s="85"/>
      <c r="L447" s="10"/>
      <c r="M447" s="10"/>
      <c r="N447" s="10"/>
      <c r="O447" s="10"/>
      <c r="P447" s="85"/>
      <c r="Q447" s="88"/>
      <c r="R447" s="3">
        <f>IFERROR(VLOOKUP(TablaFebrero[[#This Row],[BARRIO]],SECTOR!$A:$B,2,0),"")</f>
      </c>
      <c r="S447" s="89"/>
      <c r="T447" s="90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6"/>
      <c r="AZ447" s="120">
        <f>COUNTIF(U447:AY447,"A")</f>
      </c>
      <c r="BA447" s="121">
        <f>COUNTIF(U447:AY447,"F")</f>
      </c>
      <c r="BB447" s="119">
        <f>COUNTIF(U447:AY447,"E")</f>
      </c>
    </row>
    <row r="448" spans="1:54" x14ac:dyDescent="0.2">
      <c r="A448" s="84"/>
      <c r="B448" s="85"/>
      <c r="C448" s="85"/>
      <c r="D448" s="85"/>
      <c r="E448" s="86"/>
      <c r="F448" s="16">
        <f>IF(E448="","",DATEDIF(E448,$I$7,"Y"))</f>
      </c>
      <c r="G448" s="85"/>
      <c r="H448" s="85"/>
      <c r="I448" s="87"/>
      <c r="J448" s="85"/>
      <c r="K448" s="85"/>
      <c r="L448" s="10"/>
      <c r="M448" s="10"/>
      <c r="N448" s="10"/>
      <c r="O448" s="10"/>
      <c r="P448" s="85"/>
      <c r="Q448" s="88"/>
      <c r="R448" s="3">
        <f>IFERROR(VLOOKUP(TablaFebrero[[#This Row],[BARRIO]],SECTOR!$A:$B,2,0),"")</f>
      </c>
      <c r="S448" s="89"/>
      <c r="T448" s="90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6"/>
      <c r="AZ448" s="120">
        <f>COUNTIF(U448:AY448,"A")</f>
      </c>
      <c r="BA448" s="121">
        <f>COUNTIF(U448:AY448,"F")</f>
      </c>
      <c r="BB448" s="119">
        <f>COUNTIF(U448:AY448,"E")</f>
      </c>
    </row>
    <row r="449" spans="1:54" x14ac:dyDescent="0.2">
      <c r="A449" s="84"/>
      <c r="B449" s="85"/>
      <c r="C449" s="85"/>
      <c r="D449" s="85"/>
      <c r="E449" s="86"/>
      <c r="F449" s="16">
        <f>IF(E449="","",DATEDIF(E449,$I$7,"Y"))</f>
      </c>
      <c r="G449" s="85"/>
      <c r="H449" s="85"/>
      <c r="I449" s="87"/>
      <c r="J449" s="85"/>
      <c r="K449" s="85"/>
      <c r="L449" s="10"/>
      <c r="M449" s="10"/>
      <c r="N449" s="10"/>
      <c r="O449" s="10"/>
      <c r="P449" s="85"/>
      <c r="Q449" s="88"/>
      <c r="R449" s="3">
        <f>IFERROR(VLOOKUP(TablaFebrero[[#This Row],[BARRIO]],SECTOR!$A:$B,2,0),"")</f>
      </c>
      <c r="S449" s="89"/>
      <c r="T449" s="90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6"/>
      <c r="AZ449" s="120">
        <f>COUNTIF(U449:AY449,"A")</f>
      </c>
      <c r="BA449" s="121">
        <f>COUNTIF(U449:AY449,"F")</f>
      </c>
      <c r="BB449" s="119">
        <f>COUNTIF(U449:AY449,"E")</f>
      </c>
    </row>
    <row r="450" spans="1:54" x14ac:dyDescent="0.2">
      <c r="A450" s="84"/>
      <c r="B450" s="85"/>
      <c r="C450" s="85"/>
      <c r="D450" s="85"/>
      <c r="E450" s="86"/>
      <c r="F450" s="16">
        <f>IF(E450="","",DATEDIF(E450,$I$7,"Y"))</f>
      </c>
      <c r="G450" s="85"/>
      <c r="H450" s="85"/>
      <c r="I450" s="87"/>
      <c r="J450" s="85"/>
      <c r="K450" s="85"/>
      <c r="L450" s="10"/>
      <c r="M450" s="10"/>
      <c r="N450" s="10"/>
      <c r="O450" s="10"/>
      <c r="P450" s="85"/>
      <c r="Q450" s="88"/>
      <c r="R450" s="3">
        <f>IFERROR(VLOOKUP(TablaFebrero[[#This Row],[BARRIO]],SECTOR!$A:$B,2,0),"")</f>
      </c>
      <c r="S450" s="89"/>
      <c r="T450" s="90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6"/>
      <c r="AZ450" s="120">
        <f>COUNTIF(U450:AY450,"A")</f>
      </c>
      <c r="BA450" s="121">
        <f>COUNTIF(U450:AY450,"F")</f>
      </c>
      <c r="BB450" s="119">
        <f>COUNTIF(U450:AY450,"E")</f>
      </c>
    </row>
    <row r="451" spans="1:54" x14ac:dyDescent="0.2">
      <c r="A451" s="84"/>
      <c r="B451" s="85"/>
      <c r="C451" s="85"/>
      <c r="D451" s="85"/>
      <c r="E451" s="86"/>
      <c r="F451" s="16">
        <f>IF(E451="","",DATEDIF(E451,$I$7,"Y"))</f>
      </c>
      <c r="G451" s="85"/>
      <c r="H451" s="85"/>
      <c r="I451" s="87"/>
      <c r="J451" s="85"/>
      <c r="K451" s="85"/>
      <c r="L451" s="10"/>
      <c r="M451" s="10"/>
      <c r="N451" s="10"/>
      <c r="O451" s="10"/>
      <c r="P451" s="85"/>
      <c r="Q451" s="88"/>
      <c r="R451" s="3">
        <f>IFERROR(VLOOKUP(TablaFebrero[[#This Row],[BARRIO]],SECTOR!$A:$B,2,0),"")</f>
      </c>
      <c r="S451" s="89"/>
      <c r="T451" s="90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6"/>
      <c r="AZ451" s="120">
        <f>COUNTIF(U451:AY451,"A")</f>
      </c>
      <c r="BA451" s="121">
        <f>COUNTIF(U451:AY451,"F")</f>
      </c>
      <c r="BB451" s="119">
        <f>COUNTIF(U451:AY451,"E")</f>
      </c>
    </row>
    <row r="452" spans="1:54" x14ac:dyDescent="0.2">
      <c r="A452" s="84"/>
      <c r="B452" s="85"/>
      <c r="C452" s="85"/>
      <c r="D452" s="85"/>
      <c r="E452" s="86"/>
      <c r="F452" s="16">
        <f>IF(E452="","",DATEDIF(E452,$I$7,"Y"))</f>
      </c>
      <c r="G452" s="85"/>
      <c r="H452" s="85"/>
      <c r="I452" s="87"/>
      <c r="J452" s="85"/>
      <c r="K452" s="85"/>
      <c r="L452" s="10"/>
      <c r="M452" s="10"/>
      <c r="N452" s="10"/>
      <c r="O452" s="10"/>
      <c r="P452" s="85"/>
      <c r="Q452" s="88"/>
      <c r="R452" s="3">
        <f>IFERROR(VLOOKUP(TablaFebrero[[#This Row],[BARRIO]],SECTOR!$A:$B,2,0),"")</f>
      </c>
      <c r="S452" s="89"/>
      <c r="T452" s="90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6"/>
      <c r="AZ452" s="120">
        <f>COUNTIF(U452:AY452,"A")</f>
      </c>
      <c r="BA452" s="121">
        <f>COUNTIF(U452:AY452,"F")</f>
      </c>
      <c r="BB452" s="119">
        <f>COUNTIF(U452:AY452,"E")</f>
      </c>
    </row>
    <row r="453" spans="1:54" x14ac:dyDescent="0.2">
      <c r="A453" s="84"/>
      <c r="B453" s="85"/>
      <c r="C453" s="85"/>
      <c r="D453" s="85"/>
      <c r="E453" s="86"/>
      <c r="F453" s="16">
        <f>IF(E453="","",DATEDIF(E453,$I$7,"Y"))</f>
      </c>
      <c r="G453" s="85"/>
      <c r="H453" s="85"/>
      <c r="I453" s="87"/>
      <c r="J453" s="85"/>
      <c r="K453" s="85"/>
      <c r="L453" s="10"/>
      <c r="M453" s="10"/>
      <c r="N453" s="10"/>
      <c r="O453" s="10"/>
      <c r="P453" s="85"/>
      <c r="Q453" s="88"/>
      <c r="R453" s="3">
        <f>IFERROR(VLOOKUP(TablaFebrero[[#This Row],[BARRIO]],SECTOR!$A:$B,2,0),"")</f>
      </c>
      <c r="S453" s="89"/>
      <c r="T453" s="90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6"/>
      <c r="AZ453" s="120">
        <f>COUNTIF(U453:AY453,"A")</f>
      </c>
      <c r="BA453" s="121">
        <f>COUNTIF(U453:AY453,"F")</f>
      </c>
      <c r="BB453" s="119">
        <f>COUNTIF(U453:AY453,"E")</f>
      </c>
    </row>
    <row r="454" spans="1:54" x14ac:dyDescent="0.2">
      <c r="A454" s="84"/>
      <c r="B454" s="85"/>
      <c r="C454" s="85"/>
      <c r="D454" s="85"/>
      <c r="E454" s="86"/>
      <c r="F454" s="16">
        <f>IF(E454="","",DATEDIF(E454,$I$7,"Y"))</f>
      </c>
      <c r="G454" s="85"/>
      <c r="H454" s="85"/>
      <c r="I454" s="87"/>
      <c r="J454" s="85"/>
      <c r="K454" s="85"/>
      <c r="L454" s="10"/>
      <c r="M454" s="10"/>
      <c r="N454" s="10"/>
      <c r="O454" s="10"/>
      <c r="P454" s="85"/>
      <c r="Q454" s="88"/>
      <c r="R454" s="3">
        <f>IFERROR(VLOOKUP(TablaFebrero[[#This Row],[BARRIO]],SECTOR!$A:$B,2,0),"")</f>
      </c>
      <c r="S454" s="89"/>
      <c r="T454" s="90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6"/>
      <c r="AZ454" s="120">
        <f>COUNTIF(U454:AY454,"A")</f>
      </c>
      <c r="BA454" s="121">
        <f>COUNTIF(U454:AY454,"F")</f>
      </c>
      <c r="BB454" s="119">
        <f>COUNTIF(U454:AY454,"E")</f>
      </c>
    </row>
    <row r="455" spans="1:54" x14ac:dyDescent="0.2">
      <c r="A455" s="84"/>
      <c r="B455" s="85"/>
      <c r="C455" s="85"/>
      <c r="D455" s="85"/>
      <c r="E455" s="86"/>
      <c r="F455" s="16">
        <f>IF(E455="","",DATEDIF(E455,$I$7,"Y"))</f>
      </c>
      <c r="G455" s="85"/>
      <c r="H455" s="85"/>
      <c r="I455" s="87"/>
      <c r="J455" s="85"/>
      <c r="K455" s="85"/>
      <c r="L455" s="10"/>
      <c r="M455" s="10"/>
      <c r="N455" s="10"/>
      <c r="O455" s="10"/>
      <c r="P455" s="85"/>
      <c r="Q455" s="88"/>
      <c r="R455" s="3">
        <f>IFERROR(VLOOKUP(TablaFebrero[[#This Row],[BARRIO]],SECTOR!$A:$B,2,0),"")</f>
      </c>
      <c r="S455" s="89"/>
      <c r="T455" s="90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6"/>
      <c r="AZ455" s="120">
        <f>COUNTIF(U455:AY455,"A")</f>
      </c>
      <c r="BA455" s="121">
        <f>COUNTIF(U455:AY455,"F")</f>
      </c>
      <c r="BB455" s="119">
        <f>COUNTIF(U455:AY455,"E")</f>
      </c>
    </row>
    <row r="456" spans="1:54" x14ac:dyDescent="0.2">
      <c r="A456" s="84"/>
      <c r="B456" s="85"/>
      <c r="C456" s="85"/>
      <c r="D456" s="85"/>
      <c r="E456" s="86"/>
      <c r="F456" s="16">
        <f>IF(E456="","",DATEDIF(E456,$I$7,"Y"))</f>
      </c>
      <c r="G456" s="85"/>
      <c r="H456" s="85"/>
      <c r="I456" s="87"/>
      <c r="J456" s="85"/>
      <c r="K456" s="85"/>
      <c r="L456" s="10"/>
      <c r="M456" s="10"/>
      <c r="N456" s="10"/>
      <c r="O456" s="10"/>
      <c r="P456" s="85"/>
      <c r="Q456" s="88"/>
      <c r="R456" s="3">
        <f>IFERROR(VLOOKUP(TablaFebrero[[#This Row],[BARRIO]],SECTOR!$A:$B,2,0),"")</f>
      </c>
      <c r="S456" s="89"/>
      <c r="T456" s="90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6"/>
      <c r="AZ456" s="120">
        <f>COUNTIF(U456:AY456,"A")</f>
      </c>
      <c r="BA456" s="121">
        <f>COUNTIF(U456:AY456,"F")</f>
      </c>
      <c r="BB456" s="119">
        <f>COUNTIF(U456:AY456,"E")</f>
      </c>
    </row>
    <row r="457" spans="1:54" x14ac:dyDescent="0.2">
      <c r="A457" s="84"/>
      <c r="B457" s="85"/>
      <c r="C457" s="85"/>
      <c r="D457" s="85"/>
      <c r="E457" s="86"/>
      <c r="F457" s="16">
        <f>IF(E457="","",DATEDIF(E457,$I$7,"Y"))</f>
      </c>
      <c r="G457" s="85"/>
      <c r="H457" s="85"/>
      <c r="I457" s="87"/>
      <c r="J457" s="85"/>
      <c r="K457" s="85"/>
      <c r="L457" s="10"/>
      <c r="M457" s="10"/>
      <c r="N457" s="10"/>
      <c r="O457" s="10"/>
      <c r="P457" s="85"/>
      <c r="Q457" s="88"/>
      <c r="R457" s="3">
        <f>IFERROR(VLOOKUP(TablaFebrero[[#This Row],[BARRIO]],SECTOR!$A:$B,2,0),"")</f>
      </c>
      <c r="S457" s="89"/>
      <c r="T457" s="90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6"/>
      <c r="AZ457" s="120">
        <f>COUNTIF(U457:AY457,"A")</f>
      </c>
      <c r="BA457" s="121">
        <f>COUNTIF(U457:AY457,"F")</f>
      </c>
      <c r="BB457" s="119">
        <f>COUNTIF(U457:AY457,"E")</f>
      </c>
    </row>
    <row r="458" spans="1:54" x14ac:dyDescent="0.2">
      <c r="A458" s="84"/>
      <c r="B458" s="85"/>
      <c r="C458" s="85"/>
      <c r="D458" s="85"/>
      <c r="E458" s="86"/>
      <c r="F458" s="16">
        <f>IF(E458="","",DATEDIF(E458,$I$7,"Y"))</f>
      </c>
      <c r="G458" s="85"/>
      <c r="H458" s="85"/>
      <c r="I458" s="87"/>
      <c r="J458" s="85"/>
      <c r="K458" s="85"/>
      <c r="L458" s="10"/>
      <c r="M458" s="10"/>
      <c r="N458" s="10"/>
      <c r="O458" s="10"/>
      <c r="P458" s="85"/>
      <c r="Q458" s="88"/>
      <c r="R458" s="3">
        <f>IFERROR(VLOOKUP(TablaFebrero[[#This Row],[BARRIO]],SECTOR!$A:$B,2,0),"")</f>
      </c>
      <c r="S458" s="89"/>
      <c r="T458" s="90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6"/>
      <c r="AZ458" s="120">
        <f>COUNTIF(U458:AY458,"A")</f>
      </c>
      <c r="BA458" s="121">
        <f>COUNTIF(U458:AY458,"F")</f>
      </c>
      <c r="BB458" s="119">
        <f>COUNTIF(U458:AY458,"E")</f>
      </c>
    </row>
    <row r="459" spans="1:54" x14ac:dyDescent="0.2">
      <c r="A459" s="84"/>
      <c r="B459" s="85"/>
      <c r="C459" s="85"/>
      <c r="D459" s="85"/>
      <c r="E459" s="86"/>
      <c r="F459" s="16">
        <f>IF(E459="","",DATEDIF(E459,$I$7,"Y"))</f>
      </c>
      <c r="G459" s="85"/>
      <c r="H459" s="85"/>
      <c r="I459" s="87"/>
      <c r="J459" s="85"/>
      <c r="K459" s="85"/>
      <c r="L459" s="10"/>
      <c r="M459" s="10"/>
      <c r="N459" s="10"/>
      <c r="O459" s="10"/>
      <c r="P459" s="85"/>
      <c r="Q459" s="88"/>
      <c r="R459" s="3">
        <f>IFERROR(VLOOKUP(TablaFebrero[[#This Row],[BARRIO]],SECTOR!$A:$B,2,0),"")</f>
      </c>
      <c r="S459" s="89"/>
      <c r="T459" s="90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6"/>
      <c r="AZ459" s="120">
        <f>COUNTIF(U459:AY459,"A")</f>
      </c>
      <c r="BA459" s="121">
        <f>COUNTIF(U459:AY459,"F")</f>
      </c>
      <c r="BB459" s="119">
        <f>COUNTIF(U459:AY459,"E")</f>
      </c>
    </row>
    <row r="460" spans="1:54" x14ac:dyDescent="0.2">
      <c r="A460" s="84"/>
      <c r="B460" s="85"/>
      <c r="C460" s="85"/>
      <c r="D460" s="85"/>
      <c r="E460" s="86"/>
      <c r="F460" s="16">
        <f>IF(E460="","",DATEDIF(E460,$I$7,"Y"))</f>
      </c>
      <c r="G460" s="85"/>
      <c r="H460" s="85"/>
      <c r="I460" s="87"/>
      <c r="J460" s="85"/>
      <c r="K460" s="85"/>
      <c r="L460" s="10"/>
      <c r="M460" s="10"/>
      <c r="N460" s="10"/>
      <c r="O460" s="10"/>
      <c r="P460" s="85"/>
      <c r="Q460" s="88"/>
      <c r="R460" s="3">
        <f>IFERROR(VLOOKUP(TablaFebrero[[#This Row],[BARRIO]],SECTOR!$A:$B,2,0),"")</f>
      </c>
      <c r="S460" s="89"/>
      <c r="T460" s="90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6"/>
      <c r="AZ460" s="120">
        <f>COUNTIF(U460:AY460,"A")</f>
      </c>
      <c r="BA460" s="121">
        <f>COUNTIF(U460:AY460,"F")</f>
      </c>
      <c r="BB460" s="119">
        <f>COUNTIF(U460:AY460,"E")</f>
      </c>
    </row>
    <row r="461" spans="1:54" x14ac:dyDescent="0.2">
      <c r="A461" s="84"/>
      <c r="B461" s="85"/>
      <c r="C461" s="85"/>
      <c r="D461" s="85"/>
      <c r="E461" s="86"/>
      <c r="F461" s="16">
        <f>IF(E461="","",DATEDIF(E461,$I$7,"Y"))</f>
      </c>
      <c r="G461" s="85"/>
      <c r="H461" s="85"/>
      <c r="I461" s="87"/>
      <c r="J461" s="85"/>
      <c r="K461" s="85"/>
      <c r="L461" s="10"/>
      <c r="M461" s="10"/>
      <c r="N461" s="10"/>
      <c r="O461" s="10"/>
      <c r="P461" s="85"/>
      <c r="Q461" s="88"/>
      <c r="R461" s="3">
        <f>IFERROR(VLOOKUP(TablaFebrero[[#This Row],[BARRIO]],SECTOR!$A:$B,2,0),"")</f>
      </c>
      <c r="S461" s="89"/>
      <c r="T461" s="90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6"/>
      <c r="AZ461" s="120">
        <f>COUNTIF(U461:AY461,"A")</f>
      </c>
      <c r="BA461" s="121">
        <f>COUNTIF(U461:AY461,"F")</f>
      </c>
      <c r="BB461" s="119">
        <f>COUNTIF(U461:AY461,"E")</f>
      </c>
    </row>
    <row r="462" spans="1:54" x14ac:dyDescent="0.2">
      <c r="A462" s="84"/>
      <c r="B462" s="85"/>
      <c r="C462" s="85"/>
      <c r="D462" s="85"/>
      <c r="E462" s="86"/>
      <c r="F462" s="16">
        <f>IF(E462="","",DATEDIF(E462,$I$7,"Y"))</f>
      </c>
      <c r="G462" s="85"/>
      <c r="H462" s="85"/>
      <c r="I462" s="87"/>
      <c r="J462" s="85"/>
      <c r="K462" s="85"/>
      <c r="L462" s="10"/>
      <c r="M462" s="10"/>
      <c r="N462" s="10"/>
      <c r="O462" s="10"/>
      <c r="P462" s="85"/>
      <c r="Q462" s="88"/>
      <c r="R462" s="3">
        <f>IFERROR(VLOOKUP(TablaFebrero[[#This Row],[BARRIO]],SECTOR!$A:$B,2,0),"")</f>
      </c>
      <c r="S462" s="89"/>
      <c r="T462" s="90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6"/>
      <c r="AZ462" s="120">
        <f>COUNTIF(U462:AY462,"A")</f>
      </c>
      <c r="BA462" s="121">
        <f>COUNTIF(U462:AY462,"F")</f>
      </c>
      <c r="BB462" s="119">
        <f>COUNTIF(U462:AY462,"E")</f>
      </c>
    </row>
    <row r="463" spans="1:54" x14ac:dyDescent="0.2">
      <c r="A463" s="84"/>
      <c r="B463" s="85"/>
      <c r="C463" s="85"/>
      <c r="D463" s="85"/>
      <c r="E463" s="86"/>
      <c r="F463" s="16">
        <f>IF(E463="","",DATEDIF(E463,$I$7,"Y"))</f>
      </c>
      <c r="G463" s="85"/>
      <c r="H463" s="85"/>
      <c r="I463" s="87"/>
      <c r="J463" s="85"/>
      <c r="K463" s="85"/>
      <c r="L463" s="10"/>
      <c r="M463" s="10"/>
      <c r="N463" s="10"/>
      <c r="O463" s="10"/>
      <c r="P463" s="85"/>
      <c r="Q463" s="88"/>
      <c r="R463" s="3">
        <f>IFERROR(VLOOKUP(TablaFebrero[[#This Row],[BARRIO]],SECTOR!$A:$B,2,0),"")</f>
      </c>
      <c r="S463" s="89"/>
      <c r="T463" s="90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6"/>
      <c r="AZ463" s="120">
        <f>COUNTIF(U463:AY463,"A")</f>
      </c>
      <c r="BA463" s="121">
        <f>COUNTIF(U463:AY463,"F")</f>
      </c>
      <c r="BB463" s="119">
        <f>COUNTIF(U463:AY463,"E")</f>
      </c>
    </row>
    <row r="464" spans="1:54" x14ac:dyDescent="0.2">
      <c r="A464" s="84"/>
      <c r="B464" s="85"/>
      <c r="C464" s="85"/>
      <c r="D464" s="85"/>
      <c r="E464" s="86"/>
      <c r="F464" s="16">
        <f>IF(E464="","",DATEDIF(E464,$I$7,"Y"))</f>
      </c>
      <c r="G464" s="85"/>
      <c r="H464" s="85"/>
      <c r="I464" s="87"/>
      <c r="J464" s="85"/>
      <c r="K464" s="85"/>
      <c r="L464" s="10"/>
      <c r="M464" s="10"/>
      <c r="N464" s="10"/>
      <c r="O464" s="10"/>
      <c r="P464" s="85"/>
      <c r="Q464" s="88"/>
      <c r="R464" s="3">
        <f>IFERROR(VLOOKUP(TablaFebrero[[#This Row],[BARRIO]],SECTOR!$A:$B,2,0),"")</f>
      </c>
      <c r="S464" s="89"/>
      <c r="T464" s="90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6"/>
      <c r="AZ464" s="120">
        <f>COUNTIF(U464:AY464,"A")</f>
      </c>
      <c r="BA464" s="121">
        <f>COUNTIF(U464:AY464,"F")</f>
      </c>
      <c r="BB464" s="119">
        <f>COUNTIF(U464:AY464,"E")</f>
      </c>
    </row>
    <row r="465" spans="1:54" x14ac:dyDescent="0.2">
      <c r="A465" s="84"/>
      <c r="B465" s="85"/>
      <c r="C465" s="85"/>
      <c r="D465" s="85"/>
      <c r="E465" s="86"/>
      <c r="F465" s="16">
        <f>IF(E465="","",DATEDIF(E465,$I$7,"Y"))</f>
      </c>
      <c r="G465" s="85"/>
      <c r="H465" s="85"/>
      <c r="I465" s="87"/>
      <c r="J465" s="85"/>
      <c r="K465" s="85"/>
      <c r="L465" s="10"/>
      <c r="M465" s="10"/>
      <c r="N465" s="10"/>
      <c r="O465" s="10"/>
      <c r="P465" s="85"/>
      <c r="Q465" s="88"/>
      <c r="R465" s="3">
        <f>IFERROR(VLOOKUP(TablaFebrero[[#This Row],[BARRIO]],SECTOR!$A:$B,2,0),"")</f>
      </c>
      <c r="S465" s="89"/>
      <c r="T465" s="90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6"/>
      <c r="AZ465" s="120">
        <f>COUNTIF(U465:AY465,"A")</f>
      </c>
      <c r="BA465" s="121">
        <f>COUNTIF(U465:AY465,"F")</f>
      </c>
      <c r="BB465" s="119">
        <f>COUNTIF(U465:AY465,"E")</f>
      </c>
    </row>
    <row r="466" spans="1:54" x14ac:dyDescent="0.2">
      <c r="A466" s="84"/>
      <c r="B466" s="85"/>
      <c r="C466" s="85"/>
      <c r="D466" s="85"/>
      <c r="E466" s="86"/>
      <c r="F466" s="16">
        <f>IF(E466="","",DATEDIF(E466,$I$7,"Y"))</f>
      </c>
      <c r="G466" s="85"/>
      <c r="H466" s="85"/>
      <c r="I466" s="87"/>
      <c r="J466" s="85"/>
      <c r="K466" s="85"/>
      <c r="L466" s="10"/>
      <c r="M466" s="10"/>
      <c r="N466" s="10"/>
      <c r="O466" s="10"/>
      <c r="P466" s="85"/>
      <c r="Q466" s="88"/>
      <c r="R466" s="3">
        <f>IFERROR(VLOOKUP(TablaFebrero[[#This Row],[BARRIO]],SECTOR!$A:$B,2,0),"")</f>
      </c>
      <c r="S466" s="89"/>
      <c r="T466" s="90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6"/>
      <c r="AZ466" s="120">
        <f>COUNTIF(U466:AY466,"A")</f>
      </c>
      <c r="BA466" s="121">
        <f>COUNTIF(U466:AY466,"F")</f>
      </c>
      <c r="BB466" s="119">
        <f>COUNTIF(U466:AY466,"E")</f>
      </c>
    </row>
    <row r="467" spans="1:54" x14ac:dyDescent="0.2">
      <c r="A467" s="84"/>
      <c r="B467" s="85"/>
      <c r="C467" s="85"/>
      <c r="D467" s="85"/>
      <c r="E467" s="86"/>
      <c r="F467" s="16">
        <f>IF(E467="","",DATEDIF(E467,$I$7,"Y"))</f>
      </c>
      <c r="G467" s="85"/>
      <c r="H467" s="85"/>
      <c r="I467" s="87"/>
      <c r="J467" s="85"/>
      <c r="K467" s="85"/>
      <c r="L467" s="10"/>
      <c r="M467" s="10"/>
      <c r="N467" s="10"/>
      <c r="O467" s="10"/>
      <c r="P467" s="85"/>
      <c r="Q467" s="88"/>
      <c r="R467" s="3">
        <f>IFERROR(VLOOKUP(TablaFebrero[[#This Row],[BARRIO]],SECTOR!$A:$B,2,0),"")</f>
      </c>
      <c r="S467" s="89"/>
      <c r="T467" s="90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6"/>
      <c r="AZ467" s="120">
        <f>COUNTIF(U467:AY467,"A")</f>
      </c>
      <c r="BA467" s="121">
        <f>COUNTIF(U467:AY467,"F")</f>
      </c>
      <c r="BB467" s="119">
        <f>COUNTIF(U467:AY467,"E")</f>
      </c>
    </row>
    <row r="468" spans="1:54" x14ac:dyDescent="0.2">
      <c r="A468" s="84"/>
      <c r="B468" s="85"/>
      <c r="C468" s="85"/>
      <c r="D468" s="85"/>
      <c r="E468" s="86"/>
      <c r="F468" s="16">
        <f>IF(E468="","",DATEDIF(E468,$I$7,"Y"))</f>
      </c>
      <c r="G468" s="85"/>
      <c r="H468" s="85"/>
      <c r="I468" s="87"/>
      <c r="J468" s="85"/>
      <c r="K468" s="85"/>
      <c r="L468" s="10"/>
      <c r="M468" s="10"/>
      <c r="N468" s="10"/>
      <c r="O468" s="10"/>
      <c r="P468" s="85"/>
      <c r="Q468" s="88"/>
      <c r="R468" s="3">
        <f>IFERROR(VLOOKUP(TablaFebrero[[#This Row],[BARRIO]],SECTOR!$A:$B,2,0),"")</f>
      </c>
      <c r="S468" s="89"/>
      <c r="T468" s="90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6"/>
      <c r="AZ468" s="120">
        <f>COUNTIF(U468:AY468,"A")</f>
      </c>
      <c r="BA468" s="121">
        <f>COUNTIF(U468:AY468,"F")</f>
      </c>
      <c r="BB468" s="119">
        <f>COUNTIF(U468:AY468,"E")</f>
      </c>
    </row>
    <row r="469" spans="1:54" x14ac:dyDescent="0.2">
      <c r="A469" s="84"/>
      <c r="B469" s="85"/>
      <c r="C469" s="85"/>
      <c r="D469" s="85"/>
      <c r="E469" s="86"/>
      <c r="F469" s="16">
        <f>IF(E469="","",DATEDIF(E469,$I$7,"Y"))</f>
      </c>
      <c r="G469" s="85"/>
      <c r="H469" s="85"/>
      <c r="I469" s="87"/>
      <c r="J469" s="85"/>
      <c r="K469" s="85"/>
      <c r="L469" s="10"/>
      <c r="M469" s="10"/>
      <c r="N469" s="10"/>
      <c r="O469" s="10"/>
      <c r="P469" s="85"/>
      <c r="Q469" s="88"/>
      <c r="R469" s="3">
        <f>IFERROR(VLOOKUP(TablaFebrero[[#This Row],[BARRIO]],SECTOR!$A:$B,2,0),"")</f>
      </c>
      <c r="S469" s="89"/>
      <c r="T469" s="90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6"/>
      <c r="AZ469" s="120">
        <f>COUNTIF(U469:AY469,"A")</f>
      </c>
      <c r="BA469" s="121">
        <f>COUNTIF(U469:AY469,"F")</f>
      </c>
      <c r="BB469" s="119">
        <f>COUNTIF(U469:AY469,"E")</f>
      </c>
    </row>
    <row r="470" spans="1:54" x14ac:dyDescent="0.2">
      <c r="A470" s="84"/>
      <c r="B470" s="85"/>
      <c r="C470" s="85"/>
      <c r="D470" s="85"/>
      <c r="E470" s="86"/>
      <c r="F470" s="16">
        <f>IF(E470="","",DATEDIF(E470,$I$7,"Y"))</f>
      </c>
      <c r="G470" s="85"/>
      <c r="H470" s="85"/>
      <c r="I470" s="87"/>
      <c r="J470" s="85"/>
      <c r="K470" s="85"/>
      <c r="L470" s="10"/>
      <c r="M470" s="10"/>
      <c r="N470" s="10"/>
      <c r="O470" s="10"/>
      <c r="P470" s="85"/>
      <c r="Q470" s="88"/>
      <c r="R470" s="3">
        <f>IFERROR(VLOOKUP(TablaFebrero[[#This Row],[BARRIO]],SECTOR!$A:$B,2,0),"")</f>
      </c>
      <c r="S470" s="89"/>
      <c r="T470" s="90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6"/>
      <c r="AZ470" s="120">
        <f>COUNTIF(U470:AY470,"A")</f>
      </c>
      <c r="BA470" s="121">
        <f>COUNTIF(U470:AY470,"F")</f>
      </c>
      <c r="BB470" s="119">
        <f>COUNTIF(U470:AY470,"E")</f>
      </c>
    </row>
    <row r="471" spans="1:54" x14ac:dyDescent="0.2">
      <c r="A471" s="84"/>
      <c r="B471" s="85"/>
      <c r="C471" s="85"/>
      <c r="D471" s="85"/>
      <c r="E471" s="86"/>
      <c r="F471" s="16">
        <f>IF(E471="","",DATEDIF(E471,$I$7,"Y"))</f>
      </c>
      <c r="G471" s="85"/>
      <c r="H471" s="85"/>
      <c r="I471" s="87"/>
      <c r="J471" s="85"/>
      <c r="K471" s="85"/>
      <c r="L471" s="10"/>
      <c r="M471" s="10"/>
      <c r="N471" s="10"/>
      <c r="O471" s="10"/>
      <c r="P471" s="85"/>
      <c r="Q471" s="88"/>
      <c r="R471" s="3">
        <f>IFERROR(VLOOKUP(TablaFebrero[[#This Row],[BARRIO]],SECTOR!$A:$B,2,0),"")</f>
      </c>
      <c r="S471" s="89"/>
      <c r="T471" s="90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6"/>
      <c r="AZ471" s="120">
        <f>COUNTIF(U471:AY471,"A")</f>
      </c>
      <c r="BA471" s="121">
        <f>COUNTIF(U471:AY471,"F")</f>
      </c>
      <c r="BB471" s="119">
        <f>COUNTIF(U471:AY471,"E")</f>
      </c>
    </row>
    <row r="472" spans="1:54" x14ac:dyDescent="0.2">
      <c r="A472" s="84"/>
      <c r="B472" s="85"/>
      <c r="C472" s="85"/>
      <c r="D472" s="85"/>
      <c r="E472" s="86"/>
      <c r="F472" s="16">
        <f>IF(E472="","",DATEDIF(E472,$I$7,"Y"))</f>
      </c>
      <c r="G472" s="85"/>
      <c r="H472" s="85"/>
      <c r="I472" s="87"/>
      <c r="J472" s="85"/>
      <c r="K472" s="85"/>
      <c r="L472" s="10"/>
      <c r="M472" s="10"/>
      <c r="N472" s="10"/>
      <c r="O472" s="10"/>
      <c r="P472" s="85"/>
      <c r="Q472" s="88"/>
      <c r="R472" s="3">
        <f>IFERROR(VLOOKUP(TablaFebrero[[#This Row],[BARRIO]],SECTOR!$A:$B,2,0),"")</f>
      </c>
      <c r="S472" s="89"/>
      <c r="T472" s="90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6"/>
      <c r="AZ472" s="120">
        <f>COUNTIF(U472:AY472,"A")</f>
      </c>
      <c r="BA472" s="121">
        <f>COUNTIF(U472:AY472,"F")</f>
      </c>
      <c r="BB472" s="119">
        <f>COUNTIF(U472:AY472,"E")</f>
      </c>
    </row>
    <row r="473" spans="1:54" x14ac:dyDescent="0.2">
      <c r="A473" s="84"/>
      <c r="B473" s="85"/>
      <c r="C473" s="85"/>
      <c r="D473" s="85"/>
      <c r="E473" s="86"/>
      <c r="F473" s="16">
        <f>IF(E473="","",DATEDIF(E473,$I$7,"Y"))</f>
      </c>
      <c r="G473" s="85"/>
      <c r="H473" s="85"/>
      <c r="I473" s="87"/>
      <c r="J473" s="85"/>
      <c r="K473" s="85"/>
      <c r="L473" s="10"/>
      <c r="M473" s="10"/>
      <c r="N473" s="10"/>
      <c r="O473" s="10"/>
      <c r="P473" s="85"/>
      <c r="Q473" s="88"/>
      <c r="R473" s="3">
        <f>IFERROR(VLOOKUP(TablaFebrero[[#This Row],[BARRIO]],SECTOR!$A:$B,2,0),"")</f>
      </c>
      <c r="S473" s="89"/>
      <c r="T473" s="90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6"/>
      <c r="AZ473" s="120">
        <f>COUNTIF(U473:AY473,"A")</f>
      </c>
      <c r="BA473" s="121">
        <f>COUNTIF(U473:AY473,"F")</f>
      </c>
      <c r="BB473" s="119">
        <f>COUNTIF(U473:AY473,"E")</f>
      </c>
    </row>
    <row r="474" spans="1:54" x14ac:dyDescent="0.2">
      <c r="A474" s="84"/>
      <c r="B474" s="85"/>
      <c r="C474" s="85"/>
      <c r="D474" s="85"/>
      <c r="E474" s="86"/>
      <c r="F474" s="16">
        <f>IF(E474="","",DATEDIF(E474,$I$7,"Y"))</f>
      </c>
      <c r="G474" s="85"/>
      <c r="H474" s="85"/>
      <c r="I474" s="87"/>
      <c r="J474" s="85"/>
      <c r="K474" s="85"/>
      <c r="L474" s="10"/>
      <c r="M474" s="10"/>
      <c r="N474" s="10"/>
      <c r="O474" s="10"/>
      <c r="P474" s="85"/>
      <c r="Q474" s="88"/>
      <c r="R474" s="3">
        <f>IFERROR(VLOOKUP(TablaFebrero[[#This Row],[BARRIO]],SECTOR!$A:$B,2,0),"")</f>
      </c>
      <c r="S474" s="89"/>
      <c r="T474" s="90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6"/>
      <c r="AZ474" s="120">
        <f>COUNTIF(U474:AY474,"A")</f>
      </c>
      <c r="BA474" s="121">
        <f>COUNTIF(U474:AY474,"F")</f>
      </c>
      <c r="BB474" s="119">
        <f>COUNTIF(U474:AY474,"E")</f>
      </c>
    </row>
    <row r="475" spans="1:54" x14ac:dyDescent="0.2">
      <c r="A475" s="84"/>
      <c r="B475" s="85"/>
      <c r="C475" s="85"/>
      <c r="D475" s="85"/>
      <c r="E475" s="86"/>
      <c r="F475" s="16">
        <f>IF(E475="","",DATEDIF(E475,$I$7,"Y"))</f>
      </c>
      <c r="G475" s="85"/>
      <c r="H475" s="85"/>
      <c r="I475" s="87"/>
      <c r="J475" s="85"/>
      <c r="K475" s="85"/>
      <c r="L475" s="10"/>
      <c r="M475" s="10"/>
      <c r="N475" s="10"/>
      <c r="O475" s="10"/>
      <c r="P475" s="85"/>
      <c r="Q475" s="88"/>
      <c r="R475" s="3">
        <f>IFERROR(VLOOKUP(TablaFebrero[[#This Row],[BARRIO]],SECTOR!$A:$B,2,0),"")</f>
      </c>
      <c r="S475" s="89"/>
      <c r="T475" s="90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6"/>
      <c r="AZ475" s="120">
        <f>COUNTIF(U475:AY475,"A")</f>
      </c>
      <c r="BA475" s="121">
        <f>COUNTIF(U475:AY475,"F")</f>
      </c>
      <c r="BB475" s="119">
        <f>COUNTIF(U475:AY475,"E")</f>
      </c>
    </row>
    <row r="476" spans="1:54" x14ac:dyDescent="0.2">
      <c r="A476" s="84"/>
      <c r="B476" s="85"/>
      <c r="C476" s="85"/>
      <c r="D476" s="85"/>
      <c r="E476" s="86"/>
      <c r="F476" s="16">
        <f>IF(E476="","",DATEDIF(E476,$I$7,"Y"))</f>
      </c>
      <c r="G476" s="85"/>
      <c r="H476" s="85"/>
      <c r="I476" s="87"/>
      <c r="J476" s="85"/>
      <c r="K476" s="85"/>
      <c r="L476" s="10"/>
      <c r="M476" s="10"/>
      <c r="N476" s="10"/>
      <c r="O476" s="10"/>
      <c r="P476" s="85"/>
      <c r="Q476" s="88"/>
      <c r="R476" s="3">
        <f>IFERROR(VLOOKUP(TablaFebrero[[#This Row],[BARRIO]],SECTOR!$A:$B,2,0),"")</f>
      </c>
      <c r="S476" s="89"/>
      <c r="T476" s="90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6"/>
      <c r="AZ476" s="120">
        <f>COUNTIF(U476:AY476,"A")</f>
      </c>
      <c r="BA476" s="121">
        <f>COUNTIF(U476:AY476,"F")</f>
      </c>
      <c r="BB476" s="119">
        <f>COUNTIF(U476:AY476,"E")</f>
      </c>
    </row>
    <row r="477" spans="1:54" x14ac:dyDescent="0.2">
      <c r="A477" s="84"/>
      <c r="B477" s="85"/>
      <c r="C477" s="85"/>
      <c r="D477" s="85"/>
      <c r="E477" s="86"/>
      <c r="F477" s="16">
        <f>IF(E477="","",DATEDIF(E477,$I$7,"Y"))</f>
      </c>
      <c r="G477" s="85"/>
      <c r="H477" s="85"/>
      <c r="I477" s="87"/>
      <c r="J477" s="85"/>
      <c r="K477" s="85"/>
      <c r="L477" s="10"/>
      <c r="M477" s="10"/>
      <c r="N477" s="10"/>
      <c r="O477" s="10"/>
      <c r="P477" s="85"/>
      <c r="Q477" s="88"/>
      <c r="R477" s="3">
        <f>IFERROR(VLOOKUP(TablaFebrero[[#This Row],[BARRIO]],SECTOR!$A:$B,2,0),"")</f>
      </c>
      <c r="S477" s="89"/>
      <c r="T477" s="90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6"/>
      <c r="AZ477" s="120">
        <f>COUNTIF(U477:AY477,"A")</f>
      </c>
      <c r="BA477" s="121">
        <f>COUNTIF(U477:AY477,"F")</f>
      </c>
      <c r="BB477" s="119">
        <f>COUNTIF(U477:AY477,"E")</f>
      </c>
    </row>
    <row r="478" spans="1:54" x14ac:dyDescent="0.2">
      <c r="A478" s="84"/>
      <c r="B478" s="85"/>
      <c r="C478" s="85"/>
      <c r="D478" s="85"/>
      <c r="E478" s="86"/>
      <c r="F478" s="16">
        <f>IF(E478="","",DATEDIF(E478,$I$7,"Y"))</f>
      </c>
      <c r="G478" s="85"/>
      <c r="H478" s="85"/>
      <c r="I478" s="87"/>
      <c r="J478" s="85"/>
      <c r="K478" s="85"/>
      <c r="L478" s="10"/>
      <c r="M478" s="10"/>
      <c r="N478" s="10"/>
      <c r="O478" s="10"/>
      <c r="P478" s="85"/>
      <c r="Q478" s="88"/>
      <c r="R478" s="3">
        <f>IFERROR(VLOOKUP(TablaFebrero[[#This Row],[BARRIO]],SECTOR!$A:$B,2,0),"")</f>
      </c>
      <c r="S478" s="89"/>
      <c r="T478" s="90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6"/>
      <c r="AZ478" s="120">
        <f>COUNTIF(U478:AY478,"A")</f>
      </c>
      <c r="BA478" s="121">
        <f>COUNTIF(U478:AY478,"F")</f>
      </c>
      <c r="BB478" s="119">
        <f>COUNTIF(U478:AY478,"E")</f>
      </c>
    </row>
    <row r="479" spans="1:54" x14ac:dyDescent="0.2">
      <c r="A479" s="84"/>
      <c r="B479" s="85"/>
      <c r="C479" s="85"/>
      <c r="D479" s="85"/>
      <c r="E479" s="86"/>
      <c r="F479" s="16">
        <f>IF(E479="","",DATEDIF(E479,$I$7,"Y"))</f>
      </c>
      <c r="G479" s="85"/>
      <c r="H479" s="85"/>
      <c r="I479" s="87"/>
      <c r="J479" s="85"/>
      <c r="K479" s="85"/>
      <c r="L479" s="10"/>
      <c r="M479" s="10"/>
      <c r="N479" s="10"/>
      <c r="O479" s="10"/>
      <c r="P479" s="85"/>
      <c r="Q479" s="88"/>
      <c r="R479" s="3">
        <f>IFERROR(VLOOKUP(TablaFebrero[[#This Row],[BARRIO]],SECTOR!$A:$B,2,0),"")</f>
      </c>
      <c r="S479" s="89"/>
      <c r="T479" s="90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6"/>
      <c r="AZ479" s="120">
        <f>COUNTIF(U479:AY479,"A")</f>
      </c>
      <c r="BA479" s="121">
        <f>COUNTIF(U479:AY479,"F")</f>
      </c>
      <c r="BB479" s="119">
        <f>COUNTIF(U479:AY479,"E")</f>
      </c>
    </row>
    <row r="480" spans="1:54" x14ac:dyDescent="0.2">
      <c r="A480" s="84"/>
      <c r="B480" s="85"/>
      <c r="C480" s="85"/>
      <c r="D480" s="85"/>
      <c r="E480" s="86"/>
      <c r="F480" s="16">
        <f>IF(E480="","",DATEDIF(E480,$I$7,"Y"))</f>
      </c>
      <c r="G480" s="85"/>
      <c r="H480" s="85"/>
      <c r="I480" s="87"/>
      <c r="J480" s="85"/>
      <c r="K480" s="85"/>
      <c r="L480" s="10"/>
      <c r="M480" s="10"/>
      <c r="N480" s="10"/>
      <c r="O480" s="10"/>
      <c r="P480" s="85"/>
      <c r="Q480" s="88"/>
      <c r="R480" s="3">
        <f>IFERROR(VLOOKUP(TablaFebrero[[#This Row],[BARRIO]],SECTOR!$A:$B,2,0),"")</f>
      </c>
      <c r="S480" s="89"/>
      <c r="T480" s="90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6"/>
      <c r="AZ480" s="120">
        <f>COUNTIF(U480:AY480,"A")</f>
      </c>
      <c r="BA480" s="121">
        <f>COUNTIF(U480:AY480,"F")</f>
      </c>
      <c r="BB480" s="119">
        <f>COUNTIF(U480:AY480,"E")</f>
      </c>
    </row>
    <row r="481" spans="1:54" x14ac:dyDescent="0.2">
      <c r="A481" s="84"/>
      <c r="B481" s="85"/>
      <c r="C481" s="85"/>
      <c r="D481" s="85"/>
      <c r="E481" s="86"/>
      <c r="F481" s="16">
        <f>IF(E481="","",DATEDIF(E481,$I$7,"Y"))</f>
      </c>
      <c r="G481" s="85"/>
      <c r="H481" s="85"/>
      <c r="I481" s="87"/>
      <c r="J481" s="85"/>
      <c r="K481" s="85"/>
      <c r="L481" s="10"/>
      <c r="M481" s="10"/>
      <c r="N481" s="10"/>
      <c r="O481" s="10"/>
      <c r="P481" s="85"/>
      <c r="Q481" s="88"/>
      <c r="R481" s="3">
        <f>IFERROR(VLOOKUP(TablaFebrero[[#This Row],[BARRIO]],SECTOR!$A:$B,2,0),"")</f>
      </c>
      <c r="S481" s="89"/>
      <c r="T481" s="90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6"/>
      <c r="AZ481" s="120">
        <f>COUNTIF(U481:AY481,"A")</f>
      </c>
      <c r="BA481" s="121">
        <f>COUNTIF(U481:AY481,"F")</f>
      </c>
      <c r="BB481" s="119">
        <f>COUNTIF(U481:AY481,"E")</f>
      </c>
    </row>
    <row r="482" spans="1:54" x14ac:dyDescent="0.2">
      <c r="A482" s="84"/>
      <c r="B482" s="85"/>
      <c r="C482" s="85"/>
      <c r="D482" s="85"/>
      <c r="E482" s="86"/>
      <c r="F482" s="16">
        <f>IF(E482="","",DATEDIF(E482,$I$7,"Y"))</f>
      </c>
      <c r="G482" s="85"/>
      <c r="H482" s="85"/>
      <c r="I482" s="87"/>
      <c r="J482" s="85"/>
      <c r="K482" s="85"/>
      <c r="L482" s="10"/>
      <c r="M482" s="10"/>
      <c r="N482" s="10"/>
      <c r="O482" s="10"/>
      <c r="P482" s="85"/>
      <c r="Q482" s="88"/>
      <c r="R482" s="3">
        <f>IFERROR(VLOOKUP(TablaFebrero[[#This Row],[BARRIO]],SECTOR!$A:$B,2,0),"")</f>
      </c>
      <c r="S482" s="89"/>
      <c r="T482" s="90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6"/>
      <c r="AZ482" s="120">
        <f>COUNTIF(U482:AY482,"A")</f>
      </c>
      <c r="BA482" s="121">
        <f>COUNTIF(U482:AY482,"F")</f>
      </c>
      <c r="BB482" s="119">
        <f>COUNTIF(U482:AY482,"E")</f>
      </c>
    </row>
    <row r="483" spans="1:54" x14ac:dyDescent="0.2">
      <c r="A483" s="84"/>
      <c r="B483" s="85"/>
      <c r="C483" s="85"/>
      <c r="D483" s="85"/>
      <c r="E483" s="86"/>
      <c r="F483" s="16">
        <f>IF(E483="","",DATEDIF(E483,$I$7,"Y"))</f>
      </c>
      <c r="G483" s="85"/>
      <c r="H483" s="85"/>
      <c r="I483" s="87"/>
      <c r="J483" s="85"/>
      <c r="K483" s="85"/>
      <c r="L483" s="10"/>
      <c r="M483" s="10"/>
      <c r="N483" s="10"/>
      <c r="O483" s="10"/>
      <c r="P483" s="85"/>
      <c r="Q483" s="88"/>
      <c r="R483" s="3">
        <f>IFERROR(VLOOKUP(TablaFebrero[[#This Row],[BARRIO]],SECTOR!$A:$B,2,0),"")</f>
      </c>
      <c r="S483" s="89"/>
      <c r="T483" s="90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6"/>
      <c r="AZ483" s="120">
        <f>COUNTIF(U483:AY483,"A")</f>
      </c>
      <c r="BA483" s="121">
        <f>COUNTIF(U483:AY483,"F")</f>
      </c>
      <c r="BB483" s="119">
        <f>COUNTIF(U483:AY483,"E")</f>
      </c>
    </row>
    <row r="484" spans="1:54" x14ac:dyDescent="0.2">
      <c r="A484" s="84"/>
      <c r="B484" s="85"/>
      <c r="C484" s="85"/>
      <c r="D484" s="85"/>
      <c r="E484" s="86"/>
      <c r="F484" s="16">
        <f>IF(E484="","",DATEDIF(E484,$I$7,"Y"))</f>
      </c>
      <c r="G484" s="85"/>
      <c r="H484" s="85"/>
      <c r="I484" s="87"/>
      <c r="J484" s="85"/>
      <c r="K484" s="85"/>
      <c r="L484" s="10"/>
      <c r="M484" s="10"/>
      <c r="N484" s="10"/>
      <c r="O484" s="10"/>
      <c r="P484" s="85"/>
      <c r="Q484" s="88"/>
      <c r="R484" s="3">
        <f>IFERROR(VLOOKUP(TablaFebrero[[#This Row],[BARRIO]],SECTOR!$A:$B,2,0),"")</f>
      </c>
      <c r="S484" s="89"/>
      <c r="T484" s="90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6"/>
      <c r="AZ484" s="120">
        <f>COUNTIF(U484:AY484,"A")</f>
      </c>
      <c r="BA484" s="121">
        <f>COUNTIF(U484:AY484,"F")</f>
      </c>
      <c r="BB484" s="119">
        <f>COUNTIF(U484:AY484,"E")</f>
      </c>
    </row>
    <row r="485" spans="1:54" x14ac:dyDescent="0.2">
      <c r="A485" s="84"/>
      <c r="B485" s="85"/>
      <c r="C485" s="85"/>
      <c r="D485" s="85"/>
      <c r="E485" s="86"/>
      <c r="F485" s="16">
        <f>IF(E485="","",DATEDIF(E485,$I$7,"Y"))</f>
      </c>
      <c r="G485" s="85"/>
      <c r="H485" s="85"/>
      <c r="I485" s="87"/>
      <c r="J485" s="85"/>
      <c r="K485" s="85"/>
      <c r="L485" s="10"/>
      <c r="M485" s="10"/>
      <c r="N485" s="10"/>
      <c r="O485" s="10"/>
      <c r="P485" s="85"/>
      <c r="Q485" s="88"/>
      <c r="R485" s="3">
        <f>IFERROR(VLOOKUP(TablaFebrero[[#This Row],[BARRIO]],SECTOR!$A:$B,2,0),"")</f>
      </c>
      <c r="S485" s="89"/>
      <c r="T485" s="90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6"/>
      <c r="AZ485" s="120">
        <f>COUNTIF(U485:AY485,"A")</f>
      </c>
      <c r="BA485" s="121">
        <f>COUNTIF(U485:AY485,"F")</f>
      </c>
      <c r="BB485" s="119">
        <f>COUNTIF(U485:AY485,"E")</f>
      </c>
    </row>
    <row r="486" spans="1:54" x14ac:dyDescent="0.2">
      <c r="A486" s="84"/>
      <c r="B486" s="85"/>
      <c r="C486" s="85"/>
      <c r="D486" s="85"/>
      <c r="E486" s="86"/>
      <c r="F486" s="16">
        <f>IF(E486="","",DATEDIF(E486,$I$7,"Y"))</f>
      </c>
      <c r="G486" s="85"/>
      <c r="H486" s="85"/>
      <c r="I486" s="87"/>
      <c r="J486" s="85"/>
      <c r="K486" s="85"/>
      <c r="L486" s="10"/>
      <c r="M486" s="10"/>
      <c r="N486" s="10"/>
      <c r="O486" s="10"/>
      <c r="P486" s="85"/>
      <c r="Q486" s="88"/>
      <c r="R486" s="3">
        <f>IFERROR(VLOOKUP(TablaFebrero[[#This Row],[BARRIO]],SECTOR!$A:$B,2,0),"")</f>
      </c>
      <c r="S486" s="89"/>
      <c r="T486" s="90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6"/>
      <c r="AZ486" s="120">
        <f>COUNTIF(U486:AY486,"A")</f>
      </c>
      <c r="BA486" s="121">
        <f>COUNTIF(U486:AY486,"F")</f>
      </c>
      <c r="BB486" s="119">
        <f>COUNTIF(U486:AY486,"E")</f>
      </c>
    </row>
    <row r="487" spans="1:54" x14ac:dyDescent="0.2">
      <c r="A487" s="84"/>
      <c r="B487" s="85"/>
      <c r="C487" s="85"/>
      <c r="D487" s="85"/>
      <c r="E487" s="86"/>
      <c r="F487" s="16">
        <f>IF(E487="","",DATEDIF(E487,$I$7,"Y"))</f>
      </c>
      <c r="G487" s="85"/>
      <c r="H487" s="85"/>
      <c r="I487" s="87"/>
      <c r="J487" s="85"/>
      <c r="K487" s="85"/>
      <c r="L487" s="10"/>
      <c r="M487" s="10"/>
      <c r="N487" s="10"/>
      <c r="O487" s="10"/>
      <c r="P487" s="85"/>
      <c r="Q487" s="88"/>
      <c r="R487" s="3">
        <f>IFERROR(VLOOKUP(TablaFebrero[[#This Row],[BARRIO]],SECTOR!$A:$B,2,0),"")</f>
      </c>
      <c r="S487" s="89"/>
      <c r="T487" s="90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6"/>
      <c r="AZ487" s="120">
        <f>COUNTIF(U487:AY487,"A")</f>
      </c>
      <c r="BA487" s="121">
        <f>COUNTIF(U487:AY487,"F")</f>
      </c>
      <c r="BB487" s="119">
        <f>COUNTIF(U487:AY487,"E")</f>
      </c>
    </row>
    <row r="488" spans="1:54" x14ac:dyDescent="0.2">
      <c r="A488" s="84"/>
      <c r="B488" s="85"/>
      <c r="C488" s="85"/>
      <c r="D488" s="85"/>
      <c r="E488" s="86"/>
      <c r="F488" s="16">
        <f>IF(E488="","",DATEDIF(E488,$I$7,"Y"))</f>
      </c>
      <c r="G488" s="85"/>
      <c r="H488" s="85"/>
      <c r="I488" s="87"/>
      <c r="J488" s="85"/>
      <c r="K488" s="85"/>
      <c r="L488" s="10"/>
      <c r="M488" s="10"/>
      <c r="N488" s="10"/>
      <c r="O488" s="10"/>
      <c r="P488" s="85"/>
      <c r="Q488" s="88"/>
      <c r="R488" s="3">
        <f>IFERROR(VLOOKUP(TablaFebrero[[#This Row],[BARRIO]],SECTOR!$A:$B,2,0),"")</f>
      </c>
      <c r="S488" s="89"/>
      <c r="T488" s="90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6"/>
      <c r="AZ488" s="120">
        <f>COUNTIF(U488:AY488,"A")</f>
      </c>
      <c r="BA488" s="121">
        <f>COUNTIF(U488:AY488,"F")</f>
      </c>
      <c r="BB488" s="119">
        <f>COUNTIF(U488:AY488,"E")</f>
      </c>
    </row>
    <row r="489" spans="1:54" x14ac:dyDescent="0.2">
      <c r="A489" s="84"/>
      <c r="B489" s="85"/>
      <c r="C489" s="85"/>
      <c r="D489" s="85"/>
      <c r="E489" s="86"/>
      <c r="F489" s="16">
        <f>IF(E489="","",DATEDIF(E489,$I$7,"Y"))</f>
      </c>
      <c r="G489" s="85"/>
      <c r="H489" s="85"/>
      <c r="I489" s="87"/>
      <c r="J489" s="85"/>
      <c r="K489" s="85"/>
      <c r="L489" s="10"/>
      <c r="M489" s="10"/>
      <c r="N489" s="10"/>
      <c r="O489" s="10"/>
      <c r="P489" s="85"/>
      <c r="Q489" s="88"/>
      <c r="R489" s="3">
        <f>IFERROR(VLOOKUP(TablaFebrero[[#This Row],[BARRIO]],SECTOR!$A:$B,2,0),"")</f>
      </c>
      <c r="S489" s="89"/>
      <c r="T489" s="90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6"/>
      <c r="AZ489" s="120">
        <f>COUNTIF(U489:AY489,"A")</f>
      </c>
      <c r="BA489" s="121">
        <f>COUNTIF(U489:AY489,"F")</f>
      </c>
      <c r="BB489" s="119">
        <f>COUNTIF(U489:AY489,"E")</f>
      </c>
    </row>
    <row r="490" spans="1:54" x14ac:dyDescent="0.2">
      <c r="A490" s="84"/>
      <c r="B490" s="85"/>
      <c r="C490" s="85"/>
      <c r="D490" s="85"/>
      <c r="E490" s="86"/>
      <c r="F490" s="16">
        <f>IF(E490="","",DATEDIF(E490,$I$7,"Y"))</f>
      </c>
      <c r="G490" s="85"/>
      <c r="H490" s="85"/>
      <c r="I490" s="87"/>
      <c r="J490" s="85"/>
      <c r="K490" s="85"/>
      <c r="L490" s="10"/>
      <c r="M490" s="10"/>
      <c r="N490" s="10"/>
      <c r="O490" s="10"/>
      <c r="P490" s="85"/>
      <c r="Q490" s="88"/>
      <c r="R490" s="3">
        <f>IFERROR(VLOOKUP(TablaFebrero[[#This Row],[BARRIO]],SECTOR!$A:$B,2,0),"")</f>
      </c>
      <c r="S490" s="89"/>
      <c r="T490" s="90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6"/>
      <c r="AZ490" s="120">
        <f>COUNTIF(U490:AY490,"A")</f>
      </c>
      <c r="BA490" s="121">
        <f>COUNTIF(U490:AY490,"F")</f>
      </c>
      <c r="BB490" s="119">
        <f>COUNTIF(U490:AY490,"E")</f>
      </c>
    </row>
    <row r="491" spans="1:54" x14ac:dyDescent="0.2">
      <c r="A491" s="84"/>
      <c r="B491" s="85"/>
      <c r="C491" s="85"/>
      <c r="D491" s="85"/>
      <c r="E491" s="86"/>
      <c r="F491" s="16">
        <f>IF(E491="","",DATEDIF(E491,$I$7,"Y"))</f>
      </c>
      <c r="G491" s="85"/>
      <c r="H491" s="85"/>
      <c r="I491" s="87"/>
      <c r="J491" s="85"/>
      <c r="K491" s="85"/>
      <c r="L491" s="10"/>
      <c r="M491" s="10"/>
      <c r="N491" s="10"/>
      <c r="O491" s="10"/>
      <c r="P491" s="85"/>
      <c r="Q491" s="88"/>
      <c r="R491" s="3">
        <f>IFERROR(VLOOKUP(TablaFebrero[[#This Row],[BARRIO]],SECTOR!$A:$B,2,0),"")</f>
      </c>
      <c r="S491" s="89"/>
      <c r="T491" s="90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6"/>
      <c r="AZ491" s="120">
        <f>COUNTIF(U491:AY491,"A")</f>
      </c>
      <c r="BA491" s="121">
        <f>COUNTIF(U491:AY491,"F")</f>
      </c>
      <c r="BB491" s="119">
        <f>COUNTIF(U491:AY491,"E")</f>
      </c>
    </row>
    <row r="492" spans="1:54" x14ac:dyDescent="0.2">
      <c r="A492" s="84"/>
      <c r="B492" s="85"/>
      <c r="C492" s="85"/>
      <c r="D492" s="85"/>
      <c r="E492" s="86"/>
      <c r="F492" s="16">
        <f>IF(E492="","",DATEDIF(E492,$I$7,"Y"))</f>
      </c>
      <c r="G492" s="85"/>
      <c r="H492" s="85"/>
      <c r="I492" s="87"/>
      <c r="J492" s="85"/>
      <c r="K492" s="85"/>
      <c r="L492" s="10"/>
      <c r="M492" s="10"/>
      <c r="N492" s="10"/>
      <c r="O492" s="10"/>
      <c r="P492" s="85"/>
      <c r="Q492" s="88"/>
      <c r="R492" s="3">
        <f>IFERROR(VLOOKUP(TablaFebrero[[#This Row],[BARRIO]],SECTOR!$A:$B,2,0),"")</f>
      </c>
      <c r="S492" s="89"/>
      <c r="T492" s="90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6"/>
      <c r="AZ492" s="120">
        <f>COUNTIF(U492:AY492,"A")</f>
      </c>
      <c r="BA492" s="121">
        <f>COUNTIF(U492:AY492,"F")</f>
      </c>
      <c r="BB492" s="119">
        <f>COUNTIF(U492:AY492,"E")</f>
      </c>
    </row>
    <row r="493" spans="1:54" x14ac:dyDescent="0.2">
      <c r="A493" s="84"/>
      <c r="B493" s="85"/>
      <c r="C493" s="85"/>
      <c r="D493" s="85"/>
      <c r="E493" s="86"/>
      <c r="F493" s="16">
        <f>IF(E493="","",DATEDIF(E493,$I$7,"Y"))</f>
      </c>
      <c r="G493" s="85"/>
      <c r="H493" s="85"/>
      <c r="I493" s="87"/>
      <c r="J493" s="85"/>
      <c r="K493" s="85"/>
      <c r="L493" s="10"/>
      <c r="M493" s="10"/>
      <c r="N493" s="10"/>
      <c r="O493" s="10"/>
      <c r="P493" s="85"/>
      <c r="Q493" s="88"/>
      <c r="R493" s="3">
        <f>IFERROR(VLOOKUP(TablaFebrero[[#This Row],[BARRIO]],SECTOR!$A:$B,2,0),"")</f>
      </c>
      <c r="S493" s="89"/>
      <c r="T493" s="90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6"/>
      <c r="AZ493" s="120">
        <f>COUNTIF(U493:AY493,"A")</f>
      </c>
      <c r="BA493" s="121">
        <f>COUNTIF(U493:AY493,"F")</f>
      </c>
      <c r="BB493" s="119">
        <f>COUNTIF(U493:AY493,"E")</f>
      </c>
    </row>
    <row r="494" spans="1:54" x14ac:dyDescent="0.2">
      <c r="A494" s="84"/>
      <c r="B494" s="85"/>
      <c r="C494" s="85"/>
      <c r="D494" s="85"/>
      <c r="E494" s="86"/>
      <c r="F494" s="16">
        <f>IF(E494="","",DATEDIF(E494,$I$7,"Y"))</f>
      </c>
      <c r="G494" s="85"/>
      <c r="H494" s="85"/>
      <c r="I494" s="87"/>
      <c r="J494" s="85"/>
      <c r="K494" s="85"/>
      <c r="L494" s="10"/>
      <c r="M494" s="10"/>
      <c r="N494" s="10"/>
      <c r="O494" s="10"/>
      <c r="P494" s="85"/>
      <c r="Q494" s="88"/>
      <c r="R494" s="3">
        <f>IFERROR(VLOOKUP(TablaFebrero[[#This Row],[BARRIO]],SECTOR!$A:$B,2,0),"")</f>
      </c>
      <c r="S494" s="89"/>
      <c r="T494" s="90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6"/>
      <c r="AZ494" s="120">
        <f>COUNTIF(U494:AY494,"A")</f>
      </c>
      <c r="BA494" s="121">
        <f>COUNTIF(U494:AY494,"F")</f>
      </c>
      <c r="BB494" s="119">
        <f>COUNTIF(U494:AY494,"E")</f>
      </c>
    </row>
    <row r="495" spans="1:54" x14ac:dyDescent="0.2">
      <c r="A495" s="84"/>
      <c r="B495" s="85"/>
      <c r="C495" s="85"/>
      <c r="D495" s="85"/>
      <c r="E495" s="86"/>
      <c r="F495" s="16">
        <f>IF(E495="","",DATEDIF(E495,$I$7,"Y"))</f>
      </c>
      <c r="G495" s="85"/>
      <c r="H495" s="85"/>
      <c r="I495" s="87"/>
      <c r="J495" s="85"/>
      <c r="K495" s="85"/>
      <c r="L495" s="10"/>
      <c r="M495" s="10"/>
      <c r="N495" s="10"/>
      <c r="O495" s="10"/>
      <c r="P495" s="85"/>
      <c r="Q495" s="88"/>
      <c r="R495" s="3">
        <f>IFERROR(VLOOKUP(TablaFebrero[[#This Row],[BARRIO]],SECTOR!$A:$B,2,0),"")</f>
      </c>
      <c r="S495" s="89"/>
      <c r="T495" s="90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6"/>
      <c r="AZ495" s="120">
        <f>COUNTIF(U495:AY495,"A")</f>
      </c>
      <c r="BA495" s="121">
        <f>COUNTIF(U495:AY495,"F")</f>
      </c>
      <c r="BB495" s="119">
        <f>COUNTIF(U495:AY495,"E")</f>
      </c>
    </row>
    <row r="496" spans="1:54" x14ac:dyDescent="0.2">
      <c r="A496" s="84"/>
      <c r="B496" s="85"/>
      <c r="C496" s="85"/>
      <c r="D496" s="85"/>
      <c r="E496" s="86"/>
      <c r="F496" s="16">
        <f>IF(E496="","",DATEDIF(E496,$I$7,"Y"))</f>
      </c>
      <c r="G496" s="85"/>
      <c r="H496" s="85"/>
      <c r="I496" s="87"/>
      <c r="J496" s="85"/>
      <c r="K496" s="85"/>
      <c r="L496" s="10"/>
      <c r="M496" s="10"/>
      <c r="N496" s="10"/>
      <c r="O496" s="10"/>
      <c r="P496" s="85"/>
      <c r="Q496" s="88"/>
      <c r="R496" s="3">
        <f>IFERROR(VLOOKUP(TablaFebrero[[#This Row],[BARRIO]],SECTOR!$A:$B,2,0),"")</f>
      </c>
      <c r="S496" s="89"/>
      <c r="T496" s="90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6"/>
      <c r="AZ496" s="120">
        <f>COUNTIF(U496:AY496,"A")</f>
      </c>
      <c r="BA496" s="121">
        <f>COUNTIF(U496:AY496,"F")</f>
      </c>
      <c r="BB496" s="119">
        <f>COUNTIF(U496:AY496,"E")</f>
      </c>
    </row>
    <row r="497" spans="1:54" x14ac:dyDescent="0.2">
      <c r="A497" s="84"/>
      <c r="B497" s="85"/>
      <c r="C497" s="85"/>
      <c r="D497" s="85"/>
      <c r="E497" s="86"/>
      <c r="F497" s="16">
        <f>IF(E497="","",DATEDIF(E497,$I$7,"Y"))</f>
      </c>
      <c r="G497" s="85"/>
      <c r="H497" s="85"/>
      <c r="I497" s="87"/>
      <c r="J497" s="85"/>
      <c r="K497" s="85"/>
      <c r="L497" s="10"/>
      <c r="M497" s="10"/>
      <c r="N497" s="10"/>
      <c r="O497" s="10"/>
      <c r="P497" s="85"/>
      <c r="Q497" s="88"/>
      <c r="R497" s="3">
        <f>IFERROR(VLOOKUP(TablaFebrero[[#This Row],[BARRIO]],SECTOR!$A:$B,2,0),"")</f>
      </c>
      <c r="S497" s="89"/>
      <c r="T497" s="90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6"/>
      <c r="AZ497" s="120">
        <f>COUNTIF(U497:AY497,"A")</f>
      </c>
      <c r="BA497" s="121">
        <f>COUNTIF(U497:AY497,"F")</f>
      </c>
      <c r="BB497" s="119">
        <f>COUNTIF(U497:AY497,"E")</f>
      </c>
    </row>
    <row r="498" spans="1:54" x14ac:dyDescent="0.2">
      <c r="A498" s="84"/>
      <c r="B498" s="85"/>
      <c r="C498" s="85"/>
      <c r="D498" s="85"/>
      <c r="E498" s="86"/>
      <c r="F498" s="16">
        <f>IF(E498="","",DATEDIF(E498,$I$7,"Y"))</f>
      </c>
      <c r="G498" s="85"/>
      <c r="H498" s="85"/>
      <c r="I498" s="87"/>
      <c r="J498" s="85"/>
      <c r="K498" s="85"/>
      <c r="L498" s="10"/>
      <c r="M498" s="10"/>
      <c r="N498" s="10"/>
      <c r="O498" s="10"/>
      <c r="P498" s="85"/>
      <c r="Q498" s="88"/>
      <c r="R498" s="3">
        <f>IFERROR(VLOOKUP(TablaFebrero[[#This Row],[BARRIO]],SECTOR!$A:$B,2,0),"")</f>
      </c>
      <c r="S498" s="89"/>
      <c r="T498" s="90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6"/>
      <c r="AZ498" s="120">
        <f>COUNTIF(U498:AY498,"A")</f>
      </c>
      <c r="BA498" s="121">
        <f>COUNTIF(U498:AY498,"F")</f>
      </c>
      <c r="BB498" s="119">
        <f>COUNTIF(U498:AY498,"E")</f>
      </c>
    </row>
    <row r="499" spans="1:54" x14ac:dyDescent="0.2">
      <c r="A499" s="84"/>
      <c r="B499" s="85"/>
      <c r="C499" s="85"/>
      <c r="D499" s="85"/>
      <c r="E499" s="86"/>
      <c r="F499" s="16">
        <f>IF(E499="","",DATEDIF(E499,$I$7,"Y"))</f>
      </c>
      <c r="G499" s="85"/>
      <c r="H499" s="85"/>
      <c r="I499" s="87"/>
      <c r="J499" s="85"/>
      <c r="K499" s="85"/>
      <c r="L499" s="10"/>
      <c r="M499" s="10"/>
      <c r="N499" s="10"/>
      <c r="O499" s="10"/>
      <c r="P499" s="85"/>
      <c r="Q499" s="88"/>
      <c r="R499" s="3">
        <f>IFERROR(VLOOKUP(TablaFebrero[[#This Row],[BARRIO]],SECTOR!$A:$B,2,0),"")</f>
      </c>
      <c r="S499" s="89"/>
      <c r="T499" s="90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6"/>
      <c r="AZ499" s="120">
        <f>COUNTIF(U499:AY499,"A")</f>
      </c>
      <c r="BA499" s="121">
        <f>COUNTIF(U499:AY499,"F")</f>
      </c>
      <c r="BB499" s="119">
        <f>COUNTIF(U499:AY499,"E")</f>
      </c>
    </row>
    <row r="500" spans="1:54" x14ac:dyDescent="0.2">
      <c r="A500" s="84"/>
      <c r="B500" s="85"/>
      <c r="C500" s="85"/>
      <c r="D500" s="85"/>
      <c r="E500" s="86"/>
      <c r="F500" s="16">
        <f>IF(E500="","",DATEDIF(E500,$I$7,"Y"))</f>
      </c>
      <c r="G500" s="85"/>
      <c r="H500" s="85"/>
      <c r="I500" s="87"/>
      <c r="J500" s="85"/>
      <c r="K500" s="85"/>
      <c r="L500" s="10"/>
      <c r="M500" s="10"/>
      <c r="N500" s="10"/>
      <c r="O500" s="10"/>
      <c r="P500" s="85"/>
      <c r="Q500" s="88"/>
      <c r="R500" s="3">
        <f>IFERROR(VLOOKUP(TablaFebrero[[#This Row],[BARRIO]],SECTOR!$A:$B,2,0),"")</f>
      </c>
      <c r="S500" s="89"/>
      <c r="T500" s="90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6"/>
      <c r="AZ500" s="120">
        <f>COUNTIF(U500:AY500,"A")</f>
      </c>
      <c r="BA500" s="121">
        <f>COUNTIF(U500:AY500,"F")</f>
      </c>
      <c r="BB500" s="119">
        <f>COUNTIF(U500:AY500,"E")</f>
      </c>
    </row>
    <row r="501" spans="1:54" x14ac:dyDescent="0.2">
      <c r="A501" s="84"/>
      <c r="B501" s="85"/>
      <c r="C501" s="85"/>
      <c r="D501" s="85"/>
      <c r="E501" s="86"/>
      <c r="F501" s="16">
        <f>IF(E501="","",DATEDIF(E501,$I$7,"Y"))</f>
      </c>
      <c r="G501" s="85"/>
      <c r="H501" s="85"/>
      <c r="I501" s="87"/>
      <c r="J501" s="85"/>
      <c r="K501" s="85"/>
      <c r="L501" s="10"/>
      <c r="M501" s="10"/>
      <c r="N501" s="10"/>
      <c r="O501" s="10"/>
      <c r="P501" s="85"/>
      <c r="Q501" s="88"/>
      <c r="R501" s="3">
        <f>IFERROR(VLOOKUP(TablaFebrero[[#This Row],[BARRIO]],SECTOR!$A:$B,2,0),"")</f>
      </c>
      <c r="S501" s="89"/>
      <c r="T501" s="90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6"/>
      <c r="AZ501" s="120">
        <f>COUNTIF(U501:AY501,"A")</f>
      </c>
      <c r="BA501" s="121">
        <f>COUNTIF(U501:AY501,"F")</f>
      </c>
      <c r="BB501" s="119">
        <f>COUNTIF(U501:AY501,"E")</f>
      </c>
    </row>
    <row r="502" spans="1:54" x14ac:dyDescent="0.2">
      <c r="A502" s="84"/>
      <c r="B502" s="85"/>
      <c r="C502" s="85"/>
      <c r="D502" s="85"/>
      <c r="E502" s="86"/>
      <c r="F502" s="16">
        <f>IF(E502="","",DATEDIF(E502,$I$7,"Y"))</f>
      </c>
      <c r="G502" s="85"/>
      <c r="H502" s="85"/>
      <c r="I502" s="87"/>
      <c r="J502" s="85"/>
      <c r="K502" s="85"/>
      <c r="L502" s="10"/>
      <c r="M502" s="10"/>
      <c r="N502" s="10"/>
      <c r="O502" s="10"/>
      <c r="P502" s="85"/>
      <c r="Q502" s="88"/>
      <c r="R502" s="3">
        <f>IFERROR(VLOOKUP(TablaFebrero[[#This Row],[BARRIO]],SECTOR!$A:$B,2,0),"")</f>
      </c>
      <c r="S502" s="89"/>
      <c r="T502" s="90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6"/>
      <c r="AZ502" s="120">
        <f>COUNTIF(U502:AY502,"A")</f>
      </c>
      <c r="BA502" s="121">
        <f>COUNTIF(U502:AY502,"F")</f>
      </c>
      <c r="BB502" s="119">
        <f>COUNTIF(U502:AY502,"E")</f>
      </c>
    </row>
    <row r="503" spans="1:54" x14ac:dyDescent="0.2">
      <c r="A503" s="84"/>
      <c r="B503" s="85"/>
      <c r="C503" s="85"/>
      <c r="D503" s="85"/>
      <c r="E503" s="86"/>
      <c r="F503" s="16">
        <f>IF(E503="","",DATEDIF(E503,$I$7,"Y"))</f>
      </c>
      <c r="G503" s="85"/>
      <c r="H503" s="85"/>
      <c r="I503" s="87"/>
      <c r="J503" s="85"/>
      <c r="K503" s="85"/>
      <c r="L503" s="10"/>
      <c r="M503" s="10"/>
      <c r="N503" s="10"/>
      <c r="O503" s="10"/>
      <c r="P503" s="85"/>
      <c r="Q503" s="88"/>
      <c r="R503" s="3">
        <f>IFERROR(VLOOKUP(TablaFebrero[[#This Row],[BARRIO]],SECTOR!$A:$B,2,0),"")</f>
      </c>
      <c r="S503" s="89"/>
      <c r="T503" s="90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6"/>
      <c r="AZ503" s="120">
        <f>COUNTIF(U503:AY503,"A")</f>
      </c>
      <c r="BA503" s="121">
        <f>COUNTIF(U503:AY503,"F")</f>
      </c>
      <c r="BB503" s="119">
        <f>COUNTIF(U503:AY503,"E")</f>
      </c>
    </row>
    <row r="504" spans="1:54" x14ac:dyDescent="0.2">
      <c r="A504" s="100"/>
      <c r="B504" s="101"/>
      <c r="C504" s="101"/>
      <c r="D504" s="101"/>
      <c r="E504" s="102"/>
      <c r="F504" s="31">
        <f>IF(E504="","",DATEDIF(E504,$I$7,"Y"))</f>
      </c>
      <c r="G504" s="101"/>
      <c r="H504" s="101"/>
      <c r="I504" s="103"/>
      <c r="J504" s="101"/>
      <c r="K504" s="101"/>
      <c r="L504" s="10"/>
      <c r="M504" s="10"/>
      <c r="N504" s="10"/>
      <c r="O504" s="10"/>
      <c r="P504" s="101"/>
      <c r="Q504" s="91"/>
      <c r="R504" s="14">
        <f>IFERROR(VLOOKUP(TablaFebrero[[#This Row],[BARRIO]],SECTOR!$A:$B,2,0),"")</f>
      </c>
      <c r="S504" s="104"/>
      <c r="T504" s="10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7"/>
      <c r="AZ504" s="120">
        <f>COUNTIF(U504:AY504,"A")</f>
      </c>
      <c r="BA504" s="121">
        <f>COUNTIF(U504:AY504,"F")</f>
      </c>
      <c r="BB504" s="118">
        <f>COUNTIF(U504:AY504,"E")</f>
      </c>
    </row>
  </sheetData>
  <sheetProtection sheet="1" objects="1" scenarios="1" autoFilter="0"/>
  <mergeCells count="137">
    <mergeCell ref="B2:B5"/>
    <mergeCell ref="C2:I2"/>
    <mergeCell ref="C3:G3"/>
    <mergeCell ref="C4:G4"/>
    <mergeCell ref="C5:G5"/>
    <mergeCell ref="B7:C7"/>
    <mergeCell ref="D7:G7"/>
    <mergeCell ref="W7:AE7"/>
    <mergeCell ref="AG7:AH7"/>
    <mergeCell ref="AI7:AM7"/>
    <mergeCell ref="AO7:AQ7"/>
    <mergeCell ref="B8:C8"/>
    <mergeCell ref="D8:G8"/>
    <mergeCell ref="S8:T8"/>
    <mergeCell ref="W8:AA8"/>
    <mergeCell ref="AB8:AC8"/>
    <mergeCell ref="AD8:AH8"/>
    <mergeCell ref="AK8:AR8"/>
    <mergeCell ref="AS8:BB8"/>
    <mergeCell ref="B9:C9"/>
    <mergeCell ref="D9:G9"/>
    <mergeCell ref="W9:Y9"/>
    <mergeCell ref="Z9:AA9"/>
    <mergeCell ref="AD9:AF9"/>
    <mergeCell ref="AG9:AH9"/>
    <mergeCell ref="AK9:AL9"/>
    <mergeCell ref="AM9:AN9"/>
    <mergeCell ref="AO9:AP9"/>
    <mergeCell ref="AQ9:AR9"/>
    <mergeCell ref="AS9:BB9"/>
    <mergeCell ref="B10:C10"/>
    <mergeCell ref="D10:G10"/>
    <mergeCell ref="W10:Y10"/>
    <mergeCell ref="Z10:AA10"/>
    <mergeCell ref="AD10:AF10"/>
    <mergeCell ref="AG10:AH10"/>
    <mergeCell ref="AK10:AL10"/>
    <mergeCell ref="AM10:AN10"/>
    <mergeCell ref="AO10:AP10"/>
    <mergeCell ref="AQ10:AR10"/>
    <mergeCell ref="AS10:BB10"/>
    <mergeCell ref="W11:Y11"/>
    <mergeCell ref="Z11:AA11"/>
    <mergeCell ref="AD11:AF11"/>
    <mergeCell ref="AG11:AH11"/>
    <mergeCell ref="AK11:AL11"/>
    <mergeCell ref="AM11:AN11"/>
    <mergeCell ref="AO11:AP11"/>
    <mergeCell ref="AQ11:AR11"/>
    <mergeCell ref="AS11:BB13"/>
    <mergeCell ref="AQ12:AR12"/>
    <mergeCell ref="AQ13:AR13"/>
    <mergeCell ref="B12:B18"/>
    <mergeCell ref="C12:I12"/>
    <mergeCell ref="W12:Y12"/>
    <mergeCell ref="Z12:AA12"/>
    <mergeCell ref="AD12:AF12"/>
    <mergeCell ref="AG12:AH12"/>
    <mergeCell ref="AK12:AL12"/>
    <mergeCell ref="AM12:AN12"/>
    <mergeCell ref="AO12:AP12"/>
    <mergeCell ref="F13:G13"/>
    <mergeCell ref="O13:Q13"/>
    <mergeCell ref="W13:Y13"/>
    <mergeCell ref="Z13:AA13"/>
    <mergeCell ref="AD13:AF13"/>
    <mergeCell ref="AG13:AH13"/>
    <mergeCell ref="AK13:AL13"/>
    <mergeCell ref="AM13:AN13"/>
    <mergeCell ref="AO13:AP13"/>
    <mergeCell ref="C14:C15"/>
    <mergeCell ref="D14:D15"/>
    <mergeCell ref="F14:G15"/>
    <mergeCell ref="H14:H15"/>
    <mergeCell ref="I14:I15"/>
    <mergeCell ref="K14:K15"/>
    <mergeCell ref="L14:L15"/>
    <mergeCell ref="AX15:BA16"/>
    <mergeCell ref="C16:I16"/>
    <mergeCell ref="K16:K17"/>
    <mergeCell ref="L16:L17"/>
    <mergeCell ref="O16:P16"/>
    <mergeCell ref="W16:Y16"/>
    <mergeCell ref="AM14:AN14"/>
    <mergeCell ref="AO14:AP14"/>
    <mergeCell ref="AQ14:AR14"/>
    <mergeCell ref="AV14:AW14"/>
    <mergeCell ref="O15:P15"/>
    <mergeCell ref="W15:Y15"/>
    <mergeCell ref="Z15:AA15"/>
    <mergeCell ref="AD15:AF15"/>
    <mergeCell ref="AG15:AH15"/>
    <mergeCell ref="AK15:AL15"/>
    <mergeCell ref="O14:P14"/>
    <mergeCell ref="W14:Y14"/>
    <mergeCell ref="Z14:AA14"/>
    <mergeCell ref="AD14:AF14"/>
    <mergeCell ref="AG14:AH14"/>
    <mergeCell ref="AK14:AL14"/>
    <mergeCell ref="Z16:AA16"/>
    <mergeCell ref="AD16:AF16"/>
    <mergeCell ref="AG16:AH16"/>
    <mergeCell ref="AK16:AL16"/>
    <mergeCell ref="AM16:AN16"/>
    <mergeCell ref="AV16:AW16"/>
    <mergeCell ref="AM15:AN15"/>
    <mergeCell ref="AO15:AP15"/>
    <mergeCell ref="AQ15:AR15"/>
    <mergeCell ref="AV15:AW15"/>
    <mergeCell ref="AD17:AF17"/>
    <mergeCell ref="AG17:AH17"/>
    <mergeCell ref="AN17:AP17"/>
    <mergeCell ref="AV17:AW17"/>
    <mergeCell ref="AX17:AZ17"/>
    <mergeCell ref="C18:D18"/>
    <mergeCell ref="E18:G18"/>
    <mergeCell ref="H18:I18"/>
    <mergeCell ref="O18:P18"/>
    <mergeCell ref="W18:Y18"/>
    <mergeCell ref="C17:D17"/>
    <mergeCell ref="E17:G17"/>
    <mergeCell ref="H17:I17"/>
    <mergeCell ref="O17:P17"/>
    <mergeCell ref="W17:Y17"/>
    <mergeCell ref="Z17:AA17"/>
    <mergeCell ref="U21:AY22"/>
    <mergeCell ref="AZ21:BB22"/>
    <mergeCell ref="Z18:AA18"/>
    <mergeCell ref="AN18:AP18"/>
    <mergeCell ref="AV18:AW18"/>
    <mergeCell ref="AX18:AZ18"/>
    <mergeCell ref="K19:L19"/>
    <mergeCell ref="O19:P19"/>
    <mergeCell ref="W19:Y19"/>
    <mergeCell ref="Z19:AA19"/>
    <mergeCell ref="AV19:AW19"/>
    <mergeCell ref="AX19:AZ19"/>
  </mergeCells>
  <dataValidations count="12">
    <dataValidation type="custom" allowBlank="1" showInputMessage="1" showErrorMessage="1" errorTitle="SÓLO MAYÚSCULA" sqref="S24:S504">
      <formula1>EXACT(S24, UPPER(S24))</formula1>
    </dataValidation>
    <dataValidation type="custom" allowBlank="1" showInputMessage="1" showErrorMessage="1" errorTitle="SÓLO MAÚSCULA" sqref="P24:P504">
      <formula1>EXACT(P24, UPPER(P24))</formula1>
    </dataValidation>
    <dataValidation type="custom" allowBlank="1" showInputMessage="1" showErrorMessage="1" errorTitle="ERROR" error="SÓLO MAYÚSCULAS" sqref="B24:D504 J24:J504">
      <formula1>EXACT(B24, UPPER(B24))</formula1>
    </dataValidation>
    <dataValidation type="list" allowBlank="1" showInputMessage="1" showErrorMessage="1" sqref="N24:N504">
      <formula1>"SI, NO"</formula1>
    </dataValidation>
    <dataValidation type="list" allowBlank="1" showInputMessage="1" showErrorMessage="1" sqref="G24:G504">
      <formula1>"R.C, T.I, C.C, C.E, PPT, PEP, NES"</formula1>
    </dataValidation>
    <dataValidation type="list" allowBlank="1" showInputMessage="1" showErrorMessage="1" sqref="I24:I504">
      <formula1>"HOMBRE, MUJER"</formula1>
    </dataValidation>
    <dataValidation type="list" allowBlank="1" showInputMessage="1" showErrorMessage="1" sqref="L24:L504">
      <formula1>"OLFATIVA Y TACTO, MENTAL, MOVILIDAD, MULTIPLE, ORAL, PSICOSOCIAL, VISUAL, VOZ Y HABLA, NO SABE NOMBRARLA, N/A"</formula1>
    </dataValidation>
    <dataValidation type="list" allowBlank="1" showInputMessage="1" showErrorMessage="1" sqref="M24:M504">
      <formula1>"HETEROSEXUAL, LESBIANA, ASEXUAL, BISEXUAL, GAY, INTERSEXUAL, NO BINARIO, PANSEXUAL, QUEER, TRANSEXUAL O TRANSGÉNERO, OTRO"</formula1>
    </dataValidation>
    <dataValidation type="list" allowBlank="1" showInputMessage="1" showErrorMessage="1" sqref="O24:O504">
      <formula1>"AFROCOLOMBIANO, INDÍGENA, MESTIZO, MULATO, NO SABE NO RESPONDE, OTRO, PALENQUERO, RAIZAL, ROM GITANO"</formula1>
    </dataValidation>
    <dataValidation type="list" allowBlank="1" showInputMessage="1" showErrorMessage="1" sqref="O23">
      <formula1>"AFRO, INDIGENA, MESTIZA"</formula1>
    </dataValidation>
    <dataValidation type="list" allowBlank="1" showErrorMessage="1" sqref="AI7">
      <formula1>$BH$11:$BH$23</formula1>
    </dataValidation>
    <dataValidation type="list" allowBlank="1" showInputMessage="1" showErrorMessage="1" sqref="Q24:Q504">
      <formula1>SECTOR!$A$2:$A$83</formula1>
    </dataValidation>
  </dataValidations>
  <pageMargins left="0.7" right="0.7" top="0.75" bottom="0.75" header="0.3" footer="0.3"/>
  <pageSetup orientation="portrait"/>
  <ignoredErrors>
    <ignoredError sqref="O23" listDataValidation="1"/>
  </ignoredErrors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2:BB504"/>
  <sheetViews>
    <sheetView showGridLines="0" zoomScaleNormal="100" workbookViewId="0">
      <selection activeCell="A24" sqref="A24"/>
    </sheetView>
  </sheetViews>
  <sheetFormatPr defaultColWidth="9.14453125" defaultRowHeight="15" x14ac:dyDescent="0.2"/>
  <cols>
    <col min="1" max="1" width="6.1875" style="34" customWidth="1"/>
    <col min="2" max="2" width="21.7890625" style="34" customWidth="1"/>
    <col min="3" max="3" width="21.65625" style="34" customWidth="1"/>
    <col min="4" max="4" width="21.7890625" style="34" customWidth="1"/>
    <col min="5" max="5" width="19.50390625" style="34" customWidth="1"/>
    <col min="6" max="6" width="11.1640625" style="34" customWidth="1"/>
    <col min="7" max="7" width="11.56640625" style="34" customWidth="1"/>
    <col min="8" max="8" width="18.4296875" style="34" customWidth="1"/>
    <col min="9" max="9" width="22.59765625" style="34" customWidth="1"/>
    <col min="10" max="10" width="35.109375" style="34" customWidth="1"/>
    <col min="11" max="11" width="11.43359375" style="34" customWidth="1"/>
    <col min="12" max="12" width="16.8125" style="34" customWidth="1"/>
    <col min="13" max="14" width="10.22265625" style="34" customWidth="1"/>
    <col min="15" max="15" width="23.9453125" style="34" bestFit="1" customWidth="1"/>
    <col min="16" max="16" width="23.40625" style="34" customWidth="1"/>
    <col min="17" max="17" width="18.0234375" style="34" customWidth="1"/>
    <col min="18" max="18" width="16.6796875" style="34" customWidth="1"/>
    <col min="19" max="19" width="18.6953125" style="34" bestFit="1" customWidth="1"/>
    <col min="20" max="20" width="17.62109375" style="34" customWidth="1"/>
    <col min="21" max="35" width="5.91796875" style="34" customWidth="1"/>
    <col min="36" max="36" width="6.05078125" style="34" customWidth="1"/>
    <col min="37" max="54" width="5.91796875" style="34" customWidth="1"/>
    <col min="55" max="55" width="9.14453125" style="34"/>
    <col min="56" max="56" width="13.5859375" style="34" bestFit="1" customWidth="1"/>
    <col min="57" max="59" width="10.76171875" style="34" bestFit="1" customWidth="1"/>
    <col min="60" max="16384" width="9.14453125" style="34"/>
  </cols>
  <sheetData>
    <row r="2" spans="1:54" x14ac:dyDescent="0.2">
      <c r="B2" s="244"/>
      <c r="C2" s="247" t="s">
        <v>0</v>
      </c>
      <c r="D2" s="248"/>
      <c r="E2" s="248"/>
      <c r="F2" s="248"/>
      <c r="G2" s="248"/>
      <c r="H2" s="248"/>
      <c r="I2" s="249"/>
    </row>
    <row r="3" spans="1:54" x14ac:dyDescent="0.2">
      <c r="B3" s="245"/>
      <c r="C3" s="250" t="s">
        <v>1</v>
      </c>
      <c r="D3" s="251"/>
      <c r="E3" s="251"/>
      <c r="F3" s="251"/>
      <c r="G3" s="252"/>
      <c r="H3" s="35" t="s">
        <v>2</v>
      </c>
      <c r="I3" s="35" t="s">
        <v>3</v>
      </c>
    </row>
    <row r="4" spans="1:54" x14ac:dyDescent="0.2">
      <c r="B4" s="245"/>
      <c r="C4" s="250" t="s">
        <v>4</v>
      </c>
      <c r="D4" s="251"/>
      <c r="E4" s="251"/>
      <c r="F4" s="251"/>
      <c r="G4" s="252"/>
      <c r="H4" s="35" t="s">
        <v>5</v>
      </c>
      <c r="I4" s="36" t="s">
        <v>6</v>
      </c>
    </row>
    <row r="5" spans="1:54" ht="60" customHeight="1" x14ac:dyDescent="0.2">
      <c r="B5" s="246"/>
      <c r="C5" s="253" t="s">
        <v>7</v>
      </c>
      <c r="D5" s="254"/>
      <c r="E5" s="254"/>
      <c r="F5" s="254"/>
      <c r="G5" s="255"/>
      <c r="H5" s="35" t="s">
        <v>8</v>
      </c>
      <c r="I5" s="37">
        <v>46073</v>
      </c>
    </row>
    <row r="7" spans="1:54" ht="22.5" customHeight="1" x14ac:dyDescent="0.2">
      <c r="A7" s="13"/>
      <c r="B7" s="256" t="s">
        <v>9</v>
      </c>
      <c r="C7" s="257"/>
      <c r="D7" s="230"/>
      <c r="E7" s="231"/>
      <c r="F7" s="231"/>
      <c r="G7" s="232"/>
      <c r="H7" s="38"/>
      <c r="I7" s="39"/>
      <c r="J7" s="40"/>
      <c r="K7" s="40"/>
      <c r="L7" s="12"/>
      <c r="M7" s="12"/>
      <c r="N7" s="12"/>
      <c r="O7" s="12"/>
      <c r="P7" s="12"/>
      <c r="Q7" s="12"/>
      <c r="R7" s="12"/>
      <c r="S7" s="12"/>
      <c r="T7" s="41"/>
      <c r="U7" s="42"/>
      <c r="V7" s="42"/>
      <c r="W7" s="258"/>
      <c r="X7" s="258"/>
      <c r="Y7" s="258"/>
      <c r="Z7" s="258"/>
      <c r="AA7" s="258"/>
      <c r="AB7" s="258"/>
      <c r="AC7" s="258"/>
      <c r="AD7" s="258"/>
      <c r="AE7" s="258"/>
      <c r="AF7" s="13"/>
      <c r="AG7" s="234"/>
      <c r="AH7" s="152"/>
      <c r="AI7" s="233"/>
      <c r="AJ7" s="152"/>
      <c r="AK7" s="152"/>
      <c r="AL7" s="152"/>
      <c r="AM7" s="152"/>
      <c r="AN7" s="13"/>
      <c r="AO7" s="234"/>
      <c r="AP7" s="152"/>
      <c r="AQ7" s="152"/>
      <c r="AR7" s="44"/>
      <c r="AS7" s="45"/>
      <c r="AT7" s="45"/>
      <c r="AU7" s="45"/>
      <c r="AV7" s="45"/>
      <c r="AW7" s="45"/>
      <c r="AX7" s="45"/>
      <c r="AY7" s="12"/>
      <c r="AZ7" s="13"/>
      <c r="BA7" s="13"/>
      <c r="BB7" s="13"/>
    </row>
    <row r="8" spans="1:54" ht="21.75" customHeight="1" x14ac:dyDescent="0.2">
      <c r="A8" s="13"/>
      <c r="B8" s="235" t="s">
        <v>10</v>
      </c>
      <c r="C8" s="236"/>
      <c r="D8" s="223"/>
      <c r="E8" s="224"/>
      <c r="F8" s="224"/>
      <c r="G8" s="225"/>
      <c r="H8" s="11"/>
      <c r="I8" s="11"/>
      <c r="J8" s="11"/>
      <c r="K8" s="11"/>
      <c r="L8" s="12"/>
      <c r="M8" s="12"/>
      <c r="N8" s="12"/>
      <c r="O8" s="12"/>
      <c r="P8" s="12"/>
      <c r="Q8" s="12"/>
      <c r="R8" s="12"/>
      <c r="S8" s="237" t="s">
        <v>11</v>
      </c>
      <c r="T8" s="238"/>
      <c r="U8" s="13"/>
      <c r="V8" s="13"/>
      <c r="W8" s="239" t="s">
        <v>12</v>
      </c>
      <c r="X8" s="239"/>
      <c r="Y8" s="239"/>
      <c r="Z8" s="239"/>
      <c r="AA8" s="239"/>
      <c r="AB8" s="240"/>
      <c r="AC8" s="152"/>
      <c r="AD8" s="241" t="s">
        <v>13</v>
      </c>
      <c r="AE8" s="241"/>
      <c r="AF8" s="241"/>
      <c r="AG8" s="241"/>
      <c r="AH8" s="241"/>
      <c r="AI8" s="12"/>
      <c r="AJ8" s="12"/>
      <c r="AK8" s="242" t="s">
        <v>14</v>
      </c>
      <c r="AL8" s="243"/>
      <c r="AM8" s="243"/>
      <c r="AN8" s="243"/>
      <c r="AO8" s="243"/>
      <c r="AP8" s="243"/>
      <c r="AQ8" s="243"/>
      <c r="AR8" s="243"/>
      <c r="AS8" s="183"/>
      <c r="AT8" s="183"/>
      <c r="AU8" s="183"/>
      <c r="AV8" s="183"/>
      <c r="AW8" s="183"/>
      <c r="AX8" s="183"/>
      <c r="AY8" s="183"/>
      <c r="AZ8" s="183"/>
      <c r="BA8" s="183"/>
      <c r="BB8" s="183"/>
    </row>
    <row r="9" spans="1:54" ht="20.25" customHeight="1" x14ac:dyDescent="0.2">
      <c r="A9" s="13"/>
      <c r="B9" s="228" t="s">
        <v>15</v>
      </c>
      <c r="C9" s="229"/>
      <c r="D9" s="230"/>
      <c r="E9" s="231"/>
      <c r="F9" s="231"/>
      <c r="G9" s="232"/>
      <c r="H9" s="13"/>
      <c r="I9" s="13"/>
      <c r="J9" s="12"/>
      <c r="K9" s="12"/>
      <c r="L9" s="12"/>
      <c r="M9" s="12"/>
      <c r="N9" s="12"/>
      <c r="O9" s="12"/>
      <c r="P9" s="12"/>
      <c r="Q9" s="12"/>
      <c r="R9" s="12"/>
      <c r="S9" s="46" t="s">
        <v>16</v>
      </c>
      <c r="T9" s="114">
        <f>COUNTIFS(TablaMarzo[TIPO DISCAPACIDAD], S9)</f>
      </c>
      <c r="U9" s="13"/>
      <c r="V9" s="13"/>
      <c r="W9" s="164" t="s">
        <v>17</v>
      </c>
      <c r="X9" s="164"/>
      <c r="Y9" s="164"/>
      <c r="Z9" s="147">
        <f>COUNTIFS(TablaMarzo[ORI. SEXUAL], W9)</f>
      </c>
      <c r="AA9" s="148"/>
      <c r="AB9" s="13"/>
      <c r="AC9" s="13"/>
      <c r="AD9" s="164" t="s">
        <v>18</v>
      </c>
      <c r="AE9" s="164"/>
      <c r="AF9" s="164"/>
      <c r="AG9" s="165">
        <f>COUNTIFS(TablaMarzo[[ETNIA ]], AD9)</f>
      </c>
      <c r="AH9" s="165"/>
      <c r="AI9" s="12"/>
      <c r="AJ9" s="12"/>
      <c r="AK9" s="226">
        <v>1</v>
      </c>
      <c r="AL9" s="226"/>
      <c r="AM9" s="202">
        <f>COUNTIFS(TablaMarzo[[ COMUNA]], AK9)</f>
      </c>
      <c r="AN9" s="202"/>
      <c r="AO9" s="227">
        <v>3</v>
      </c>
      <c r="AP9" s="227"/>
      <c r="AQ9" s="218">
        <f>COUNTIFS(TablaMarzo[[ COMUNA]], AO9)</f>
      </c>
      <c r="AR9" s="218"/>
      <c r="AS9" s="183"/>
      <c r="AT9" s="183"/>
      <c r="AU9" s="183"/>
      <c r="AV9" s="183"/>
      <c r="AW9" s="183"/>
      <c r="AX9" s="183"/>
      <c r="AY9" s="183"/>
      <c r="AZ9" s="183"/>
      <c r="BA9" s="183"/>
      <c r="BB9" s="183"/>
    </row>
    <row r="10" spans="1:54" ht="21.75" customHeight="1" x14ac:dyDescent="0.2">
      <c r="A10" s="13"/>
      <c r="B10" s="221" t="s">
        <v>19</v>
      </c>
      <c r="C10" s="222"/>
      <c r="D10" s="223"/>
      <c r="E10" s="224"/>
      <c r="F10" s="224"/>
      <c r="G10" s="225"/>
      <c r="H10" s="13"/>
      <c r="I10" s="13"/>
      <c r="J10" s="12"/>
      <c r="K10" s="12"/>
      <c r="L10" s="12"/>
      <c r="M10" s="12"/>
      <c r="N10" s="12"/>
      <c r="O10" s="12"/>
      <c r="P10" s="12"/>
      <c r="Q10" s="12"/>
      <c r="R10" s="12"/>
      <c r="S10" s="47" t="s">
        <v>20</v>
      </c>
      <c r="T10" s="115">
        <f>COUNTIFS(TablaMarzo[TIPO DISCAPACIDAD], S10)</f>
      </c>
      <c r="U10" s="13"/>
      <c r="V10" s="13"/>
      <c r="W10" s="164" t="s">
        <v>21</v>
      </c>
      <c r="X10" s="164"/>
      <c r="Y10" s="164"/>
      <c r="Z10" s="147">
        <f>COUNTIFS(TablaMarzo[ORI. SEXUAL], W10)</f>
      </c>
      <c r="AA10" s="148"/>
      <c r="AB10" s="13"/>
      <c r="AC10" s="13"/>
      <c r="AD10" s="164" t="s">
        <v>22</v>
      </c>
      <c r="AE10" s="164"/>
      <c r="AF10" s="164"/>
      <c r="AG10" s="165">
        <f>COUNTIFS(TablaMarzo[[ETNIA ]], AD10)</f>
      </c>
      <c r="AH10" s="165"/>
      <c r="AI10" s="12"/>
      <c r="AJ10" s="12"/>
      <c r="AK10" s="226">
        <v>2</v>
      </c>
      <c r="AL10" s="226"/>
      <c r="AM10" s="202">
        <f>COUNTIFS(TablaMarzo[[ COMUNA]], AK10)</f>
      </c>
      <c r="AN10" s="202"/>
      <c r="AO10" s="227">
        <v>4</v>
      </c>
      <c r="AP10" s="227"/>
      <c r="AQ10" s="218">
        <f>COUNTIFS(TablaMarzo[[ COMUNA]], AO10)</f>
      </c>
      <c r="AR10" s="218"/>
      <c r="AS10" s="183"/>
      <c r="AT10" s="183"/>
      <c r="AU10" s="183"/>
      <c r="AV10" s="183"/>
      <c r="AW10" s="183"/>
      <c r="AX10" s="183"/>
      <c r="AY10" s="183"/>
      <c r="AZ10" s="183"/>
      <c r="BA10" s="183"/>
      <c r="BB10" s="183"/>
    </row>
    <row r="11" spans="1:54" ht="26.25" customHeight="1" x14ac:dyDescent="0.2">
      <c r="A11" s="13"/>
      <c r="B11" s="13"/>
      <c r="C11" s="33"/>
      <c r="D11" s="33"/>
      <c r="E11" s="33"/>
      <c r="F11" s="33"/>
      <c r="G11" s="33"/>
      <c r="H11" s="33"/>
      <c r="I11" s="33"/>
      <c r="J11" s="33"/>
      <c r="K11" s="33"/>
      <c r="L11" s="12"/>
      <c r="M11" s="12"/>
      <c r="N11" s="12"/>
      <c r="O11" s="12"/>
      <c r="P11" s="12"/>
      <c r="Q11" s="12"/>
      <c r="R11" s="12"/>
      <c r="S11" s="47" t="s">
        <v>23</v>
      </c>
      <c r="T11" s="115">
        <f>COUNTIFS(TablaMarzo[TIPO DISCAPACIDAD], S11)</f>
      </c>
      <c r="U11" s="13"/>
      <c r="V11" s="13"/>
      <c r="W11" s="164" t="s">
        <v>24</v>
      </c>
      <c r="X11" s="164"/>
      <c r="Y11" s="164"/>
      <c r="Z11" s="147">
        <f>COUNTIFS(TablaMarzo[ORI. SEXUAL], W11)</f>
      </c>
      <c r="AA11" s="148"/>
      <c r="AB11" s="13"/>
      <c r="AC11" s="13"/>
      <c r="AD11" s="164" t="s">
        <v>25</v>
      </c>
      <c r="AE11" s="164"/>
      <c r="AF11" s="164"/>
      <c r="AG11" s="165">
        <f>COUNTIFS(TablaMarzo[[ETNIA ]], AD11)</f>
      </c>
      <c r="AH11" s="165"/>
      <c r="AI11" s="13"/>
      <c r="AJ11" s="13"/>
      <c r="AK11" s="201" t="s">
        <v>26</v>
      </c>
      <c r="AL11" s="201"/>
      <c r="AM11" s="202">
        <f>COUNTIFS(TablaMarzo[[ COMUNA]], AK11)</f>
      </c>
      <c r="AN11" s="202"/>
      <c r="AO11" s="219" t="s">
        <v>27</v>
      </c>
      <c r="AP11" s="219"/>
      <c r="AQ11" s="218">
        <f>COUNTIFS(TablaMarzo[[ COMUNA]], AO11)</f>
      </c>
      <c r="AR11" s="218"/>
      <c r="AS11" s="220"/>
      <c r="AT11" s="220"/>
      <c r="AU11" s="220"/>
      <c r="AV11" s="220"/>
      <c r="AW11" s="220"/>
      <c r="AX11" s="220"/>
      <c r="AY11" s="220"/>
      <c r="AZ11" s="220"/>
      <c r="BA11" s="220"/>
      <c r="BB11" s="220"/>
    </row>
    <row r="12" spans="1:54" ht="26.25" customHeight="1" thickBot="1" x14ac:dyDescent="0.25">
      <c r="A12" s="13"/>
      <c r="B12" s="195" t="s">
        <v>28</v>
      </c>
      <c r="C12" s="198" t="s">
        <v>29</v>
      </c>
      <c r="D12" s="199"/>
      <c r="E12" s="199"/>
      <c r="F12" s="199"/>
      <c r="G12" s="199"/>
      <c r="H12" s="199"/>
      <c r="I12" s="200"/>
      <c r="L12" s="12"/>
      <c r="M12" s="12"/>
      <c r="N12" s="12"/>
      <c r="O12" s="12"/>
      <c r="P12" s="12"/>
      <c r="Q12" s="12"/>
      <c r="R12" s="12"/>
      <c r="S12" s="48" t="s">
        <v>30</v>
      </c>
      <c r="T12" s="115">
        <f>COUNTIFS(TablaMarzo[TIPO DISCAPACIDAD], S12)</f>
      </c>
      <c r="U12" s="13"/>
      <c r="V12" s="13"/>
      <c r="W12" s="164" t="s">
        <v>31</v>
      </c>
      <c r="X12" s="164"/>
      <c r="Y12" s="164"/>
      <c r="Z12" s="147">
        <f>COUNTIFS(TablaMarzo[ORI. SEXUAL], W12)</f>
      </c>
      <c r="AA12" s="148"/>
      <c r="AB12" s="13"/>
      <c r="AC12" s="13"/>
      <c r="AD12" s="164" t="s">
        <v>32</v>
      </c>
      <c r="AE12" s="164"/>
      <c r="AF12" s="164"/>
      <c r="AG12" s="165">
        <f>COUNTIFS(TablaMarzo[[ETNIA ]], AD12)</f>
      </c>
      <c r="AH12" s="165"/>
      <c r="AI12" s="49"/>
      <c r="AJ12" s="49"/>
      <c r="AK12" s="201" t="s">
        <v>33</v>
      </c>
      <c r="AL12" s="201"/>
      <c r="AM12" s="202">
        <f>COUNTIFS(TablaMarzo[[ COMUNA]], AK12)</f>
      </c>
      <c r="AN12" s="202"/>
      <c r="AO12" s="180"/>
      <c r="AP12" s="180"/>
      <c r="AQ12" s="183"/>
      <c r="AR12" s="183"/>
      <c r="AS12" s="220"/>
      <c r="AT12" s="220"/>
      <c r="AU12" s="220"/>
      <c r="AV12" s="220"/>
      <c r="AW12" s="220"/>
      <c r="AX12" s="220"/>
      <c r="AY12" s="220"/>
      <c r="AZ12" s="220"/>
      <c r="BA12" s="220"/>
      <c r="BB12" s="220"/>
    </row>
    <row r="13" spans="1:54" ht="29.25" customHeight="1" thickBot="1" x14ac:dyDescent="0.25">
      <c r="B13" s="196"/>
      <c r="C13" s="50" t="s">
        <v>34</v>
      </c>
      <c r="D13" s="51" t="s">
        <v>35</v>
      </c>
      <c r="E13" s="51" t="s">
        <v>36</v>
      </c>
      <c r="F13" s="203" t="s">
        <v>37</v>
      </c>
      <c r="G13" s="204"/>
      <c r="H13" s="52" t="s">
        <v>38</v>
      </c>
      <c r="I13" s="53" t="s">
        <v>39</v>
      </c>
      <c r="K13" s="54"/>
      <c r="L13" s="55"/>
      <c r="M13" s="12"/>
      <c r="N13" s="12"/>
      <c r="O13" s="205" t="s">
        <v>40</v>
      </c>
      <c r="P13" s="206"/>
      <c r="Q13" s="207"/>
      <c r="R13" s="56"/>
      <c r="S13" s="57" t="s">
        <v>41</v>
      </c>
      <c r="T13" s="115">
        <f>COUNTIFS(TablaMarzo[TIPO DISCAPACIDAD], S13)</f>
      </c>
      <c r="U13" s="56"/>
      <c r="V13" s="56"/>
      <c r="W13" s="160" t="s">
        <v>42</v>
      </c>
      <c r="X13" s="160"/>
      <c r="Y13" s="160"/>
      <c r="Z13" s="147">
        <f>COUNTIFS(TablaMarzo[ORI. SEXUAL], W13)</f>
      </c>
      <c r="AA13" s="148"/>
      <c r="AB13" s="58"/>
      <c r="AC13" s="59"/>
      <c r="AD13" s="208" t="s">
        <v>43</v>
      </c>
      <c r="AE13" s="208"/>
      <c r="AF13" s="208"/>
      <c r="AG13" s="165">
        <f>COUNTIFS(TablaMarzo[[ETNIA ]], AD13)</f>
      </c>
      <c r="AH13" s="165"/>
      <c r="AI13" s="56"/>
      <c r="AJ13" s="56"/>
      <c r="AK13" s="209"/>
      <c r="AL13" s="209"/>
      <c r="AM13" s="182"/>
      <c r="AN13" s="182"/>
      <c r="AO13" s="180"/>
      <c r="AP13" s="180"/>
      <c r="AQ13" s="183"/>
      <c r="AR13" s="183"/>
      <c r="AS13" s="220"/>
      <c r="AT13" s="220"/>
      <c r="AU13" s="220"/>
      <c r="AV13" s="220"/>
      <c r="AW13" s="220"/>
      <c r="AX13" s="220"/>
      <c r="AY13" s="220"/>
      <c r="AZ13" s="220"/>
      <c r="BA13" s="220"/>
      <c r="BB13" s="220"/>
    </row>
    <row r="14" spans="1:54" ht="19.5" customHeight="1" thickBot="1" x14ac:dyDescent="0.25">
      <c r="A14" s="13"/>
      <c r="B14" s="196"/>
      <c r="C14" s="210"/>
      <c r="D14" s="210"/>
      <c r="E14" s="8"/>
      <c r="F14" s="212"/>
      <c r="G14" s="213"/>
      <c r="H14" s="210"/>
      <c r="I14" s="210"/>
      <c r="K14" s="216" t="s">
        <v>44</v>
      </c>
      <c r="L14" s="184">
        <f>COUNTIFS(TablaMarzo[SEXO], K14)</f>
      </c>
      <c r="M14" s="12"/>
      <c r="N14" s="12"/>
      <c r="O14" s="158" t="s">
        <v>45</v>
      </c>
      <c r="P14" s="159"/>
      <c r="Q14" s="116">
        <f>COUNTIFS(TablaMarzo[EDAD], "&lt;6")</f>
      </c>
      <c r="R14" s="56"/>
      <c r="S14" s="47" t="s">
        <v>46</v>
      </c>
      <c r="T14" s="115">
        <f>COUNTIFS(TablaMarzo[TIPO DISCAPACIDAD], S14)</f>
      </c>
      <c r="U14" s="60"/>
      <c r="V14" s="56"/>
      <c r="W14" s="160" t="s">
        <v>47</v>
      </c>
      <c r="X14" s="160"/>
      <c r="Y14" s="160"/>
      <c r="Z14" s="147">
        <f>COUNTIFS(TablaMarzo[ORI. SEXUAL], W14)</f>
      </c>
      <c r="AA14" s="148"/>
      <c r="AB14" s="13"/>
      <c r="AC14" s="13"/>
      <c r="AD14" s="164" t="s">
        <v>48</v>
      </c>
      <c r="AE14" s="164"/>
      <c r="AF14" s="164"/>
      <c r="AG14" s="165">
        <f>COUNTIFS(TablaMarzo[[ETNIA ]], AD14)</f>
      </c>
      <c r="AH14" s="165"/>
      <c r="AI14" s="56"/>
      <c r="AJ14" s="56"/>
      <c r="AK14" s="194"/>
      <c r="AL14" s="194"/>
      <c r="AM14" s="182"/>
      <c r="AN14" s="182"/>
      <c r="AO14" s="180"/>
      <c r="AP14" s="180"/>
      <c r="AQ14" s="183"/>
      <c r="AR14" s="183"/>
      <c r="AV14" s="151"/>
      <c r="AW14" s="152"/>
      <c r="BB14" s="13"/>
    </row>
    <row r="15" spans="1:54" ht="19.5" customHeight="1" thickBot="1" x14ac:dyDescent="0.25">
      <c r="A15" s="13"/>
      <c r="B15" s="196"/>
      <c r="C15" s="211"/>
      <c r="D15" s="211"/>
      <c r="E15" s="9"/>
      <c r="F15" s="214"/>
      <c r="G15" s="215"/>
      <c r="H15" s="211"/>
      <c r="I15" s="211"/>
      <c r="K15" s="217"/>
      <c r="L15" s="185"/>
      <c r="M15" s="12"/>
      <c r="N15" s="12"/>
      <c r="O15" s="192" t="s">
        <v>49</v>
      </c>
      <c r="P15" s="193"/>
      <c r="Q15" s="116">
        <f>COUNTIFS(TablaMarzo[EDAD], "&gt;5", TablaMarzo[EDAD], "&lt;11")</f>
      </c>
      <c r="R15" s="56"/>
      <c r="S15" s="57" t="s">
        <v>50</v>
      </c>
      <c r="T15" s="115">
        <f>COUNTIFS(TablaMarzo[TIPO DISCAPACIDAD], S15)</f>
      </c>
      <c r="U15" s="60"/>
      <c r="V15" s="56"/>
      <c r="W15" s="160" t="s">
        <v>51</v>
      </c>
      <c r="X15" s="160"/>
      <c r="Y15" s="160"/>
      <c r="Z15" s="147">
        <f>COUNTIFS(TablaMarzo[ORI. SEXUAL], W15)</f>
      </c>
      <c r="AA15" s="148"/>
      <c r="AB15" s="58"/>
      <c r="AC15" s="59"/>
      <c r="AD15" s="179" t="s">
        <v>52</v>
      </c>
      <c r="AE15" s="179"/>
      <c r="AF15" s="179"/>
      <c r="AG15" s="165">
        <f>COUNTIFS(TablaMarzo[[ETNIA ]], AD15)</f>
      </c>
      <c r="AH15" s="165"/>
      <c r="AI15" s="56"/>
      <c r="AJ15" s="56"/>
      <c r="AK15" s="180"/>
      <c r="AL15" s="181"/>
      <c r="AM15" s="182"/>
      <c r="AN15" s="182"/>
      <c r="AO15" s="180"/>
      <c r="AP15" s="180"/>
      <c r="AQ15" s="183"/>
      <c r="AR15" s="183"/>
      <c r="AV15" s="151"/>
      <c r="AW15" s="152"/>
      <c r="AX15" s="186" t="s">
        <v>53</v>
      </c>
      <c r="AY15" s="186"/>
      <c r="AZ15" s="186"/>
      <c r="BA15" s="186"/>
      <c r="BB15" s="13"/>
    </row>
    <row r="16" spans="1:54" ht="19.5" customHeight="1" thickBot="1" x14ac:dyDescent="0.25">
      <c r="A16" s="13"/>
      <c r="B16" s="196"/>
      <c r="C16" s="187" t="s">
        <v>54</v>
      </c>
      <c r="D16" s="188"/>
      <c r="E16" s="188"/>
      <c r="F16" s="188"/>
      <c r="G16" s="188"/>
      <c r="H16" s="188"/>
      <c r="I16" s="189"/>
      <c r="K16" s="190" t="s">
        <v>55</v>
      </c>
      <c r="L16" s="184">
        <f>COUNTIFS(TablaMarzo[SEXO], K16)</f>
      </c>
      <c r="M16" s="12"/>
      <c r="N16" s="12"/>
      <c r="O16" s="158" t="s">
        <v>56</v>
      </c>
      <c r="P16" s="159"/>
      <c r="Q16" s="116">
        <f>COUNTIFS(TablaMarzo[EDAD], "&gt;10", TablaMarzo[EDAD], "&lt;15")</f>
      </c>
      <c r="R16" s="56"/>
      <c r="S16" s="47" t="s">
        <v>57</v>
      </c>
      <c r="T16" s="115">
        <f>COUNTIFS(TablaMarzo[TIPO DISCAPACIDAD], S16)</f>
      </c>
      <c r="U16" s="60"/>
      <c r="V16" s="56"/>
      <c r="W16" s="160" t="s">
        <v>58</v>
      </c>
      <c r="X16" s="160"/>
      <c r="Y16" s="160"/>
      <c r="Z16" s="147">
        <f>COUNTIFS(TablaMarzo[ORI. SEXUAL], W16)</f>
      </c>
      <c r="AA16" s="148"/>
      <c r="AB16" s="58"/>
      <c r="AC16" s="59"/>
      <c r="AD16" s="179" t="s">
        <v>59</v>
      </c>
      <c r="AE16" s="179"/>
      <c r="AF16" s="179"/>
      <c r="AG16" s="165">
        <f>COUNTIFS(TablaMarzo[[ETNIA ]], AD16)</f>
      </c>
      <c r="AH16" s="165"/>
      <c r="AI16" s="56"/>
      <c r="AJ16" s="56"/>
      <c r="AK16" s="180"/>
      <c r="AL16" s="180"/>
      <c r="AM16" s="181"/>
      <c r="AN16" s="181"/>
      <c r="AO16" s="56"/>
      <c r="AP16" s="56"/>
      <c r="AQ16" s="33"/>
      <c r="AV16" s="151"/>
      <c r="AW16" s="152"/>
      <c r="AX16" s="186"/>
      <c r="AY16" s="186"/>
      <c r="AZ16" s="186"/>
      <c r="BA16" s="186"/>
      <c r="BB16" s="13"/>
    </row>
    <row r="17" spans="1:54" ht="19.5" customHeight="1" thickBot="1" x14ac:dyDescent="0.25">
      <c r="A17" s="13"/>
      <c r="B17" s="196"/>
      <c r="C17" s="175" t="s">
        <v>60</v>
      </c>
      <c r="D17" s="176"/>
      <c r="E17" s="175" t="s">
        <v>61</v>
      </c>
      <c r="F17" s="177"/>
      <c r="G17" s="176"/>
      <c r="H17" s="175" t="s">
        <v>62</v>
      </c>
      <c r="I17" s="176"/>
      <c r="K17" s="191"/>
      <c r="L17" s="185"/>
      <c r="M17" s="12"/>
      <c r="N17" s="12"/>
      <c r="O17" s="158" t="s">
        <v>63</v>
      </c>
      <c r="P17" s="159"/>
      <c r="Q17" s="116">
        <f>COUNTIFS(TablaMarzo[EDAD], "&gt;14", TablaMarzo[EDAD], "&lt;20")</f>
      </c>
      <c r="R17" s="56"/>
      <c r="S17" s="57" t="s">
        <v>64</v>
      </c>
      <c r="T17" s="115">
        <f>COUNTIFS(TablaMarzo[TIPO DISCAPACIDAD], S17)</f>
      </c>
      <c r="U17" s="61"/>
      <c r="V17" s="60"/>
      <c r="W17" s="178" t="s">
        <v>65</v>
      </c>
      <c r="X17" s="178"/>
      <c r="Y17" s="178"/>
      <c r="Z17" s="147">
        <f>COUNTIFS(TablaMarzo[ORI. SEXUAL], W17)</f>
      </c>
      <c r="AA17" s="148"/>
      <c r="AB17" s="13"/>
      <c r="AC17" s="13"/>
      <c r="AD17" s="164" t="s">
        <v>66</v>
      </c>
      <c r="AE17" s="164"/>
      <c r="AF17" s="164"/>
      <c r="AG17" s="165">
        <f>COUNTIFS(TablaMarzo[[ETNIA ]], AD17)</f>
      </c>
      <c r="AH17" s="165"/>
      <c r="AI17" s="56"/>
      <c r="AJ17" s="56"/>
      <c r="AK17" s="56"/>
      <c r="AL17" s="56"/>
      <c r="AM17" s="56"/>
      <c r="AN17" s="149"/>
      <c r="AO17" s="150"/>
      <c r="AP17" s="150"/>
      <c r="AQ17" s="33"/>
      <c r="AV17" s="151"/>
      <c r="AW17" s="152"/>
      <c r="AX17" s="166" t="s">
        <v>67</v>
      </c>
      <c r="AY17" s="167"/>
      <c r="AZ17" s="168"/>
      <c r="BA17" s="62" t="s">
        <v>68</v>
      </c>
      <c r="BB17" s="13"/>
    </row>
    <row r="18" spans="1:54" ht="19.5" customHeight="1" thickBot="1" x14ac:dyDescent="0.25">
      <c r="A18" s="13"/>
      <c r="B18" s="197"/>
      <c r="C18" s="169"/>
      <c r="D18" s="170"/>
      <c r="E18" s="169"/>
      <c r="F18" s="171"/>
      <c r="G18" s="170"/>
      <c r="H18" s="169"/>
      <c r="I18" s="170"/>
      <c r="L18" s="12"/>
      <c r="M18" s="12"/>
      <c r="N18" s="12"/>
      <c r="O18" s="158" t="s">
        <v>69</v>
      </c>
      <c r="P18" s="159"/>
      <c r="Q18" s="116">
        <f>COUNTIFS(TablaMarzo[EDAD], "&gt;19", TablaMarzo[EDAD], "&lt;60")</f>
      </c>
      <c r="R18" s="56"/>
      <c r="S18" s="47" t="s">
        <v>70</v>
      </c>
      <c r="T18" s="115">
        <f>COUNTIFS(TablaMarzo[TIPO DISCAPACIDAD], S18)</f>
      </c>
      <c r="U18" s="60"/>
      <c r="V18" s="56"/>
      <c r="W18" s="172" t="s">
        <v>71</v>
      </c>
      <c r="X18" s="173"/>
      <c r="Y18" s="174"/>
      <c r="Z18" s="147">
        <f>COUNTIFS(TablaMarzo[ORI. SEXUAL], W18)</f>
      </c>
      <c r="AA18" s="148"/>
      <c r="AB18" s="13"/>
      <c r="AC18" s="13"/>
      <c r="AD18" s="13"/>
      <c r="AE18" s="13"/>
      <c r="AF18" s="13"/>
      <c r="AG18" s="13"/>
      <c r="AH18" s="60"/>
      <c r="AI18" s="56"/>
      <c r="AJ18" s="56"/>
      <c r="AK18" s="56"/>
      <c r="AL18" s="56"/>
      <c r="AM18" s="56"/>
      <c r="AN18" s="149"/>
      <c r="AO18" s="150"/>
      <c r="AP18" s="150"/>
      <c r="AQ18" s="33"/>
      <c r="AV18" s="151"/>
      <c r="AW18" s="152"/>
      <c r="AX18" s="153" t="s">
        <v>72</v>
      </c>
      <c r="AY18" s="154"/>
      <c r="AZ18" s="155"/>
      <c r="BA18" s="63" t="s">
        <v>73</v>
      </c>
      <c r="BB18" s="13"/>
    </row>
    <row r="19" spans="1:54" ht="19.5" customHeight="1" thickBot="1" x14ac:dyDescent="0.25">
      <c r="A19" s="13"/>
      <c r="B19" s="64"/>
      <c r="C19" s="43"/>
      <c r="D19" s="43"/>
      <c r="E19" s="43"/>
      <c r="F19" s="65"/>
      <c r="G19" s="66"/>
      <c r="H19" s="66"/>
      <c r="I19" s="66"/>
      <c r="J19" s="66"/>
      <c r="K19" s="156" t="s">
        <v>74</v>
      </c>
      <c r="L19" s="157"/>
      <c r="M19" s="12"/>
      <c r="N19" s="12"/>
      <c r="O19" s="158" t="s">
        <v>75</v>
      </c>
      <c r="P19" s="159"/>
      <c r="Q19" s="116">
        <f>COUNTIFS(TablaMarzo[EDAD], "&gt;59")</f>
      </c>
      <c r="R19" s="56"/>
      <c r="U19" s="60"/>
      <c r="V19" s="56"/>
      <c r="W19" s="160" t="s">
        <v>66</v>
      </c>
      <c r="X19" s="160"/>
      <c r="Y19" s="160"/>
      <c r="Z19" s="147">
        <f>COUNTIFS(TablaMarzo[ORI. SEXUAL], W19)</f>
      </c>
      <c r="AA19" s="148"/>
      <c r="AB19" s="13"/>
      <c r="AC19" s="13"/>
      <c r="AD19" s="13"/>
      <c r="AE19" s="13"/>
      <c r="AF19" s="13"/>
      <c r="AG19" s="13"/>
      <c r="AH19" s="67"/>
      <c r="AI19" s="68"/>
      <c r="AJ19" s="68" t="s">
        <v>76</v>
      </c>
      <c r="AK19" s="68"/>
      <c r="AL19" s="68"/>
      <c r="AM19" s="68"/>
      <c r="AN19" s="68"/>
      <c r="AO19" s="68"/>
      <c r="AP19" s="68"/>
      <c r="AQ19" s="33"/>
      <c r="AV19" s="151"/>
      <c r="AW19" s="152"/>
      <c r="AX19" s="161" t="s">
        <v>77</v>
      </c>
      <c r="AY19" s="162"/>
      <c r="AZ19" s="163"/>
      <c r="BA19" s="69" t="s">
        <v>78</v>
      </c>
      <c r="BB19" s="13"/>
    </row>
    <row r="20" spans="1:54" ht="20.25" customHeight="1" thickBot="1" x14ac:dyDescent="0.25">
      <c r="A20" s="13"/>
      <c r="B20" s="33"/>
      <c r="C20" s="33"/>
      <c r="D20" s="33"/>
      <c r="E20" s="33"/>
      <c r="F20" s="65"/>
      <c r="G20" s="66"/>
      <c r="H20" s="66"/>
      <c r="I20" s="66"/>
      <c r="J20" s="66"/>
      <c r="K20" s="70" t="s">
        <v>79</v>
      </c>
      <c r="L20" s="117">
        <f>COUNTIF(TablaMarzo[VICTIMA CONF. ARMADO], K20)</f>
      </c>
      <c r="M20" s="12"/>
      <c r="N20" s="12"/>
      <c r="O20" s="12"/>
      <c r="P20" s="12"/>
      <c r="Q20" s="12"/>
      <c r="R20" s="12"/>
      <c r="S20" s="12"/>
      <c r="T20" s="3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68"/>
      <c r="AI20" s="68"/>
      <c r="AJ20" s="68"/>
      <c r="AK20" s="68"/>
      <c r="AL20" s="68"/>
      <c r="AM20" s="68"/>
      <c r="AN20" s="68"/>
      <c r="AO20" s="68"/>
      <c r="AP20" s="68"/>
      <c r="AQ20" s="33"/>
      <c r="AR20" s="33"/>
      <c r="AS20" s="33"/>
      <c r="AT20" s="33"/>
      <c r="AU20" s="33"/>
      <c r="AV20" s="33"/>
      <c r="AW20" s="33"/>
      <c r="AX20" s="33"/>
      <c r="AY20" s="33"/>
      <c r="AZ20" s="13"/>
      <c r="BA20" s="13"/>
      <c r="BB20" s="13"/>
    </row>
    <row r="21" spans="1:54" ht="18.75" customHeight="1" thickBot="1" x14ac:dyDescent="0.25">
      <c r="A21" s="13"/>
      <c r="B21" s="13"/>
      <c r="C21" s="33"/>
      <c r="D21" s="33"/>
      <c r="E21" s="33"/>
      <c r="F21" s="33"/>
      <c r="G21" s="33"/>
      <c r="H21" s="33"/>
      <c r="I21" s="33"/>
      <c r="J21" s="33"/>
      <c r="K21" s="71" t="s">
        <v>80</v>
      </c>
      <c r="L21" s="117">
        <f>COUNTIF(TablaMarzo[VICTIMA CONF. ARMADO], K21)</f>
      </c>
      <c r="M21" s="12"/>
      <c r="N21" s="12"/>
      <c r="O21" s="12"/>
      <c r="P21" s="12"/>
      <c r="Q21" s="12"/>
      <c r="R21" s="12"/>
      <c r="S21" s="12"/>
      <c r="T21" s="33"/>
      <c r="U21" s="135" t="s">
        <v>135</v>
      </c>
      <c r="V21" s="136"/>
      <c r="W21" s="136"/>
      <c r="X21" s="136"/>
      <c r="Y21" s="136"/>
      <c r="Z21" s="136"/>
      <c r="AA21" s="136"/>
      <c r="AB21" s="136"/>
      <c r="AC21" s="136"/>
      <c r="AD21" s="136"/>
      <c r="AE21" s="136"/>
      <c r="AF21" s="136"/>
      <c r="AG21" s="136"/>
      <c r="AH21" s="136"/>
      <c r="AI21" s="136"/>
      <c r="AJ21" s="136"/>
      <c r="AK21" s="136"/>
      <c r="AL21" s="136"/>
      <c r="AM21" s="136"/>
      <c r="AN21" s="136"/>
      <c r="AO21" s="136"/>
      <c r="AP21" s="136"/>
      <c r="AQ21" s="136"/>
      <c r="AR21" s="136"/>
      <c r="AS21" s="136"/>
      <c r="AT21" s="136"/>
      <c r="AU21" s="136"/>
      <c r="AV21" s="136"/>
      <c r="AW21" s="136"/>
      <c r="AX21" s="136"/>
      <c r="AY21" s="137"/>
      <c r="AZ21" s="141" t="s">
        <v>81</v>
      </c>
      <c r="BA21" s="142"/>
      <c r="BB21" s="143"/>
    </row>
    <row r="22" spans="1:54" ht="15" customHeight="1" thickBot="1" x14ac:dyDescent="0.25">
      <c r="A22" s="13"/>
      <c r="B22" s="13"/>
      <c r="C22" s="33"/>
      <c r="D22" s="33"/>
      <c r="E22" s="33"/>
      <c r="F22" s="33"/>
      <c r="G22" s="33"/>
      <c r="H22" s="33"/>
      <c r="I22" s="33"/>
      <c r="J22" s="33"/>
      <c r="K22" s="33"/>
      <c r="L22" s="72"/>
      <c r="M22" s="72"/>
      <c r="N22" s="72"/>
      <c r="O22" s="72"/>
      <c r="P22" s="72"/>
      <c r="Q22" s="12"/>
      <c r="R22" s="12"/>
      <c r="S22" s="12"/>
      <c r="T22" s="73"/>
      <c r="U22" s="138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  <c r="AF22" s="139"/>
      <c r="AG22" s="139"/>
      <c r="AH22" s="139"/>
      <c r="AI22" s="139"/>
      <c r="AJ22" s="139"/>
      <c r="AK22" s="139"/>
      <c r="AL22" s="139"/>
      <c r="AM22" s="139"/>
      <c r="AN22" s="139"/>
      <c r="AO22" s="139"/>
      <c r="AP22" s="139"/>
      <c r="AQ22" s="139"/>
      <c r="AR22" s="139"/>
      <c r="AS22" s="139"/>
      <c r="AT22" s="139"/>
      <c r="AU22" s="139"/>
      <c r="AV22" s="139"/>
      <c r="AW22" s="139"/>
      <c r="AX22" s="139"/>
      <c r="AY22" s="140"/>
      <c r="AZ22" s="144"/>
      <c r="BA22" s="145"/>
      <c r="BB22" s="146"/>
    </row>
    <row r="23" spans="1:54" ht="42" customHeight="1" x14ac:dyDescent="0.2">
      <c r="A23" s="74" t="s">
        <v>82</v>
      </c>
      <c r="B23" s="108" t="s">
        <v>83</v>
      </c>
      <c r="C23" s="108" t="s">
        <v>84</v>
      </c>
      <c r="D23" s="108" t="s">
        <v>85</v>
      </c>
      <c r="E23" s="108" t="s">
        <v>86</v>
      </c>
      <c r="F23" s="109" t="s">
        <v>87</v>
      </c>
      <c r="G23" s="110" t="s">
        <v>88</v>
      </c>
      <c r="H23" s="109" t="s">
        <v>89</v>
      </c>
      <c r="I23" s="111" t="s">
        <v>90</v>
      </c>
      <c r="J23" s="112" t="s">
        <v>91</v>
      </c>
      <c r="K23" s="75" t="s">
        <v>92</v>
      </c>
      <c r="L23" s="76" t="s">
        <v>93</v>
      </c>
      <c r="M23" s="77" t="s">
        <v>94</v>
      </c>
      <c r="N23" s="78" t="s">
        <v>95</v>
      </c>
      <c r="O23" s="79" t="s">
        <v>96</v>
      </c>
      <c r="P23" s="113" t="s">
        <v>97</v>
      </c>
      <c r="Q23" s="80" t="s">
        <v>98</v>
      </c>
      <c r="R23" s="80" t="s">
        <v>99</v>
      </c>
      <c r="S23" s="80" t="s">
        <v>100</v>
      </c>
      <c r="T23" s="81" t="s">
        <v>101</v>
      </c>
      <c r="U23" s="28" t="s">
        <v>102</v>
      </c>
      <c r="V23" s="28" t="s">
        <v>103</v>
      </c>
      <c r="W23" s="27" t="s">
        <v>104</v>
      </c>
      <c r="X23" s="122" t="s">
        <v>105</v>
      </c>
      <c r="Y23" s="26" t="s">
        <v>106</v>
      </c>
      <c r="Z23" s="26" t="s">
        <v>107</v>
      </c>
      <c r="AA23" s="28" t="s">
        <v>108</v>
      </c>
      <c r="AB23" s="28" t="s">
        <v>109</v>
      </c>
      <c r="AC23" s="28" t="s">
        <v>110</v>
      </c>
      <c r="AD23" s="26" t="s">
        <v>111</v>
      </c>
      <c r="AE23" s="122" t="s">
        <v>112</v>
      </c>
      <c r="AF23" s="26" t="s">
        <v>113</v>
      </c>
      <c r="AG23" s="122" t="s">
        <v>114</v>
      </c>
      <c r="AH23" s="26" t="s">
        <v>115</v>
      </c>
      <c r="AI23" s="28" t="s">
        <v>116</v>
      </c>
      <c r="AJ23" s="28" t="s">
        <v>117</v>
      </c>
      <c r="AK23" s="28" t="s">
        <v>118</v>
      </c>
      <c r="AL23" s="122" t="s">
        <v>119</v>
      </c>
      <c r="AM23" s="26" t="s">
        <v>120</v>
      </c>
      <c r="AN23" s="122" t="s">
        <v>121</v>
      </c>
      <c r="AO23" s="122" t="s">
        <v>122</v>
      </c>
      <c r="AP23" s="28" t="s">
        <v>123</v>
      </c>
      <c r="AQ23" s="125" t="s">
        <v>124</v>
      </c>
      <c r="AR23" s="29" t="s">
        <v>125</v>
      </c>
      <c r="AS23" s="123" t="s">
        <v>126</v>
      </c>
      <c r="AT23" s="26" t="s">
        <v>127</v>
      </c>
      <c r="AU23" s="122" t="s">
        <v>128</v>
      </c>
      <c r="AV23" s="122" t="s">
        <v>129</v>
      </c>
      <c r="AW23" s="28" t="s">
        <v>130</v>
      </c>
      <c r="AX23" s="124" t="s">
        <v>131</v>
      </c>
      <c r="AY23" s="122" t="s">
        <v>132</v>
      </c>
      <c r="AZ23" s="82" t="s">
        <v>68</v>
      </c>
      <c r="BA23" s="82" t="s">
        <v>73</v>
      </c>
      <c r="BB23" s="83" t="s">
        <v>78</v>
      </c>
    </row>
    <row r="24" spans="1:54" ht="15.75" customHeight="1" x14ac:dyDescent="0.2">
      <c r="A24" s="84"/>
      <c r="B24" s="85"/>
      <c r="C24" s="85"/>
      <c r="D24" s="85"/>
      <c r="E24" s="86"/>
      <c r="F24" s="16">
        <f>IF(E24="","",DATEDIF(E24,$I$7,"Y"))</f>
      </c>
      <c r="G24" s="85"/>
      <c r="H24" s="85"/>
      <c r="I24" s="87"/>
      <c r="J24" s="85"/>
      <c r="K24" s="85"/>
      <c r="L24" s="2"/>
      <c r="M24" s="2"/>
      <c r="N24" s="2"/>
      <c r="O24" s="2"/>
      <c r="P24" s="85"/>
      <c r="Q24" s="88"/>
      <c r="R24" s="3">
        <f>IFERROR(VLOOKUP(TablaMarzo[[#This Row],[BARRIO]],SECTOR!$A:$B,2,0),"")</f>
      </c>
      <c r="S24" s="89"/>
      <c r="T24" s="90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17">
        <f>COUNTIF(U24:AY24,"A")</f>
      </c>
      <c r="BA24" s="17">
        <f>COUNTIF(U24:AY24,"F")</f>
      </c>
      <c r="BB24" s="17">
        <f>COUNTIF(U24:AY24,"E")</f>
      </c>
    </row>
    <row r="25" spans="1:54" ht="15.75" customHeight="1" x14ac:dyDescent="0.2">
      <c r="A25" s="84"/>
      <c r="B25" s="85"/>
      <c r="C25" s="85"/>
      <c r="D25" s="85"/>
      <c r="E25" s="86"/>
      <c r="F25" s="16">
        <f>IF(E25="","",DATEDIF(E25,$I$7,"Y"))</f>
      </c>
      <c r="G25" s="85"/>
      <c r="H25" s="85"/>
      <c r="I25" s="87"/>
      <c r="J25" s="85"/>
      <c r="K25" s="85"/>
      <c r="L25" s="2"/>
      <c r="M25" s="2"/>
      <c r="N25" s="1"/>
      <c r="O25" s="1"/>
      <c r="P25" s="85"/>
      <c r="Q25" s="88"/>
      <c r="R25" s="3">
        <f>IFERROR(VLOOKUP(TablaMarzo[[#This Row],[BARRIO]],SECTOR!$A:$B,2,0),"")</f>
      </c>
      <c r="S25" s="89"/>
      <c r="T25" s="90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17">
        <f>COUNTIF(U25:AY25,"A")</f>
      </c>
      <c r="BA25" s="17">
        <f>COUNTIF(U25:AY25,"F")</f>
      </c>
      <c r="BB25" s="17">
        <f>COUNTIF(U25:AY25,"E")</f>
      </c>
    </row>
    <row r="26" spans="1:54" ht="15.75" customHeight="1" x14ac:dyDescent="0.2">
      <c r="A26" s="84"/>
      <c r="B26" s="85"/>
      <c r="C26" s="85"/>
      <c r="D26" s="85"/>
      <c r="E26" s="86"/>
      <c r="F26" s="16">
        <f>IF(E26="","",DATEDIF(E26,$I$7,"Y"))</f>
      </c>
      <c r="G26" s="85"/>
      <c r="H26" s="85"/>
      <c r="I26" s="87"/>
      <c r="J26" s="85"/>
      <c r="K26" s="85"/>
      <c r="L26" s="2"/>
      <c r="M26" s="2"/>
      <c r="N26" s="1"/>
      <c r="O26" s="1"/>
      <c r="P26" s="85"/>
      <c r="Q26" s="88"/>
      <c r="R26" s="3">
        <f>IFERROR(VLOOKUP(TablaMarzo[[#This Row],[BARRIO]],SECTOR!$A:$B,2,0),"")</f>
      </c>
      <c r="S26" s="89"/>
      <c r="T26" s="90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17">
        <f>COUNTIF(U26:AY26,"A")</f>
      </c>
      <c r="BA26" s="17">
        <f>COUNTIF(U26:AY26,"F")</f>
      </c>
      <c r="BB26" s="17">
        <f>COUNTIF(U26:AY26,"E")</f>
      </c>
    </row>
    <row r="27" spans="1:54" ht="15.75" customHeight="1" x14ac:dyDescent="0.2">
      <c r="A27" s="84"/>
      <c r="B27" s="85"/>
      <c r="C27" s="85"/>
      <c r="D27" s="85"/>
      <c r="E27" s="86"/>
      <c r="F27" s="16">
        <f>IF(E27="","",DATEDIF(E27,$I$7,"Y"))</f>
      </c>
      <c r="G27" s="85"/>
      <c r="H27" s="85"/>
      <c r="I27" s="87"/>
      <c r="J27" s="85"/>
      <c r="K27" s="85"/>
      <c r="L27" s="2"/>
      <c r="M27" s="2"/>
      <c r="N27" s="1"/>
      <c r="O27" s="1"/>
      <c r="P27" s="85"/>
      <c r="Q27" s="88"/>
      <c r="R27" s="3">
        <f>IFERROR(VLOOKUP(TablaMarzo[[#This Row],[BARRIO]],SECTOR!$A:$B,2,0),"")</f>
      </c>
      <c r="S27" s="89"/>
      <c r="T27" s="90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17">
        <f>COUNTIF(U27:AY27,"A")</f>
      </c>
      <c r="BA27" s="17">
        <f>COUNTIF(U27:AY27,"F")</f>
      </c>
      <c r="BB27" s="17">
        <f>COUNTIF(U27:AY27,"E")</f>
      </c>
    </row>
    <row r="28" spans="1:54" ht="15.75" customHeight="1" x14ac:dyDescent="0.2">
      <c r="A28" s="84"/>
      <c r="B28" s="85"/>
      <c r="C28" s="85"/>
      <c r="D28" s="85"/>
      <c r="E28" s="86"/>
      <c r="F28" s="16">
        <f>IF(E28="","",DATEDIF(E28,$I$7,"Y"))</f>
      </c>
      <c r="G28" s="85"/>
      <c r="H28" s="85"/>
      <c r="I28" s="87"/>
      <c r="J28" s="85"/>
      <c r="K28" s="85"/>
      <c r="L28" s="2"/>
      <c r="M28" s="2"/>
      <c r="N28" s="1"/>
      <c r="O28" s="1"/>
      <c r="P28" s="85"/>
      <c r="Q28" s="88"/>
      <c r="R28" s="3">
        <f>IFERROR(VLOOKUP(TablaMarzo[[#This Row],[BARRIO]],SECTOR!$A:$B,2,0),"")</f>
      </c>
      <c r="S28" s="89"/>
      <c r="T28" s="90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17">
        <f>COUNTIF(U28:AY28,"A")</f>
      </c>
      <c r="BA28" s="17">
        <f>COUNTIF(U28:AY28,"F")</f>
      </c>
      <c r="BB28" s="17">
        <f>COUNTIF(U28:AY28,"E")</f>
      </c>
    </row>
    <row r="29" spans="1:54" ht="15.75" customHeight="1" x14ac:dyDescent="0.2">
      <c r="A29" s="84"/>
      <c r="B29" s="85"/>
      <c r="C29" s="85"/>
      <c r="D29" s="85"/>
      <c r="E29" s="86"/>
      <c r="F29" s="16">
        <f>IF(E29="","",DATEDIF(E29,$I$7,"Y"))</f>
      </c>
      <c r="G29" s="85"/>
      <c r="H29" s="85"/>
      <c r="I29" s="87"/>
      <c r="J29" s="85"/>
      <c r="K29" s="85"/>
      <c r="L29" s="2"/>
      <c r="M29" s="2"/>
      <c r="N29" s="1"/>
      <c r="O29" s="1"/>
      <c r="P29" s="85"/>
      <c r="Q29" s="88"/>
      <c r="R29" s="3">
        <f>IFERROR(VLOOKUP(TablaMarzo[[#This Row],[BARRIO]],SECTOR!$A:$B,2,0),"")</f>
      </c>
      <c r="S29" s="89"/>
      <c r="T29" s="90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17">
        <f>COUNTIF(U29:AY29,"A")</f>
      </c>
      <c r="BA29" s="17">
        <f>COUNTIF(U29:AY29,"F")</f>
      </c>
      <c r="BB29" s="17">
        <f>COUNTIF(U29:AY29,"E")</f>
      </c>
    </row>
    <row r="30" spans="1:54" ht="15.75" customHeight="1" x14ac:dyDescent="0.2">
      <c r="A30" s="84"/>
      <c r="B30" s="85"/>
      <c r="C30" s="85"/>
      <c r="D30" s="85"/>
      <c r="E30" s="86"/>
      <c r="F30" s="16">
        <f>IF(E30="","",DATEDIF(E30,$I$7,"Y"))</f>
      </c>
      <c r="G30" s="85"/>
      <c r="H30" s="85"/>
      <c r="I30" s="87"/>
      <c r="J30" s="85"/>
      <c r="K30" s="85"/>
      <c r="L30" s="2"/>
      <c r="M30" s="2"/>
      <c r="N30" s="1"/>
      <c r="O30" s="1"/>
      <c r="P30" s="85"/>
      <c r="Q30" s="88"/>
      <c r="R30" s="3">
        <f>IFERROR(VLOOKUP(TablaMarzo[[#This Row],[BARRIO]],SECTOR!$A:$B,2,0),"")</f>
      </c>
      <c r="S30" s="89"/>
      <c r="T30" s="90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17">
        <f>COUNTIF(U30:AY30,"A")</f>
      </c>
      <c r="BA30" s="17">
        <f>COUNTIF(U30:AY30,"F")</f>
      </c>
      <c r="BB30" s="17">
        <f>COUNTIF(U30:AY30,"E")</f>
      </c>
    </row>
    <row r="31" spans="1:54" ht="15.75" customHeight="1" x14ac:dyDescent="0.2">
      <c r="A31" s="84"/>
      <c r="B31" s="85"/>
      <c r="C31" s="85"/>
      <c r="D31" s="85"/>
      <c r="E31" s="86"/>
      <c r="F31" s="16">
        <f>IF(E31="","",DATEDIF(E31,$I$7,"Y"))</f>
      </c>
      <c r="G31" s="85"/>
      <c r="H31" s="85"/>
      <c r="I31" s="87"/>
      <c r="J31" s="85"/>
      <c r="K31" s="85"/>
      <c r="L31" s="2"/>
      <c r="M31" s="2"/>
      <c r="N31" s="1"/>
      <c r="O31" s="1"/>
      <c r="P31" s="85"/>
      <c r="Q31" s="88"/>
      <c r="R31" s="3">
        <f>IFERROR(VLOOKUP(TablaMarzo[[#This Row],[BARRIO]],SECTOR!$A:$B,2,0),"")</f>
      </c>
      <c r="S31" s="89"/>
      <c r="T31" s="90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17">
        <f>COUNTIF(U31:AY31,"A")</f>
      </c>
      <c r="BA31" s="17">
        <f>COUNTIF(U31:AY31,"F")</f>
      </c>
      <c r="BB31" s="17">
        <f>COUNTIF(U31:AY31,"E")</f>
      </c>
    </row>
    <row r="32" spans="1:54" ht="15.75" customHeight="1" x14ac:dyDescent="0.2">
      <c r="A32" s="84"/>
      <c r="B32" s="85"/>
      <c r="C32" s="85"/>
      <c r="D32" s="85"/>
      <c r="E32" s="86"/>
      <c r="F32" s="16">
        <f>IF(E32="","",DATEDIF(E32,$I$7,"Y"))</f>
      </c>
      <c r="G32" s="85"/>
      <c r="H32" s="85"/>
      <c r="I32" s="87"/>
      <c r="J32" s="85"/>
      <c r="K32" s="85"/>
      <c r="L32" s="2"/>
      <c r="M32" s="2"/>
      <c r="N32" s="1"/>
      <c r="O32" s="1"/>
      <c r="P32" s="85"/>
      <c r="Q32" s="88"/>
      <c r="R32" s="3">
        <f>IFERROR(VLOOKUP(TablaMarzo[[#This Row],[BARRIO]],SECTOR!$A:$B,2,0),"")</f>
      </c>
      <c r="S32" s="89"/>
      <c r="T32" s="90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17">
        <f>COUNTIF(U32:AY32,"A")</f>
      </c>
      <c r="BA32" s="17">
        <f>COUNTIF(U32:AY32,"F")</f>
      </c>
      <c r="BB32" s="17">
        <f>COUNTIF(U32:AY32,"E")</f>
      </c>
    </row>
    <row r="33" spans="1:54" ht="15.75" customHeight="1" x14ac:dyDescent="0.2">
      <c r="A33" s="84"/>
      <c r="B33" s="85"/>
      <c r="C33" s="85"/>
      <c r="D33" s="85"/>
      <c r="E33" s="86"/>
      <c r="F33" s="16">
        <f>IF(E33="","",DATEDIF(E33,$I$7,"Y"))</f>
      </c>
      <c r="G33" s="85"/>
      <c r="H33" s="85"/>
      <c r="I33" s="87"/>
      <c r="J33" s="85"/>
      <c r="K33" s="85"/>
      <c r="L33" s="2"/>
      <c r="M33" s="2"/>
      <c r="N33" s="1"/>
      <c r="O33" s="1"/>
      <c r="P33" s="85"/>
      <c r="Q33" s="88"/>
      <c r="R33" s="3">
        <f>IFERROR(VLOOKUP(TablaMarzo[[#This Row],[BARRIO]],SECTOR!$A:$B,2,0),"")</f>
      </c>
      <c r="S33" s="89"/>
      <c r="T33" s="90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17">
        <f>COUNTIF(U33:AY33,"A")</f>
      </c>
      <c r="BA33" s="17">
        <f>COUNTIF(U33:AY33,"F")</f>
      </c>
      <c r="BB33" s="17">
        <f>COUNTIF(U33:AY33,"E")</f>
      </c>
    </row>
    <row r="34" spans="1:54" ht="15.75" customHeight="1" x14ac:dyDescent="0.2">
      <c r="A34" s="84"/>
      <c r="B34" s="85"/>
      <c r="C34" s="85"/>
      <c r="D34" s="85"/>
      <c r="E34" s="86"/>
      <c r="F34" s="16">
        <f>IF(E34="","",DATEDIF(E34,$I$7,"Y"))</f>
      </c>
      <c r="G34" s="85"/>
      <c r="H34" s="85"/>
      <c r="I34" s="87"/>
      <c r="J34" s="85"/>
      <c r="K34" s="85"/>
      <c r="L34" s="2"/>
      <c r="M34" s="2"/>
      <c r="N34" s="1"/>
      <c r="O34" s="1"/>
      <c r="P34" s="85"/>
      <c r="Q34" s="88"/>
      <c r="R34" s="3">
        <f>IFERROR(VLOOKUP(TablaMarzo[[#This Row],[BARRIO]],SECTOR!$A:$B,2,0),"")</f>
      </c>
      <c r="S34" s="89"/>
      <c r="T34" s="90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17">
        <f>COUNTIF(U34:AY34,"A")</f>
      </c>
      <c r="BA34" s="17">
        <f>COUNTIF(U34:AY34,"F")</f>
      </c>
      <c r="BB34" s="17">
        <f>COUNTIF(U34:AY34,"E")</f>
      </c>
    </row>
    <row r="35" spans="1:54" ht="15.75" customHeight="1" x14ac:dyDescent="0.2">
      <c r="A35" s="84"/>
      <c r="B35" s="85"/>
      <c r="C35" s="85"/>
      <c r="D35" s="85"/>
      <c r="E35" s="86"/>
      <c r="F35" s="16">
        <f>IF(E35="","",DATEDIF(E35,$I$7,"Y"))</f>
      </c>
      <c r="G35" s="85"/>
      <c r="H35" s="85"/>
      <c r="I35" s="87"/>
      <c r="J35" s="85"/>
      <c r="K35" s="85"/>
      <c r="L35" s="2"/>
      <c r="M35" s="2"/>
      <c r="N35" s="1"/>
      <c r="O35" s="1"/>
      <c r="P35" s="85"/>
      <c r="Q35" s="88"/>
      <c r="R35" s="3">
        <f>IFERROR(VLOOKUP(TablaMarzo[[#This Row],[BARRIO]],SECTOR!$A:$B,2,0),"")</f>
      </c>
      <c r="S35" s="89"/>
      <c r="T35" s="90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17">
        <f>COUNTIF(U35:AY35,"A")</f>
      </c>
      <c r="BA35" s="17">
        <f>COUNTIF(U35:AY35,"F")</f>
      </c>
      <c r="BB35" s="17">
        <f>COUNTIF(U35:AY35,"E")</f>
      </c>
    </row>
    <row r="36" spans="1:54" ht="15.75" customHeight="1" x14ac:dyDescent="0.2">
      <c r="A36" s="84"/>
      <c r="B36" s="85"/>
      <c r="C36" s="85"/>
      <c r="D36" s="85"/>
      <c r="E36" s="86"/>
      <c r="F36" s="16">
        <f>IF(E36="","",DATEDIF(E36,$I$7,"Y"))</f>
      </c>
      <c r="G36" s="85"/>
      <c r="H36" s="85"/>
      <c r="I36" s="87"/>
      <c r="J36" s="85"/>
      <c r="K36" s="85"/>
      <c r="L36" s="2"/>
      <c r="M36" s="2"/>
      <c r="N36" s="1"/>
      <c r="O36" s="1"/>
      <c r="P36" s="85"/>
      <c r="Q36" s="88"/>
      <c r="R36" s="3">
        <f>IFERROR(VLOOKUP(TablaMarzo[[#This Row],[BARRIO]],SECTOR!$A:$B,2,0),"")</f>
      </c>
      <c r="S36" s="89"/>
      <c r="T36" s="90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17">
        <f>COUNTIF(U36:AY36,"A")</f>
      </c>
      <c r="BA36" s="17">
        <f>COUNTIF(U36:AY36,"F")</f>
      </c>
      <c r="BB36" s="17">
        <f>COUNTIF(U36:AY36,"E")</f>
      </c>
    </row>
    <row r="37" spans="1:54" ht="15.75" customHeight="1" x14ac:dyDescent="0.2">
      <c r="A37" s="84"/>
      <c r="B37" s="85"/>
      <c r="C37" s="85"/>
      <c r="D37" s="85"/>
      <c r="E37" s="86"/>
      <c r="F37" s="16">
        <f>IF(E37="","",DATEDIF(E37,$I$7,"Y"))</f>
      </c>
      <c r="G37" s="85"/>
      <c r="H37" s="85"/>
      <c r="I37" s="87"/>
      <c r="J37" s="85"/>
      <c r="K37" s="85"/>
      <c r="L37" s="2"/>
      <c r="M37" s="2"/>
      <c r="N37" s="1"/>
      <c r="O37" s="1"/>
      <c r="P37" s="85"/>
      <c r="Q37" s="88"/>
      <c r="R37" s="3">
        <f>IFERROR(VLOOKUP(TablaMarzo[[#This Row],[BARRIO]],SECTOR!$A:$B,2,0),"")</f>
      </c>
      <c r="S37" s="89"/>
      <c r="T37" s="90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17">
        <f>COUNTIF(U37:AY37,"A")</f>
      </c>
      <c r="BA37" s="17">
        <f>COUNTIF(U37:AY37,"F")</f>
      </c>
      <c r="BB37" s="17">
        <f>COUNTIF(U37:AY37,"E")</f>
      </c>
    </row>
    <row r="38" spans="1:54" ht="15.75" customHeight="1" x14ac:dyDescent="0.2">
      <c r="A38" s="84"/>
      <c r="B38" s="85"/>
      <c r="C38" s="85"/>
      <c r="D38" s="85"/>
      <c r="E38" s="86"/>
      <c r="F38" s="16">
        <f>IF(E38="","",DATEDIF(E38,$I$7,"Y"))</f>
      </c>
      <c r="G38" s="85"/>
      <c r="H38" s="85"/>
      <c r="I38" s="87"/>
      <c r="J38" s="85"/>
      <c r="K38" s="85"/>
      <c r="L38" s="2"/>
      <c r="M38" s="2"/>
      <c r="N38" s="1"/>
      <c r="O38" s="1"/>
      <c r="P38" s="85"/>
      <c r="Q38" s="88"/>
      <c r="R38" s="3">
        <f>IFERROR(VLOOKUP(TablaMarzo[[#This Row],[BARRIO]],SECTOR!$A:$B,2,0),"")</f>
      </c>
      <c r="S38" s="89"/>
      <c r="T38" s="90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17">
        <f>COUNTIF(U38:AY38,"A")</f>
      </c>
      <c r="BA38" s="17">
        <f>COUNTIF(U38:AY38,"F")</f>
      </c>
      <c r="BB38" s="17">
        <f>COUNTIF(U38:AY38,"E")</f>
      </c>
    </row>
    <row r="39" spans="1:54" ht="15.75" customHeight="1" x14ac:dyDescent="0.2">
      <c r="A39" s="84"/>
      <c r="B39" s="85"/>
      <c r="C39" s="85"/>
      <c r="D39" s="85"/>
      <c r="E39" s="86"/>
      <c r="F39" s="16">
        <f>IF(E39="","",DATEDIF(E39,$I$7,"Y"))</f>
      </c>
      <c r="G39" s="85"/>
      <c r="H39" s="85"/>
      <c r="I39" s="87"/>
      <c r="J39" s="85"/>
      <c r="K39" s="85"/>
      <c r="L39" s="2"/>
      <c r="M39" s="2"/>
      <c r="N39" s="1"/>
      <c r="O39" s="1"/>
      <c r="P39" s="85"/>
      <c r="Q39" s="88"/>
      <c r="R39" s="3">
        <f>IFERROR(VLOOKUP(TablaMarzo[[#This Row],[BARRIO]],SECTOR!$A:$B,2,0),"")</f>
      </c>
      <c r="S39" s="89"/>
      <c r="T39" s="90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17">
        <f>COUNTIF(U39:AY39,"A")</f>
      </c>
      <c r="BA39" s="17">
        <f>COUNTIF(U39:AY39,"F")</f>
      </c>
      <c r="BB39" s="17">
        <f>COUNTIF(U39:AY39,"E")</f>
      </c>
    </row>
    <row r="40" spans="1:54" ht="15.75" customHeight="1" x14ac:dyDescent="0.2">
      <c r="A40" s="84"/>
      <c r="B40" s="85"/>
      <c r="C40" s="85"/>
      <c r="D40" s="85"/>
      <c r="E40" s="86"/>
      <c r="F40" s="16">
        <f>IF(E40="","",DATEDIF(E40,$I$7,"Y"))</f>
      </c>
      <c r="G40" s="85"/>
      <c r="H40" s="85"/>
      <c r="I40" s="87"/>
      <c r="J40" s="85"/>
      <c r="K40" s="85"/>
      <c r="L40" s="2"/>
      <c r="M40" s="2"/>
      <c r="N40" s="1"/>
      <c r="O40" s="1"/>
      <c r="P40" s="85"/>
      <c r="Q40" s="88"/>
      <c r="R40" s="3">
        <f>IFERROR(VLOOKUP(TablaMarzo[[#This Row],[BARRIO]],SECTOR!$A:$B,2,0),"")</f>
      </c>
      <c r="S40" s="89"/>
      <c r="T40" s="90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17">
        <f>COUNTIF(U40:AY40,"A")</f>
      </c>
      <c r="BA40" s="17">
        <f>COUNTIF(U40:AY40,"F")</f>
      </c>
      <c r="BB40" s="17">
        <f>COUNTIF(U40:AY40,"E")</f>
      </c>
    </row>
    <row r="41" spans="1:54" ht="15.75" customHeight="1" x14ac:dyDescent="0.2">
      <c r="A41" s="84"/>
      <c r="B41" s="85"/>
      <c r="C41" s="85"/>
      <c r="D41" s="85"/>
      <c r="E41" s="86"/>
      <c r="F41" s="16">
        <f>IF(E41="","",DATEDIF(E41,$I$7,"Y"))</f>
      </c>
      <c r="G41" s="85"/>
      <c r="H41" s="85"/>
      <c r="I41" s="87"/>
      <c r="J41" s="85"/>
      <c r="K41" s="85"/>
      <c r="L41" s="2"/>
      <c r="M41" s="2"/>
      <c r="N41" s="1"/>
      <c r="O41" s="1"/>
      <c r="P41" s="85"/>
      <c r="Q41" s="88"/>
      <c r="R41" s="3">
        <f>IFERROR(VLOOKUP(TablaMarzo[[#This Row],[BARRIO]],SECTOR!$A:$B,2,0),"")</f>
      </c>
      <c r="S41" s="89"/>
      <c r="T41" s="90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17">
        <f>COUNTIF(U41:AY41,"A")</f>
      </c>
      <c r="BA41" s="17">
        <f>COUNTIF(U41:AY41,"F")</f>
      </c>
      <c r="BB41" s="17">
        <f>COUNTIF(U41:AY41,"E")</f>
      </c>
    </row>
    <row r="42" spans="1:54" ht="15.75" customHeight="1" x14ac:dyDescent="0.2">
      <c r="A42" s="84"/>
      <c r="B42" s="85"/>
      <c r="C42" s="85"/>
      <c r="D42" s="85"/>
      <c r="E42" s="86"/>
      <c r="F42" s="16">
        <f>IF(E42="","",DATEDIF(E42,$I$7,"Y"))</f>
      </c>
      <c r="G42" s="85"/>
      <c r="H42" s="85"/>
      <c r="I42" s="87"/>
      <c r="J42" s="85"/>
      <c r="K42" s="85"/>
      <c r="L42" s="2"/>
      <c r="M42" s="2"/>
      <c r="N42" s="1"/>
      <c r="O42" s="1"/>
      <c r="P42" s="85"/>
      <c r="Q42" s="88"/>
      <c r="R42" s="3">
        <f>IFERROR(VLOOKUP(TablaMarzo[[#This Row],[BARRIO]],SECTOR!$A:$B,2,0),"")</f>
      </c>
      <c r="S42" s="89"/>
      <c r="T42" s="90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17">
        <f>COUNTIF(U42:AY42,"A")</f>
      </c>
      <c r="BA42" s="17">
        <f>COUNTIF(U42:AY42,"F")</f>
      </c>
      <c r="BB42" s="17">
        <f>COUNTIF(U42:AY42,"E")</f>
      </c>
    </row>
    <row r="43" spans="1:54" ht="15.75" customHeight="1" x14ac:dyDescent="0.2">
      <c r="A43" s="84"/>
      <c r="B43" s="85"/>
      <c r="C43" s="85"/>
      <c r="D43" s="85"/>
      <c r="E43" s="86"/>
      <c r="F43" s="16">
        <f>IF(E43="","",DATEDIF(E43,$I$7,"Y"))</f>
      </c>
      <c r="G43" s="85"/>
      <c r="H43" s="85"/>
      <c r="I43" s="87"/>
      <c r="J43" s="85"/>
      <c r="K43" s="85"/>
      <c r="L43" s="2"/>
      <c r="M43" s="2"/>
      <c r="N43" s="1"/>
      <c r="O43" s="1"/>
      <c r="P43" s="85"/>
      <c r="Q43" s="88"/>
      <c r="R43" s="3">
        <f>IFERROR(VLOOKUP(TablaMarzo[[#This Row],[BARRIO]],SECTOR!$A:$B,2,0),"")</f>
      </c>
      <c r="S43" s="89"/>
      <c r="T43" s="90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17">
        <f>COUNTIF(U43:AY43,"A")</f>
      </c>
      <c r="BA43" s="17">
        <f>COUNTIF(U43:AY43,"F")</f>
      </c>
      <c r="BB43" s="17">
        <f>COUNTIF(U43:AY43,"E")</f>
      </c>
    </row>
    <row r="44" spans="1:54" ht="15.75" customHeight="1" x14ac:dyDescent="0.2">
      <c r="A44" s="84"/>
      <c r="B44" s="85"/>
      <c r="C44" s="85"/>
      <c r="D44" s="85"/>
      <c r="E44" s="86"/>
      <c r="F44" s="16">
        <f>IF(E44="","",DATEDIF(E44,$I$7,"Y"))</f>
      </c>
      <c r="G44" s="85"/>
      <c r="H44" s="85"/>
      <c r="I44" s="87"/>
      <c r="J44" s="85"/>
      <c r="K44" s="85"/>
      <c r="L44" s="2"/>
      <c r="M44" s="2"/>
      <c r="N44" s="1"/>
      <c r="O44" s="1"/>
      <c r="P44" s="85"/>
      <c r="Q44" s="88"/>
      <c r="R44" s="3">
        <f>IFERROR(VLOOKUP(TablaMarzo[[#This Row],[BARRIO]],SECTOR!$A:$B,2,0),"")</f>
      </c>
      <c r="S44" s="89"/>
      <c r="T44" s="90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17">
        <f>COUNTIF(U44:AY44,"A")</f>
      </c>
      <c r="BA44" s="17">
        <f>COUNTIF(U44:AY44,"F")</f>
      </c>
      <c r="BB44" s="17">
        <f>COUNTIF(U44:AY44,"E")</f>
      </c>
    </row>
    <row r="45" spans="1:54" ht="15.75" customHeight="1" x14ac:dyDescent="0.2">
      <c r="A45" s="84"/>
      <c r="B45" s="85"/>
      <c r="C45" s="85"/>
      <c r="D45" s="85"/>
      <c r="E45" s="86"/>
      <c r="F45" s="16">
        <f>IF(E45="","",DATEDIF(E45,$I$7,"Y"))</f>
      </c>
      <c r="G45" s="85"/>
      <c r="H45" s="85"/>
      <c r="I45" s="87"/>
      <c r="J45" s="85"/>
      <c r="K45" s="85"/>
      <c r="L45" s="2"/>
      <c r="M45" s="2"/>
      <c r="N45" s="1"/>
      <c r="O45" s="1"/>
      <c r="P45" s="85"/>
      <c r="Q45" s="88"/>
      <c r="R45" s="3">
        <f>IFERROR(VLOOKUP(TablaMarzo[[#This Row],[BARRIO]],SECTOR!$A:$B,2,0),"")</f>
      </c>
      <c r="S45" s="89"/>
      <c r="T45" s="90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17">
        <f>COUNTIF(U45:AY45,"A")</f>
      </c>
      <c r="BA45" s="17">
        <f>COUNTIF(U45:AY45,"F")</f>
      </c>
      <c r="BB45" s="17">
        <f>COUNTIF(U45:AY45,"E")</f>
      </c>
    </row>
    <row r="46" spans="1:54" ht="15.75" customHeight="1" x14ac:dyDescent="0.2">
      <c r="A46" s="84"/>
      <c r="B46" s="85"/>
      <c r="C46" s="85"/>
      <c r="D46" s="85"/>
      <c r="E46" s="86"/>
      <c r="F46" s="16">
        <f>IF(E46="","",DATEDIF(E46,$I$7,"Y"))</f>
      </c>
      <c r="G46" s="85"/>
      <c r="H46" s="85"/>
      <c r="I46" s="87"/>
      <c r="J46" s="85"/>
      <c r="K46" s="85"/>
      <c r="L46" s="2"/>
      <c r="M46" s="2"/>
      <c r="N46" s="1"/>
      <c r="O46" s="1"/>
      <c r="P46" s="85"/>
      <c r="Q46" s="88"/>
      <c r="R46" s="3">
        <f>IFERROR(VLOOKUP(TablaMarzo[[#This Row],[BARRIO]],SECTOR!$A:$B,2,0),"")</f>
      </c>
      <c r="S46" s="89"/>
      <c r="T46" s="90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17">
        <f>COUNTIF(U46:AY46,"A")</f>
      </c>
      <c r="BA46" s="17">
        <f>COUNTIF(U46:AY46,"F")</f>
      </c>
      <c r="BB46" s="17">
        <f>COUNTIF(U46:AY46,"E")</f>
      </c>
    </row>
    <row r="47" spans="1:54" ht="15.75" customHeight="1" x14ac:dyDescent="0.2">
      <c r="A47" s="84"/>
      <c r="B47" s="85"/>
      <c r="C47" s="85"/>
      <c r="D47" s="85"/>
      <c r="E47" s="86"/>
      <c r="F47" s="16">
        <f>IF(E47="","",DATEDIF(E47,$I$7,"Y"))</f>
      </c>
      <c r="G47" s="85"/>
      <c r="H47" s="85"/>
      <c r="I47" s="87"/>
      <c r="J47" s="85"/>
      <c r="K47" s="85"/>
      <c r="L47" s="2"/>
      <c r="M47" s="2"/>
      <c r="N47" s="1"/>
      <c r="O47" s="1"/>
      <c r="P47" s="85"/>
      <c r="Q47" s="88"/>
      <c r="R47" s="3">
        <f>IFERROR(VLOOKUP(TablaMarzo[[#This Row],[BARRIO]],SECTOR!$A:$B,2,0),"")</f>
      </c>
      <c r="S47" s="89"/>
      <c r="T47" s="90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17">
        <f>COUNTIF(U47:AY47,"A")</f>
      </c>
      <c r="BA47" s="17">
        <f>COUNTIF(U47:AY47,"F")</f>
      </c>
      <c r="BB47" s="17">
        <f>COUNTIF(U47:AY47,"E")</f>
      </c>
    </row>
    <row r="48" spans="1:54" ht="15.75" customHeight="1" x14ac:dyDescent="0.2">
      <c r="A48" s="84"/>
      <c r="B48" s="85"/>
      <c r="C48" s="85"/>
      <c r="D48" s="85"/>
      <c r="E48" s="86"/>
      <c r="F48" s="16">
        <f>IF(E48="","",DATEDIF(E48,$I$7,"Y"))</f>
      </c>
      <c r="G48" s="85"/>
      <c r="H48" s="85"/>
      <c r="I48" s="87"/>
      <c r="J48" s="85"/>
      <c r="K48" s="85"/>
      <c r="L48" s="2"/>
      <c r="M48" s="2"/>
      <c r="N48" s="1"/>
      <c r="O48" s="1"/>
      <c r="P48" s="85"/>
      <c r="Q48" s="88"/>
      <c r="R48" s="3">
        <f>IFERROR(VLOOKUP(TablaMarzo[[#This Row],[BARRIO]],SECTOR!$A:$B,2,0),"")</f>
      </c>
      <c r="S48" s="89"/>
      <c r="T48" s="90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17">
        <f>COUNTIF(U48:AY48,"A")</f>
      </c>
      <c r="BA48" s="17">
        <f>COUNTIF(U48:AY48,"F")</f>
      </c>
      <c r="BB48" s="17">
        <f>COUNTIF(U48:AY48,"E")</f>
      </c>
    </row>
    <row r="49" spans="1:54" ht="15.75" customHeight="1" x14ac:dyDescent="0.2">
      <c r="A49" s="84"/>
      <c r="B49" s="85"/>
      <c r="C49" s="85"/>
      <c r="D49" s="85"/>
      <c r="E49" s="86"/>
      <c r="F49" s="16">
        <f>IF(E49="","",DATEDIF(E49,$I$7,"Y"))</f>
      </c>
      <c r="G49" s="85"/>
      <c r="H49" s="85"/>
      <c r="I49" s="87"/>
      <c r="J49" s="85"/>
      <c r="K49" s="85"/>
      <c r="L49" s="2"/>
      <c r="M49" s="2"/>
      <c r="N49" s="1"/>
      <c r="O49" s="1"/>
      <c r="P49" s="85"/>
      <c r="Q49" s="88"/>
      <c r="R49" s="3">
        <f>IFERROR(VLOOKUP(TablaMarzo[[#This Row],[BARRIO]],SECTOR!$A:$B,2,0),"")</f>
      </c>
      <c r="S49" s="89"/>
      <c r="T49" s="90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17">
        <f>COUNTIF(U49:AY49,"A")</f>
      </c>
      <c r="BA49" s="17">
        <f>COUNTIF(U49:AY49,"F")</f>
      </c>
      <c r="BB49" s="17">
        <f>COUNTIF(U49:AY49,"E")</f>
      </c>
    </row>
    <row r="50" spans="1:54" ht="15.75" customHeight="1" x14ac:dyDescent="0.2">
      <c r="A50" s="84"/>
      <c r="B50" s="85"/>
      <c r="C50" s="85"/>
      <c r="D50" s="85"/>
      <c r="E50" s="86"/>
      <c r="F50" s="16">
        <f>IF(E50="","",DATEDIF(E50,$I$7,"Y"))</f>
      </c>
      <c r="G50" s="85"/>
      <c r="H50" s="85"/>
      <c r="I50" s="87"/>
      <c r="J50" s="85"/>
      <c r="K50" s="85"/>
      <c r="L50" s="2"/>
      <c r="M50" s="2"/>
      <c r="N50" s="1"/>
      <c r="O50" s="1"/>
      <c r="P50" s="85"/>
      <c r="Q50" s="88"/>
      <c r="R50" s="3">
        <f>IFERROR(VLOOKUP(TablaMarzo[[#This Row],[BARRIO]],SECTOR!$A:$B,2,0),"")</f>
      </c>
      <c r="S50" s="89"/>
      <c r="T50" s="90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17">
        <f>COUNTIF(U50:AY50,"A")</f>
      </c>
      <c r="BA50" s="17">
        <f>COUNTIF(U50:AY50,"F")</f>
      </c>
      <c r="BB50" s="17">
        <f>COUNTIF(U50:AY50,"E")</f>
      </c>
    </row>
    <row r="51" spans="1:54" ht="15.75" customHeight="1" x14ac:dyDescent="0.2">
      <c r="A51" s="84"/>
      <c r="B51" s="85"/>
      <c r="C51" s="85"/>
      <c r="D51" s="85"/>
      <c r="E51" s="86"/>
      <c r="F51" s="16">
        <f>IF(E51="","",DATEDIF(E51,$I$7,"Y"))</f>
      </c>
      <c r="G51" s="85"/>
      <c r="H51" s="85"/>
      <c r="I51" s="87"/>
      <c r="J51" s="85"/>
      <c r="K51" s="85"/>
      <c r="L51" s="2"/>
      <c r="M51" s="2"/>
      <c r="N51" s="1"/>
      <c r="O51" s="1"/>
      <c r="P51" s="85"/>
      <c r="Q51" s="88"/>
      <c r="R51" s="3">
        <f>IFERROR(VLOOKUP(TablaMarzo[[#This Row],[BARRIO]],SECTOR!$A:$B,2,0),"")</f>
      </c>
      <c r="S51" s="89"/>
      <c r="T51" s="90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17">
        <f>COUNTIF(U51:AY51,"A")</f>
      </c>
      <c r="BA51" s="17">
        <f>COUNTIF(U51:AY51,"F")</f>
      </c>
      <c r="BB51" s="17">
        <f>COUNTIF(U51:AY51,"E")</f>
      </c>
    </row>
    <row r="52" spans="1:54" ht="15.75" customHeight="1" x14ac:dyDescent="0.2">
      <c r="A52" s="84"/>
      <c r="B52" s="85"/>
      <c r="C52" s="85"/>
      <c r="D52" s="85"/>
      <c r="E52" s="86"/>
      <c r="F52" s="16">
        <f>IF(E52="","",DATEDIF(E52,$I$7,"Y"))</f>
      </c>
      <c r="G52" s="85"/>
      <c r="H52" s="85"/>
      <c r="I52" s="87"/>
      <c r="J52" s="85"/>
      <c r="K52" s="85"/>
      <c r="L52" s="2"/>
      <c r="M52" s="2"/>
      <c r="N52" s="1"/>
      <c r="O52" s="1"/>
      <c r="P52" s="85"/>
      <c r="Q52" s="88"/>
      <c r="R52" s="3">
        <f>IFERROR(VLOOKUP(TablaMarzo[[#This Row],[BARRIO]],SECTOR!$A:$B,2,0),"")</f>
      </c>
      <c r="S52" s="89"/>
      <c r="T52" s="90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17">
        <f>COUNTIF(U52:AY52,"A")</f>
      </c>
      <c r="BA52" s="17">
        <f>COUNTIF(U52:AY52,"F")</f>
      </c>
      <c r="BB52" s="17">
        <f>COUNTIF(U52:AY52,"E")</f>
      </c>
    </row>
    <row r="53" spans="1:54" ht="15.75" customHeight="1" x14ac:dyDescent="0.2">
      <c r="A53" s="84"/>
      <c r="B53" s="85"/>
      <c r="C53" s="85"/>
      <c r="D53" s="85"/>
      <c r="E53" s="86"/>
      <c r="F53" s="16">
        <f>IF(E53="","",DATEDIF(E53,$I$7,"Y"))</f>
      </c>
      <c r="G53" s="85"/>
      <c r="H53" s="85"/>
      <c r="I53" s="87"/>
      <c r="J53" s="85"/>
      <c r="K53" s="85"/>
      <c r="L53" s="2"/>
      <c r="M53" s="2"/>
      <c r="N53" s="1"/>
      <c r="O53" s="1"/>
      <c r="P53" s="85"/>
      <c r="Q53" s="88"/>
      <c r="R53" s="3">
        <f>IFERROR(VLOOKUP(TablaMarzo[[#This Row],[BARRIO]],SECTOR!$A:$B,2,0),"")</f>
      </c>
      <c r="S53" s="89"/>
      <c r="T53" s="90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17">
        <f>COUNTIF(U53:AY53,"A")</f>
      </c>
      <c r="BA53" s="17">
        <f>COUNTIF(U53:AY53,"F")</f>
      </c>
      <c r="BB53" s="17">
        <f>COUNTIF(U53:AY53,"E")</f>
      </c>
    </row>
    <row r="54" spans="1:54" ht="15.75" customHeight="1" x14ac:dyDescent="0.2">
      <c r="A54" s="84"/>
      <c r="B54" s="85"/>
      <c r="C54" s="85"/>
      <c r="D54" s="85"/>
      <c r="E54" s="86"/>
      <c r="F54" s="16">
        <f>IF(E54="","",DATEDIF(E54,$I$7,"Y"))</f>
      </c>
      <c r="G54" s="85"/>
      <c r="H54" s="85"/>
      <c r="I54" s="87"/>
      <c r="J54" s="85"/>
      <c r="K54" s="85"/>
      <c r="L54" s="2"/>
      <c r="M54" s="2"/>
      <c r="N54" s="1"/>
      <c r="O54" s="1"/>
      <c r="P54" s="85"/>
      <c r="Q54" s="88"/>
      <c r="R54" s="3">
        <f>IFERROR(VLOOKUP(TablaMarzo[[#This Row],[BARRIO]],SECTOR!$A:$B,2,0),"")</f>
      </c>
      <c r="S54" s="89"/>
      <c r="T54" s="90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17">
        <f>COUNTIF(U54:AY54,"A")</f>
      </c>
      <c r="BA54" s="17">
        <f>COUNTIF(U54:AY54,"F")</f>
      </c>
      <c r="BB54" s="17">
        <f>COUNTIF(U54:AY54,"E")</f>
      </c>
    </row>
    <row r="55" spans="1:54" ht="15.75" customHeight="1" x14ac:dyDescent="0.2">
      <c r="A55" s="84"/>
      <c r="B55" s="85"/>
      <c r="C55" s="85"/>
      <c r="D55" s="85"/>
      <c r="E55" s="86"/>
      <c r="F55" s="16">
        <f>IF(E55="","",DATEDIF(E55,$I$7,"Y"))</f>
      </c>
      <c r="G55" s="85"/>
      <c r="H55" s="85"/>
      <c r="I55" s="87"/>
      <c r="J55" s="85"/>
      <c r="K55" s="85"/>
      <c r="L55" s="2"/>
      <c r="M55" s="2"/>
      <c r="N55" s="1"/>
      <c r="O55" s="1"/>
      <c r="P55" s="85"/>
      <c r="Q55" s="88"/>
      <c r="R55" s="3">
        <f>IFERROR(VLOOKUP(TablaMarzo[[#This Row],[BARRIO]],SECTOR!$A:$B,2,0),"")</f>
      </c>
      <c r="S55" s="89"/>
      <c r="T55" s="90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17">
        <f>COUNTIF(U55:AY55,"A")</f>
      </c>
      <c r="BA55" s="17">
        <f>COUNTIF(U55:AY55,"F")</f>
      </c>
      <c r="BB55" s="17">
        <f>COUNTIF(U55:AY55,"E")</f>
      </c>
    </row>
    <row r="56" spans="1:54" ht="15.75" customHeight="1" x14ac:dyDescent="0.2">
      <c r="A56" s="84"/>
      <c r="B56" s="85"/>
      <c r="C56" s="85"/>
      <c r="D56" s="85"/>
      <c r="E56" s="86"/>
      <c r="F56" s="16">
        <f>IF(E56="","",DATEDIF(E56,$I$7,"Y"))</f>
      </c>
      <c r="G56" s="85"/>
      <c r="H56" s="85"/>
      <c r="I56" s="87"/>
      <c r="J56" s="85"/>
      <c r="K56" s="85"/>
      <c r="L56" s="2"/>
      <c r="M56" s="2"/>
      <c r="N56" s="1"/>
      <c r="O56" s="1"/>
      <c r="P56" s="85"/>
      <c r="Q56" s="88"/>
      <c r="R56" s="3">
        <f>IFERROR(VLOOKUP(TablaMarzo[[#This Row],[BARRIO]],SECTOR!$A:$B,2,0),"")</f>
      </c>
      <c r="S56" s="89"/>
      <c r="T56" s="90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17">
        <f>COUNTIF(U56:AY56,"A")</f>
      </c>
      <c r="BA56" s="17">
        <f>COUNTIF(U56:AY56,"F")</f>
      </c>
      <c r="BB56" s="17">
        <f>COUNTIF(U56:AY56,"E")</f>
      </c>
    </row>
    <row r="57" spans="1:54" ht="15.75" customHeight="1" x14ac:dyDescent="0.2">
      <c r="A57" s="84"/>
      <c r="B57" s="85"/>
      <c r="C57" s="85"/>
      <c r="D57" s="85"/>
      <c r="E57" s="86"/>
      <c r="F57" s="16">
        <f>IF(E57="","",DATEDIF(E57,$I$7,"Y"))</f>
      </c>
      <c r="G57" s="85"/>
      <c r="H57" s="85"/>
      <c r="I57" s="87"/>
      <c r="J57" s="85"/>
      <c r="K57" s="85"/>
      <c r="L57" s="2"/>
      <c r="M57" s="2"/>
      <c r="N57" s="1"/>
      <c r="O57" s="1"/>
      <c r="P57" s="85"/>
      <c r="Q57" s="88"/>
      <c r="R57" s="3">
        <f>IFERROR(VLOOKUP(TablaMarzo[[#This Row],[BARRIO]],SECTOR!$A:$B,2,0),"")</f>
      </c>
      <c r="S57" s="89"/>
      <c r="T57" s="90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17">
        <f>COUNTIF(U57:AY57,"A")</f>
      </c>
      <c r="BA57" s="17">
        <f>COUNTIF(U57:AY57,"F")</f>
      </c>
      <c r="BB57" s="17">
        <f>COUNTIF(U57:AY57,"E")</f>
      </c>
    </row>
    <row r="58" spans="1:54" ht="15.75" customHeight="1" x14ac:dyDescent="0.2">
      <c r="A58" s="84"/>
      <c r="B58" s="85"/>
      <c r="C58" s="85"/>
      <c r="D58" s="85"/>
      <c r="E58" s="86"/>
      <c r="F58" s="16">
        <f>IF(E58="","",DATEDIF(E58,$I$7,"Y"))</f>
      </c>
      <c r="G58" s="85"/>
      <c r="H58" s="85"/>
      <c r="I58" s="87"/>
      <c r="J58" s="85"/>
      <c r="K58" s="85"/>
      <c r="L58" s="2"/>
      <c r="M58" s="2"/>
      <c r="N58" s="1"/>
      <c r="O58" s="1"/>
      <c r="P58" s="85"/>
      <c r="Q58" s="88"/>
      <c r="R58" s="3">
        <f>IFERROR(VLOOKUP(TablaMarzo[[#This Row],[BARRIO]],SECTOR!$A:$B,2,0),"")</f>
      </c>
      <c r="S58" s="89"/>
      <c r="T58" s="90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17">
        <f>COUNTIF(U58:AY58,"A")</f>
      </c>
      <c r="BA58" s="17">
        <f>COUNTIF(U58:AY58,"F")</f>
      </c>
      <c r="BB58" s="17">
        <f>COUNTIF(U58:AY58,"E")</f>
      </c>
    </row>
    <row r="59" spans="1:54" ht="15.75" customHeight="1" x14ac:dyDescent="0.2">
      <c r="A59" s="84"/>
      <c r="B59" s="85"/>
      <c r="C59" s="85"/>
      <c r="D59" s="85"/>
      <c r="E59" s="86"/>
      <c r="F59" s="16">
        <f>IF(E59="","",DATEDIF(E59,$I$7,"Y"))</f>
      </c>
      <c r="G59" s="85"/>
      <c r="H59" s="85"/>
      <c r="I59" s="87"/>
      <c r="J59" s="85"/>
      <c r="K59" s="85"/>
      <c r="L59" s="2"/>
      <c r="M59" s="2"/>
      <c r="N59" s="1"/>
      <c r="O59" s="1"/>
      <c r="P59" s="85"/>
      <c r="Q59" s="88"/>
      <c r="R59" s="3">
        <f>IFERROR(VLOOKUP(TablaMarzo[[#This Row],[BARRIO]],SECTOR!$A:$B,2,0),"")</f>
      </c>
      <c r="S59" s="89"/>
      <c r="T59" s="90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17">
        <f>COUNTIF(U59:AY59,"A")</f>
      </c>
      <c r="BA59" s="17">
        <f>COUNTIF(U59:AY59,"F")</f>
      </c>
      <c r="BB59" s="17">
        <f>COUNTIF(U59:AY59,"E")</f>
      </c>
    </row>
    <row r="60" spans="1:54" ht="15.75" customHeight="1" x14ac:dyDescent="0.2">
      <c r="A60" s="84"/>
      <c r="B60" s="85"/>
      <c r="C60" s="85"/>
      <c r="D60" s="85"/>
      <c r="E60" s="86"/>
      <c r="F60" s="16">
        <f>IF(E60="","",DATEDIF(E60,$I$7,"Y"))</f>
      </c>
      <c r="G60" s="85"/>
      <c r="H60" s="85"/>
      <c r="I60" s="87"/>
      <c r="J60" s="85"/>
      <c r="K60" s="85"/>
      <c r="L60" s="2"/>
      <c r="M60" s="2"/>
      <c r="N60" s="1"/>
      <c r="O60" s="1"/>
      <c r="P60" s="85"/>
      <c r="Q60" s="88"/>
      <c r="R60" s="3">
        <f>IFERROR(VLOOKUP(TablaMarzo[[#This Row],[BARRIO]],SECTOR!$A:$B,2,0),"")</f>
      </c>
      <c r="S60" s="89"/>
      <c r="T60" s="90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17">
        <f>COUNTIF(U60:AY60,"A")</f>
      </c>
      <c r="BA60" s="17">
        <f>COUNTIF(U60:AY60,"F")</f>
      </c>
      <c r="BB60" s="17">
        <f>COUNTIF(U60:AY60,"E")</f>
      </c>
    </row>
    <row r="61" spans="1:54" ht="15.75" customHeight="1" x14ac:dyDescent="0.2">
      <c r="A61" s="84"/>
      <c r="B61" s="85"/>
      <c r="C61" s="85"/>
      <c r="D61" s="85"/>
      <c r="E61" s="86"/>
      <c r="F61" s="16">
        <f>IF(E61="","",DATEDIF(E61,$I$7,"Y"))</f>
      </c>
      <c r="G61" s="85"/>
      <c r="H61" s="85"/>
      <c r="I61" s="87"/>
      <c r="J61" s="85"/>
      <c r="K61" s="85"/>
      <c r="L61" s="2"/>
      <c r="M61" s="2"/>
      <c r="N61" s="1"/>
      <c r="O61" s="1"/>
      <c r="P61" s="85"/>
      <c r="Q61" s="88"/>
      <c r="R61" s="3">
        <f>IFERROR(VLOOKUP(TablaMarzo[[#This Row],[BARRIO]],SECTOR!$A:$B,2,0),"")</f>
      </c>
      <c r="S61" s="89"/>
      <c r="T61" s="90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17">
        <f>COUNTIF(U61:AY61,"A")</f>
      </c>
      <c r="BA61" s="17">
        <f>COUNTIF(U61:AY61,"F")</f>
      </c>
      <c r="BB61" s="17">
        <f>COUNTIF(U61:AY61,"E")</f>
      </c>
    </row>
    <row r="62" spans="1:54" ht="15.75" customHeight="1" x14ac:dyDescent="0.2">
      <c r="A62" s="84"/>
      <c r="B62" s="85"/>
      <c r="C62" s="85"/>
      <c r="D62" s="85"/>
      <c r="E62" s="86"/>
      <c r="F62" s="16">
        <f>IF(E62="","",DATEDIF(E62,$I$7,"Y"))</f>
      </c>
      <c r="G62" s="85"/>
      <c r="H62" s="85"/>
      <c r="I62" s="87"/>
      <c r="J62" s="85"/>
      <c r="K62" s="85"/>
      <c r="L62" s="2"/>
      <c r="M62" s="2"/>
      <c r="N62" s="1"/>
      <c r="O62" s="1"/>
      <c r="P62" s="85"/>
      <c r="Q62" s="88"/>
      <c r="R62" s="3">
        <f>IFERROR(VLOOKUP(TablaMarzo[[#This Row],[BARRIO]],SECTOR!$A:$B,2,0),"")</f>
      </c>
      <c r="S62" s="89"/>
      <c r="T62" s="90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17">
        <f>COUNTIF(U62:AY62,"A")</f>
      </c>
      <c r="BA62" s="17">
        <f>COUNTIF(U62:AY62,"F")</f>
      </c>
      <c r="BB62" s="17">
        <f>COUNTIF(U62:AY62,"E")</f>
      </c>
    </row>
    <row r="63" spans="1:54" ht="15.75" customHeight="1" x14ac:dyDescent="0.2">
      <c r="A63" s="84"/>
      <c r="B63" s="85"/>
      <c r="C63" s="85"/>
      <c r="D63" s="85"/>
      <c r="E63" s="86"/>
      <c r="F63" s="16">
        <f>IF(E63="","",DATEDIF(E63,$I$7,"Y"))</f>
      </c>
      <c r="G63" s="85"/>
      <c r="H63" s="85"/>
      <c r="I63" s="87"/>
      <c r="J63" s="85"/>
      <c r="K63" s="85"/>
      <c r="L63" s="2"/>
      <c r="M63" s="2"/>
      <c r="N63" s="1"/>
      <c r="O63" s="1"/>
      <c r="P63" s="85"/>
      <c r="Q63" s="88"/>
      <c r="R63" s="3">
        <f>IFERROR(VLOOKUP(TablaMarzo[[#This Row],[BARRIO]],SECTOR!$A:$B,2,0),"")</f>
      </c>
      <c r="S63" s="89"/>
      <c r="T63" s="90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17">
        <f>COUNTIF(U63:AY63,"A")</f>
      </c>
      <c r="BA63" s="17">
        <f>COUNTIF(U63:AY63,"F")</f>
      </c>
      <c r="BB63" s="17">
        <f>COUNTIF(U63:AY63,"E")</f>
      </c>
    </row>
    <row r="64" spans="1:54" ht="15.75" customHeight="1" x14ac:dyDescent="0.2">
      <c r="A64" s="84"/>
      <c r="B64" s="85"/>
      <c r="C64" s="85"/>
      <c r="D64" s="85"/>
      <c r="E64" s="86"/>
      <c r="F64" s="16">
        <f>IF(E64="","",DATEDIF(E64,$I$7,"Y"))</f>
      </c>
      <c r="G64" s="85"/>
      <c r="H64" s="85"/>
      <c r="I64" s="87"/>
      <c r="J64" s="85"/>
      <c r="K64" s="85"/>
      <c r="L64" s="2"/>
      <c r="M64" s="2"/>
      <c r="N64" s="1"/>
      <c r="O64" s="1"/>
      <c r="P64" s="85"/>
      <c r="Q64" s="88"/>
      <c r="R64" s="3">
        <f>IFERROR(VLOOKUP(TablaMarzo[[#This Row],[BARRIO]],SECTOR!$A:$B,2,0),"")</f>
      </c>
      <c r="S64" s="89"/>
      <c r="T64" s="90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17">
        <f>COUNTIF(U64:AY64,"A")</f>
      </c>
      <c r="BA64" s="17">
        <f>COUNTIF(U64:AY64,"F")</f>
      </c>
      <c r="BB64" s="17">
        <f>COUNTIF(U64:AY64,"E")</f>
      </c>
    </row>
    <row r="65" spans="1:54" ht="15.75" customHeight="1" x14ac:dyDescent="0.2">
      <c r="A65" s="84"/>
      <c r="B65" s="85"/>
      <c r="C65" s="85"/>
      <c r="D65" s="85"/>
      <c r="E65" s="86"/>
      <c r="F65" s="16">
        <f>IF(E65="","",DATEDIF(E65,$I$7,"Y"))</f>
      </c>
      <c r="G65" s="85"/>
      <c r="H65" s="85"/>
      <c r="I65" s="87"/>
      <c r="J65" s="85"/>
      <c r="K65" s="85"/>
      <c r="L65" s="2"/>
      <c r="M65" s="2"/>
      <c r="N65" s="1"/>
      <c r="O65" s="1"/>
      <c r="P65" s="85"/>
      <c r="Q65" s="88"/>
      <c r="R65" s="3">
        <f>IFERROR(VLOOKUP(TablaMarzo[[#This Row],[BARRIO]],SECTOR!$A:$B,2,0),"")</f>
      </c>
      <c r="S65" s="89"/>
      <c r="T65" s="90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17">
        <f>COUNTIF(U65:AY65,"A")</f>
      </c>
      <c r="BA65" s="17">
        <f>COUNTIF(U65:AY65,"F")</f>
      </c>
      <c r="BB65" s="17">
        <f>COUNTIF(U65:AY65,"E")</f>
      </c>
    </row>
    <row r="66" spans="1:54" ht="15.75" customHeight="1" x14ac:dyDescent="0.2">
      <c r="A66" s="84"/>
      <c r="B66" s="85"/>
      <c r="C66" s="85"/>
      <c r="D66" s="85"/>
      <c r="E66" s="86"/>
      <c r="F66" s="16">
        <f>IF(E66="","",DATEDIF(E66,$I$7,"Y"))</f>
      </c>
      <c r="G66" s="85"/>
      <c r="H66" s="85"/>
      <c r="I66" s="87"/>
      <c r="J66" s="85"/>
      <c r="K66" s="85"/>
      <c r="L66" s="2"/>
      <c r="M66" s="2"/>
      <c r="N66" s="1"/>
      <c r="O66" s="1"/>
      <c r="P66" s="85"/>
      <c r="Q66" s="88"/>
      <c r="R66" s="3">
        <f>IFERROR(VLOOKUP(TablaMarzo[[#This Row],[BARRIO]],SECTOR!$A:$B,2,0),"")</f>
      </c>
      <c r="S66" s="89"/>
      <c r="T66" s="90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17">
        <f>COUNTIF(U66:AY66,"A")</f>
      </c>
      <c r="BA66" s="17">
        <f>COUNTIF(U66:AY66,"F")</f>
      </c>
      <c r="BB66" s="17">
        <f>COUNTIF(U66:AY66,"E")</f>
      </c>
    </row>
    <row r="67" spans="1:54" ht="15.75" customHeight="1" x14ac:dyDescent="0.2">
      <c r="A67" s="84"/>
      <c r="B67" s="91"/>
      <c r="C67" s="91"/>
      <c r="D67" s="91"/>
      <c r="E67" s="92"/>
      <c r="F67" s="16">
        <f>IF(E67="","",DATEDIF(E67,$I$7,"Y"))</f>
      </c>
      <c r="G67" s="91"/>
      <c r="H67" s="91"/>
      <c r="I67" s="93"/>
      <c r="J67" s="91"/>
      <c r="K67" s="91"/>
      <c r="L67" s="2"/>
      <c r="M67" s="2"/>
      <c r="N67" s="1"/>
      <c r="O67" s="1"/>
      <c r="P67" s="85"/>
      <c r="Q67" s="88"/>
      <c r="R67" s="3">
        <f>IFERROR(VLOOKUP(TablaMarzo[[#This Row],[BARRIO]],SECTOR!$A:$B,2,0),"")</f>
      </c>
      <c r="S67" s="89"/>
      <c r="T67" s="90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17">
        <f>COUNTIF(U67:AY67,"A")</f>
      </c>
      <c r="BA67" s="17">
        <f>COUNTIF(U67:AY67,"F")</f>
      </c>
      <c r="BB67" s="17">
        <f>COUNTIF(U67:AY67,"E")</f>
      </c>
    </row>
    <row r="68" spans="1:54" ht="15.75" customHeight="1" x14ac:dyDescent="0.2">
      <c r="A68" s="84"/>
      <c r="B68" s="94"/>
      <c r="C68" s="94"/>
      <c r="D68" s="94"/>
      <c r="E68" s="95"/>
      <c r="F68" s="16">
        <f>IF(E68="","",DATEDIF(E68,$I$7,"Y"))</f>
      </c>
      <c r="G68" s="94"/>
      <c r="H68" s="94"/>
      <c r="I68" s="96"/>
      <c r="J68" s="94"/>
      <c r="K68" s="94"/>
      <c r="L68" s="2"/>
      <c r="M68" s="2"/>
      <c r="N68" s="1"/>
      <c r="O68" s="1"/>
      <c r="P68" s="85"/>
      <c r="Q68" s="88"/>
      <c r="R68" s="3">
        <f>IFERROR(VLOOKUP(TablaMarzo[[#This Row],[BARRIO]],SECTOR!$A:$B,2,0),"")</f>
      </c>
      <c r="S68" s="89"/>
      <c r="T68" s="90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17">
        <f>COUNTIF(U68:AY68,"A")</f>
      </c>
      <c r="BA68" s="17">
        <f>COUNTIF(U68:AY68,"F")</f>
      </c>
      <c r="BB68" s="17">
        <f>COUNTIF(U68:AY68,"E")</f>
      </c>
    </row>
    <row r="69" spans="1:54" ht="15.75" customHeight="1" x14ac:dyDescent="0.2">
      <c r="A69" s="84"/>
      <c r="B69" s="97"/>
      <c r="C69" s="97"/>
      <c r="D69" s="97"/>
      <c r="E69" s="98"/>
      <c r="F69" s="16">
        <f>IF(E69="","",DATEDIF(E69,$I$7,"Y"))</f>
      </c>
      <c r="G69" s="97"/>
      <c r="H69" s="97"/>
      <c r="I69" s="99"/>
      <c r="J69" s="97"/>
      <c r="K69" s="97"/>
      <c r="L69" s="2"/>
      <c r="M69" s="2"/>
      <c r="N69" s="1"/>
      <c r="O69" s="1"/>
      <c r="P69" s="85"/>
      <c r="Q69" s="88"/>
      <c r="R69" s="3">
        <f>IFERROR(VLOOKUP(TablaMarzo[[#This Row],[BARRIO]],SECTOR!$A:$B,2,0),"")</f>
      </c>
      <c r="S69" s="89"/>
      <c r="T69" s="90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5"/>
      <c r="AZ69" s="18">
        <f>COUNTIF(U69:AY69,"A")</f>
      </c>
      <c r="BA69" s="17">
        <f>COUNTIF(U69:AY69,"F")</f>
      </c>
      <c r="BB69" s="17">
        <f>COUNTIF(U69:AY69,"E")</f>
      </c>
    </row>
    <row r="70" spans="1:54" ht="15.75" customHeight="1" x14ac:dyDescent="0.2">
      <c r="A70" s="84"/>
      <c r="B70" s="97"/>
      <c r="C70" s="97"/>
      <c r="D70" s="97"/>
      <c r="E70" s="98"/>
      <c r="F70" s="16">
        <f>IF(E70="","",DATEDIF(E70,$I$7,"Y"))</f>
      </c>
      <c r="G70" s="97"/>
      <c r="H70" s="97"/>
      <c r="I70" s="99"/>
      <c r="J70" s="97"/>
      <c r="K70" s="97"/>
      <c r="L70" s="2"/>
      <c r="M70" s="2"/>
      <c r="N70" s="1"/>
      <c r="O70" s="1"/>
      <c r="P70" s="85"/>
      <c r="Q70" s="88"/>
      <c r="R70" s="3">
        <f>IFERROR(VLOOKUP(TablaMarzo[[#This Row],[BARRIO]],SECTOR!$A:$B,2,0),"")</f>
      </c>
      <c r="S70" s="89"/>
      <c r="T70" s="90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6"/>
      <c r="AZ70" s="19">
        <f>COUNTIF(U70:AY70,"A")</f>
      </c>
      <c r="BA70" s="17">
        <f>COUNTIF(U70:AY70,"F")</f>
      </c>
      <c r="BB70" s="17">
        <f>COUNTIF(U70:AY70,"E")</f>
      </c>
    </row>
    <row r="71" spans="1:54" ht="15.75" customHeight="1" x14ac:dyDescent="0.2">
      <c r="A71" s="84"/>
      <c r="B71" s="97"/>
      <c r="C71" s="97"/>
      <c r="D71" s="97"/>
      <c r="E71" s="98"/>
      <c r="F71" s="16">
        <f>IF(E71="","",DATEDIF(E71,$I$7,"Y"))</f>
      </c>
      <c r="G71" s="97"/>
      <c r="H71" s="97"/>
      <c r="I71" s="99"/>
      <c r="J71" s="97"/>
      <c r="K71" s="97"/>
      <c r="L71" s="2"/>
      <c r="M71" s="2"/>
      <c r="N71" s="1"/>
      <c r="O71" s="1"/>
      <c r="P71" s="85"/>
      <c r="Q71" s="88"/>
      <c r="R71" s="3">
        <f>IFERROR(VLOOKUP(TablaMarzo[[#This Row],[BARRIO]],SECTOR!$A:$B,2,0),"")</f>
      </c>
      <c r="S71" s="89"/>
      <c r="T71" s="90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6"/>
      <c r="AZ71" s="19">
        <f>COUNTIF(U71:AY71,"A")</f>
      </c>
      <c r="BA71" s="17">
        <f>COUNTIF(U71:AY71,"F")</f>
      </c>
      <c r="BB71" s="17">
        <f>COUNTIF(U71:AY71,"E")</f>
      </c>
    </row>
    <row r="72" spans="1:54" ht="15.75" customHeight="1" x14ac:dyDescent="0.2">
      <c r="A72" s="84"/>
      <c r="B72" s="97"/>
      <c r="C72" s="97"/>
      <c r="D72" s="97"/>
      <c r="E72" s="98"/>
      <c r="F72" s="16">
        <f>IF(E72="","",DATEDIF(E72,$I$7,"Y"))</f>
      </c>
      <c r="G72" s="97"/>
      <c r="H72" s="97"/>
      <c r="I72" s="99"/>
      <c r="J72" s="97"/>
      <c r="K72" s="97"/>
      <c r="L72" s="2"/>
      <c r="M72" s="2"/>
      <c r="N72" s="1"/>
      <c r="O72" s="1"/>
      <c r="P72" s="85"/>
      <c r="Q72" s="88"/>
      <c r="R72" s="3">
        <f>IFERROR(VLOOKUP(TablaMarzo[[#This Row],[BARRIO]],SECTOR!$A:$B,2,0),"")</f>
      </c>
      <c r="S72" s="89"/>
      <c r="T72" s="90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6"/>
      <c r="AZ72" s="19">
        <f>COUNTIF(U72:AY72,"A")</f>
      </c>
      <c r="BA72" s="17">
        <f>COUNTIF(U72:AY72,"F")</f>
      </c>
      <c r="BB72" s="17">
        <f>COUNTIF(U72:AY72,"E")</f>
      </c>
    </row>
    <row r="73" spans="1:54" ht="15.75" customHeight="1" x14ac:dyDescent="0.2">
      <c r="A73" s="84"/>
      <c r="B73" s="97"/>
      <c r="C73" s="97"/>
      <c r="D73" s="97"/>
      <c r="E73" s="98"/>
      <c r="F73" s="16">
        <f>IF(E73="","",DATEDIF(E73,$I$7,"Y"))</f>
      </c>
      <c r="G73" s="97"/>
      <c r="H73" s="97"/>
      <c r="I73" s="99"/>
      <c r="J73" s="97"/>
      <c r="K73" s="97"/>
      <c r="L73" s="2"/>
      <c r="M73" s="2"/>
      <c r="N73" s="1"/>
      <c r="O73" s="1"/>
      <c r="P73" s="85"/>
      <c r="Q73" s="88"/>
      <c r="R73" s="3">
        <f>IFERROR(VLOOKUP(TablaMarzo[[#This Row],[BARRIO]],SECTOR!$A:$B,2,0),"")</f>
      </c>
      <c r="S73" s="89"/>
      <c r="T73" s="90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6"/>
      <c r="AZ73" s="19">
        <f>COUNTIF(U73:AY73,"A")</f>
      </c>
      <c r="BA73" s="17">
        <f>COUNTIF(U73:AY73,"F")</f>
      </c>
      <c r="BB73" s="17">
        <f>COUNTIF(U73:AY73,"E")</f>
      </c>
    </row>
    <row r="74" spans="1:54" ht="15.75" customHeight="1" x14ac:dyDescent="0.2">
      <c r="A74" s="84"/>
      <c r="B74" s="97"/>
      <c r="C74" s="97"/>
      <c r="D74" s="97"/>
      <c r="E74" s="98"/>
      <c r="F74" s="16">
        <f>IF(E74="","",DATEDIF(E74,$I$7,"Y"))</f>
      </c>
      <c r="G74" s="97"/>
      <c r="H74" s="97"/>
      <c r="I74" s="99"/>
      <c r="J74" s="97"/>
      <c r="K74" s="97"/>
      <c r="L74" s="2"/>
      <c r="M74" s="2"/>
      <c r="N74" s="1"/>
      <c r="O74" s="1"/>
      <c r="P74" s="85"/>
      <c r="Q74" s="88"/>
      <c r="R74" s="3">
        <f>IFERROR(VLOOKUP(TablaMarzo[[#This Row],[BARRIO]],SECTOR!$A:$B,2,0),"")</f>
      </c>
      <c r="S74" s="89"/>
      <c r="T74" s="90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6"/>
      <c r="AZ74" s="19">
        <f>COUNTIF(U74:AY74,"A")</f>
      </c>
      <c r="BA74" s="17">
        <f>COUNTIF(U74:AY74,"F")</f>
      </c>
      <c r="BB74" s="17">
        <f>COUNTIF(U74:AY74,"E")</f>
      </c>
    </row>
    <row r="75" spans="1:54" ht="15.75" customHeight="1" x14ac:dyDescent="0.2">
      <c r="A75" s="84"/>
      <c r="B75" s="97"/>
      <c r="C75" s="97"/>
      <c r="D75" s="97"/>
      <c r="E75" s="98"/>
      <c r="F75" s="16">
        <f>IF(E75="","",DATEDIF(E75,$I$7,"Y"))</f>
      </c>
      <c r="G75" s="97"/>
      <c r="H75" s="97"/>
      <c r="I75" s="99"/>
      <c r="J75" s="97"/>
      <c r="K75" s="97"/>
      <c r="L75" s="2"/>
      <c r="M75" s="2"/>
      <c r="N75" s="1"/>
      <c r="O75" s="1"/>
      <c r="P75" s="85"/>
      <c r="Q75" s="88"/>
      <c r="R75" s="3">
        <f>IFERROR(VLOOKUP(TablaMarzo[[#This Row],[BARRIO]],SECTOR!$A:$B,2,0),"")</f>
      </c>
      <c r="S75" s="89"/>
      <c r="T75" s="90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6"/>
      <c r="AZ75" s="19">
        <f>COUNTIF(U75:AY75,"A")</f>
      </c>
      <c r="BA75" s="17">
        <f>COUNTIF(U75:AY75,"F")</f>
      </c>
      <c r="BB75" s="17">
        <f>COUNTIF(U75:AY75,"E")</f>
      </c>
    </row>
    <row r="76" spans="1:54" ht="15.75" customHeight="1" x14ac:dyDescent="0.2">
      <c r="A76" s="84"/>
      <c r="B76" s="97"/>
      <c r="C76" s="97"/>
      <c r="D76" s="97"/>
      <c r="E76" s="98"/>
      <c r="F76" s="16">
        <f>IF(E76="","",DATEDIF(E76,$I$7,"Y"))</f>
      </c>
      <c r="G76" s="97"/>
      <c r="H76" s="97"/>
      <c r="I76" s="99"/>
      <c r="J76" s="97"/>
      <c r="K76" s="97"/>
      <c r="L76" s="2"/>
      <c r="M76" s="2"/>
      <c r="N76" s="1"/>
      <c r="O76" s="1"/>
      <c r="P76" s="85"/>
      <c r="Q76" s="88"/>
      <c r="R76" s="3">
        <f>IFERROR(VLOOKUP(TablaMarzo[[#This Row],[BARRIO]],SECTOR!$A:$B,2,0),"")</f>
      </c>
      <c r="S76" s="89"/>
      <c r="T76" s="90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6"/>
      <c r="AZ76" s="19">
        <f>COUNTIF(U76:AY76,"A")</f>
      </c>
      <c r="BA76" s="17">
        <f>COUNTIF(U76:AY76,"F")</f>
      </c>
      <c r="BB76" s="17">
        <f>COUNTIF(U76:AY76,"E")</f>
      </c>
    </row>
    <row r="77" spans="1:54" ht="15.75" customHeight="1" x14ac:dyDescent="0.2">
      <c r="A77" s="84"/>
      <c r="B77" s="97"/>
      <c r="C77" s="97"/>
      <c r="D77" s="97"/>
      <c r="E77" s="98"/>
      <c r="F77" s="16">
        <f>IF(E77="","",DATEDIF(E77,$I$7,"Y"))</f>
      </c>
      <c r="G77" s="97"/>
      <c r="H77" s="97"/>
      <c r="I77" s="99"/>
      <c r="J77" s="97"/>
      <c r="K77" s="97"/>
      <c r="L77" s="2"/>
      <c r="M77" s="2"/>
      <c r="N77" s="1"/>
      <c r="O77" s="1"/>
      <c r="P77" s="85"/>
      <c r="Q77" s="88"/>
      <c r="R77" s="3">
        <f>IFERROR(VLOOKUP(TablaMarzo[[#This Row],[BARRIO]],SECTOR!$A:$B,2,0),"")</f>
      </c>
      <c r="S77" s="89"/>
      <c r="T77" s="90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6"/>
      <c r="AZ77" s="19">
        <f>COUNTIF(U77:AY77,"A")</f>
      </c>
      <c r="BA77" s="17">
        <f>COUNTIF(U77:AY77,"F")</f>
      </c>
      <c r="BB77" s="17">
        <f>COUNTIF(U77:AY77,"E")</f>
      </c>
    </row>
    <row r="78" spans="1:54" ht="15.75" customHeight="1" x14ac:dyDescent="0.2">
      <c r="A78" s="84"/>
      <c r="B78" s="97"/>
      <c r="C78" s="97"/>
      <c r="D78" s="97"/>
      <c r="E78" s="98"/>
      <c r="F78" s="16">
        <f>IF(E78="","",DATEDIF(E78,$I$7,"Y"))</f>
      </c>
      <c r="G78" s="97"/>
      <c r="H78" s="97"/>
      <c r="I78" s="99"/>
      <c r="J78" s="97"/>
      <c r="K78" s="97"/>
      <c r="L78" s="2"/>
      <c r="M78" s="2"/>
      <c r="N78" s="1"/>
      <c r="O78" s="1"/>
      <c r="P78" s="85"/>
      <c r="Q78" s="88"/>
      <c r="R78" s="3">
        <f>IFERROR(VLOOKUP(TablaMarzo[[#This Row],[BARRIO]],SECTOR!$A:$B,2,0),"")</f>
      </c>
      <c r="S78" s="89"/>
      <c r="T78" s="90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6"/>
      <c r="AZ78" s="19">
        <f>COUNTIF(U78:AY78,"A")</f>
      </c>
      <c r="BA78" s="17">
        <f>COUNTIF(U78:AY78,"F")</f>
      </c>
      <c r="BB78" s="17">
        <f>COUNTIF(U78:AY78,"E")</f>
      </c>
    </row>
    <row r="79" spans="1:54" ht="15.75" customHeight="1" x14ac:dyDescent="0.2">
      <c r="A79" s="84"/>
      <c r="B79" s="85"/>
      <c r="C79" s="85"/>
      <c r="D79" s="85"/>
      <c r="E79" s="86"/>
      <c r="F79" s="16">
        <f>IF(E79="","",DATEDIF(E79,$I$7,"Y"))</f>
      </c>
      <c r="G79" s="85"/>
      <c r="H79" s="85"/>
      <c r="I79" s="87"/>
      <c r="J79" s="85"/>
      <c r="K79" s="85"/>
      <c r="L79" s="2"/>
      <c r="M79" s="2"/>
      <c r="N79" s="1"/>
      <c r="O79" s="1"/>
      <c r="P79" s="85"/>
      <c r="Q79" s="88"/>
      <c r="R79" s="3">
        <f>IFERROR(VLOOKUP(TablaMarzo[[#This Row],[BARRIO]],SECTOR!$A:$B,2,0),"")</f>
      </c>
      <c r="S79" s="89"/>
      <c r="T79" s="90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6"/>
      <c r="AZ79" s="19">
        <f>COUNTIF(U79:AY79,"A")</f>
      </c>
      <c r="BA79" s="17">
        <f>COUNTIF(U79:AY79,"F")</f>
      </c>
      <c r="BB79" s="17">
        <f>COUNTIF(U79:AY79,"E")</f>
      </c>
    </row>
    <row r="80" spans="1:54" ht="15.75" customHeight="1" x14ac:dyDescent="0.2">
      <c r="A80" s="84"/>
      <c r="B80" s="85"/>
      <c r="C80" s="85"/>
      <c r="D80" s="85"/>
      <c r="E80" s="86"/>
      <c r="F80" s="16">
        <f>IF(E80="","",DATEDIF(E80,$I$7,"Y"))</f>
      </c>
      <c r="G80" s="85"/>
      <c r="H80" s="85"/>
      <c r="I80" s="87"/>
      <c r="J80" s="85"/>
      <c r="K80" s="85"/>
      <c r="L80" s="2"/>
      <c r="M80" s="2"/>
      <c r="N80" s="1"/>
      <c r="O80" s="1"/>
      <c r="P80" s="85"/>
      <c r="Q80" s="88"/>
      <c r="R80" s="3">
        <f>IFERROR(VLOOKUP(TablaMarzo[[#This Row],[BARRIO]],SECTOR!$A:$B,2,0),"")</f>
      </c>
      <c r="S80" s="89"/>
      <c r="T80" s="90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6"/>
      <c r="AZ80" s="19">
        <f>COUNTIF(U80:AY80,"A")</f>
      </c>
      <c r="BA80" s="17">
        <f>COUNTIF(U80:AY80,"F")</f>
      </c>
      <c r="BB80" s="17">
        <f>COUNTIF(U80:AY80,"E")</f>
      </c>
    </row>
    <row r="81" spans="1:54" ht="15.75" customHeight="1" x14ac:dyDescent="0.2">
      <c r="A81" s="84"/>
      <c r="B81" s="85"/>
      <c r="C81" s="85"/>
      <c r="D81" s="85"/>
      <c r="E81" s="86"/>
      <c r="F81" s="16">
        <f>IF(E81="","",DATEDIF(E81,$I$7,"Y"))</f>
      </c>
      <c r="G81" s="85"/>
      <c r="H81" s="85"/>
      <c r="I81" s="87"/>
      <c r="J81" s="85"/>
      <c r="K81" s="85"/>
      <c r="L81" s="2"/>
      <c r="M81" s="2"/>
      <c r="N81" s="1"/>
      <c r="O81" s="1"/>
      <c r="P81" s="85"/>
      <c r="Q81" s="88"/>
      <c r="R81" s="3">
        <f>IFERROR(VLOOKUP(TablaMarzo[[#This Row],[BARRIO]],SECTOR!$A:$B,2,0),"")</f>
      </c>
      <c r="S81" s="89"/>
      <c r="T81" s="90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6"/>
      <c r="AZ81" s="19">
        <f>COUNTIF(U81:AY81,"A")</f>
      </c>
      <c r="BA81" s="17">
        <f>COUNTIF(U81:AY81,"F")</f>
      </c>
      <c r="BB81" s="17">
        <f>COUNTIF(U81:AY81,"E")</f>
      </c>
    </row>
    <row r="82" spans="1:54" ht="15.75" customHeight="1" x14ac:dyDescent="0.2">
      <c r="A82" s="84"/>
      <c r="B82" s="85"/>
      <c r="C82" s="85"/>
      <c r="D82" s="85"/>
      <c r="E82" s="86"/>
      <c r="F82" s="16">
        <f>IF(E82="","",DATEDIF(E82,$I$7,"Y"))</f>
      </c>
      <c r="G82" s="85"/>
      <c r="H82" s="85"/>
      <c r="I82" s="87"/>
      <c r="J82" s="85"/>
      <c r="K82" s="85"/>
      <c r="L82" s="2"/>
      <c r="M82" s="2"/>
      <c r="N82" s="1"/>
      <c r="O82" s="1"/>
      <c r="P82" s="85"/>
      <c r="Q82" s="88"/>
      <c r="R82" s="3">
        <f>IFERROR(VLOOKUP(TablaMarzo[[#This Row],[BARRIO]],SECTOR!$A:$B,2,0),"")</f>
      </c>
      <c r="S82" s="89"/>
      <c r="T82" s="90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6"/>
      <c r="AZ82" s="19">
        <f>COUNTIF(U82:AY82,"A")</f>
      </c>
      <c r="BA82" s="17">
        <f>COUNTIF(U82:AY82,"F")</f>
      </c>
      <c r="BB82" s="17">
        <f>COUNTIF(U82:AY82,"E")</f>
      </c>
    </row>
    <row r="83" spans="1:54" ht="15.75" customHeight="1" x14ac:dyDescent="0.2">
      <c r="A83" s="84"/>
      <c r="B83" s="85"/>
      <c r="C83" s="85"/>
      <c r="D83" s="85"/>
      <c r="E83" s="86"/>
      <c r="F83" s="16">
        <f>IF(E83="","",DATEDIF(E83,$I$7,"Y"))</f>
      </c>
      <c r="G83" s="85"/>
      <c r="H83" s="85"/>
      <c r="I83" s="87"/>
      <c r="J83" s="85"/>
      <c r="K83" s="85"/>
      <c r="L83" s="2"/>
      <c r="M83" s="2"/>
      <c r="N83" s="1"/>
      <c r="O83" s="1"/>
      <c r="P83" s="85"/>
      <c r="Q83" s="88"/>
      <c r="R83" s="3">
        <f>IFERROR(VLOOKUP(TablaMarzo[[#This Row],[BARRIO]],SECTOR!$A:$B,2,0),"")</f>
      </c>
      <c r="S83" s="89"/>
      <c r="T83" s="90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6"/>
      <c r="AZ83" s="19">
        <f>COUNTIF(U83:AY83,"A")</f>
      </c>
      <c r="BA83" s="17">
        <f>COUNTIF(U83:AY83,"F")</f>
      </c>
      <c r="BB83" s="17">
        <f>COUNTIF(U83:AY83,"E")</f>
      </c>
    </row>
    <row r="84" spans="1:54" ht="15.75" customHeight="1" x14ac:dyDescent="0.2">
      <c r="A84" s="84"/>
      <c r="B84" s="85"/>
      <c r="C84" s="85"/>
      <c r="D84" s="85"/>
      <c r="E84" s="86"/>
      <c r="F84" s="16">
        <f>IF(E84="","",DATEDIF(E84,$I$7,"Y"))</f>
      </c>
      <c r="G84" s="85"/>
      <c r="H84" s="85"/>
      <c r="I84" s="87"/>
      <c r="J84" s="85"/>
      <c r="K84" s="85"/>
      <c r="L84" s="2"/>
      <c r="M84" s="2"/>
      <c r="N84" s="1"/>
      <c r="O84" s="1"/>
      <c r="P84" s="85"/>
      <c r="Q84" s="88"/>
      <c r="R84" s="3">
        <f>IFERROR(VLOOKUP(TablaMarzo[[#This Row],[BARRIO]],SECTOR!$A:$B,2,0),"")</f>
      </c>
      <c r="S84" s="89"/>
      <c r="T84" s="90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6"/>
      <c r="AZ84" s="19">
        <f>COUNTIF(U84:AY84,"A")</f>
      </c>
      <c r="BA84" s="17">
        <f>COUNTIF(U84:AY84,"F")</f>
      </c>
      <c r="BB84" s="17">
        <f>COUNTIF(U84:AY84,"E")</f>
      </c>
    </row>
    <row r="85" spans="1:54" ht="15.75" customHeight="1" x14ac:dyDescent="0.2">
      <c r="A85" s="84"/>
      <c r="B85" s="85"/>
      <c r="C85" s="85"/>
      <c r="D85" s="85"/>
      <c r="E85" s="86"/>
      <c r="F85" s="16">
        <f>IF(E85="","",DATEDIF(E85,$I$7,"Y"))</f>
      </c>
      <c r="G85" s="85"/>
      <c r="H85" s="85"/>
      <c r="I85" s="87"/>
      <c r="J85" s="85"/>
      <c r="K85" s="85"/>
      <c r="L85" s="2"/>
      <c r="M85" s="2"/>
      <c r="N85" s="1"/>
      <c r="O85" s="1"/>
      <c r="P85" s="85"/>
      <c r="Q85" s="88"/>
      <c r="R85" s="3">
        <f>IFERROR(VLOOKUP(TablaMarzo[[#This Row],[BARRIO]],SECTOR!$A:$B,2,0),"")</f>
      </c>
      <c r="S85" s="89"/>
      <c r="T85" s="90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6"/>
      <c r="AZ85" s="19">
        <f>COUNTIF(U85:AY85,"A")</f>
      </c>
      <c r="BA85" s="17">
        <f>COUNTIF(U85:AY85,"F")</f>
      </c>
      <c r="BB85" s="17">
        <f>COUNTIF(U85:AY85,"E")</f>
      </c>
    </row>
    <row r="86" spans="1:54" ht="15.75" customHeight="1" x14ac:dyDescent="0.2">
      <c r="A86" s="84"/>
      <c r="B86" s="85"/>
      <c r="C86" s="85"/>
      <c r="D86" s="85"/>
      <c r="E86" s="86"/>
      <c r="F86" s="16">
        <f>IF(E86="","",DATEDIF(E86,$I$7,"Y"))</f>
      </c>
      <c r="G86" s="85"/>
      <c r="H86" s="85"/>
      <c r="I86" s="87"/>
      <c r="J86" s="85"/>
      <c r="K86" s="85"/>
      <c r="L86" s="2"/>
      <c r="M86" s="2"/>
      <c r="N86" s="1"/>
      <c r="O86" s="1"/>
      <c r="P86" s="85"/>
      <c r="Q86" s="88"/>
      <c r="R86" s="3">
        <f>IFERROR(VLOOKUP(TablaMarzo[[#This Row],[BARRIO]],SECTOR!$A:$B,2,0),"")</f>
      </c>
      <c r="S86" s="89"/>
      <c r="T86" s="90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6"/>
      <c r="AZ86" s="19">
        <f>COUNTIF(U86:AY86,"A")</f>
      </c>
      <c r="BA86" s="17">
        <f>COUNTIF(U86:AY86,"F")</f>
      </c>
      <c r="BB86" s="17">
        <f>COUNTIF(U86:AY86,"E")</f>
      </c>
    </row>
    <row r="87" spans="1:54" ht="15.75" customHeight="1" x14ac:dyDescent="0.2">
      <c r="A87" s="84"/>
      <c r="B87" s="85"/>
      <c r="C87" s="85"/>
      <c r="D87" s="85"/>
      <c r="E87" s="86"/>
      <c r="F87" s="16">
        <f>IF(E87="","",DATEDIF(E87,$I$7,"Y"))</f>
      </c>
      <c r="G87" s="85"/>
      <c r="H87" s="85"/>
      <c r="I87" s="87"/>
      <c r="J87" s="85"/>
      <c r="K87" s="85"/>
      <c r="L87" s="2"/>
      <c r="M87" s="2"/>
      <c r="N87" s="1"/>
      <c r="O87" s="1"/>
      <c r="P87" s="85"/>
      <c r="Q87" s="88"/>
      <c r="R87" s="3">
        <f>IFERROR(VLOOKUP(TablaMarzo[[#This Row],[BARRIO]],SECTOR!$A:$B,2,0),"")</f>
      </c>
      <c r="S87" s="89"/>
      <c r="T87" s="90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6"/>
      <c r="AZ87" s="19">
        <f>COUNTIF(U87:AY87,"A")</f>
      </c>
      <c r="BA87" s="17">
        <f>COUNTIF(U87:AY87,"F")</f>
      </c>
      <c r="BB87" s="17">
        <f>COUNTIF(U87:AY87,"E")</f>
      </c>
    </row>
    <row r="88" spans="1:54" ht="15.75" customHeight="1" x14ac:dyDescent="0.2">
      <c r="A88" s="84"/>
      <c r="B88" s="85"/>
      <c r="C88" s="85"/>
      <c r="D88" s="85"/>
      <c r="E88" s="86"/>
      <c r="F88" s="16">
        <f>IF(E88="","",DATEDIF(E88,$I$7,"Y"))</f>
      </c>
      <c r="G88" s="85"/>
      <c r="H88" s="85"/>
      <c r="I88" s="87"/>
      <c r="J88" s="85"/>
      <c r="K88" s="85"/>
      <c r="L88" s="2"/>
      <c r="M88" s="2"/>
      <c r="N88" s="1"/>
      <c r="O88" s="1"/>
      <c r="P88" s="85"/>
      <c r="Q88" s="88"/>
      <c r="R88" s="3">
        <f>IFERROR(VLOOKUP(TablaMarzo[[#This Row],[BARRIO]],SECTOR!$A:$B,2,0),"")</f>
      </c>
      <c r="S88" s="89"/>
      <c r="T88" s="90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6"/>
      <c r="AZ88" s="19">
        <f>COUNTIF(U88:AY88,"A")</f>
      </c>
      <c r="BA88" s="17">
        <f>COUNTIF(U88:AY88,"F")</f>
      </c>
      <c r="BB88" s="17">
        <f>COUNTIF(U88:AY88,"E")</f>
      </c>
    </row>
    <row r="89" spans="1:54" ht="15.75" customHeight="1" x14ac:dyDescent="0.2">
      <c r="A89" s="84"/>
      <c r="B89" s="85"/>
      <c r="C89" s="85"/>
      <c r="D89" s="85"/>
      <c r="E89" s="86"/>
      <c r="F89" s="16">
        <f>IF(E89="","",DATEDIF(E89,$I$7,"Y"))</f>
      </c>
      <c r="G89" s="85"/>
      <c r="H89" s="85"/>
      <c r="I89" s="87"/>
      <c r="J89" s="85"/>
      <c r="K89" s="85"/>
      <c r="L89" s="2"/>
      <c r="M89" s="2"/>
      <c r="N89" s="1"/>
      <c r="O89" s="1"/>
      <c r="P89" s="85"/>
      <c r="Q89" s="88"/>
      <c r="R89" s="3">
        <f>IFERROR(VLOOKUP(TablaMarzo[[#This Row],[BARRIO]],SECTOR!$A:$B,2,0),"")</f>
      </c>
      <c r="S89" s="89"/>
      <c r="T89" s="90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6"/>
      <c r="AZ89" s="19">
        <f>COUNTIF(U89:AY89,"A")</f>
      </c>
      <c r="BA89" s="17">
        <f>COUNTIF(U89:AY89,"F")</f>
      </c>
      <c r="BB89" s="17">
        <f>COUNTIF(U89:AY89,"E")</f>
      </c>
    </row>
    <row r="90" spans="1:54" ht="15.75" customHeight="1" x14ac:dyDescent="0.2">
      <c r="A90" s="84"/>
      <c r="B90" s="85"/>
      <c r="C90" s="85"/>
      <c r="D90" s="85"/>
      <c r="E90" s="86"/>
      <c r="F90" s="16">
        <f>IF(E90="","",DATEDIF(E90,$I$7,"Y"))</f>
      </c>
      <c r="G90" s="85"/>
      <c r="H90" s="85"/>
      <c r="I90" s="87"/>
      <c r="J90" s="85"/>
      <c r="K90" s="85"/>
      <c r="L90" s="2"/>
      <c r="M90" s="2"/>
      <c r="N90" s="1"/>
      <c r="O90" s="1"/>
      <c r="P90" s="85"/>
      <c r="Q90" s="88"/>
      <c r="R90" s="3">
        <f>IFERROR(VLOOKUP(TablaMarzo[[#This Row],[BARRIO]],SECTOR!$A:$B,2,0),"")</f>
      </c>
      <c r="S90" s="89"/>
      <c r="T90" s="90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6"/>
      <c r="AZ90" s="19">
        <f>COUNTIF(U90:AY90,"A")</f>
      </c>
      <c r="BA90" s="17">
        <f>COUNTIF(U90:AY90,"F")</f>
      </c>
      <c r="BB90" s="17">
        <f>COUNTIF(U90:AY90,"E")</f>
      </c>
    </row>
    <row r="91" spans="1:54" ht="15.75" customHeight="1" x14ac:dyDescent="0.2">
      <c r="A91" s="84"/>
      <c r="B91" s="85"/>
      <c r="C91" s="85"/>
      <c r="D91" s="85"/>
      <c r="E91" s="86"/>
      <c r="F91" s="16">
        <f>IF(E91="","",DATEDIF(E91,$I$7,"Y"))</f>
      </c>
      <c r="G91" s="85"/>
      <c r="H91" s="85"/>
      <c r="I91" s="87"/>
      <c r="J91" s="85"/>
      <c r="K91" s="85"/>
      <c r="L91" s="2"/>
      <c r="M91" s="2"/>
      <c r="N91" s="1"/>
      <c r="O91" s="1"/>
      <c r="P91" s="85"/>
      <c r="Q91" s="88"/>
      <c r="R91" s="3">
        <f>IFERROR(VLOOKUP(TablaMarzo[[#This Row],[BARRIO]],SECTOR!$A:$B,2,0),"")</f>
      </c>
      <c r="S91" s="89"/>
      <c r="T91" s="90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6"/>
      <c r="AZ91" s="19">
        <f>COUNTIF(U91:AY91,"A")</f>
      </c>
      <c r="BA91" s="17">
        <f>COUNTIF(U91:AY91,"F")</f>
      </c>
      <c r="BB91" s="17">
        <f>COUNTIF(U91:AY91,"E")</f>
      </c>
    </row>
    <row r="92" spans="1:54" ht="15.75" customHeight="1" x14ac:dyDescent="0.2">
      <c r="A92" s="84"/>
      <c r="B92" s="85"/>
      <c r="C92" s="85"/>
      <c r="D92" s="85"/>
      <c r="E92" s="86"/>
      <c r="F92" s="16">
        <f>IF(E92="","",DATEDIF(E92,$I$7,"Y"))</f>
      </c>
      <c r="G92" s="85"/>
      <c r="H92" s="85"/>
      <c r="I92" s="87"/>
      <c r="J92" s="85"/>
      <c r="K92" s="85"/>
      <c r="L92" s="2"/>
      <c r="M92" s="2"/>
      <c r="N92" s="1"/>
      <c r="O92" s="1"/>
      <c r="P92" s="85"/>
      <c r="Q92" s="88"/>
      <c r="R92" s="3">
        <f>IFERROR(VLOOKUP(TablaMarzo[[#This Row],[BARRIO]],SECTOR!$A:$B,2,0),"")</f>
      </c>
      <c r="S92" s="89"/>
      <c r="T92" s="90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6"/>
      <c r="AZ92" s="19">
        <f>COUNTIF(U92:AY92,"A")</f>
      </c>
      <c r="BA92" s="17">
        <f>COUNTIF(U92:AY92,"F")</f>
      </c>
      <c r="BB92" s="17">
        <f>COUNTIF(U92:AY92,"E")</f>
      </c>
    </row>
    <row r="93" spans="1:54" ht="15.75" customHeight="1" x14ac:dyDescent="0.2">
      <c r="A93" s="84"/>
      <c r="B93" s="85"/>
      <c r="C93" s="85"/>
      <c r="D93" s="85"/>
      <c r="E93" s="86"/>
      <c r="F93" s="16">
        <f>IF(E93="","",DATEDIF(E93,$I$7,"Y"))</f>
      </c>
      <c r="G93" s="85"/>
      <c r="H93" s="85"/>
      <c r="I93" s="87"/>
      <c r="J93" s="85"/>
      <c r="K93" s="85"/>
      <c r="L93" s="2"/>
      <c r="M93" s="2"/>
      <c r="N93" s="1"/>
      <c r="O93" s="1"/>
      <c r="P93" s="85"/>
      <c r="Q93" s="88"/>
      <c r="R93" s="3">
        <f>IFERROR(VLOOKUP(TablaMarzo[[#This Row],[BARRIO]],SECTOR!$A:$B,2,0),"")</f>
      </c>
      <c r="S93" s="89"/>
      <c r="T93" s="90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6"/>
      <c r="AZ93" s="19">
        <f>COUNTIF(U93:AY93,"A")</f>
      </c>
      <c r="BA93" s="17">
        <f>COUNTIF(U93:AY93,"F")</f>
      </c>
      <c r="BB93" s="17">
        <f>COUNTIF(U93:AY93,"E")</f>
      </c>
    </row>
    <row r="94" spans="1:54" ht="15.75" customHeight="1" x14ac:dyDescent="0.2">
      <c r="A94" s="84"/>
      <c r="B94" s="85"/>
      <c r="C94" s="85"/>
      <c r="D94" s="85"/>
      <c r="E94" s="86"/>
      <c r="F94" s="16">
        <f>IF(E94="","",DATEDIF(E94,$I$7,"Y"))</f>
      </c>
      <c r="G94" s="85"/>
      <c r="H94" s="85"/>
      <c r="I94" s="87"/>
      <c r="J94" s="85"/>
      <c r="K94" s="85"/>
      <c r="L94" s="2"/>
      <c r="M94" s="2"/>
      <c r="N94" s="1"/>
      <c r="O94" s="1"/>
      <c r="P94" s="85"/>
      <c r="Q94" s="88"/>
      <c r="R94" s="3">
        <f>IFERROR(VLOOKUP(TablaMarzo[[#This Row],[BARRIO]],SECTOR!$A:$B,2,0),"")</f>
      </c>
      <c r="S94" s="89"/>
      <c r="T94" s="90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6"/>
      <c r="AZ94" s="19">
        <f>COUNTIF(U94:AY94,"A")</f>
      </c>
      <c r="BA94" s="17">
        <f>COUNTIF(U94:AY94,"F")</f>
      </c>
      <c r="BB94" s="17">
        <f>COUNTIF(U94:AY94,"E")</f>
      </c>
    </row>
    <row r="95" spans="1:54" ht="15.75" customHeight="1" x14ac:dyDescent="0.2">
      <c r="A95" s="84"/>
      <c r="B95" s="85"/>
      <c r="C95" s="85"/>
      <c r="D95" s="85"/>
      <c r="E95" s="86"/>
      <c r="F95" s="16">
        <f>IF(E95="","",DATEDIF(E95,$I$7,"Y"))</f>
      </c>
      <c r="G95" s="85"/>
      <c r="H95" s="85"/>
      <c r="I95" s="87"/>
      <c r="J95" s="85"/>
      <c r="K95" s="85"/>
      <c r="L95" s="2"/>
      <c r="M95" s="2"/>
      <c r="N95" s="1"/>
      <c r="O95" s="1"/>
      <c r="P95" s="85"/>
      <c r="Q95" s="88"/>
      <c r="R95" s="3">
        <f>IFERROR(VLOOKUP(TablaMarzo[[#This Row],[BARRIO]],SECTOR!$A:$B,2,0),"")</f>
      </c>
      <c r="S95" s="89"/>
      <c r="T95" s="90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6"/>
      <c r="AZ95" s="19">
        <f>COUNTIF(U95:AY95,"A")</f>
      </c>
      <c r="BA95" s="17">
        <f>COUNTIF(U95:AY95,"F")</f>
      </c>
      <c r="BB95" s="17">
        <f>COUNTIF(U95:AY95,"E")</f>
      </c>
    </row>
    <row r="96" spans="1:54" ht="15.75" customHeight="1" x14ac:dyDescent="0.2">
      <c r="A96" s="84"/>
      <c r="B96" s="85"/>
      <c r="C96" s="85"/>
      <c r="D96" s="85"/>
      <c r="E96" s="86"/>
      <c r="F96" s="16">
        <f>IF(E96="","",DATEDIF(E96,$I$7,"Y"))</f>
      </c>
      <c r="G96" s="85"/>
      <c r="H96" s="85"/>
      <c r="I96" s="87"/>
      <c r="J96" s="85"/>
      <c r="K96" s="85"/>
      <c r="L96" s="2"/>
      <c r="M96" s="2"/>
      <c r="N96" s="1"/>
      <c r="O96" s="1"/>
      <c r="P96" s="85"/>
      <c r="Q96" s="88"/>
      <c r="R96" s="3">
        <f>IFERROR(VLOOKUP(TablaMarzo[[#This Row],[BARRIO]],SECTOR!$A:$B,2,0),"")</f>
      </c>
      <c r="S96" s="89"/>
      <c r="T96" s="90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7"/>
      <c r="AZ96" s="30">
        <f>COUNTIF(U96:AY96,"A")</f>
      </c>
      <c r="BA96" s="17">
        <f>COUNTIF(U96:AY96,"F")</f>
      </c>
      <c r="BB96" s="17">
        <f>COUNTIF(U96:AY96,"E")</f>
      </c>
    </row>
    <row r="97" spans="1:54" ht="15.75" customHeight="1" x14ac:dyDescent="0.2">
      <c r="A97" s="84"/>
      <c r="B97" s="85"/>
      <c r="C97" s="85"/>
      <c r="D97" s="85"/>
      <c r="E97" s="86"/>
      <c r="F97" s="16">
        <f>IF(E97="","",DATEDIF(E97,$I$7,"Y"))</f>
      </c>
      <c r="G97" s="85"/>
      <c r="H97" s="85"/>
      <c r="I97" s="87"/>
      <c r="J97" s="85"/>
      <c r="K97" s="85"/>
      <c r="L97" s="2"/>
      <c r="M97" s="2"/>
      <c r="N97" s="1"/>
      <c r="O97" s="1"/>
      <c r="P97" s="85"/>
      <c r="Q97" s="88"/>
      <c r="R97" s="3">
        <f>IFERROR(VLOOKUP(TablaMarzo[[#This Row],[BARRIO]],SECTOR!$A:$B,2,0),"")</f>
      </c>
      <c r="S97" s="89"/>
      <c r="T97" s="90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6"/>
      <c r="AZ97" s="30">
        <f>COUNTIF(U97:AY97,"A")</f>
      </c>
      <c r="BA97" s="17">
        <f>COUNTIF(U97:AY97,"F")</f>
      </c>
      <c r="BB97" s="17">
        <f>COUNTIF(U97:AY97,"E")</f>
      </c>
    </row>
    <row r="98" spans="1:54" ht="15.75" customHeight="1" x14ac:dyDescent="0.2">
      <c r="A98" s="84"/>
      <c r="B98" s="85"/>
      <c r="C98" s="85"/>
      <c r="D98" s="85"/>
      <c r="E98" s="86"/>
      <c r="F98" s="16">
        <f>IF(E98="","",DATEDIF(E98,$I$7,"Y"))</f>
      </c>
      <c r="G98" s="85"/>
      <c r="H98" s="85"/>
      <c r="I98" s="87"/>
      <c r="J98" s="85"/>
      <c r="K98" s="85"/>
      <c r="L98" s="2"/>
      <c r="M98" s="2"/>
      <c r="N98" s="1"/>
      <c r="O98" s="1"/>
      <c r="P98" s="85"/>
      <c r="Q98" s="88"/>
      <c r="R98" s="3">
        <f>IFERROR(VLOOKUP(TablaMarzo[[#This Row],[BARRIO]],SECTOR!$A:$B,2,0),"")</f>
      </c>
      <c r="S98" s="89"/>
      <c r="T98" s="90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6"/>
      <c r="AZ98" s="30">
        <f>COUNTIF(U98:AY98,"A")</f>
      </c>
      <c r="BA98" s="17">
        <f>COUNTIF(U98:AY98,"F")</f>
      </c>
      <c r="BB98" s="17">
        <f>COUNTIF(U98:AY98,"E")</f>
      </c>
    </row>
    <row r="99" spans="1:54" ht="15.75" customHeight="1" x14ac:dyDescent="0.2">
      <c r="A99" s="84"/>
      <c r="B99" s="85"/>
      <c r="C99" s="85"/>
      <c r="D99" s="85"/>
      <c r="E99" s="86"/>
      <c r="F99" s="16">
        <f>IF(E99="","",DATEDIF(E99,$I$7,"Y"))</f>
      </c>
      <c r="G99" s="85"/>
      <c r="H99" s="85"/>
      <c r="I99" s="87"/>
      <c r="J99" s="85"/>
      <c r="K99" s="85"/>
      <c r="L99" s="2"/>
      <c r="M99" s="2"/>
      <c r="N99" s="1"/>
      <c r="O99" s="1"/>
      <c r="P99" s="85"/>
      <c r="Q99" s="88"/>
      <c r="R99" s="3">
        <f>IFERROR(VLOOKUP(TablaMarzo[[#This Row],[BARRIO]],SECTOR!$A:$B,2,0),"")</f>
      </c>
      <c r="S99" s="89"/>
      <c r="T99" s="90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6"/>
      <c r="AZ99" s="30">
        <f>COUNTIF(U99:AY99,"A")</f>
      </c>
      <c r="BA99" s="17">
        <f>COUNTIF(U99:AY99,"F")</f>
      </c>
      <c r="BB99" s="17">
        <f>COUNTIF(U99:AY99,"E")</f>
      </c>
    </row>
    <row r="100" spans="1:54" ht="15.75" customHeight="1" x14ac:dyDescent="0.2">
      <c r="A100" s="84"/>
      <c r="B100" s="85"/>
      <c r="C100" s="85"/>
      <c r="D100" s="85"/>
      <c r="E100" s="86"/>
      <c r="F100" s="16">
        <f>IF(E100="","",DATEDIF(E100,$I$7,"Y"))</f>
      </c>
      <c r="G100" s="85"/>
      <c r="H100" s="85"/>
      <c r="I100" s="87"/>
      <c r="J100" s="85"/>
      <c r="K100" s="85"/>
      <c r="L100" s="2"/>
      <c r="M100" s="2"/>
      <c r="N100" s="1"/>
      <c r="O100" s="1"/>
      <c r="P100" s="85"/>
      <c r="Q100" s="88"/>
      <c r="R100" s="3">
        <f>IFERROR(VLOOKUP(TablaMarzo[[#This Row],[BARRIO]],SECTOR!$A:$B,2,0),"")</f>
      </c>
      <c r="S100" s="89"/>
      <c r="T100" s="90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6"/>
      <c r="AZ100" s="30">
        <f>COUNTIF(U100:AY100,"A")</f>
      </c>
      <c r="BA100" s="17">
        <f>COUNTIF(U100:AY100,"F")</f>
      </c>
      <c r="BB100" s="17">
        <f>COUNTIF(U100:AY100,"E")</f>
      </c>
    </row>
    <row r="101" spans="1:54" ht="15.75" customHeight="1" x14ac:dyDescent="0.2">
      <c r="A101" s="84"/>
      <c r="B101" s="85"/>
      <c r="C101" s="85"/>
      <c r="D101" s="85"/>
      <c r="E101" s="86"/>
      <c r="F101" s="16">
        <f>IF(E101="","",DATEDIF(E101,$I$7,"Y"))</f>
      </c>
      <c r="G101" s="85"/>
      <c r="H101" s="85"/>
      <c r="I101" s="87"/>
      <c r="J101" s="85"/>
      <c r="K101" s="85"/>
      <c r="L101" s="2"/>
      <c r="M101" s="2"/>
      <c r="N101" s="1"/>
      <c r="O101" s="1"/>
      <c r="P101" s="85"/>
      <c r="Q101" s="88"/>
      <c r="R101" s="3">
        <f>IFERROR(VLOOKUP(TablaMarzo[[#This Row],[BARRIO]],SECTOR!$A:$B,2,0),"")</f>
      </c>
      <c r="S101" s="89"/>
      <c r="T101" s="90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6"/>
      <c r="AZ101" s="30">
        <f>COUNTIF(U101:AY101,"A")</f>
      </c>
      <c r="BA101" s="17">
        <f>COUNTIF(U101:AY101,"F")</f>
      </c>
      <c r="BB101" s="17">
        <f>COUNTIF(U101:AY101,"E")</f>
      </c>
    </row>
    <row r="102" spans="1:54" ht="15.75" customHeight="1" x14ac:dyDescent="0.2">
      <c r="A102" s="84"/>
      <c r="B102" s="85"/>
      <c r="C102" s="85"/>
      <c r="D102" s="85"/>
      <c r="E102" s="86"/>
      <c r="F102" s="16">
        <f>IF(E102="","",DATEDIF(E102,$I$7,"Y"))</f>
      </c>
      <c r="G102" s="85"/>
      <c r="H102" s="85"/>
      <c r="I102" s="87"/>
      <c r="J102" s="85"/>
      <c r="K102" s="85"/>
      <c r="L102" s="2"/>
      <c r="M102" s="2"/>
      <c r="N102" s="1"/>
      <c r="O102" s="1"/>
      <c r="P102" s="85"/>
      <c r="Q102" s="88"/>
      <c r="R102" s="3">
        <f>IFERROR(VLOOKUP(TablaMarzo[[#This Row],[BARRIO]],SECTOR!$A:$B,2,0),"")</f>
      </c>
      <c r="S102" s="89"/>
      <c r="T102" s="90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6"/>
      <c r="AZ102" s="30">
        <f>COUNTIF(U102:AY102,"A")</f>
      </c>
      <c r="BA102" s="17">
        <f>COUNTIF(U102:AY102,"F")</f>
      </c>
      <c r="BB102" s="17">
        <f>COUNTIF(U102:AY102,"E")</f>
      </c>
    </row>
    <row r="103" spans="1:54" ht="15.75" customHeight="1" x14ac:dyDescent="0.2">
      <c r="A103" s="84"/>
      <c r="B103" s="85"/>
      <c r="C103" s="85"/>
      <c r="D103" s="85"/>
      <c r="E103" s="86"/>
      <c r="F103" s="16">
        <f>IF(E103="","",DATEDIF(E103,$I$7,"Y"))</f>
      </c>
      <c r="G103" s="85"/>
      <c r="H103" s="85"/>
      <c r="I103" s="87"/>
      <c r="J103" s="85"/>
      <c r="K103" s="85"/>
      <c r="L103" s="2"/>
      <c r="M103" s="2"/>
      <c r="N103" s="1"/>
      <c r="O103" s="1"/>
      <c r="P103" s="85"/>
      <c r="Q103" s="88"/>
      <c r="R103" s="3">
        <f>IFERROR(VLOOKUP(TablaMarzo[[#This Row],[BARRIO]],SECTOR!$A:$B,2,0),"")</f>
      </c>
      <c r="S103" s="89"/>
      <c r="T103" s="90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6"/>
      <c r="AZ103" s="30">
        <f>COUNTIF(U103:AY103,"A")</f>
      </c>
      <c r="BA103" s="17">
        <f>COUNTIF(U103:AY103,"F")</f>
      </c>
      <c r="BB103" s="17">
        <f>COUNTIF(U103:AY103,"E")</f>
      </c>
    </row>
    <row r="104" spans="1:54" ht="15.75" customHeight="1" x14ac:dyDescent="0.2">
      <c r="A104" s="84"/>
      <c r="B104" s="85"/>
      <c r="C104" s="85"/>
      <c r="D104" s="85"/>
      <c r="E104" s="86"/>
      <c r="F104" s="16">
        <f>IF(E104="","",DATEDIF(E104,$I$7,"Y"))</f>
      </c>
      <c r="G104" s="85"/>
      <c r="H104" s="85"/>
      <c r="I104" s="87"/>
      <c r="J104" s="85"/>
      <c r="K104" s="85"/>
      <c r="L104" s="2"/>
      <c r="M104" s="2"/>
      <c r="N104" s="1"/>
      <c r="O104" s="1"/>
      <c r="P104" s="85"/>
      <c r="Q104" s="88"/>
      <c r="R104" s="3">
        <f>IFERROR(VLOOKUP(TablaMarzo[[#This Row],[BARRIO]],SECTOR!$A:$B,2,0),"")</f>
      </c>
      <c r="S104" s="89"/>
      <c r="T104" s="90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6"/>
      <c r="AZ104" s="30">
        <f>COUNTIF(U104:AY104,"A")</f>
      </c>
      <c r="BA104" s="17">
        <f>COUNTIF(U104:AY104,"F")</f>
      </c>
      <c r="BB104" s="17">
        <f>COUNTIF(U104:AY104,"E")</f>
      </c>
    </row>
    <row r="105" spans="1:54" ht="15.75" customHeight="1" x14ac:dyDescent="0.2">
      <c r="A105" s="84"/>
      <c r="B105" s="85"/>
      <c r="C105" s="85"/>
      <c r="D105" s="85"/>
      <c r="E105" s="86"/>
      <c r="F105" s="16">
        <f>IF(E105="","",DATEDIF(E105,$I$7,"Y"))</f>
      </c>
      <c r="G105" s="85"/>
      <c r="H105" s="85"/>
      <c r="I105" s="87"/>
      <c r="J105" s="85"/>
      <c r="K105" s="85"/>
      <c r="L105" s="2"/>
      <c r="M105" s="2"/>
      <c r="N105" s="1"/>
      <c r="O105" s="1"/>
      <c r="P105" s="85"/>
      <c r="Q105" s="88"/>
      <c r="R105" s="3">
        <f>IFERROR(VLOOKUP(TablaMarzo[[#This Row],[BARRIO]],SECTOR!$A:$B,2,0),"")</f>
      </c>
      <c r="S105" s="89"/>
      <c r="T105" s="90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6"/>
      <c r="AZ105" s="30">
        <f>COUNTIF(U105:AY105,"A")</f>
      </c>
      <c r="BA105" s="17">
        <f>COUNTIF(U105:AY105,"F")</f>
      </c>
      <c r="BB105" s="17">
        <f>COUNTIF(U105:AY105,"E")</f>
      </c>
    </row>
    <row r="106" spans="1:54" ht="15.75" customHeight="1" x14ac:dyDescent="0.2">
      <c r="A106" s="84"/>
      <c r="B106" s="85"/>
      <c r="C106" s="85"/>
      <c r="D106" s="85"/>
      <c r="E106" s="86"/>
      <c r="F106" s="16">
        <f>IF(E106="","",DATEDIF(E106,$I$7,"Y"))</f>
      </c>
      <c r="G106" s="85"/>
      <c r="H106" s="85"/>
      <c r="I106" s="87"/>
      <c r="J106" s="85"/>
      <c r="K106" s="85"/>
      <c r="L106" s="2"/>
      <c r="M106" s="2"/>
      <c r="N106" s="1"/>
      <c r="O106" s="1"/>
      <c r="P106" s="85"/>
      <c r="Q106" s="88"/>
      <c r="R106" s="3">
        <f>IFERROR(VLOOKUP(TablaMarzo[[#This Row],[BARRIO]],SECTOR!$A:$B,2,0),"")</f>
      </c>
      <c r="S106" s="89"/>
      <c r="T106" s="90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6"/>
      <c r="AZ106" s="30">
        <f>COUNTIF(U106:AY106,"A")</f>
      </c>
      <c r="BA106" s="17">
        <f>COUNTIF(U106:AY106,"F")</f>
      </c>
      <c r="BB106" s="17">
        <f>COUNTIF(U106:AY106,"E")</f>
      </c>
    </row>
    <row r="107" spans="1:54" ht="15.75" customHeight="1" x14ac:dyDescent="0.2">
      <c r="A107" s="84"/>
      <c r="B107" s="85"/>
      <c r="C107" s="85"/>
      <c r="D107" s="85"/>
      <c r="E107" s="86"/>
      <c r="F107" s="16">
        <f>IF(E107="","",DATEDIF(E107,$I$7,"Y"))</f>
      </c>
      <c r="G107" s="85"/>
      <c r="H107" s="85"/>
      <c r="I107" s="87"/>
      <c r="J107" s="85"/>
      <c r="K107" s="85"/>
      <c r="L107" s="2"/>
      <c r="M107" s="2"/>
      <c r="N107" s="1"/>
      <c r="O107" s="1"/>
      <c r="P107" s="85"/>
      <c r="Q107" s="88"/>
      <c r="R107" s="3">
        <f>IFERROR(VLOOKUP(TablaMarzo[[#This Row],[BARRIO]],SECTOR!$A:$B,2,0),"")</f>
      </c>
      <c r="S107" s="89"/>
      <c r="T107" s="90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6"/>
      <c r="AZ107" s="30">
        <f>COUNTIF(U107:AY107,"A")</f>
      </c>
      <c r="BA107" s="17">
        <f>COUNTIF(U107:AY107,"F")</f>
      </c>
      <c r="BB107" s="17">
        <f>COUNTIF(U107:AY107,"E")</f>
      </c>
    </row>
    <row r="108" spans="1:54" ht="15.75" customHeight="1" x14ac:dyDescent="0.2">
      <c r="A108" s="84"/>
      <c r="B108" s="85"/>
      <c r="C108" s="85"/>
      <c r="D108" s="85"/>
      <c r="E108" s="86"/>
      <c r="F108" s="16">
        <f>IF(E108="","",DATEDIF(E108,$I$7,"Y"))</f>
      </c>
      <c r="G108" s="85"/>
      <c r="H108" s="85"/>
      <c r="I108" s="87"/>
      <c r="J108" s="85"/>
      <c r="K108" s="85"/>
      <c r="L108" s="2"/>
      <c r="M108" s="2"/>
      <c r="N108" s="1"/>
      <c r="O108" s="1"/>
      <c r="P108" s="85"/>
      <c r="Q108" s="88"/>
      <c r="R108" s="3">
        <f>IFERROR(VLOOKUP(TablaMarzo[[#This Row],[BARRIO]],SECTOR!$A:$B,2,0),"")</f>
      </c>
      <c r="S108" s="89"/>
      <c r="T108" s="90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6"/>
      <c r="AZ108" s="30">
        <f>COUNTIF(U108:AY108,"A")</f>
      </c>
      <c r="BA108" s="17">
        <f>COUNTIF(U108:AY108,"F")</f>
      </c>
      <c r="BB108" s="17">
        <f>COUNTIF(U108:AY108,"E")</f>
      </c>
    </row>
    <row r="109" spans="1:54" ht="15.75" customHeight="1" x14ac:dyDescent="0.2">
      <c r="A109" s="84"/>
      <c r="B109" s="85"/>
      <c r="C109" s="85"/>
      <c r="D109" s="85"/>
      <c r="E109" s="86"/>
      <c r="F109" s="16">
        <f>IF(E109="","",DATEDIF(E109,$I$7,"Y"))</f>
      </c>
      <c r="G109" s="85"/>
      <c r="H109" s="85"/>
      <c r="I109" s="87"/>
      <c r="J109" s="85"/>
      <c r="K109" s="85"/>
      <c r="L109" s="2"/>
      <c r="M109" s="2"/>
      <c r="N109" s="1"/>
      <c r="O109" s="1"/>
      <c r="P109" s="85"/>
      <c r="Q109" s="88"/>
      <c r="R109" s="3">
        <f>IFERROR(VLOOKUP(TablaMarzo[[#This Row],[BARRIO]],SECTOR!$A:$B,2,0),"")</f>
      </c>
      <c r="S109" s="89"/>
      <c r="T109" s="90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6"/>
      <c r="AZ109" s="30">
        <f>COUNTIF(U109:AY109,"A")</f>
      </c>
      <c r="BA109" s="17">
        <f>COUNTIF(U109:AY109,"F")</f>
      </c>
      <c r="BB109" s="17">
        <f>COUNTIF(U109:AY109,"E")</f>
      </c>
    </row>
    <row r="110" spans="1:54" ht="15.75" customHeight="1" x14ac:dyDescent="0.2">
      <c r="A110" s="84"/>
      <c r="B110" s="85"/>
      <c r="C110" s="85"/>
      <c r="D110" s="85"/>
      <c r="E110" s="86"/>
      <c r="F110" s="16">
        <f>IF(E110="","",DATEDIF(E110,$I$7,"Y"))</f>
      </c>
      <c r="G110" s="85"/>
      <c r="H110" s="85"/>
      <c r="I110" s="87"/>
      <c r="J110" s="85"/>
      <c r="K110" s="85"/>
      <c r="L110" s="2"/>
      <c r="M110" s="2"/>
      <c r="N110" s="1"/>
      <c r="O110" s="1"/>
      <c r="P110" s="85"/>
      <c r="Q110" s="88"/>
      <c r="R110" s="3">
        <f>IFERROR(VLOOKUP(TablaMarzo[[#This Row],[BARRIO]],SECTOR!$A:$B,2,0),"")</f>
      </c>
      <c r="S110" s="89"/>
      <c r="T110" s="90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6"/>
      <c r="AZ110" s="30">
        <f>COUNTIF(U110:AY110,"A")</f>
      </c>
      <c r="BA110" s="17">
        <f>COUNTIF(U110:AY110,"F")</f>
      </c>
      <c r="BB110" s="17">
        <f>COUNTIF(U110:AY110,"E")</f>
      </c>
    </row>
    <row r="111" spans="1:54" ht="15.75" customHeight="1" x14ac:dyDescent="0.2">
      <c r="A111" s="84"/>
      <c r="B111" s="85"/>
      <c r="C111" s="85"/>
      <c r="D111" s="85"/>
      <c r="E111" s="86"/>
      <c r="F111" s="16">
        <f>IF(E111="","",DATEDIF(E111,$I$7,"Y"))</f>
      </c>
      <c r="G111" s="85"/>
      <c r="H111" s="85"/>
      <c r="I111" s="87"/>
      <c r="J111" s="85"/>
      <c r="K111" s="85"/>
      <c r="L111" s="2"/>
      <c r="M111" s="2"/>
      <c r="N111" s="1"/>
      <c r="O111" s="1"/>
      <c r="P111" s="85"/>
      <c r="Q111" s="88"/>
      <c r="R111" s="3">
        <f>IFERROR(VLOOKUP(TablaMarzo[[#This Row],[BARRIO]],SECTOR!$A:$B,2,0),"")</f>
      </c>
      <c r="S111" s="89"/>
      <c r="T111" s="90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6"/>
      <c r="AZ111" s="30">
        <f>COUNTIF(U111:AY111,"A")</f>
      </c>
      <c r="BA111" s="17">
        <f>COUNTIF(U111:AY111,"F")</f>
      </c>
      <c r="BB111" s="17">
        <f>COUNTIF(U111:AY111,"E")</f>
      </c>
    </row>
    <row r="112" spans="1:54" ht="15.75" customHeight="1" x14ac:dyDescent="0.2">
      <c r="A112" s="84"/>
      <c r="B112" s="85"/>
      <c r="C112" s="85"/>
      <c r="D112" s="85"/>
      <c r="E112" s="86"/>
      <c r="F112" s="16">
        <f>IF(E112="","",DATEDIF(E112,$I$7,"Y"))</f>
      </c>
      <c r="G112" s="85"/>
      <c r="H112" s="85"/>
      <c r="I112" s="87"/>
      <c r="J112" s="85"/>
      <c r="K112" s="85"/>
      <c r="L112" s="2"/>
      <c r="M112" s="2"/>
      <c r="N112" s="1"/>
      <c r="O112" s="1"/>
      <c r="P112" s="85"/>
      <c r="Q112" s="88"/>
      <c r="R112" s="3">
        <f>IFERROR(VLOOKUP(TablaMarzo[[#This Row],[BARRIO]],SECTOR!$A:$B,2,0),"")</f>
      </c>
      <c r="S112" s="89"/>
      <c r="T112" s="90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6"/>
      <c r="AZ112" s="30">
        <f>COUNTIF(U112:AY112,"A")</f>
      </c>
      <c r="BA112" s="17">
        <f>COUNTIF(U112:AY112,"F")</f>
      </c>
      <c r="BB112" s="17">
        <f>COUNTIF(U112:AY112,"E")</f>
      </c>
    </row>
    <row r="113" spans="1:54" ht="15.75" customHeight="1" x14ac:dyDescent="0.2">
      <c r="A113" s="84"/>
      <c r="B113" s="85"/>
      <c r="C113" s="85"/>
      <c r="D113" s="85"/>
      <c r="E113" s="86"/>
      <c r="F113" s="16">
        <f>IF(E113="","",DATEDIF(E113,$I$7,"Y"))</f>
      </c>
      <c r="G113" s="85"/>
      <c r="H113" s="85"/>
      <c r="I113" s="87"/>
      <c r="J113" s="85"/>
      <c r="K113" s="85"/>
      <c r="L113" s="2"/>
      <c r="M113" s="2"/>
      <c r="N113" s="1"/>
      <c r="O113" s="1"/>
      <c r="P113" s="85"/>
      <c r="Q113" s="88"/>
      <c r="R113" s="3">
        <f>IFERROR(VLOOKUP(TablaMarzo[[#This Row],[BARRIO]],SECTOR!$A:$B,2,0),"")</f>
      </c>
      <c r="S113" s="89"/>
      <c r="T113" s="90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6"/>
      <c r="AZ113" s="30">
        <f>COUNTIF(U113:AY113,"A")</f>
      </c>
      <c r="BA113" s="17">
        <f>COUNTIF(U113:AY113,"F")</f>
      </c>
      <c r="BB113" s="17">
        <f>COUNTIF(U113:AY113,"E")</f>
      </c>
    </row>
    <row r="114" spans="1:54" ht="15.75" customHeight="1" x14ac:dyDescent="0.2">
      <c r="A114" s="84"/>
      <c r="B114" s="85"/>
      <c r="C114" s="85"/>
      <c r="D114" s="85"/>
      <c r="E114" s="86"/>
      <c r="F114" s="16">
        <f>IF(E114="","",DATEDIF(E114,$I$7,"Y"))</f>
      </c>
      <c r="G114" s="85"/>
      <c r="H114" s="85"/>
      <c r="I114" s="87"/>
      <c r="J114" s="85"/>
      <c r="K114" s="85"/>
      <c r="L114" s="2"/>
      <c r="M114" s="2"/>
      <c r="N114" s="1"/>
      <c r="O114" s="1"/>
      <c r="P114" s="85"/>
      <c r="Q114" s="88"/>
      <c r="R114" s="3">
        <f>IFERROR(VLOOKUP(TablaMarzo[[#This Row],[BARRIO]],SECTOR!$A:$B,2,0),"")</f>
      </c>
      <c r="S114" s="89"/>
      <c r="T114" s="90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6"/>
      <c r="AZ114" s="30">
        <f>COUNTIF(U114:AY114,"A")</f>
      </c>
      <c r="BA114" s="17">
        <f>COUNTIF(U114:AY114,"F")</f>
      </c>
      <c r="BB114" s="17">
        <f>COUNTIF(U114:AY114,"E")</f>
      </c>
    </row>
    <row r="115" spans="1:54" ht="15.75" customHeight="1" x14ac:dyDescent="0.2">
      <c r="A115" s="84"/>
      <c r="B115" s="85"/>
      <c r="C115" s="85"/>
      <c r="D115" s="85"/>
      <c r="E115" s="86"/>
      <c r="F115" s="16">
        <f>IF(E115="","",DATEDIF(E115,$I$7,"Y"))</f>
      </c>
      <c r="G115" s="85"/>
      <c r="H115" s="85"/>
      <c r="I115" s="87"/>
      <c r="J115" s="85"/>
      <c r="K115" s="85"/>
      <c r="L115" s="2"/>
      <c r="M115" s="2"/>
      <c r="N115" s="1"/>
      <c r="O115" s="1"/>
      <c r="P115" s="85"/>
      <c r="Q115" s="88"/>
      <c r="R115" s="3">
        <f>IFERROR(VLOOKUP(TablaMarzo[[#This Row],[BARRIO]],SECTOR!$A:$B,2,0),"")</f>
      </c>
      <c r="S115" s="89"/>
      <c r="T115" s="90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6"/>
      <c r="AZ115" s="30">
        <f>COUNTIF(U115:AY115,"A")</f>
      </c>
      <c r="BA115" s="17">
        <f>COUNTIF(U115:AY115,"F")</f>
      </c>
      <c r="BB115" s="17">
        <f>COUNTIF(U115:AY115,"E")</f>
      </c>
    </row>
    <row r="116" spans="1:54" ht="15.75" customHeight="1" x14ac:dyDescent="0.2">
      <c r="A116" s="84"/>
      <c r="B116" s="85"/>
      <c r="C116" s="85"/>
      <c r="D116" s="85"/>
      <c r="E116" s="86"/>
      <c r="F116" s="16">
        <f>IF(E116="","",DATEDIF(E116,$I$7,"Y"))</f>
      </c>
      <c r="G116" s="85"/>
      <c r="H116" s="85"/>
      <c r="I116" s="87"/>
      <c r="J116" s="85"/>
      <c r="K116" s="85"/>
      <c r="L116" s="2"/>
      <c r="M116" s="2"/>
      <c r="N116" s="1"/>
      <c r="O116" s="1"/>
      <c r="P116" s="85"/>
      <c r="Q116" s="88"/>
      <c r="R116" s="3">
        <f>IFERROR(VLOOKUP(TablaMarzo[[#This Row],[BARRIO]],SECTOR!$A:$B,2,0),"")</f>
      </c>
      <c r="S116" s="89"/>
      <c r="T116" s="90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6"/>
      <c r="AZ116" s="30">
        <f>COUNTIF(U116:AY116,"A")</f>
      </c>
      <c r="BA116" s="17">
        <f>COUNTIF(U116:AY116,"F")</f>
      </c>
      <c r="BB116" s="17">
        <f>COUNTIF(U116:AY116,"E")</f>
      </c>
    </row>
    <row r="117" spans="1:54" ht="15.75" customHeight="1" x14ac:dyDescent="0.2">
      <c r="A117" s="84"/>
      <c r="B117" s="85"/>
      <c r="C117" s="85"/>
      <c r="D117" s="85"/>
      <c r="E117" s="86"/>
      <c r="F117" s="16">
        <f>IF(E117="","",DATEDIF(E117,$I$7,"Y"))</f>
      </c>
      <c r="G117" s="85"/>
      <c r="H117" s="85"/>
      <c r="I117" s="87"/>
      <c r="J117" s="85"/>
      <c r="K117" s="85"/>
      <c r="L117" s="2"/>
      <c r="M117" s="2"/>
      <c r="N117" s="1"/>
      <c r="O117" s="1"/>
      <c r="P117" s="85"/>
      <c r="Q117" s="88"/>
      <c r="R117" s="3">
        <f>IFERROR(VLOOKUP(TablaMarzo[[#This Row],[BARRIO]],SECTOR!$A:$B,2,0),"")</f>
      </c>
      <c r="S117" s="89"/>
      <c r="T117" s="90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6"/>
      <c r="AZ117" s="30">
        <f>COUNTIF(U117:AY117,"A")</f>
      </c>
      <c r="BA117" s="17">
        <f>COUNTIF(U117:AY117,"F")</f>
      </c>
      <c r="BB117" s="17">
        <f>COUNTIF(U117:AY117,"E")</f>
      </c>
    </row>
    <row r="118" spans="1:54" ht="15.75" customHeight="1" x14ac:dyDescent="0.2">
      <c r="A118" s="84"/>
      <c r="B118" s="85"/>
      <c r="C118" s="85"/>
      <c r="D118" s="85"/>
      <c r="E118" s="86"/>
      <c r="F118" s="16">
        <f>IF(E118="","",DATEDIF(E118,$I$7,"Y"))</f>
      </c>
      <c r="G118" s="85"/>
      <c r="H118" s="85"/>
      <c r="I118" s="87"/>
      <c r="J118" s="85"/>
      <c r="K118" s="85"/>
      <c r="L118" s="2"/>
      <c r="M118" s="2"/>
      <c r="N118" s="1"/>
      <c r="O118" s="1"/>
      <c r="P118" s="85"/>
      <c r="Q118" s="88"/>
      <c r="R118" s="3">
        <f>IFERROR(VLOOKUP(TablaMarzo[[#This Row],[BARRIO]],SECTOR!$A:$B,2,0),"")</f>
      </c>
      <c r="S118" s="89"/>
      <c r="T118" s="90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6"/>
      <c r="AZ118" s="30">
        <f>COUNTIF(U118:AY118,"A")</f>
      </c>
      <c r="BA118" s="17">
        <f>COUNTIF(U118:AY118,"F")</f>
      </c>
      <c r="BB118" s="17">
        <f>COUNTIF(U118:AY118,"E")</f>
      </c>
    </row>
    <row r="119" spans="1:54" ht="15.75" customHeight="1" x14ac:dyDescent="0.2">
      <c r="A119" s="84"/>
      <c r="B119" s="85"/>
      <c r="C119" s="85"/>
      <c r="D119" s="85"/>
      <c r="E119" s="86"/>
      <c r="F119" s="16">
        <f>IF(E119="","",DATEDIF(E119,$I$7,"Y"))</f>
      </c>
      <c r="G119" s="85"/>
      <c r="H119" s="85"/>
      <c r="I119" s="87"/>
      <c r="J119" s="85"/>
      <c r="K119" s="85"/>
      <c r="L119" s="2"/>
      <c r="M119" s="2"/>
      <c r="N119" s="1"/>
      <c r="O119" s="1"/>
      <c r="P119" s="85"/>
      <c r="Q119" s="88"/>
      <c r="R119" s="3">
        <f>IFERROR(VLOOKUP(TablaMarzo[[#This Row],[BARRIO]],SECTOR!$A:$B,2,0),"")</f>
      </c>
      <c r="S119" s="89"/>
      <c r="T119" s="90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6"/>
      <c r="AZ119" s="30">
        <f>COUNTIF(U119:AY119,"A")</f>
      </c>
      <c r="BA119" s="17">
        <f>COUNTIF(U119:AY119,"F")</f>
      </c>
      <c r="BB119" s="17">
        <f>COUNTIF(U119:AY119,"E")</f>
      </c>
    </row>
    <row r="120" spans="1:54" ht="15.75" customHeight="1" x14ac:dyDescent="0.2">
      <c r="A120" s="84"/>
      <c r="B120" s="85"/>
      <c r="C120" s="85"/>
      <c r="D120" s="85"/>
      <c r="E120" s="86"/>
      <c r="F120" s="16">
        <f>IF(E120="","",DATEDIF(E120,$I$7,"Y"))</f>
      </c>
      <c r="G120" s="85"/>
      <c r="H120" s="85"/>
      <c r="I120" s="87"/>
      <c r="J120" s="85"/>
      <c r="K120" s="85"/>
      <c r="L120" s="2"/>
      <c r="M120" s="2"/>
      <c r="N120" s="1"/>
      <c r="O120" s="1"/>
      <c r="P120" s="85"/>
      <c r="Q120" s="88"/>
      <c r="R120" s="3">
        <f>IFERROR(VLOOKUP(TablaMarzo[[#This Row],[BARRIO]],SECTOR!$A:$B,2,0),"")</f>
      </c>
      <c r="S120" s="89"/>
      <c r="T120" s="90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6"/>
      <c r="AZ120" s="30">
        <f>COUNTIF(U120:AY120,"A")</f>
      </c>
      <c r="BA120" s="17">
        <f>COUNTIF(U120:AY120,"F")</f>
      </c>
      <c r="BB120" s="17">
        <f>COUNTIF(U120:AY120,"E")</f>
      </c>
    </row>
    <row r="121" spans="1:54" ht="15.75" customHeight="1" x14ac:dyDescent="0.2">
      <c r="A121" s="84"/>
      <c r="B121" s="85"/>
      <c r="C121" s="85"/>
      <c r="D121" s="85"/>
      <c r="E121" s="86"/>
      <c r="F121" s="16">
        <f>IF(E121="","",DATEDIF(E121,$I$7,"Y"))</f>
      </c>
      <c r="G121" s="85"/>
      <c r="H121" s="85"/>
      <c r="I121" s="87"/>
      <c r="J121" s="85"/>
      <c r="K121" s="85"/>
      <c r="L121" s="2"/>
      <c r="M121" s="2"/>
      <c r="N121" s="1"/>
      <c r="O121" s="1"/>
      <c r="P121" s="85"/>
      <c r="Q121" s="88"/>
      <c r="R121" s="3">
        <f>IFERROR(VLOOKUP(TablaMarzo[[#This Row],[BARRIO]],SECTOR!$A:$B,2,0),"")</f>
      </c>
      <c r="S121" s="89"/>
      <c r="T121" s="90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6"/>
      <c r="AZ121" s="30">
        <f>COUNTIF(U121:AY121,"A")</f>
      </c>
      <c r="BA121" s="17">
        <f>COUNTIF(U121:AY121,"F")</f>
      </c>
      <c r="BB121" s="17">
        <f>COUNTIF(U121:AY121,"E")</f>
      </c>
    </row>
    <row r="122" spans="1:54" ht="15.75" customHeight="1" x14ac:dyDescent="0.2">
      <c r="A122" s="84"/>
      <c r="B122" s="85"/>
      <c r="C122" s="85"/>
      <c r="D122" s="85"/>
      <c r="E122" s="86"/>
      <c r="F122" s="16">
        <f>IF(E122="","",DATEDIF(E122,$I$7,"Y"))</f>
      </c>
      <c r="G122" s="85"/>
      <c r="H122" s="85"/>
      <c r="I122" s="87"/>
      <c r="J122" s="85"/>
      <c r="K122" s="85"/>
      <c r="L122" s="2"/>
      <c r="M122" s="2"/>
      <c r="N122" s="1"/>
      <c r="O122" s="1"/>
      <c r="P122" s="85"/>
      <c r="Q122" s="88"/>
      <c r="R122" s="3">
        <f>IFERROR(VLOOKUP(TablaMarzo[[#This Row],[BARRIO]],SECTOR!$A:$B,2,0),"")</f>
      </c>
      <c r="S122" s="89"/>
      <c r="T122" s="90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30">
        <f>COUNTIF(U122:AY122,"A")</f>
      </c>
      <c r="BA122" s="17">
        <f>COUNTIF(U122:AY122,"F")</f>
      </c>
      <c r="BB122" s="17">
        <f>COUNTIF(U122:AY122,"E")</f>
      </c>
    </row>
    <row r="123" spans="1:54" x14ac:dyDescent="0.2">
      <c r="A123" s="100"/>
      <c r="B123" s="101"/>
      <c r="C123" s="101"/>
      <c r="D123" s="101"/>
      <c r="E123" s="102"/>
      <c r="F123" s="16">
        <f>IF(E123="","",DATEDIF(E123,$I$7,"Y"))</f>
      </c>
      <c r="G123" s="101"/>
      <c r="H123" s="101"/>
      <c r="I123" s="103"/>
      <c r="J123" s="101"/>
      <c r="K123" s="101"/>
      <c r="L123" s="10"/>
      <c r="M123" s="10"/>
      <c r="N123" s="10"/>
      <c r="O123" s="10"/>
      <c r="P123" s="101"/>
      <c r="Q123" s="88"/>
      <c r="R123" s="3">
        <f>IFERROR(VLOOKUP(TablaMarzo[[#This Row],[BARRIO]],SECTOR!$A:$B,2,0),"")</f>
      </c>
      <c r="S123" s="104"/>
      <c r="T123" s="10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7"/>
      <c r="AZ123" s="30">
        <f>COUNTIF(U123:AY123,"A")</f>
      </c>
      <c r="BA123" s="32">
        <f>COUNTIF(U123:AY123,"F")</f>
      </c>
      <c r="BB123" s="118">
        <f>COUNTIF(U123:AY123,"E")</f>
      </c>
    </row>
    <row r="124" spans="1:54" x14ac:dyDescent="0.2">
      <c r="A124" s="100"/>
      <c r="B124" s="101"/>
      <c r="C124" s="101"/>
      <c r="D124" s="101"/>
      <c r="E124" s="102"/>
      <c r="F124" s="16">
        <f>IF(E124="","",DATEDIF(E124,$I$7,"Y"))</f>
      </c>
      <c r="G124" s="101"/>
      <c r="H124" s="101"/>
      <c r="I124" s="103"/>
      <c r="J124" s="101"/>
      <c r="K124" s="101"/>
      <c r="L124" s="10"/>
      <c r="M124" s="10"/>
      <c r="N124" s="10"/>
      <c r="O124" s="10"/>
      <c r="P124" s="101"/>
      <c r="Q124" s="88"/>
      <c r="R124" s="3">
        <f>IFERROR(VLOOKUP(TablaMarzo[[#This Row],[BARRIO]],SECTOR!$A:$B,2,0),"")</f>
      </c>
      <c r="S124" s="104"/>
      <c r="T124" s="10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7"/>
      <c r="AZ124" s="30">
        <f>COUNTIF(U124:AY124,"A")</f>
      </c>
      <c r="BA124" s="32">
        <f>COUNTIF(U124:AY124,"F")</f>
      </c>
      <c r="BB124" s="118">
        <f>COUNTIF(U124:AY124,"E")</f>
      </c>
    </row>
    <row r="125" spans="1:54" x14ac:dyDescent="0.2">
      <c r="A125" s="100"/>
      <c r="B125" s="106"/>
      <c r="C125" s="101"/>
      <c r="D125" s="101"/>
      <c r="E125" s="102"/>
      <c r="F125" s="16">
        <f>IF(E125="","",DATEDIF(E125,$I$7,"Y"))</f>
      </c>
      <c r="G125" s="101"/>
      <c r="H125" s="101"/>
      <c r="I125" s="103"/>
      <c r="J125" s="101"/>
      <c r="K125" s="101"/>
      <c r="L125" s="10"/>
      <c r="M125" s="10"/>
      <c r="N125" s="10"/>
      <c r="O125" s="10"/>
      <c r="P125" s="101"/>
      <c r="Q125" s="88"/>
      <c r="R125" s="3">
        <f>IFERROR(VLOOKUP(TablaMarzo[[#This Row],[BARRIO]],SECTOR!$A:$B,2,0),"")</f>
      </c>
      <c r="S125" s="104"/>
      <c r="T125" s="10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7"/>
      <c r="AZ125" s="30">
        <f>COUNTIF(U125:AY125,"A")</f>
      </c>
      <c r="BA125" s="32">
        <f>COUNTIF(U125:AY125,"F")</f>
      </c>
      <c r="BB125" s="118">
        <f>COUNTIF(U125:AY125,"E")</f>
      </c>
    </row>
    <row r="126" spans="1:54" x14ac:dyDescent="0.2">
      <c r="A126" s="84"/>
      <c r="B126" s="107"/>
      <c r="C126" s="85"/>
      <c r="D126" s="85"/>
      <c r="E126" s="86"/>
      <c r="F126" s="16">
        <f>IF(E126="","",DATEDIF(E126,$I$7,"Y"))</f>
      </c>
      <c r="G126" s="85"/>
      <c r="H126" s="85"/>
      <c r="I126" s="87"/>
      <c r="J126" s="85"/>
      <c r="K126" s="85"/>
      <c r="L126" s="10"/>
      <c r="M126" s="10"/>
      <c r="N126" s="10"/>
      <c r="O126" s="10"/>
      <c r="P126" s="85"/>
      <c r="Q126" s="88"/>
      <c r="R126" s="3">
        <f>IFERROR(VLOOKUP(TablaMarzo[[#This Row],[BARRIO]],SECTOR!$A:$B,2,0),"")</f>
      </c>
      <c r="S126" s="89"/>
      <c r="T126" s="90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6"/>
      <c r="AZ126" s="30">
        <f>COUNTIF(U126:AY126,"A")</f>
      </c>
      <c r="BA126" s="32">
        <f>COUNTIF(U126:AY126,"F")</f>
      </c>
      <c r="BB126" s="119">
        <f>COUNTIF(U126:AY126,"E")</f>
      </c>
    </row>
    <row r="127" spans="1:54" x14ac:dyDescent="0.2">
      <c r="A127" s="84"/>
      <c r="B127" s="107"/>
      <c r="C127" s="85"/>
      <c r="D127" s="85"/>
      <c r="E127" s="86"/>
      <c r="F127" s="16">
        <f>IF(E127="","",DATEDIF(E127,$I$7,"Y"))</f>
      </c>
      <c r="G127" s="85"/>
      <c r="H127" s="85"/>
      <c r="I127" s="87"/>
      <c r="J127" s="85"/>
      <c r="K127" s="85"/>
      <c r="L127" s="10"/>
      <c r="M127" s="10"/>
      <c r="N127" s="10"/>
      <c r="O127" s="10"/>
      <c r="P127" s="85"/>
      <c r="Q127" s="88"/>
      <c r="R127" s="3">
        <f>IFERROR(VLOOKUP(TablaMarzo[[#This Row],[BARRIO]],SECTOR!$A:$B,2,0),"")</f>
      </c>
      <c r="S127" s="89"/>
      <c r="T127" s="90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6"/>
      <c r="AZ127" s="120">
        <f>COUNTIF(U127:AY127,"A")</f>
      </c>
      <c r="BA127" s="121">
        <f>COUNTIF(U127:AY127,"F")</f>
      </c>
      <c r="BB127" s="119">
        <f>COUNTIF(U127:AY127,"E")</f>
      </c>
    </row>
    <row r="128" spans="1:54" x14ac:dyDescent="0.2">
      <c r="A128" s="84"/>
      <c r="B128" s="107"/>
      <c r="C128" s="85"/>
      <c r="D128" s="85"/>
      <c r="E128" s="86"/>
      <c r="F128" s="16">
        <f>IF(E128="","",DATEDIF(E128,$I$7,"Y"))</f>
      </c>
      <c r="G128" s="85"/>
      <c r="H128" s="85"/>
      <c r="I128" s="87"/>
      <c r="J128" s="85"/>
      <c r="K128" s="85"/>
      <c r="L128" s="10"/>
      <c r="M128" s="10"/>
      <c r="N128" s="10"/>
      <c r="O128" s="10"/>
      <c r="P128" s="85"/>
      <c r="Q128" s="88"/>
      <c r="R128" s="3">
        <f>IFERROR(VLOOKUP(TablaMarzo[[#This Row],[BARRIO]],SECTOR!$A:$B,2,0),"")</f>
      </c>
      <c r="S128" s="89"/>
      <c r="T128" s="90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6"/>
      <c r="AZ128" s="120">
        <f>COUNTIF(U128:AY128,"A")</f>
      </c>
      <c r="BA128" s="121">
        <f>COUNTIF(U128:AY128,"F")</f>
      </c>
      <c r="BB128" s="119">
        <f>COUNTIF(U128:AY128,"E")</f>
      </c>
    </row>
    <row r="129" spans="1:54" x14ac:dyDescent="0.2">
      <c r="A129" s="84"/>
      <c r="B129" s="107"/>
      <c r="C129" s="85"/>
      <c r="D129" s="85"/>
      <c r="E129" s="86"/>
      <c r="F129" s="16">
        <f>IF(E129="","",DATEDIF(E129,$I$7,"Y"))</f>
      </c>
      <c r="G129" s="85"/>
      <c r="H129" s="85"/>
      <c r="I129" s="87"/>
      <c r="J129" s="85"/>
      <c r="K129" s="85"/>
      <c r="L129" s="10"/>
      <c r="M129" s="10"/>
      <c r="N129" s="10"/>
      <c r="O129" s="10"/>
      <c r="P129" s="85"/>
      <c r="Q129" s="88"/>
      <c r="R129" s="3">
        <f>IFERROR(VLOOKUP(TablaMarzo[[#This Row],[BARRIO]],SECTOR!$A:$B,2,0),"")</f>
      </c>
      <c r="S129" s="89"/>
      <c r="T129" s="90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6"/>
      <c r="AZ129" s="120">
        <f>COUNTIF(U129:AY129,"A")</f>
      </c>
      <c r="BA129" s="121">
        <f>COUNTIF(U129:AY129,"F")</f>
      </c>
      <c r="BB129" s="119">
        <f>COUNTIF(U129:AY129,"E")</f>
      </c>
    </row>
    <row r="130" spans="1:54" x14ac:dyDescent="0.2">
      <c r="A130" s="84"/>
      <c r="B130" s="107"/>
      <c r="C130" s="85"/>
      <c r="D130" s="85"/>
      <c r="E130" s="86"/>
      <c r="F130" s="16">
        <f>IF(E130="","",DATEDIF(E130,$I$7,"Y"))</f>
      </c>
      <c r="G130" s="85"/>
      <c r="H130" s="85"/>
      <c r="I130" s="87"/>
      <c r="J130" s="85"/>
      <c r="K130" s="85"/>
      <c r="L130" s="10"/>
      <c r="M130" s="10"/>
      <c r="N130" s="10"/>
      <c r="O130" s="10"/>
      <c r="P130" s="85"/>
      <c r="Q130" s="88"/>
      <c r="R130" s="3">
        <f>IFERROR(VLOOKUP(TablaMarzo[[#This Row],[BARRIO]],SECTOR!$A:$B,2,0),"")</f>
      </c>
      <c r="S130" s="89"/>
      <c r="T130" s="90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6"/>
      <c r="AZ130" s="120">
        <f>COUNTIF(U130:AY130,"A")</f>
      </c>
      <c r="BA130" s="121">
        <f>COUNTIF(U130:AY130,"F")</f>
      </c>
      <c r="BB130" s="119">
        <f>COUNTIF(U130:AY130,"E")</f>
      </c>
    </row>
    <row r="131" spans="1:54" x14ac:dyDescent="0.2">
      <c r="A131" s="84"/>
      <c r="B131" s="107"/>
      <c r="C131" s="85"/>
      <c r="D131" s="85"/>
      <c r="E131" s="86"/>
      <c r="F131" s="16">
        <f>IF(E131="","",DATEDIF(E131,$I$7,"Y"))</f>
      </c>
      <c r="G131" s="85"/>
      <c r="H131" s="85"/>
      <c r="I131" s="87"/>
      <c r="J131" s="85"/>
      <c r="K131" s="85"/>
      <c r="L131" s="10"/>
      <c r="M131" s="10"/>
      <c r="N131" s="10"/>
      <c r="O131" s="10"/>
      <c r="P131" s="85"/>
      <c r="Q131" s="88"/>
      <c r="R131" s="3">
        <f>IFERROR(VLOOKUP(TablaMarzo[[#This Row],[BARRIO]],SECTOR!$A:$B,2,0),"")</f>
      </c>
      <c r="S131" s="89"/>
      <c r="T131" s="90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6"/>
      <c r="AZ131" s="120">
        <f>COUNTIF(U131:AY131,"A")</f>
      </c>
      <c r="BA131" s="121">
        <f>COUNTIF(U131:AY131,"F")</f>
      </c>
      <c r="BB131" s="119">
        <f>COUNTIF(U131:AY131,"E")</f>
      </c>
    </row>
    <row r="132" spans="1:54" x14ac:dyDescent="0.2">
      <c r="A132" s="84"/>
      <c r="B132" s="107"/>
      <c r="C132" s="85"/>
      <c r="D132" s="85"/>
      <c r="E132" s="86"/>
      <c r="F132" s="16">
        <f>IF(E132="","",DATEDIF(E132,$I$7,"Y"))</f>
      </c>
      <c r="G132" s="85"/>
      <c r="H132" s="85"/>
      <c r="I132" s="87"/>
      <c r="J132" s="85"/>
      <c r="K132" s="85"/>
      <c r="L132" s="10"/>
      <c r="M132" s="10"/>
      <c r="N132" s="10"/>
      <c r="O132" s="10"/>
      <c r="P132" s="85"/>
      <c r="Q132" s="88"/>
      <c r="R132" s="3">
        <f>IFERROR(VLOOKUP(TablaMarzo[[#This Row],[BARRIO]],SECTOR!$A:$B,2,0),"")</f>
      </c>
      <c r="S132" s="89"/>
      <c r="T132" s="90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6"/>
      <c r="AZ132" s="120">
        <f>COUNTIF(U132:AY132,"A")</f>
      </c>
      <c r="BA132" s="121">
        <f>COUNTIF(U132:AY132,"F")</f>
      </c>
      <c r="BB132" s="119">
        <f>COUNTIF(U132:AY132,"E")</f>
      </c>
    </row>
    <row r="133" spans="1:54" x14ac:dyDescent="0.2">
      <c r="A133" s="84"/>
      <c r="B133" s="107"/>
      <c r="C133" s="85"/>
      <c r="D133" s="85"/>
      <c r="E133" s="86"/>
      <c r="F133" s="16">
        <f>IF(E133="","",DATEDIF(E133,$I$7,"Y"))</f>
      </c>
      <c r="G133" s="85"/>
      <c r="H133" s="85"/>
      <c r="I133" s="87"/>
      <c r="J133" s="85"/>
      <c r="K133" s="85"/>
      <c r="L133" s="10"/>
      <c r="M133" s="10"/>
      <c r="N133" s="10"/>
      <c r="O133" s="10"/>
      <c r="P133" s="85"/>
      <c r="Q133" s="88"/>
      <c r="R133" s="3">
        <f>IFERROR(VLOOKUP(TablaMarzo[[#This Row],[BARRIO]],SECTOR!$A:$B,2,0),"")</f>
      </c>
      <c r="S133" s="89"/>
      <c r="T133" s="90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6"/>
      <c r="AZ133" s="120">
        <f>COUNTIF(U133:AY133,"A")</f>
      </c>
      <c r="BA133" s="121">
        <f>COUNTIF(U133:AY133,"F")</f>
      </c>
      <c r="BB133" s="119">
        <f>COUNTIF(U133:AY133,"E")</f>
      </c>
    </row>
    <row r="134" spans="1:54" x14ac:dyDescent="0.2">
      <c r="A134" s="84"/>
      <c r="B134" s="107"/>
      <c r="C134" s="85"/>
      <c r="D134" s="85"/>
      <c r="E134" s="86"/>
      <c r="F134" s="16">
        <f>IF(E134="","",DATEDIF(E134,$I$7,"Y"))</f>
      </c>
      <c r="G134" s="85"/>
      <c r="H134" s="85"/>
      <c r="I134" s="87"/>
      <c r="J134" s="85"/>
      <c r="K134" s="85"/>
      <c r="L134" s="10"/>
      <c r="M134" s="10"/>
      <c r="N134" s="10"/>
      <c r="O134" s="10"/>
      <c r="P134" s="85"/>
      <c r="Q134" s="88"/>
      <c r="R134" s="3">
        <f>IFERROR(VLOOKUP(TablaMarzo[[#This Row],[BARRIO]],SECTOR!$A:$B,2,0),"")</f>
      </c>
      <c r="S134" s="89"/>
      <c r="T134" s="90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6"/>
      <c r="AZ134" s="120">
        <f>COUNTIF(U134:AY134,"A")</f>
      </c>
      <c r="BA134" s="121">
        <f>COUNTIF(U134:AY134,"F")</f>
      </c>
      <c r="BB134" s="119">
        <f>COUNTIF(U134:AY134,"E")</f>
      </c>
    </row>
    <row r="135" spans="1:54" x14ac:dyDescent="0.2">
      <c r="A135" s="84"/>
      <c r="B135" s="107"/>
      <c r="C135" s="85"/>
      <c r="D135" s="85"/>
      <c r="E135" s="86"/>
      <c r="F135" s="16">
        <f>IF(E135="","",DATEDIF(E135,$I$7,"Y"))</f>
      </c>
      <c r="G135" s="85"/>
      <c r="H135" s="85"/>
      <c r="I135" s="87"/>
      <c r="J135" s="85"/>
      <c r="K135" s="85"/>
      <c r="L135" s="10"/>
      <c r="M135" s="10"/>
      <c r="N135" s="10"/>
      <c r="O135" s="10"/>
      <c r="P135" s="85"/>
      <c r="Q135" s="88"/>
      <c r="R135" s="3">
        <f>IFERROR(VLOOKUP(TablaMarzo[[#This Row],[BARRIO]],SECTOR!$A:$B,2,0),"")</f>
      </c>
      <c r="S135" s="89"/>
      <c r="T135" s="90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6"/>
      <c r="AZ135" s="120">
        <f>COUNTIF(U135:AY135,"A")</f>
      </c>
      <c r="BA135" s="121">
        <f>COUNTIF(U135:AY135,"F")</f>
      </c>
      <c r="BB135" s="119">
        <f>COUNTIF(U135:AY135,"E")</f>
      </c>
    </row>
    <row r="136" spans="1:54" x14ac:dyDescent="0.2">
      <c r="A136" s="84"/>
      <c r="B136" s="107"/>
      <c r="C136" s="85"/>
      <c r="D136" s="85"/>
      <c r="E136" s="86"/>
      <c r="F136" s="16">
        <f>IF(E136="","",DATEDIF(E136,$I$7,"Y"))</f>
      </c>
      <c r="G136" s="85"/>
      <c r="H136" s="85"/>
      <c r="I136" s="87"/>
      <c r="J136" s="85"/>
      <c r="K136" s="85"/>
      <c r="L136" s="10"/>
      <c r="M136" s="10"/>
      <c r="N136" s="10"/>
      <c r="O136" s="10"/>
      <c r="P136" s="85"/>
      <c r="Q136" s="88"/>
      <c r="R136" s="3">
        <f>IFERROR(VLOOKUP(TablaMarzo[[#This Row],[BARRIO]],SECTOR!$A:$B,2,0),"")</f>
      </c>
      <c r="S136" s="89"/>
      <c r="T136" s="90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6"/>
      <c r="AZ136" s="120">
        <f>COUNTIF(U136:AY136,"A")</f>
      </c>
      <c r="BA136" s="121">
        <f>COUNTIF(U136:AY136,"F")</f>
      </c>
      <c r="BB136" s="119">
        <f>COUNTIF(U136:AY136,"E")</f>
      </c>
    </row>
    <row r="137" spans="1:54" x14ac:dyDescent="0.2">
      <c r="A137" s="84"/>
      <c r="B137" s="107"/>
      <c r="C137" s="85"/>
      <c r="D137" s="85"/>
      <c r="E137" s="86"/>
      <c r="F137" s="16">
        <f>IF(E137="","",DATEDIF(E137,$I$7,"Y"))</f>
      </c>
      <c r="G137" s="85"/>
      <c r="H137" s="85"/>
      <c r="I137" s="87"/>
      <c r="J137" s="85"/>
      <c r="K137" s="85"/>
      <c r="L137" s="10"/>
      <c r="M137" s="10"/>
      <c r="N137" s="10"/>
      <c r="O137" s="10"/>
      <c r="P137" s="85"/>
      <c r="Q137" s="88"/>
      <c r="R137" s="3">
        <f>IFERROR(VLOOKUP(TablaMarzo[[#This Row],[BARRIO]],SECTOR!$A:$B,2,0),"")</f>
      </c>
      <c r="S137" s="89"/>
      <c r="T137" s="90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6"/>
      <c r="AZ137" s="120">
        <f>COUNTIF(U137:AY137,"A")</f>
      </c>
      <c r="BA137" s="121">
        <f>COUNTIF(U137:AY137,"F")</f>
      </c>
      <c r="BB137" s="119">
        <f>COUNTIF(U137:AY137,"E")</f>
      </c>
    </row>
    <row r="138" spans="1:54" x14ac:dyDescent="0.2">
      <c r="A138" s="84"/>
      <c r="B138" s="107"/>
      <c r="C138" s="85"/>
      <c r="D138" s="85"/>
      <c r="E138" s="86"/>
      <c r="F138" s="16">
        <f>IF(E138="","",DATEDIF(E138,$I$7,"Y"))</f>
      </c>
      <c r="G138" s="85"/>
      <c r="H138" s="85"/>
      <c r="I138" s="87"/>
      <c r="J138" s="85"/>
      <c r="K138" s="85"/>
      <c r="L138" s="10"/>
      <c r="M138" s="10"/>
      <c r="N138" s="10"/>
      <c r="O138" s="10"/>
      <c r="P138" s="85"/>
      <c r="Q138" s="88"/>
      <c r="R138" s="3">
        <f>IFERROR(VLOOKUP(TablaMarzo[[#This Row],[BARRIO]],SECTOR!$A:$B,2,0),"")</f>
      </c>
      <c r="S138" s="89"/>
      <c r="T138" s="90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6"/>
      <c r="AZ138" s="120">
        <f>COUNTIF(U138:AY138,"A")</f>
      </c>
      <c r="BA138" s="121">
        <f>COUNTIF(U138:AY138,"F")</f>
      </c>
      <c r="BB138" s="119">
        <f>COUNTIF(U138:AY138,"E")</f>
      </c>
    </row>
    <row r="139" spans="1:54" x14ac:dyDescent="0.2">
      <c r="A139" s="84"/>
      <c r="B139" s="107"/>
      <c r="C139" s="85"/>
      <c r="D139" s="85"/>
      <c r="E139" s="86"/>
      <c r="F139" s="16">
        <f>IF(E139="","",DATEDIF(E139,$I$7,"Y"))</f>
      </c>
      <c r="G139" s="85"/>
      <c r="H139" s="85"/>
      <c r="I139" s="87"/>
      <c r="J139" s="85"/>
      <c r="K139" s="85"/>
      <c r="L139" s="10"/>
      <c r="M139" s="10"/>
      <c r="N139" s="10"/>
      <c r="O139" s="10"/>
      <c r="P139" s="85"/>
      <c r="Q139" s="88"/>
      <c r="R139" s="3">
        <f>IFERROR(VLOOKUP(TablaMarzo[[#This Row],[BARRIO]],SECTOR!$A:$B,2,0),"")</f>
      </c>
      <c r="S139" s="89"/>
      <c r="T139" s="90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6"/>
      <c r="AZ139" s="120">
        <f>COUNTIF(U139:AY139,"A")</f>
      </c>
      <c r="BA139" s="121">
        <f>COUNTIF(U139:AY139,"F")</f>
      </c>
      <c r="BB139" s="119">
        <f>COUNTIF(U139:AY139,"E")</f>
      </c>
    </row>
    <row r="140" spans="1:54" x14ac:dyDescent="0.2">
      <c r="A140" s="84"/>
      <c r="B140" s="107"/>
      <c r="C140" s="85"/>
      <c r="D140" s="85"/>
      <c r="E140" s="86"/>
      <c r="F140" s="16">
        <f>IF(E140="","",DATEDIF(E140,$I$7,"Y"))</f>
      </c>
      <c r="G140" s="85"/>
      <c r="H140" s="85"/>
      <c r="I140" s="87"/>
      <c r="J140" s="85"/>
      <c r="K140" s="85"/>
      <c r="L140" s="10"/>
      <c r="M140" s="10"/>
      <c r="N140" s="10"/>
      <c r="O140" s="10"/>
      <c r="P140" s="85"/>
      <c r="Q140" s="88"/>
      <c r="R140" s="3">
        <f>IFERROR(VLOOKUP(TablaMarzo[[#This Row],[BARRIO]],SECTOR!$A:$B,2,0),"")</f>
      </c>
      <c r="S140" s="89"/>
      <c r="T140" s="90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6"/>
      <c r="AZ140" s="120">
        <f>COUNTIF(U140:AY140,"A")</f>
      </c>
      <c r="BA140" s="121">
        <f>COUNTIF(U140:AY140,"F")</f>
      </c>
      <c r="BB140" s="119">
        <f>COUNTIF(U140:AY140,"E")</f>
      </c>
    </row>
    <row r="141" spans="1:54" x14ac:dyDescent="0.2">
      <c r="A141" s="84"/>
      <c r="B141" s="107"/>
      <c r="C141" s="85"/>
      <c r="D141" s="85"/>
      <c r="E141" s="86"/>
      <c r="F141" s="16">
        <f>IF(E141="","",DATEDIF(E141,$I$7,"Y"))</f>
      </c>
      <c r="G141" s="85"/>
      <c r="H141" s="85"/>
      <c r="I141" s="87"/>
      <c r="J141" s="85"/>
      <c r="K141" s="85"/>
      <c r="L141" s="10"/>
      <c r="M141" s="10"/>
      <c r="N141" s="10"/>
      <c r="O141" s="10"/>
      <c r="P141" s="85"/>
      <c r="Q141" s="88"/>
      <c r="R141" s="3">
        <f>IFERROR(VLOOKUP(TablaMarzo[[#This Row],[BARRIO]],SECTOR!$A:$B,2,0),"")</f>
      </c>
      <c r="S141" s="89"/>
      <c r="T141" s="90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6"/>
      <c r="AZ141" s="120">
        <f>COUNTIF(U141:AY141,"A")</f>
      </c>
      <c r="BA141" s="121">
        <f>COUNTIF(U141:AY141,"F")</f>
      </c>
      <c r="BB141" s="119">
        <f>COUNTIF(U141:AY141,"E")</f>
      </c>
    </row>
    <row r="142" spans="1:54" x14ac:dyDescent="0.2">
      <c r="A142" s="84"/>
      <c r="B142" s="107"/>
      <c r="C142" s="85"/>
      <c r="D142" s="85"/>
      <c r="E142" s="86"/>
      <c r="F142" s="16">
        <f>IF(E142="","",DATEDIF(E142,$I$7,"Y"))</f>
      </c>
      <c r="G142" s="85"/>
      <c r="H142" s="85"/>
      <c r="I142" s="87"/>
      <c r="J142" s="85"/>
      <c r="K142" s="85"/>
      <c r="L142" s="10"/>
      <c r="M142" s="10"/>
      <c r="N142" s="10"/>
      <c r="O142" s="10"/>
      <c r="P142" s="85"/>
      <c r="Q142" s="88"/>
      <c r="R142" s="3">
        <f>IFERROR(VLOOKUP(TablaMarzo[[#This Row],[BARRIO]],SECTOR!$A:$B,2,0),"")</f>
      </c>
      <c r="S142" s="89"/>
      <c r="T142" s="90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6"/>
      <c r="AZ142" s="120">
        <f>COUNTIF(U142:AY142,"A")</f>
      </c>
      <c r="BA142" s="121">
        <f>COUNTIF(U142:AY142,"F")</f>
      </c>
      <c r="BB142" s="119">
        <f>COUNTIF(U142:AY142,"E")</f>
      </c>
    </row>
    <row r="143" spans="1:54" x14ac:dyDescent="0.2">
      <c r="A143" s="84"/>
      <c r="B143" s="107"/>
      <c r="C143" s="85"/>
      <c r="D143" s="85"/>
      <c r="E143" s="86"/>
      <c r="F143" s="16">
        <f>IF(E143="","",DATEDIF(E143,$I$7,"Y"))</f>
      </c>
      <c r="G143" s="85"/>
      <c r="H143" s="85"/>
      <c r="I143" s="87"/>
      <c r="J143" s="85"/>
      <c r="K143" s="85"/>
      <c r="L143" s="10"/>
      <c r="M143" s="10"/>
      <c r="N143" s="10"/>
      <c r="O143" s="10"/>
      <c r="P143" s="85"/>
      <c r="Q143" s="88"/>
      <c r="R143" s="3">
        <f>IFERROR(VLOOKUP(TablaMarzo[[#This Row],[BARRIO]],SECTOR!$A:$B,2,0),"")</f>
      </c>
      <c r="S143" s="89"/>
      <c r="T143" s="90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6"/>
      <c r="AZ143" s="120">
        <f>COUNTIF(U143:AY143,"A")</f>
      </c>
      <c r="BA143" s="121">
        <f>COUNTIF(U143:AY143,"F")</f>
      </c>
      <c r="BB143" s="119">
        <f>COUNTIF(U143:AY143,"E")</f>
      </c>
    </row>
    <row r="144" spans="1:54" x14ac:dyDescent="0.2">
      <c r="A144" s="84"/>
      <c r="B144" s="107"/>
      <c r="C144" s="85"/>
      <c r="D144" s="85"/>
      <c r="E144" s="86"/>
      <c r="F144" s="16">
        <f>IF(E144="","",DATEDIF(E144,$I$7,"Y"))</f>
      </c>
      <c r="G144" s="85"/>
      <c r="H144" s="85"/>
      <c r="I144" s="87"/>
      <c r="J144" s="85"/>
      <c r="K144" s="85"/>
      <c r="L144" s="10"/>
      <c r="M144" s="10"/>
      <c r="N144" s="10"/>
      <c r="O144" s="10"/>
      <c r="P144" s="85"/>
      <c r="Q144" s="88"/>
      <c r="R144" s="3">
        <f>IFERROR(VLOOKUP(TablaMarzo[[#This Row],[BARRIO]],SECTOR!$A:$B,2,0),"")</f>
      </c>
      <c r="S144" s="89"/>
      <c r="T144" s="90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6"/>
      <c r="AZ144" s="120">
        <f>COUNTIF(U144:AY144,"A")</f>
      </c>
      <c r="BA144" s="121">
        <f>COUNTIF(U144:AY144,"F")</f>
      </c>
      <c r="BB144" s="119">
        <f>COUNTIF(U144:AY144,"E")</f>
      </c>
    </row>
    <row r="145" spans="1:54" x14ac:dyDescent="0.2">
      <c r="A145" s="84"/>
      <c r="B145" s="107"/>
      <c r="C145" s="85"/>
      <c r="D145" s="85"/>
      <c r="E145" s="86"/>
      <c r="F145" s="16">
        <f>IF(E145="","",DATEDIF(E145,$I$7,"Y"))</f>
      </c>
      <c r="G145" s="85"/>
      <c r="H145" s="85"/>
      <c r="I145" s="87"/>
      <c r="J145" s="85"/>
      <c r="K145" s="85"/>
      <c r="L145" s="10"/>
      <c r="M145" s="10"/>
      <c r="N145" s="10"/>
      <c r="O145" s="10"/>
      <c r="P145" s="85"/>
      <c r="Q145" s="88"/>
      <c r="R145" s="3">
        <f>IFERROR(VLOOKUP(TablaMarzo[[#This Row],[BARRIO]],SECTOR!$A:$B,2,0),"")</f>
      </c>
      <c r="S145" s="89"/>
      <c r="T145" s="90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6"/>
      <c r="AZ145" s="120">
        <f>COUNTIF(U145:AY145,"A")</f>
      </c>
      <c r="BA145" s="121">
        <f>COUNTIF(U145:AY145,"F")</f>
      </c>
      <c r="BB145" s="119">
        <f>COUNTIF(U145:AY145,"E")</f>
      </c>
    </row>
    <row r="146" spans="1:54" x14ac:dyDescent="0.2">
      <c r="A146" s="84"/>
      <c r="B146" s="107"/>
      <c r="C146" s="85"/>
      <c r="D146" s="85"/>
      <c r="E146" s="86"/>
      <c r="F146" s="16">
        <f>IF(E146="","",DATEDIF(E146,$I$7,"Y"))</f>
      </c>
      <c r="G146" s="85"/>
      <c r="H146" s="85"/>
      <c r="I146" s="87"/>
      <c r="J146" s="85"/>
      <c r="K146" s="85"/>
      <c r="L146" s="10"/>
      <c r="M146" s="10"/>
      <c r="N146" s="10"/>
      <c r="O146" s="10"/>
      <c r="P146" s="85"/>
      <c r="Q146" s="88"/>
      <c r="R146" s="3">
        <f>IFERROR(VLOOKUP(TablaMarzo[[#This Row],[BARRIO]],SECTOR!$A:$B,2,0),"")</f>
      </c>
      <c r="S146" s="89"/>
      <c r="T146" s="90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6"/>
      <c r="AZ146" s="120">
        <f>COUNTIF(U146:AY146,"A")</f>
      </c>
      <c r="BA146" s="121">
        <f>COUNTIF(U146:AY146,"F")</f>
      </c>
      <c r="BB146" s="119">
        <f>COUNTIF(U146:AY146,"E")</f>
      </c>
    </row>
    <row r="147" spans="1:54" x14ac:dyDescent="0.2">
      <c r="A147" s="84"/>
      <c r="B147" s="107"/>
      <c r="C147" s="85"/>
      <c r="D147" s="85"/>
      <c r="E147" s="86"/>
      <c r="F147" s="16">
        <f>IF(E147="","",DATEDIF(E147,$I$7,"Y"))</f>
      </c>
      <c r="G147" s="85"/>
      <c r="H147" s="85"/>
      <c r="I147" s="87"/>
      <c r="J147" s="85"/>
      <c r="K147" s="85"/>
      <c r="L147" s="10"/>
      <c r="M147" s="10"/>
      <c r="N147" s="10"/>
      <c r="O147" s="10"/>
      <c r="P147" s="85"/>
      <c r="Q147" s="88"/>
      <c r="R147" s="3">
        <f>IFERROR(VLOOKUP(TablaMarzo[[#This Row],[BARRIO]],SECTOR!$A:$B,2,0),"")</f>
      </c>
      <c r="S147" s="89"/>
      <c r="T147" s="90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6"/>
      <c r="AZ147" s="120">
        <f>COUNTIF(U147:AY147,"A")</f>
      </c>
      <c r="BA147" s="121">
        <f>COUNTIF(U147:AY147,"F")</f>
      </c>
      <c r="BB147" s="119">
        <f>COUNTIF(U147:AY147,"E")</f>
      </c>
    </row>
    <row r="148" spans="1:54" x14ac:dyDescent="0.2">
      <c r="A148" s="84"/>
      <c r="B148" s="107"/>
      <c r="C148" s="85"/>
      <c r="D148" s="85"/>
      <c r="E148" s="86"/>
      <c r="F148" s="16">
        <f>IF(E148="","",DATEDIF(E148,$I$7,"Y"))</f>
      </c>
      <c r="G148" s="85"/>
      <c r="H148" s="85"/>
      <c r="I148" s="87"/>
      <c r="J148" s="85"/>
      <c r="K148" s="85"/>
      <c r="L148" s="10"/>
      <c r="M148" s="10"/>
      <c r="N148" s="10"/>
      <c r="O148" s="10"/>
      <c r="P148" s="85"/>
      <c r="Q148" s="88"/>
      <c r="R148" s="3">
        <f>IFERROR(VLOOKUP(TablaMarzo[[#This Row],[BARRIO]],SECTOR!$A:$B,2,0),"")</f>
      </c>
      <c r="S148" s="89"/>
      <c r="T148" s="90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6"/>
      <c r="AZ148" s="120">
        <f>COUNTIF(U148:AY148,"A")</f>
      </c>
      <c r="BA148" s="121">
        <f>COUNTIF(U148:AY148,"F")</f>
      </c>
      <c r="BB148" s="119">
        <f>COUNTIF(U148:AY148,"E")</f>
      </c>
    </row>
    <row r="149" spans="1:54" x14ac:dyDescent="0.2">
      <c r="A149" s="84"/>
      <c r="B149" s="107"/>
      <c r="C149" s="85"/>
      <c r="D149" s="85"/>
      <c r="E149" s="86"/>
      <c r="F149" s="16">
        <f>IF(E149="","",DATEDIF(E149,$I$7,"Y"))</f>
      </c>
      <c r="G149" s="85"/>
      <c r="H149" s="85"/>
      <c r="I149" s="87"/>
      <c r="J149" s="85"/>
      <c r="K149" s="85"/>
      <c r="L149" s="10"/>
      <c r="M149" s="10"/>
      <c r="N149" s="10"/>
      <c r="O149" s="10"/>
      <c r="P149" s="85"/>
      <c r="Q149" s="88"/>
      <c r="R149" s="3">
        <f>IFERROR(VLOOKUP(TablaMarzo[[#This Row],[BARRIO]],SECTOR!$A:$B,2,0),"")</f>
      </c>
      <c r="S149" s="89"/>
      <c r="T149" s="90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6"/>
      <c r="AZ149" s="120">
        <f>COUNTIF(U149:AY149,"A")</f>
      </c>
      <c r="BA149" s="121">
        <f>COUNTIF(U149:AY149,"F")</f>
      </c>
      <c r="BB149" s="119">
        <f>COUNTIF(U149:AY149,"E")</f>
      </c>
    </row>
    <row r="150" spans="1:54" x14ac:dyDescent="0.2">
      <c r="A150" s="84"/>
      <c r="B150" s="107"/>
      <c r="C150" s="85"/>
      <c r="D150" s="85"/>
      <c r="E150" s="86"/>
      <c r="F150" s="16">
        <f>IF(E150="","",DATEDIF(E150,$I$7,"Y"))</f>
      </c>
      <c r="G150" s="85"/>
      <c r="H150" s="85"/>
      <c r="I150" s="87"/>
      <c r="J150" s="85"/>
      <c r="K150" s="85"/>
      <c r="L150" s="10"/>
      <c r="M150" s="10"/>
      <c r="N150" s="10"/>
      <c r="O150" s="10"/>
      <c r="P150" s="85"/>
      <c r="Q150" s="88"/>
      <c r="R150" s="3">
        <f>IFERROR(VLOOKUP(TablaMarzo[[#This Row],[BARRIO]],SECTOR!$A:$B,2,0),"")</f>
      </c>
      <c r="S150" s="89"/>
      <c r="T150" s="90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6"/>
      <c r="AZ150" s="120">
        <f>COUNTIF(U150:AY150,"A")</f>
      </c>
      <c r="BA150" s="121">
        <f>COUNTIF(U150:AY150,"F")</f>
      </c>
      <c r="BB150" s="119">
        <f>COUNTIF(U150:AY150,"E")</f>
      </c>
    </row>
    <row r="151" spans="1:54" x14ac:dyDescent="0.2">
      <c r="A151" s="84"/>
      <c r="B151" s="107"/>
      <c r="C151" s="85"/>
      <c r="D151" s="85"/>
      <c r="E151" s="86"/>
      <c r="F151" s="16">
        <f>IF(E151="","",DATEDIF(E151,$I$7,"Y"))</f>
      </c>
      <c r="G151" s="85"/>
      <c r="H151" s="85"/>
      <c r="I151" s="87"/>
      <c r="J151" s="85"/>
      <c r="K151" s="85"/>
      <c r="L151" s="10"/>
      <c r="M151" s="10"/>
      <c r="N151" s="10"/>
      <c r="O151" s="10"/>
      <c r="P151" s="85"/>
      <c r="Q151" s="88"/>
      <c r="R151" s="3">
        <f>IFERROR(VLOOKUP(TablaMarzo[[#This Row],[BARRIO]],SECTOR!$A:$B,2,0),"")</f>
      </c>
      <c r="S151" s="89"/>
      <c r="T151" s="90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6"/>
      <c r="AZ151" s="120">
        <f>COUNTIF(U151:AY151,"A")</f>
      </c>
      <c r="BA151" s="121">
        <f>COUNTIF(U151:AY151,"F")</f>
      </c>
      <c r="BB151" s="119">
        <f>COUNTIF(U151:AY151,"E")</f>
      </c>
    </row>
    <row r="152" spans="1:54" x14ac:dyDescent="0.2">
      <c r="A152" s="84"/>
      <c r="B152" s="107"/>
      <c r="C152" s="85"/>
      <c r="D152" s="85"/>
      <c r="E152" s="86"/>
      <c r="F152" s="16">
        <f>IF(E152="","",DATEDIF(E152,$I$7,"Y"))</f>
      </c>
      <c r="G152" s="85"/>
      <c r="H152" s="85"/>
      <c r="I152" s="87"/>
      <c r="J152" s="85"/>
      <c r="K152" s="85"/>
      <c r="L152" s="10"/>
      <c r="M152" s="10"/>
      <c r="N152" s="10"/>
      <c r="O152" s="10"/>
      <c r="P152" s="85"/>
      <c r="Q152" s="88"/>
      <c r="R152" s="3">
        <f>IFERROR(VLOOKUP(TablaMarzo[[#This Row],[BARRIO]],SECTOR!$A:$B,2,0),"")</f>
      </c>
      <c r="S152" s="89"/>
      <c r="T152" s="90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6"/>
      <c r="AZ152" s="120">
        <f>COUNTIF(U152:AY152,"A")</f>
      </c>
      <c r="BA152" s="121">
        <f>COUNTIF(U152:AY152,"F")</f>
      </c>
      <c r="BB152" s="119">
        <f>COUNTIF(U152:AY152,"E")</f>
      </c>
    </row>
    <row r="153" spans="1:54" x14ac:dyDescent="0.2">
      <c r="A153" s="84"/>
      <c r="B153" s="107"/>
      <c r="C153" s="85"/>
      <c r="D153" s="85"/>
      <c r="E153" s="86"/>
      <c r="F153" s="16">
        <f>IF(E153="","",DATEDIF(E153,$I$7,"Y"))</f>
      </c>
      <c r="G153" s="85"/>
      <c r="H153" s="85"/>
      <c r="I153" s="87"/>
      <c r="J153" s="85"/>
      <c r="K153" s="85"/>
      <c r="L153" s="10"/>
      <c r="M153" s="10"/>
      <c r="N153" s="10"/>
      <c r="O153" s="10"/>
      <c r="P153" s="85"/>
      <c r="Q153" s="88"/>
      <c r="R153" s="3">
        <f>IFERROR(VLOOKUP(TablaMarzo[[#This Row],[BARRIO]],SECTOR!$A:$B,2,0),"")</f>
      </c>
      <c r="S153" s="89"/>
      <c r="T153" s="90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6"/>
      <c r="AZ153" s="120">
        <f>COUNTIF(U153:AY153,"A")</f>
      </c>
      <c r="BA153" s="121">
        <f>COUNTIF(U153:AY153,"F")</f>
      </c>
      <c r="BB153" s="119">
        <f>COUNTIF(U153:AY153,"E")</f>
      </c>
    </row>
    <row r="154" spans="1:54" x14ac:dyDescent="0.2">
      <c r="A154" s="84"/>
      <c r="B154" s="107"/>
      <c r="C154" s="85"/>
      <c r="D154" s="85"/>
      <c r="E154" s="86"/>
      <c r="F154" s="16">
        <f>IF(E154="","",DATEDIF(E154,$I$7,"Y"))</f>
      </c>
      <c r="G154" s="85"/>
      <c r="H154" s="85"/>
      <c r="I154" s="87"/>
      <c r="J154" s="85"/>
      <c r="K154" s="85"/>
      <c r="L154" s="10"/>
      <c r="M154" s="10"/>
      <c r="N154" s="10"/>
      <c r="O154" s="10"/>
      <c r="P154" s="85"/>
      <c r="Q154" s="88"/>
      <c r="R154" s="3">
        <f>IFERROR(VLOOKUP(TablaMarzo[[#This Row],[BARRIO]],SECTOR!$A:$B,2,0),"")</f>
      </c>
      <c r="S154" s="89"/>
      <c r="T154" s="90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6"/>
      <c r="AZ154" s="120">
        <f>COUNTIF(U154:AY154,"A")</f>
      </c>
      <c r="BA154" s="121">
        <f>COUNTIF(U154:AY154,"F")</f>
      </c>
      <c r="BB154" s="119">
        <f>COUNTIF(U154:AY154,"E")</f>
      </c>
    </row>
    <row r="155" spans="1:54" x14ac:dyDescent="0.2">
      <c r="A155" s="84"/>
      <c r="B155" s="107"/>
      <c r="C155" s="85"/>
      <c r="D155" s="85"/>
      <c r="E155" s="86"/>
      <c r="F155" s="16">
        <f>IF(E155="","",DATEDIF(E155,$I$7,"Y"))</f>
      </c>
      <c r="G155" s="85"/>
      <c r="H155" s="85"/>
      <c r="I155" s="87"/>
      <c r="J155" s="85"/>
      <c r="K155" s="85"/>
      <c r="L155" s="10"/>
      <c r="M155" s="10"/>
      <c r="N155" s="10"/>
      <c r="O155" s="10"/>
      <c r="P155" s="85"/>
      <c r="Q155" s="88"/>
      <c r="R155" s="3">
        <f>IFERROR(VLOOKUP(TablaMarzo[[#This Row],[BARRIO]],SECTOR!$A:$B,2,0),"")</f>
      </c>
      <c r="S155" s="89"/>
      <c r="T155" s="90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6"/>
      <c r="AZ155" s="120">
        <f>COUNTIF(U155:AY155,"A")</f>
      </c>
      <c r="BA155" s="121">
        <f>COUNTIF(U155:AY155,"F")</f>
      </c>
      <c r="BB155" s="119">
        <f>COUNTIF(U155:AY155,"E")</f>
      </c>
    </row>
    <row r="156" spans="1:54" x14ac:dyDescent="0.2">
      <c r="A156" s="84"/>
      <c r="B156" s="107"/>
      <c r="C156" s="85"/>
      <c r="D156" s="85"/>
      <c r="E156" s="86"/>
      <c r="F156" s="16">
        <f>IF(E156="","",DATEDIF(E156,$I$7,"Y"))</f>
      </c>
      <c r="G156" s="85"/>
      <c r="H156" s="85"/>
      <c r="I156" s="87"/>
      <c r="J156" s="85"/>
      <c r="K156" s="85"/>
      <c r="L156" s="10"/>
      <c r="M156" s="10"/>
      <c r="N156" s="10"/>
      <c r="O156" s="10"/>
      <c r="P156" s="85"/>
      <c r="Q156" s="88"/>
      <c r="R156" s="3">
        <f>IFERROR(VLOOKUP(TablaMarzo[[#This Row],[BARRIO]],SECTOR!$A:$B,2,0),"")</f>
      </c>
      <c r="S156" s="89"/>
      <c r="T156" s="90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6"/>
      <c r="AZ156" s="120">
        <f>COUNTIF(U156:AY156,"A")</f>
      </c>
      <c r="BA156" s="121">
        <f>COUNTIF(U156:AY156,"F")</f>
      </c>
      <c r="BB156" s="119">
        <f>COUNTIF(U156:AY156,"E")</f>
      </c>
    </row>
    <row r="157" spans="1:54" x14ac:dyDescent="0.2">
      <c r="A157" s="84"/>
      <c r="B157" s="107"/>
      <c r="C157" s="85"/>
      <c r="D157" s="85"/>
      <c r="E157" s="86"/>
      <c r="F157" s="16">
        <f>IF(E157="","",DATEDIF(E157,$I$7,"Y"))</f>
      </c>
      <c r="G157" s="85"/>
      <c r="H157" s="85"/>
      <c r="I157" s="87"/>
      <c r="J157" s="85"/>
      <c r="K157" s="85"/>
      <c r="L157" s="10"/>
      <c r="M157" s="10"/>
      <c r="N157" s="10"/>
      <c r="O157" s="10"/>
      <c r="P157" s="85"/>
      <c r="Q157" s="88"/>
      <c r="R157" s="3">
        <f>IFERROR(VLOOKUP(TablaMarzo[[#This Row],[BARRIO]],SECTOR!$A:$B,2,0),"")</f>
      </c>
      <c r="S157" s="89"/>
      <c r="T157" s="90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6"/>
      <c r="AZ157" s="120">
        <f>COUNTIF(U157:AY157,"A")</f>
      </c>
      <c r="BA157" s="121">
        <f>COUNTIF(U157:AY157,"F")</f>
      </c>
      <c r="BB157" s="119">
        <f>COUNTIF(U157:AY157,"E")</f>
      </c>
    </row>
    <row r="158" spans="1:54" x14ac:dyDescent="0.2">
      <c r="A158" s="84"/>
      <c r="B158" s="107"/>
      <c r="C158" s="85"/>
      <c r="D158" s="85"/>
      <c r="E158" s="86"/>
      <c r="F158" s="16">
        <f>IF(E158="","",DATEDIF(E158,$I$7,"Y"))</f>
      </c>
      <c r="G158" s="85"/>
      <c r="H158" s="85"/>
      <c r="I158" s="87"/>
      <c r="J158" s="85"/>
      <c r="K158" s="85"/>
      <c r="L158" s="10"/>
      <c r="M158" s="10"/>
      <c r="N158" s="10"/>
      <c r="O158" s="10"/>
      <c r="P158" s="85"/>
      <c r="Q158" s="88"/>
      <c r="R158" s="3">
        <f>IFERROR(VLOOKUP(TablaMarzo[[#This Row],[BARRIO]],SECTOR!$A:$B,2,0),"")</f>
      </c>
      <c r="S158" s="89"/>
      <c r="T158" s="90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6"/>
      <c r="AZ158" s="120">
        <f>COUNTIF(U158:AY158,"A")</f>
      </c>
      <c r="BA158" s="121">
        <f>COUNTIF(U158:AY158,"F")</f>
      </c>
      <c r="BB158" s="119">
        <f>COUNTIF(U158:AY158,"E")</f>
      </c>
    </row>
    <row r="159" spans="1:54" x14ac:dyDescent="0.2">
      <c r="A159" s="84"/>
      <c r="B159" s="107"/>
      <c r="C159" s="85"/>
      <c r="D159" s="85"/>
      <c r="E159" s="86"/>
      <c r="F159" s="16">
        <f>IF(E159="","",DATEDIF(E159,$I$7,"Y"))</f>
      </c>
      <c r="G159" s="85"/>
      <c r="H159" s="85"/>
      <c r="I159" s="87"/>
      <c r="J159" s="85"/>
      <c r="K159" s="85"/>
      <c r="L159" s="10"/>
      <c r="M159" s="10"/>
      <c r="N159" s="10"/>
      <c r="O159" s="10"/>
      <c r="P159" s="85"/>
      <c r="Q159" s="88"/>
      <c r="R159" s="3">
        <f>IFERROR(VLOOKUP(TablaMarzo[[#This Row],[BARRIO]],SECTOR!$A:$B,2,0),"")</f>
      </c>
      <c r="S159" s="89"/>
      <c r="T159" s="90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6"/>
      <c r="AZ159" s="120">
        <f>COUNTIF(U159:AY159,"A")</f>
      </c>
      <c r="BA159" s="121">
        <f>COUNTIF(U159:AY159,"F")</f>
      </c>
      <c r="BB159" s="119">
        <f>COUNTIF(U159:AY159,"E")</f>
      </c>
    </row>
    <row r="160" spans="1:54" x14ac:dyDescent="0.2">
      <c r="A160" s="84"/>
      <c r="B160" s="107"/>
      <c r="C160" s="85"/>
      <c r="D160" s="85"/>
      <c r="E160" s="86"/>
      <c r="F160" s="16">
        <f>IF(E160="","",DATEDIF(E160,$I$7,"Y"))</f>
      </c>
      <c r="G160" s="85"/>
      <c r="H160" s="85"/>
      <c r="I160" s="87"/>
      <c r="J160" s="85"/>
      <c r="K160" s="85"/>
      <c r="L160" s="10"/>
      <c r="M160" s="10"/>
      <c r="N160" s="10"/>
      <c r="O160" s="10"/>
      <c r="P160" s="85"/>
      <c r="Q160" s="88"/>
      <c r="R160" s="3">
        <f>IFERROR(VLOOKUP(TablaMarzo[[#This Row],[BARRIO]],SECTOR!$A:$B,2,0),"")</f>
      </c>
      <c r="S160" s="89"/>
      <c r="T160" s="90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6"/>
      <c r="AZ160" s="120">
        <f>COUNTIF(U160:AY160,"A")</f>
      </c>
      <c r="BA160" s="121">
        <f>COUNTIF(U160:AY160,"F")</f>
      </c>
      <c r="BB160" s="119">
        <f>COUNTIF(U160:AY160,"E")</f>
      </c>
    </row>
    <row r="161" spans="1:54" x14ac:dyDescent="0.2">
      <c r="A161" s="84"/>
      <c r="B161" s="107"/>
      <c r="C161" s="85"/>
      <c r="D161" s="85"/>
      <c r="E161" s="86"/>
      <c r="F161" s="16">
        <f>IF(E161="","",DATEDIF(E161,$I$7,"Y"))</f>
      </c>
      <c r="G161" s="85"/>
      <c r="H161" s="85"/>
      <c r="I161" s="87"/>
      <c r="J161" s="85"/>
      <c r="K161" s="85"/>
      <c r="L161" s="10"/>
      <c r="M161" s="10"/>
      <c r="N161" s="10"/>
      <c r="O161" s="10"/>
      <c r="P161" s="85"/>
      <c r="Q161" s="88"/>
      <c r="R161" s="3">
        <f>IFERROR(VLOOKUP(TablaMarzo[[#This Row],[BARRIO]],SECTOR!$A:$B,2,0),"")</f>
      </c>
      <c r="S161" s="89"/>
      <c r="T161" s="90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6"/>
      <c r="AZ161" s="120">
        <f>COUNTIF(U161:AY161,"A")</f>
      </c>
      <c r="BA161" s="121">
        <f>COUNTIF(U161:AY161,"F")</f>
      </c>
      <c r="BB161" s="119">
        <f>COUNTIF(U161:AY161,"E")</f>
      </c>
    </row>
    <row r="162" spans="1:54" x14ac:dyDescent="0.2">
      <c r="A162" s="84"/>
      <c r="B162" s="107"/>
      <c r="C162" s="85"/>
      <c r="D162" s="85"/>
      <c r="E162" s="86"/>
      <c r="F162" s="16">
        <f>IF(E162="","",DATEDIF(E162,$I$7,"Y"))</f>
      </c>
      <c r="G162" s="85"/>
      <c r="H162" s="85"/>
      <c r="I162" s="87"/>
      <c r="J162" s="85"/>
      <c r="K162" s="85"/>
      <c r="L162" s="10"/>
      <c r="M162" s="10"/>
      <c r="N162" s="10"/>
      <c r="O162" s="10"/>
      <c r="P162" s="85"/>
      <c r="Q162" s="88"/>
      <c r="R162" s="3">
        <f>IFERROR(VLOOKUP(TablaMarzo[[#This Row],[BARRIO]],SECTOR!$A:$B,2,0),"")</f>
      </c>
      <c r="S162" s="89"/>
      <c r="T162" s="90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6"/>
      <c r="AZ162" s="120">
        <f>COUNTIF(U162:AY162,"A")</f>
      </c>
      <c r="BA162" s="121">
        <f>COUNTIF(U162:AY162,"F")</f>
      </c>
      <c r="BB162" s="119">
        <f>COUNTIF(U162:AY162,"E")</f>
      </c>
    </row>
    <row r="163" spans="1:54" x14ac:dyDescent="0.2">
      <c r="A163" s="84"/>
      <c r="B163" s="107"/>
      <c r="C163" s="85"/>
      <c r="D163" s="85"/>
      <c r="E163" s="86"/>
      <c r="F163" s="16">
        <f>IF(E163="","",DATEDIF(E163,$I$7,"Y"))</f>
      </c>
      <c r="G163" s="85"/>
      <c r="H163" s="85"/>
      <c r="I163" s="87"/>
      <c r="J163" s="85"/>
      <c r="K163" s="85"/>
      <c r="L163" s="10"/>
      <c r="M163" s="10"/>
      <c r="N163" s="10"/>
      <c r="O163" s="10"/>
      <c r="P163" s="85"/>
      <c r="Q163" s="88"/>
      <c r="R163" s="3">
        <f>IFERROR(VLOOKUP(TablaMarzo[[#This Row],[BARRIO]],SECTOR!$A:$B,2,0),"")</f>
      </c>
      <c r="S163" s="89"/>
      <c r="T163" s="90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6"/>
      <c r="AZ163" s="120">
        <f>COUNTIF(U163:AY163,"A")</f>
      </c>
      <c r="BA163" s="121">
        <f>COUNTIF(U163:AY163,"F")</f>
      </c>
      <c r="BB163" s="119">
        <f>COUNTIF(U163:AY163,"E")</f>
      </c>
    </row>
    <row r="164" spans="1:54" x14ac:dyDescent="0.2">
      <c r="A164" s="84"/>
      <c r="B164" s="107"/>
      <c r="C164" s="85"/>
      <c r="D164" s="85"/>
      <c r="E164" s="86"/>
      <c r="F164" s="16">
        <f>IF(E164="","",DATEDIF(E164,$I$7,"Y"))</f>
      </c>
      <c r="G164" s="85"/>
      <c r="H164" s="85"/>
      <c r="I164" s="87"/>
      <c r="J164" s="85"/>
      <c r="K164" s="85"/>
      <c r="L164" s="10"/>
      <c r="M164" s="10"/>
      <c r="N164" s="10"/>
      <c r="O164" s="10"/>
      <c r="P164" s="85"/>
      <c r="Q164" s="88"/>
      <c r="R164" s="3">
        <f>IFERROR(VLOOKUP(TablaMarzo[[#This Row],[BARRIO]],SECTOR!$A:$B,2,0),"")</f>
      </c>
      <c r="S164" s="89"/>
      <c r="T164" s="90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6"/>
      <c r="AZ164" s="120">
        <f>COUNTIF(U164:AY164,"A")</f>
      </c>
      <c r="BA164" s="121">
        <f>COUNTIF(U164:AY164,"F")</f>
      </c>
      <c r="BB164" s="119">
        <f>COUNTIF(U164:AY164,"E")</f>
      </c>
    </row>
    <row r="165" spans="1:54" x14ac:dyDescent="0.2">
      <c r="A165" s="84"/>
      <c r="B165" s="107"/>
      <c r="C165" s="85"/>
      <c r="D165" s="85"/>
      <c r="E165" s="86"/>
      <c r="F165" s="16">
        <f>IF(E165="","",DATEDIF(E165,$I$7,"Y"))</f>
      </c>
      <c r="G165" s="85"/>
      <c r="H165" s="85"/>
      <c r="I165" s="87"/>
      <c r="J165" s="85"/>
      <c r="K165" s="85"/>
      <c r="L165" s="10"/>
      <c r="M165" s="10"/>
      <c r="N165" s="10"/>
      <c r="O165" s="10"/>
      <c r="P165" s="85"/>
      <c r="Q165" s="88"/>
      <c r="R165" s="3">
        <f>IFERROR(VLOOKUP(TablaMarzo[[#This Row],[BARRIO]],SECTOR!$A:$B,2,0),"")</f>
      </c>
      <c r="S165" s="89"/>
      <c r="T165" s="90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6"/>
      <c r="AZ165" s="120">
        <f>COUNTIF(U165:AY165,"A")</f>
      </c>
      <c r="BA165" s="121">
        <f>COUNTIF(U165:AY165,"F")</f>
      </c>
      <c r="BB165" s="119">
        <f>COUNTIF(U165:AY165,"E")</f>
      </c>
    </row>
    <row r="166" spans="1:54" x14ac:dyDescent="0.2">
      <c r="A166" s="84"/>
      <c r="B166" s="107"/>
      <c r="C166" s="85"/>
      <c r="D166" s="85"/>
      <c r="E166" s="86"/>
      <c r="F166" s="16">
        <f>IF(E166="","",DATEDIF(E166,$I$7,"Y"))</f>
      </c>
      <c r="G166" s="85"/>
      <c r="H166" s="85"/>
      <c r="I166" s="87"/>
      <c r="J166" s="85"/>
      <c r="K166" s="85"/>
      <c r="L166" s="10"/>
      <c r="M166" s="10"/>
      <c r="N166" s="10"/>
      <c r="O166" s="10"/>
      <c r="P166" s="85"/>
      <c r="Q166" s="88"/>
      <c r="R166" s="3">
        <f>IFERROR(VLOOKUP(TablaMarzo[[#This Row],[BARRIO]],SECTOR!$A:$B,2,0),"")</f>
      </c>
      <c r="S166" s="89"/>
      <c r="T166" s="90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6"/>
      <c r="AZ166" s="120">
        <f>COUNTIF(U166:AY166,"A")</f>
      </c>
      <c r="BA166" s="121">
        <f>COUNTIF(U166:AY166,"F")</f>
      </c>
      <c r="BB166" s="119">
        <f>COUNTIF(U166:AY166,"E")</f>
      </c>
    </row>
    <row r="167" spans="1:54" x14ac:dyDescent="0.2">
      <c r="A167" s="84"/>
      <c r="B167" s="107"/>
      <c r="C167" s="85"/>
      <c r="D167" s="85"/>
      <c r="E167" s="86"/>
      <c r="F167" s="16">
        <f>IF(E167="","",DATEDIF(E167,$I$7,"Y"))</f>
      </c>
      <c r="G167" s="85"/>
      <c r="H167" s="85"/>
      <c r="I167" s="87"/>
      <c r="J167" s="85"/>
      <c r="K167" s="85"/>
      <c r="L167" s="10"/>
      <c r="M167" s="10"/>
      <c r="N167" s="10"/>
      <c r="O167" s="10"/>
      <c r="P167" s="85"/>
      <c r="Q167" s="88"/>
      <c r="R167" s="3">
        <f>IFERROR(VLOOKUP(TablaMarzo[[#This Row],[BARRIO]],SECTOR!$A:$B,2,0),"")</f>
      </c>
      <c r="S167" s="89"/>
      <c r="T167" s="90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6"/>
      <c r="AZ167" s="120">
        <f>COUNTIF(U167:AY167,"A")</f>
      </c>
      <c r="BA167" s="121">
        <f>COUNTIF(U167:AY167,"F")</f>
      </c>
      <c r="BB167" s="119">
        <f>COUNTIF(U167:AY167,"E")</f>
      </c>
    </row>
    <row r="168" spans="1:54" x14ac:dyDescent="0.2">
      <c r="A168" s="84"/>
      <c r="B168" s="107"/>
      <c r="C168" s="85"/>
      <c r="D168" s="85"/>
      <c r="E168" s="86"/>
      <c r="F168" s="16">
        <f>IF(E168="","",DATEDIF(E168,$I$7,"Y"))</f>
      </c>
      <c r="G168" s="85"/>
      <c r="H168" s="85"/>
      <c r="I168" s="87"/>
      <c r="J168" s="85"/>
      <c r="K168" s="85"/>
      <c r="L168" s="2"/>
      <c r="M168" s="2"/>
      <c r="N168" s="10"/>
      <c r="O168" s="2"/>
      <c r="P168" s="85"/>
      <c r="Q168" s="88"/>
      <c r="R168" s="3">
        <f>IFERROR(VLOOKUP(TablaMarzo[[#This Row],[BARRIO]],SECTOR!$A:$B,2,0),"")</f>
      </c>
      <c r="S168" s="89"/>
      <c r="T168" s="90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6"/>
      <c r="AZ168" s="120">
        <f>COUNTIF(U168:AY168,"A")</f>
      </c>
      <c r="BA168" s="121">
        <f>COUNTIF(U168:AY168,"F")</f>
      </c>
      <c r="BB168" s="119">
        <f>COUNTIF(U168:AY168,"E")</f>
      </c>
    </row>
    <row r="169" spans="1:54" x14ac:dyDescent="0.2">
      <c r="A169" s="84"/>
      <c r="B169" s="85"/>
      <c r="C169" s="85"/>
      <c r="D169" s="85"/>
      <c r="E169" s="86"/>
      <c r="F169" s="16">
        <f>IF(E169="","",DATEDIF(E169,$I$7,"Y"))</f>
      </c>
      <c r="G169" s="85"/>
      <c r="H169" s="85"/>
      <c r="I169" s="87"/>
      <c r="J169" s="85"/>
      <c r="K169" s="85"/>
      <c r="L169" s="10"/>
      <c r="M169" s="10"/>
      <c r="N169" s="10"/>
      <c r="O169" s="10"/>
      <c r="P169" s="85"/>
      <c r="Q169" s="88"/>
      <c r="R169" s="3">
        <f>IFERROR(VLOOKUP(TablaMarzo[[#This Row],[BARRIO]],SECTOR!$A:$B,2,0),"")</f>
      </c>
      <c r="S169" s="89"/>
      <c r="T169" s="90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6"/>
      <c r="AZ169" s="30">
        <f>COUNTIF(U169:AY169,"A")</f>
      </c>
      <c r="BA169" s="32">
        <f>COUNTIF(U169:AY169,"F")</f>
      </c>
      <c r="BB169" s="119">
        <f>COUNTIF(U169:AY169,"E")</f>
      </c>
    </row>
    <row r="170" spans="1:54" x14ac:dyDescent="0.2">
      <c r="A170" s="84"/>
      <c r="B170" s="85"/>
      <c r="C170" s="85"/>
      <c r="D170" s="85"/>
      <c r="E170" s="86"/>
      <c r="F170" s="16">
        <f>IF(E170="","",DATEDIF(E170,$I$7,"Y"))</f>
      </c>
      <c r="G170" s="85"/>
      <c r="H170" s="85"/>
      <c r="I170" s="87"/>
      <c r="J170" s="85"/>
      <c r="K170" s="85"/>
      <c r="L170" s="10"/>
      <c r="M170" s="10"/>
      <c r="N170" s="10"/>
      <c r="O170" s="10"/>
      <c r="P170" s="85"/>
      <c r="Q170" s="88"/>
      <c r="R170" s="3">
        <f>IFERROR(VLOOKUP(TablaMarzo[[#This Row],[BARRIO]],SECTOR!$A:$B,2,0),"")</f>
      </c>
      <c r="S170" s="89"/>
      <c r="T170" s="90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6"/>
      <c r="AZ170" s="120">
        <f>COUNTIF(U170:AY170,"A")</f>
      </c>
      <c r="BA170" s="121">
        <f>COUNTIF(U170:AY170,"F")</f>
      </c>
      <c r="BB170" s="119">
        <f>COUNTIF(U170:AY170,"E")</f>
      </c>
    </row>
    <row r="171" spans="1:54" x14ac:dyDescent="0.2">
      <c r="A171" s="84"/>
      <c r="B171" s="85"/>
      <c r="C171" s="85"/>
      <c r="D171" s="85"/>
      <c r="E171" s="86"/>
      <c r="F171" s="16">
        <f>IF(E171="","",DATEDIF(E171,$I$7,"Y"))</f>
      </c>
      <c r="G171" s="85"/>
      <c r="H171" s="85"/>
      <c r="I171" s="87"/>
      <c r="J171" s="85"/>
      <c r="K171" s="85"/>
      <c r="L171" s="10"/>
      <c r="M171" s="10"/>
      <c r="N171" s="10"/>
      <c r="O171" s="10"/>
      <c r="P171" s="85"/>
      <c r="Q171" s="88"/>
      <c r="R171" s="3">
        <f>IFERROR(VLOOKUP(TablaMarzo[[#This Row],[BARRIO]],SECTOR!$A:$B,2,0),"")</f>
      </c>
      <c r="S171" s="89"/>
      <c r="T171" s="90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6"/>
      <c r="AZ171" s="120">
        <f>COUNTIF(U171:AY171,"A")</f>
      </c>
      <c r="BA171" s="121">
        <f>COUNTIF(U171:AY171,"F")</f>
      </c>
      <c r="BB171" s="119">
        <f>COUNTIF(U171:AY171,"E")</f>
      </c>
    </row>
    <row r="172" spans="1:54" x14ac:dyDescent="0.2">
      <c r="A172" s="84"/>
      <c r="B172" s="85"/>
      <c r="C172" s="85"/>
      <c r="D172" s="85"/>
      <c r="E172" s="86"/>
      <c r="F172" s="16">
        <f>IF(E172="","",DATEDIF(E172,$I$7,"Y"))</f>
      </c>
      <c r="G172" s="85"/>
      <c r="H172" s="85"/>
      <c r="I172" s="87"/>
      <c r="J172" s="85"/>
      <c r="K172" s="85"/>
      <c r="L172" s="10"/>
      <c r="M172" s="10"/>
      <c r="N172" s="10"/>
      <c r="O172" s="10"/>
      <c r="P172" s="85"/>
      <c r="Q172" s="88"/>
      <c r="R172" s="3">
        <f>IFERROR(VLOOKUP(TablaMarzo[[#This Row],[BARRIO]],SECTOR!$A:$B,2,0),"")</f>
      </c>
      <c r="S172" s="89"/>
      <c r="T172" s="90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6"/>
      <c r="AZ172" s="120">
        <f>COUNTIF(U172:AY172,"A")</f>
      </c>
      <c r="BA172" s="121">
        <f>COUNTIF(U172:AY172,"F")</f>
      </c>
      <c r="BB172" s="119">
        <f>COUNTIF(U172:AY172,"E")</f>
      </c>
    </row>
    <row r="173" spans="1:54" x14ac:dyDescent="0.2">
      <c r="A173" s="84"/>
      <c r="B173" s="85"/>
      <c r="C173" s="85"/>
      <c r="D173" s="85"/>
      <c r="E173" s="86"/>
      <c r="F173" s="16">
        <f>IF(E173="","",DATEDIF(E173,$I$7,"Y"))</f>
      </c>
      <c r="G173" s="85"/>
      <c r="H173" s="85"/>
      <c r="I173" s="87"/>
      <c r="J173" s="85"/>
      <c r="K173" s="85"/>
      <c r="L173" s="10"/>
      <c r="M173" s="10"/>
      <c r="N173" s="10"/>
      <c r="O173" s="10"/>
      <c r="P173" s="85"/>
      <c r="Q173" s="88"/>
      <c r="R173" s="3">
        <f>IFERROR(VLOOKUP(TablaMarzo[[#This Row],[BARRIO]],SECTOR!$A:$B,2,0),"")</f>
      </c>
      <c r="S173" s="89"/>
      <c r="T173" s="90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6"/>
      <c r="AZ173" s="120">
        <f>COUNTIF(U173:AY173,"A")</f>
      </c>
      <c r="BA173" s="121">
        <f>COUNTIF(U173:AY173,"F")</f>
      </c>
      <c r="BB173" s="119">
        <f>COUNTIF(U173:AY173,"E")</f>
      </c>
    </row>
    <row r="174" spans="1:54" x14ac:dyDescent="0.2">
      <c r="A174" s="84"/>
      <c r="B174" s="85"/>
      <c r="C174" s="85"/>
      <c r="D174" s="85"/>
      <c r="E174" s="86"/>
      <c r="F174" s="16">
        <f>IF(E174="","",DATEDIF(E174,$I$7,"Y"))</f>
      </c>
      <c r="G174" s="85"/>
      <c r="H174" s="85"/>
      <c r="I174" s="87"/>
      <c r="J174" s="85"/>
      <c r="K174" s="85"/>
      <c r="L174" s="10"/>
      <c r="M174" s="10"/>
      <c r="N174" s="10"/>
      <c r="O174" s="10"/>
      <c r="P174" s="85"/>
      <c r="Q174" s="88"/>
      <c r="R174" s="3">
        <f>IFERROR(VLOOKUP(TablaMarzo[[#This Row],[BARRIO]],SECTOR!$A:$B,2,0),"")</f>
      </c>
      <c r="S174" s="89"/>
      <c r="T174" s="90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6"/>
      <c r="AZ174" s="120">
        <f>COUNTIF(U174:AY174,"A")</f>
      </c>
      <c r="BA174" s="121">
        <f>COUNTIF(U174:AY174,"F")</f>
      </c>
      <c r="BB174" s="119">
        <f>COUNTIF(U174:AY174,"E")</f>
      </c>
    </row>
    <row r="175" spans="1:54" x14ac:dyDescent="0.2">
      <c r="A175" s="84"/>
      <c r="B175" s="85"/>
      <c r="C175" s="85"/>
      <c r="D175" s="85"/>
      <c r="E175" s="86"/>
      <c r="F175" s="16">
        <f>IF(E175="","",DATEDIF(E175,$I$7,"Y"))</f>
      </c>
      <c r="G175" s="85"/>
      <c r="H175" s="85"/>
      <c r="I175" s="87"/>
      <c r="J175" s="85"/>
      <c r="K175" s="85"/>
      <c r="L175" s="10"/>
      <c r="M175" s="10"/>
      <c r="N175" s="10"/>
      <c r="O175" s="10"/>
      <c r="P175" s="85"/>
      <c r="Q175" s="88"/>
      <c r="R175" s="3">
        <f>IFERROR(VLOOKUP(TablaMarzo[[#This Row],[BARRIO]],SECTOR!$A:$B,2,0),"")</f>
      </c>
      <c r="S175" s="89"/>
      <c r="T175" s="90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6"/>
      <c r="AZ175" s="120">
        <f>COUNTIF(U175:AY175,"A")</f>
      </c>
      <c r="BA175" s="121">
        <f>COUNTIF(U175:AY175,"F")</f>
      </c>
      <c r="BB175" s="119">
        <f>COUNTIF(U175:AY175,"E")</f>
      </c>
    </row>
    <row r="176" spans="1:54" x14ac:dyDescent="0.2">
      <c r="A176" s="84"/>
      <c r="B176" s="85"/>
      <c r="C176" s="85"/>
      <c r="D176" s="85"/>
      <c r="E176" s="86"/>
      <c r="F176" s="16">
        <f>IF(E176="","",DATEDIF(E176,$I$7,"Y"))</f>
      </c>
      <c r="G176" s="85"/>
      <c r="H176" s="85"/>
      <c r="I176" s="87"/>
      <c r="J176" s="85"/>
      <c r="K176" s="85"/>
      <c r="L176" s="10"/>
      <c r="M176" s="10"/>
      <c r="N176" s="10"/>
      <c r="O176" s="10"/>
      <c r="P176" s="85"/>
      <c r="Q176" s="88"/>
      <c r="R176" s="3">
        <f>IFERROR(VLOOKUP(TablaMarzo[[#This Row],[BARRIO]],SECTOR!$A:$B,2,0),"")</f>
      </c>
      <c r="S176" s="89"/>
      <c r="T176" s="90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6"/>
      <c r="AZ176" s="120">
        <f>COUNTIF(U176:AY176,"A")</f>
      </c>
      <c r="BA176" s="121">
        <f>COUNTIF(U176:AY176,"F")</f>
      </c>
      <c r="BB176" s="119">
        <f>COUNTIF(U176:AY176,"E")</f>
      </c>
    </row>
    <row r="177" spans="1:54" x14ac:dyDescent="0.2">
      <c r="A177" s="84"/>
      <c r="B177" s="85"/>
      <c r="C177" s="85"/>
      <c r="D177" s="85"/>
      <c r="E177" s="86"/>
      <c r="F177" s="16">
        <f>IF(E177="","",DATEDIF(E177,$I$7,"Y"))</f>
      </c>
      <c r="G177" s="85"/>
      <c r="H177" s="85"/>
      <c r="I177" s="87"/>
      <c r="J177" s="85"/>
      <c r="K177" s="85"/>
      <c r="L177" s="10"/>
      <c r="M177" s="10"/>
      <c r="N177" s="10"/>
      <c r="O177" s="10"/>
      <c r="P177" s="85"/>
      <c r="Q177" s="88"/>
      <c r="R177" s="3">
        <f>IFERROR(VLOOKUP(TablaMarzo[[#This Row],[BARRIO]],SECTOR!$A:$B,2,0),"")</f>
      </c>
      <c r="S177" s="89"/>
      <c r="T177" s="90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6"/>
      <c r="AZ177" s="120">
        <f>COUNTIF(U177:AY177,"A")</f>
      </c>
      <c r="BA177" s="121">
        <f>COUNTIF(U177:AY177,"F")</f>
      </c>
      <c r="BB177" s="119">
        <f>COUNTIF(U177:AY177,"E")</f>
      </c>
    </row>
    <row r="178" spans="1:54" x14ac:dyDescent="0.2">
      <c r="A178" s="84"/>
      <c r="B178" s="85"/>
      <c r="C178" s="85"/>
      <c r="D178" s="85"/>
      <c r="E178" s="86"/>
      <c r="F178" s="16">
        <f>IF(E178="","",DATEDIF(E178,$I$7,"Y"))</f>
      </c>
      <c r="G178" s="85"/>
      <c r="H178" s="85"/>
      <c r="I178" s="87"/>
      <c r="J178" s="85"/>
      <c r="K178" s="85"/>
      <c r="L178" s="10"/>
      <c r="M178" s="10"/>
      <c r="N178" s="10"/>
      <c r="O178" s="10"/>
      <c r="P178" s="85"/>
      <c r="Q178" s="88"/>
      <c r="R178" s="3">
        <f>IFERROR(VLOOKUP(TablaMarzo[[#This Row],[BARRIO]],SECTOR!$A:$B,2,0),"")</f>
      </c>
      <c r="S178" s="89"/>
      <c r="T178" s="90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6"/>
      <c r="AZ178" s="120">
        <f>COUNTIF(U178:AY178,"A")</f>
      </c>
      <c r="BA178" s="121">
        <f>COUNTIF(U178:AY178,"F")</f>
      </c>
      <c r="BB178" s="119">
        <f>COUNTIF(U178:AY178,"E")</f>
      </c>
    </row>
    <row r="179" spans="1:54" x14ac:dyDescent="0.2">
      <c r="A179" s="84"/>
      <c r="B179" s="85"/>
      <c r="C179" s="85"/>
      <c r="D179" s="85"/>
      <c r="E179" s="86"/>
      <c r="F179" s="16">
        <f>IF(E179="","",DATEDIF(E179,$I$7,"Y"))</f>
      </c>
      <c r="G179" s="85"/>
      <c r="H179" s="85"/>
      <c r="I179" s="87"/>
      <c r="J179" s="85"/>
      <c r="K179" s="85"/>
      <c r="L179" s="10"/>
      <c r="M179" s="10"/>
      <c r="N179" s="10"/>
      <c r="O179" s="10"/>
      <c r="P179" s="85"/>
      <c r="Q179" s="88"/>
      <c r="R179" s="3">
        <f>IFERROR(VLOOKUP(TablaMarzo[[#This Row],[BARRIO]],SECTOR!$A:$B,2,0),"")</f>
      </c>
      <c r="S179" s="89"/>
      <c r="T179" s="90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6"/>
      <c r="AZ179" s="120">
        <f>COUNTIF(U179:AY179,"A")</f>
      </c>
      <c r="BA179" s="121">
        <f>COUNTIF(U179:AY179,"F")</f>
      </c>
      <c r="BB179" s="119">
        <f>COUNTIF(U179:AY179,"E")</f>
      </c>
    </row>
    <row r="180" spans="1:54" x14ac:dyDescent="0.2">
      <c r="A180" s="84"/>
      <c r="B180" s="85"/>
      <c r="C180" s="85"/>
      <c r="D180" s="85"/>
      <c r="E180" s="86"/>
      <c r="F180" s="16">
        <f>IF(E180="","",DATEDIF(E180,$I$7,"Y"))</f>
      </c>
      <c r="G180" s="85"/>
      <c r="H180" s="85"/>
      <c r="I180" s="87"/>
      <c r="J180" s="85"/>
      <c r="K180" s="85"/>
      <c r="L180" s="10"/>
      <c r="M180" s="10"/>
      <c r="N180" s="10"/>
      <c r="O180" s="10"/>
      <c r="P180" s="85"/>
      <c r="Q180" s="88"/>
      <c r="R180" s="3">
        <f>IFERROR(VLOOKUP(TablaMarzo[[#This Row],[BARRIO]],SECTOR!$A:$B,2,0),"")</f>
      </c>
      <c r="S180" s="89"/>
      <c r="T180" s="90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6"/>
      <c r="AZ180" s="120">
        <f>COUNTIF(U180:AY180,"A")</f>
      </c>
      <c r="BA180" s="121">
        <f>COUNTIF(U180:AY180,"F")</f>
      </c>
      <c r="BB180" s="119">
        <f>COUNTIF(U180:AY180,"E")</f>
      </c>
    </row>
    <row r="181" spans="1:54" x14ac:dyDescent="0.2">
      <c r="A181" s="84"/>
      <c r="B181" s="85"/>
      <c r="C181" s="85"/>
      <c r="D181" s="85"/>
      <c r="E181" s="86"/>
      <c r="F181" s="16">
        <f>IF(E181="","",DATEDIF(E181,$I$7,"Y"))</f>
      </c>
      <c r="G181" s="85"/>
      <c r="H181" s="85"/>
      <c r="I181" s="87"/>
      <c r="J181" s="85"/>
      <c r="K181" s="85"/>
      <c r="L181" s="10"/>
      <c r="M181" s="10"/>
      <c r="N181" s="10"/>
      <c r="O181" s="10"/>
      <c r="P181" s="85"/>
      <c r="Q181" s="88"/>
      <c r="R181" s="3">
        <f>IFERROR(VLOOKUP(TablaMarzo[[#This Row],[BARRIO]],SECTOR!$A:$B,2,0),"")</f>
      </c>
      <c r="S181" s="89"/>
      <c r="T181" s="90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6"/>
      <c r="AZ181" s="120">
        <f>COUNTIF(U181:AY181,"A")</f>
      </c>
      <c r="BA181" s="121">
        <f>COUNTIF(U181:AY181,"F")</f>
      </c>
      <c r="BB181" s="119">
        <f>COUNTIF(U181:AY181,"E")</f>
      </c>
    </row>
    <row r="182" spans="1:54" x14ac:dyDescent="0.2">
      <c r="A182" s="84"/>
      <c r="B182" s="85"/>
      <c r="C182" s="85"/>
      <c r="D182" s="85"/>
      <c r="E182" s="86"/>
      <c r="F182" s="16">
        <f>IF(E182="","",DATEDIF(E182,$I$7,"Y"))</f>
      </c>
      <c r="G182" s="85"/>
      <c r="H182" s="85"/>
      <c r="I182" s="87"/>
      <c r="J182" s="85"/>
      <c r="K182" s="85"/>
      <c r="L182" s="10"/>
      <c r="M182" s="10"/>
      <c r="N182" s="10"/>
      <c r="O182" s="10"/>
      <c r="P182" s="85"/>
      <c r="Q182" s="88"/>
      <c r="R182" s="3">
        <f>IFERROR(VLOOKUP(TablaMarzo[[#This Row],[BARRIO]],SECTOR!$A:$B,2,0),"")</f>
      </c>
      <c r="S182" s="89"/>
      <c r="T182" s="90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6"/>
      <c r="AZ182" s="120">
        <f>COUNTIF(U182:AY182,"A")</f>
      </c>
      <c r="BA182" s="121">
        <f>COUNTIF(U182:AY182,"F")</f>
      </c>
      <c r="BB182" s="119">
        <f>COUNTIF(U182:AY182,"E")</f>
      </c>
    </row>
    <row r="183" spans="1:54" x14ac:dyDescent="0.2">
      <c r="A183" s="84"/>
      <c r="B183" s="85"/>
      <c r="C183" s="85"/>
      <c r="D183" s="85"/>
      <c r="E183" s="86"/>
      <c r="F183" s="16">
        <f>IF(E183="","",DATEDIF(E183,$I$7,"Y"))</f>
      </c>
      <c r="G183" s="85"/>
      <c r="H183" s="85"/>
      <c r="I183" s="87"/>
      <c r="J183" s="85"/>
      <c r="K183" s="85"/>
      <c r="L183" s="10"/>
      <c r="M183" s="10"/>
      <c r="N183" s="10"/>
      <c r="O183" s="10"/>
      <c r="P183" s="85"/>
      <c r="Q183" s="88"/>
      <c r="R183" s="3">
        <f>IFERROR(VLOOKUP(TablaMarzo[[#This Row],[BARRIO]],SECTOR!$A:$B,2,0),"")</f>
      </c>
      <c r="S183" s="89"/>
      <c r="T183" s="90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6"/>
      <c r="AZ183" s="120">
        <f>COUNTIF(U183:AY183,"A")</f>
      </c>
      <c r="BA183" s="121">
        <f>COUNTIF(U183:AY183,"F")</f>
      </c>
      <c r="BB183" s="119">
        <f>COUNTIF(U183:AY183,"E")</f>
      </c>
    </row>
    <row r="184" spans="1:54" x14ac:dyDescent="0.2">
      <c r="A184" s="84"/>
      <c r="B184" s="85"/>
      <c r="C184" s="85"/>
      <c r="D184" s="85"/>
      <c r="E184" s="86"/>
      <c r="F184" s="16">
        <f>IF(E184="","",DATEDIF(E184,$I$7,"Y"))</f>
      </c>
      <c r="G184" s="85"/>
      <c r="H184" s="85"/>
      <c r="I184" s="87"/>
      <c r="J184" s="85"/>
      <c r="K184" s="85"/>
      <c r="L184" s="10"/>
      <c r="M184" s="10"/>
      <c r="N184" s="10"/>
      <c r="O184" s="10"/>
      <c r="P184" s="85"/>
      <c r="Q184" s="88"/>
      <c r="R184" s="3">
        <f>IFERROR(VLOOKUP(TablaMarzo[[#This Row],[BARRIO]],SECTOR!$A:$B,2,0),"")</f>
      </c>
      <c r="S184" s="89"/>
      <c r="T184" s="90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6"/>
      <c r="AZ184" s="120">
        <f>COUNTIF(U184:AY184,"A")</f>
      </c>
      <c r="BA184" s="121">
        <f>COUNTIF(U184:AY184,"F")</f>
      </c>
      <c r="BB184" s="119">
        <f>COUNTIF(U184:AY184,"E")</f>
      </c>
    </row>
    <row r="185" spans="1:54" x14ac:dyDescent="0.2">
      <c r="A185" s="84"/>
      <c r="B185" s="85"/>
      <c r="C185" s="85"/>
      <c r="D185" s="85"/>
      <c r="E185" s="86"/>
      <c r="F185" s="16">
        <f>IF(E185="","",DATEDIF(E185,$I$7,"Y"))</f>
      </c>
      <c r="G185" s="85"/>
      <c r="H185" s="85"/>
      <c r="I185" s="87"/>
      <c r="J185" s="85"/>
      <c r="K185" s="85"/>
      <c r="L185" s="10"/>
      <c r="M185" s="10"/>
      <c r="N185" s="10"/>
      <c r="O185" s="10"/>
      <c r="P185" s="85"/>
      <c r="Q185" s="88"/>
      <c r="R185" s="3">
        <f>IFERROR(VLOOKUP(TablaMarzo[[#This Row],[BARRIO]],SECTOR!$A:$B,2,0),"")</f>
      </c>
      <c r="S185" s="89"/>
      <c r="T185" s="90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6"/>
      <c r="AZ185" s="120">
        <f>COUNTIF(U185:AY185,"A")</f>
      </c>
      <c r="BA185" s="121">
        <f>COUNTIF(U185:AY185,"F")</f>
      </c>
      <c r="BB185" s="119">
        <f>COUNTIF(U185:AY185,"E")</f>
      </c>
    </row>
    <row r="186" spans="1:54" x14ac:dyDescent="0.2">
      <c r="A186" s="84"/>
      <c r="B186" s="85"/>
      <c r="C186" s="85"/>
      <c r="D186" s="85"/>
      <c r="E186" s="86"/>
      <c r="F186" s="16">
        <f>IF(E186="","",DATEDIF(E186,$I$7,"Y"))</f>
      </c>
      <c r="G186" s="85"/>
      <c r="H186" s="85"/>
      <c r="I186" s="87"/>
      <c r="J186" s="85"/>
      <c r="K186" s="85"/>
      <c r="L186" s="10"/>
      <c r="M186" s="10"/>
      <c r="N186" s="10"/>
      <c r="O186" s="10"/>
      <c r="P186" s="85"/>
      <c r="Q186" s="88"/>
      <c r="R186" s="3">
        <f>IFERROR(VLOOKUP(TablaMarzo[[#This Row],[BARRIO]],SECTOR!$A:$B,2,0),"")</f>
      </c>
      <c r="S186" s="89"/>
      <c r="T186" s="90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6"/>
      <c r="AZ186" s="120">
        <f>COUNTIF(U186:AY186,"A")</f>
      </c>
      <c r="BA186" s="121">
        <f>COUNTIF(U186:AY186,"F")</f>
      </c>
      <c r="BB186" s="119">
        <f>COUNTIF(U186:AY186,"E")</f>
      </c>
    </row>
    <row r="187" spans="1:54" x14ac:dyDescent="0.2">
      <c r="A187" s="84"/>
      <c r="B187" s="85"/>
      <c r="C187" s="85"/>
      <c r="D187" s="85"/>
      <c r="E187" s="86"/>
      <c r="F187" s="16">
        <f>IF(E187="","",DATEDIF(E187,$I$7,"Y"))</f>
      </c>
      <c r="G187" s="85"/>
      <c r="H187" s="85"/>
      <c r="I187" s="87"/>
      <c r="J187" s="85"/>
      <c r="K187" s="85"/>
      <c r="L187" s="10"/>
      <c r="M187" s="10"/>
      <c r="N187" s="10"/>
      <c r="O187" s="10"/>
      <c r="P187" s="85"/>
      <c r="Q187" s="88"/>
      <c r="R187" s="3">
        <f>IFERROR(VLOOKUP(TablaMarzo[[#This Row],[BARRIO]],SECTOR!$A:$B,2,0),"")</f>
      </c>
      <c r="S187" s="89"/>
      <c r="T187" s="90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6"/>
      <c r="AZ187" s="120">
        <f>COUNTIF(U187:AY187,"A")</f>
      </c>
      <c r="BA187" s="121">
        <f>COUNTIF(U187:AY187,"F")</f>
      </c>
      <c r="BB187" s="119">
        <f>COUNTIF(U187:AY187,"E")</f>
      </c>
    </row>
    <row r="188" spans="1:54" x14ac:dyDescent="0.2">
      <c r="A188" s="84"/>
      <c r="B188" s="85"/>
      <c r="C188" s="85"/>
      <c r="D188" s="85"/>
      <c r="E188" s="86"/>
      <c r="F188" s="16">
        <f>IF(E188="","",DATEDIF(E188,$I$7,"Y"))</f>
      </c>
      <c r="G188" s="85"/>
      <c r="H188" s="85"/>
      <c r="I188" s="87"/>
      <c r="J188" s="85"/>
      <c r="K188" s="85"/>
      <c r="L188" s="10"/>
      <c r="M188" s="10"/>
      <c r="N188" s="10"/>
      <c r="O188" s="10"/>
      <c r="P188" s="85"/>
      <c r="Q188" s="88"/>
      <c r="R188" s="3">
        <f>IFERROR(VLOOKUP(TablaMarzo[[#This Row],[BARRIO]],SECTOR!$A:$B,2,0),"")</f>
      </c>
      <c r="S188" s="89"/>
      <c r="T188" s="90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6"/>
      <c r="AZ188" s="120">
        <f>COUNTIF(U188:AY188,"A")</f>
      </c>
      <c r="BA188" s="121">
        <f>COUNTIF(U188:AY188,"F")</f>
      </c>
      <c r="BB188" s="119">
        <f>COUNTIF(U188:AY188,"E")</f>
      </c>
    </row>
    <row r="189" spans="1:54" x14ac:dyDescent="0.2">
      <c r="A189" s="84"/>
      <c r="B189" s="85"/>
      <c r="C189" s="85"/>
      <c r="D189" s="85"/>
      <c r="E189" s="86"/>
      <c r="F189" s="16">
        <f>IF(E189="","",DATEDIF(E189,$I$7,"Y"))</f>
      </c>
      <c r="G189" s="85"/>
      <c r="H189" s="85"/>
      <c r="I189" s="87"/>
      <c r="J189" s="85"/>
      <c r="K189" s="85"/>
      <c r="L189" s="10"/>
      <c r="M189" s="10"/>
      <c r="N189" s="10"/>
      <c r="O189" s="10"/>
      <c r="P189" s="85"/>
      <c r="Q189" s="88"/>
      <c r="R189" s="3">
        <f>IFERROR(VLOOKUP(TablaMarzo[[#This Row],[BARRIO]],SECTOR!$A:$B,2,0),"")</f>
      </c>
      <c r="S189" s="89"/>
      <c r="T189" s="90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6"/>
      <c r="AZ189" s="120">
        <f>COUNTIF(U189:AY189,"A")</f>
      </c>
      <c r="BA189" s="121">
        <f>COUNTIF(U189:AY189,"F")</f>
      </c>
      <c r="BB189" s="119">
        <f>COUNTIF(U189:AY189,"E")</f>
      </c>
    </row>
    <row r="190" spans="1:54" x14ac:dyDescent="0.2">
      <c r="A190" s="84"/>
      <c r="B190" s="85"/>
      <c r="C190" s="85"/>
      <c r="D190" s="85"/>
      <c r="E190" s="86"/>
      <c r="F190" s="16">
        <f>IF(E190="","",DATEDIF(E190,$I$7,"Y"))</f>
      </c>
      <c r="G190" s="85"/>
      <c r="H190" s="85"/>
      <c r="I190" s="87"/>
      <c r="J190" s="85"/>
      <c r="K190" s="85"/>
      <c r="L190" s="10"/>
      <c r="M190" s="10"/>
      <c r="N190" s="10"/>
      <c r="O190" s="10"/>
      <c r="P190" s="85"/>
      <c r="Q190" s="88"/>
      <c r="R190" s="3">
        <f>IFERROR(VLOOKUP(TablaMarzo[[#This Row],[BARRIO]],SECTOR!$A:$B,2,0),"")</f>
      </c>
      <c r="S190" s="89"/>
      <c r="T190" s="90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6"/>
      <c r="AZ190" s="120">
        <f>COUNTIF(U190:AY190,"A")</f>
      </c>
      <c r="BA190" s="121">
        <f>COUNTIF(U190:AY190,"F")</f>
      </c>
      <c r="BB190" s="119">
        <f>COUNTIF(U190:AY190,"E")</f>
      </c>
    </row>
    <row r="191" spans="1:54" x14ac:dyDescent="0.2">
      <c r="A191" s="84"/>
      <c r="B191" s="85"/>
      <c r="C191" s="85"/>
      <c r="D191" s="85"/>
      <c r="E191" s="86"/>
      <c r="F191" s="16">
        <f>IF(E191="","",DATEDIF(E191,$I$7,"Y"))</f>
      </c>
      <c r="G191" s="85"/>
      <c r="H191" s="85"/>
      <c r="I191" s="87"/>
      <c r="J191" s="85"/>
      <c r="K191" s="85"/>
      <c r="L191" s="10"/>
      <c r="M191" s="10"/>
      <c r="N191" s="10"/>
      <c r="O191" s="10"/>
      <c r="P191" s="85"/>
      <c r="Q191" s="88"/>
      <c r="R191" s="3">
        <f>IFERROR(VLOOKUP(TablaMarzo[[#This Row],[BARRIO]],SECTOR!$A:$B,2,0),"")</f>
      </c>
      <c r="S191" s="89"/>
      <c r="T191" s="90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6"/>
      <c r="AZ191" s="120">
        <f>COUNTIF(U191:AY191,"A")</f>
      </c>
      <c r="BA191" s="121">
        <f>COUNTIF(U191:AY191,"F")</f>
      </c>
      <c r="BB191" s="119">
        <f>COUNTIF(U191:AY191,"E")</f>
      </c>
    </row>
    <row r="192" spans="1:54" x14ac:dyDescent="0.2">
      <c r="A192" s="84"/>
      <c r="B192" s="85"/>
      <c r="C192" s="85"/>
      <c r="D192" s="85"/>
      <c r="E192" s="86"/>
      <c r="F192" s="16">
        <f>IF(E192="","",DATEDIF(E192,$I$7,"Y"))</f>
      </c>
      <c r="G192" s="85"/>
      <c r="H192" s="85"/>
      <c r="I192" s="87"/>
      <c r="J192" s="85"/>
      <c r="K192" s="85"/>
      <c r="L192" s="10"/>
      <c r="M192" s="10"/>
      <c r="N192" s="10"/>
      <c r="O192" s="10"/>
      <c r="P192" s="85"/>
      <c r="Q192" s="88"/>
      <c r="R192" s="3">
        <f>IFERROR(VLOOKUP(TablaMarzo[[#This Row],[BARRIO]],SECTOR!$A:$B,2,0),"")</f>
      </c>
      <c r="S192" s="89"/>
      <c r="T192" s="90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6"/>
      <c r="AZ192" s="120">
        <f>COUNTIF(U192:AY192,"A")</f>
      </c>
      <c r="BA192" s="121">
        <f>COUNTIF(U192:AY192,"F")</f>
      </c>
      <c r="BB192" s="119">
        <f>COUNTIF(U192:AY192,"E")</f>
      </c>
    </row>
    <row r="193" spans="1:54" x14ac:dyDescent="0.2">
      <c r="A193" s="84"/>
      <c r="B193" s="85"/>
      <c r="C193" s="85"/>
      <c r="D193" s="85"/>
      <c r="E193" s="86"/>
      <c r="F193" s="16">
        <f>IF(E193="","",DATEDIF(E193,$I$7,"Y"))</f>
      </c>
      <c r="G193" s="85"/>
      <c r="H193" s="85"/>
      <c r="I193" s="87"/>
      <c r="J193" s="85"/>
      <c r="K193" s="85"/>
      <c r="L193" s="10"/>
      <c r="M193" s="10"/>
      <c r="N193" s="10"/>
      <c r="O193" s="10"/>
      <c r="P193" s="85"/>
      <c r="Q193" s="88"/>
      <c r="R193" s="3">
        <f>IFERROR(VLOOKUP(TablaMarzo[[#This Row],[BARRIO]],SECTOR!$A:$B,2,0),"")</f>
      </c>
      <c r="S193" s="89"/>
      <c r="T193" s="90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6"/>
      <c r="AZ193" s="120">
        <f>COUNTIF(U193:AY193,"A")</f>
      </c>
      <c r="BA193" s="121">
        <f>COUNTIF(U193:AY193,"F")</f>
      </c>
      <c r="BB193" s="119">
        <f>COUNTIF(U193:AY193,"E")</f>
      </c>
    </row>
    <row r="194" spans="1:54" x14ac:dyDescent="0.2">
      <c r="A194" s="84"/>
      <c r="B194" s="85"/>
      <c r="C194" s="85"/>
      <c r="D194" s="85"/>
      <c r="E194" s="86"/>
      <c r="F194" s="16">
        <f>IF(E194="","",DATEDIF(E194,$I$7,"Y"))</f>
      </c>
      <c r="G194" s="85"/>
      <c r="H194" s="85"/>
      <c r="I194" s="87"/>
      <c r="J194" s="85"/>
      <c r="K194" s="85"/>
      <c r="L194" s="10"/>
      <c r="M194" s="10"/>
      <c r="N194" s="10"/>
      <c r="O194" s="10"/>
      <c r="P194" s="85"/>
      <c r="Q194" s="88"/>
      <c r="R194" s="3">
        <f>IFERROR(VLOOKUP(TablaMarzo[[#This Row],[BARRIO]],SECTOR!$A:$B,2,0),"")</f>
      </c>
      <c r="S194" s="89"/>
      <c r="T194" s="90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6"/>
      <c r="AZ194" s="120">
        <f>COUNTIF(U194:AY194,"A")</f>
      </c>
      <c r="BA194" s="121">
        <f>COUNTIF(U194:AY194,"F")</f>
      </c>
      <c r="BB194" s="119">
        <f>COUNTIF(U194:AY194,"E")</f>
      </c>
    </row>
    <row r="195" spans="1:54" x14ac:dyDescent="0.2">
      <c r="A195" s="84"/>
      <c r="B195" s="85"/>
      <c r="C195" s="85"/>
      <c r="D195" s="85"/>
      <c r="E195" s="86"/>
      <c r="F195" s="16">
        <f>IF(E195="","",DATEDIF(E195,$I$7,"Y"))</f>
      </c>
      <c r="G195" s="85"/>
      <c r="H195" s="85"/>
      <c r="I195" s="87"/>
      <c r="J195" s="85"/>
      <c r="K195" s="85"/>
      <c r="L195" s="10"/>
      <c r="M195" s="10"/>
      <c r="N195" s="10"/>
      <c r="O195" s="10"/>
      <c r="P195" s="85"/>
      <c r="Q195" s="88"/>
      <c r="R195" s="3">
        <f>IFERROR(VLOOKUP(TablaMarzo[[#This Row],[BARRIO]],SECTOR!$A:$B,2,0),"")</f>
      </c>
      <c r="S195" s="89"/>
      <c r="T195" s="90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6"/>
      <c r="AZ195" s="120">
        <f>COUNTIF(U195:AY195,"A")</f>
      </c>
      <c r="BA195" s="121">
        <f>COUNTIF(U195:AY195,"F")</f>
      </c>
      <c r="BB195" s="119">
        <f>COUNTIF(U195:AY195,"E")</f>
      </c>
    </row>
    <row r="196" spans="1:54" x14ac:dyDescent="0.2">
      <c r="A196" s="84"/>
      <c r="B196" s="85"/>
      <c r="C196" s="85"/>
      <c r="D196" s="85"/>
      <c r="E196" s="86"/>
      <c r="F196" s="16">
        <f>IF(E196="","",DATEDIF(E196,$I$7,"Y"))</f>
      </c>
      <c r="G196" s="85"/>
      <c r="H196" s="85"/>
      <c r="I196" s="87"/>
      <c r="J196" s="85"/>
      <c r="K196" s="85"/>
      <c r="L196" s="10"/>
      <c r="M196" s="10"/>
      <c r="N196" s="10"/>
      <c r="O196" s="10"/>
      <c r="P196" s="85"/>
      <c r="Q196" s="88"/>
      <c r="R196" s="3">
        <f>IFERROR(VLOOKUP(TablaMarzo[[#This Row],[BARRIO]],SECTOR!$A:$B,2,0),"")</f>
      </c>
      <c r="S196" s="89"/>
      <c r="T196" s="90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6"/>
      <c r="AZ196" s="120">
        <f>COUNTIF(U196:AY196,"A")</f>
      </c>
      <c r="BA196" s="121">
        <f>COUNTIF(U196:AY196,"F")</f>
      </c>
      <c r="BB196" s="119">
        <f>COUNTIF(U196:AY196,"E")</f>
      </c>
    </row>
    <row r="197" spans="1:54" x14ac:dyDescent="0.2">
      <c r="A197" s="84"/>
      <c r="B197" s="85"/>
      <c r="C197" s="85"/>
      <c r="D197" s="85"/>
      <c r="E197" s="86"/>
      <c r="F197" s="16">
        <f>IF(E197="","",DATEDIF(E197,$I$7,"Y"))</f>
      </c>
      <c r="G197" s="85"/>
      <c r="H197" s="85"/>
      <c r="I197" s="87"/>
      <c r="J197" s="85"/>
      <c r="K197" s="85"/>
      <c r="L197" s="10"/>
      <c r="M197" s="10"/>
      <c r="N197" s="10"/>
      <c r="O197" s="10"/>
      <c r="P197" s="85"/>
      <c r="Q197" s="88"/>
      <c r="R197" s="3">
        <f>IFERROR(VLOOKUP(TablaMarzo[[#This Row],[BARRIO]],SECTOR!$A:$B,2,0),"")</f>
      </c>
      <c r="S197" s="89"/>
      <c r="T197" s="90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6"/>
      <c r="AZ197" s="120">
        <f>COUNTIF(U197:AY197,"A")</f>
      </c>
      <c r="BA197" s="121">
        <f>COUNTIF(U197:AY197,"F")</f>
      </c>
      <c r="BB197" s="119">
        <f>COUNTIF(U197:AY197,"E")</f>
      </c>
    </row>
    <row r="198" spans="1:54" x14ac:dyDescent="0.2">
      <c r="A198" s="84"/>
      <c r="B198" s="85"/>
      <c r="C198" s="85"/>
      <c r="D198" s="85"/>
      <c r="E198" s="86"/>
      <c r="F198" s="16">
        <f>IF(E198="","",DATEDIF(E198,$I$7,"Y"))</f>
      </c>
      <c r="G198" s="85"/>
      <c r="H198" s="85"/>
      <c r="I198" s="87"/>
      <c r="J198" s="85"/>
      <c r="K198" s="85"/>
      <c r="L198" s="10"/>
      <c r="M198" s="10"/>
      <c r="N198" s="10"/>
      <c r="O198" s="10"/>
      <c r="P198" s="85"/>
      <c r="Q198" s="88"/>
      <c r="R198" s="3">
        <f>IFERROR(VLOOKUP(TablaMarzo[[#This Row],[BARRIO]],SECTOR!$A:$B,2,0),"")</f>
      </c>
      <c r="S198" s="89"/>
      <c r="T198" s="90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6"/>
      <c r="AZ198" s="120">
        <f>COUNTIF(U198:AY198,"A")</f>
      </c>
      <c r="BA198" s="121">
        <f>COUNTIF(U198:AY198,"F")</f>
      </c>
      <c r="BB198" s="119">
        <f>COUNTIF(U198:AY198,"E")</f>
      </c>
    </row>
    <row r="199" spans="1:54" x14ac:dyDescent="0.2">
      <c r="A199" s="84"/>
      <c r="B199" s="85"/>
      <c r="C199" s="85"/>
      <c r="D199" s="85"/>
      <c r="E199" s="86"/>
      <c r="F199" s="16">
        <f>IF(E199="","",DATEDIF(E199,$I$7,"Y"))</f>
      </c>
      <c r="G199" s="85"/>
      <c r="H199" s="85"/>
      <c r="I199" s="87"/>
      <c r="J199" s="85"/>
      <c r="K199" s="85"/>
      <c r="L199" s="10"/>
      <c r="M199" s="10"/>
      <c r="N199" s="10"/>
      <c r="O199" s="10"/>
      <c r="P199" s="85"/>
      <c r="Q199" s="88"/>
      <c r="R199" s="3">
        <f>IFERROR(VLOOKUP(TablaMarzo[[#This Row],[BARRIO]],SECTOR!$A:$B,2,0),"")</f>
      </c>
      <c r="S199" s="89"/>
      <c r="T199" s="90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6"/>
      <c r="AZ199" s="120">
        <f>COUNTIF(U199:AY199,"A")</f>
      </c>
      <c r="BA199" s="121">
        <f>COUNTIF(U199:AY199,"F")</f>
      </c>
      <c r="BB199" s="119">
        <f>COUNTIF(U199:AY199,"E")</f>
      </c>
    </row>
    <row r="200" spans="1:54" x14ac:dyDescent="0.2">
      <c r="A200" s="84"/>
      <c r="B200" s="85"/>
      <c r="C200" s="85"/>
      <c r="D200" s="85"/>
      <c r="E200" s="86"/>
      <c r="F200" s="16">
        <f>IF(E200="","",DATEDIF(E200,$I$7,"Y"))</f>
      </c>
      <c r="G200" s="85"/>
      <c r="H200" s="85"/>
      <c r="I200" s="87"/>
      <c r="J200" s="85"/>
      <c r="K200" s="85"/>
      <c r="L200" s="10"/>
      <c r="M200" s="10"/>
      <c r="N200" s="10"/>
      <c r="O200" s="10"/>
      <c r="P200" s="85"/>
      <c r="Q200" s="88"/>
      <c r="R200" s="3">
        <f>IFERROR(VLOOKUP(TablaMarzo[[#This Row],[BARRIO]],SECTOR!$A:$B,2,0),"")</f>
      </c>
      <c r="S200" s="89"/>
      <c r="T200" s="90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6"/>
      <c r="AZ200" s="120">
        <f>COUNTIF(U200:AY200,"A")</f>
      </c>
      <c r="BA200" s="121">
        <f>COUNTIF(U200:AY200,"F")</f>
      </c>
      <c r="BB200" s="119">
        <f>COUNTIF(U200:AY200,"E")</f>
      </c>
    </row>
    <row r="201" spans="1:54" x14ac:dyDescent="0.2">
      <c r="A201" s="84"/>
      <c r="B201" s="85"/>
      <c r="C201" s="85"/>
      <c r="D201" s="85"/>
      <c r="E201" s="86"/>
      <c r="F201" s="16">
        <f>IF(E201="","",DATEDIF(E201,$I$7,"Y"))</f>
      </c>
      <c r="G201" s="85"/>
      <c r="H201" s="85"/>
      <c r="I201" s="87"/>
      <c r="J201" s="85"/>
      <c r="K201" s="85"/>
      <c r="L201" s="10"/>
      <c r="M201" s="10"/>
      <c r="N201" s="10"/>
      <c r="O201" s="10"/>
      <c r="P201" s="85"/>
      <c r="Q201" s="88"/>
      <c r="R201" s="3">
        <f>IFERROR(VLOOKUP(TablaMarzo[[#This Row],[BARRIO]],SECTOR!$A:$B,2,0),"")</f>
      </c>
      <c r="S201" s="89"/>
      <c r="T201" s="90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6"/>
      <c r="AZ201" s="120">
        <f>COUNTIF(U201:AY201,"A")</f>
      </c>
      <c r="BA201" s="121">
        <f>COUNTIF(U201:AY201,"F")</f>
      </c>
      <c r="BB201" s="119">
        <f>COUNTIF(U201:AY201,"E")</f>
      </c>
    </row>
    <row r="202" spans="1:54" x14ac:dyDescent="0.2">
      <c r="A202" s="84"/>
      <c r="B202" s="85"/>
      <c r="C202" s="85"/>
      <c r="D202" s="85"/>
      <c r="E202" s="86"/>
      <c r="F202" s="16">
        <f>IF(E202="","",DATEDIF(E202,$I$7,"Y"))</f>
      </c>
      <c r="G202" s="85"/>
      <c r="H202" s="85"/>
      <c r="I202" s="87"/>
      <c r="J202" s="85"/>
      <c r="K202" s="85"/>
      <c r="L202" s="10"/>
      <c r="M202" s="10"/>
      <c r="N202" s="10"/>
      <c r="O202" s="10"/>
      <c r="P202" s="85"/>
      <c r="Q202" s="88"/>
      <c r="R202" s="3">
        <f>IFERROR(VLOOKUP(TablaMarzo[[#This Row],[BARRIO]],SECTOR!$A:$B,2,0),"")</f>
      </c>
      <c r="S202" s="89"/>
      <c r="T202" s="90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6"/>
      <c r="AZ202" s="120">
        <f>COUNTIF(U202:AY202,"A")</f>
      </c>
      <c r="BA202" s="121">
        <f>COUNTIF(U202:AY202,"F")</f>
      </c>
      <c r="BB202" s="119">
        <f>COUNTIF(U202:AY202,"E")</f>
      </c>
    </row>
    <row r="203" spans="1:54" x14ac:dyDescent="0.2">
      <c r="A203" s="84"/>
      <c r="B203" s="85"/>
      <c r="C203" s="85"/>
      <c r="D203" s="85"/>
      <c r="E203" s="86"/>
      <c r="F203" s="16">
        <f>IF(E203="","",DATEDIF(E203,$I$7,"Y"))</f>
      </c>
      <c r="G203" s="85"/>
      <c r="H203" s="85"/>
      <c r="I203" s="87"/>
      <c r="J203" s="85"/>
      <c r="K203" s="85"/>
      <c r="L203" s="10"/>
      <c r="M203" s="10"/>
      <c r="N203" s="10"/>
      <c r="O203" s="10"/>
      <c r="P203" s="85"/>
      <c r="Q203" s="88"/>
      <c r="R203" s="3">
        <f>IFERROR(VLOOKUP(TablaMarzo[[#This Row],[BARRIO]],SECTOR!$A:$B,2,0),"")</f>
      </c>
      <c r="S203" s="89"/>
      <c r="T203" s="90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6"/>
      <c r="AZ203" s="120">
        <f>COUNTIF(U203:AY203,"A")</f>
      </c>
      <c r="BA203" s="121">
        <f>COUNTIF(U203:AY203,"F")</f>
      </c>
      <c r="BB203" s="119">
        <f>COUNTIF(U203:AY203,"E")</f>
      </c>
    </row>
    <row r="204" spans="1:54" x14ac:dyDescent="0.2">
      <c r="A204" s="84"/>
      <c r="B204" s="85"/>
      <c r="C204" s="85"/>
      <c r="D204" s="85"/>
      <c r="E204" s="86"/>
      <c r="F204" s="16">
        <f>IF(E204="","",DATEDIF(E204,$I$7,"Y"))</f>
      </c>
      <c r="G204" s="85"/>
      <c r="H204" s="85"/>
      <c r="I204" s="87"/>
      <c r="J204" s="85"/>
      <c r="K204" s="85"/>
      <c r="L204" s="10"/>
      <c r="M204" s="10"/>
      <c r="N204" s="10"/>
      <c r="O204" s="10"/>
      <c r="P204" s="85"/>
      <c r="Q204" s="88"/>
      <c r="R204" s="3">
        <f>IFERROR(VLOOKUP(TablaMarzo[[#This Row],[BARRIO]],SECTOR!$A:$B,2,0),"")</f>
      </c>
      <c r="S204" s="89"/>
      <c r="T204" s="90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6"/>
      <c r="AZ204" s="120">
        <f>COUNTIF(U204:AY204,"A")</f>
      </c>
      <c r="BA204" s="121">
        <f>COUNTIF(U204:AY204,"F")</f>
      </c>
      <c r="BB204" s="119">
        <f>COUNTIF(U204:AY204,"E")</f>
      </c>
    </row>
    <row r="205" spans="1:54" x14ac:dyDescent="0.2">
      <c r="A205" s="84"/>
      <c r="B205" s="85"/>
      <c r="C205" s="85"/>
      <c r="D205" s="85"/>
      <c r="E205" s="86"/>
      <c r="F205" s="16">
        <f>IF(E205="","",DATEDIF(E205,$I$7,"Y"))</f>
      </c>
      <c r="G205" s="85"/>
      <c r="H205" s="85"/>
      <c r="I205" s="87"/>
      <c r="J205" s="85"/>
      <c r="K205" s="85"/>
      <c r="L205" s="10"/>
      <c r="M205" s="10"/>
      <c r="N205" s="10"/>
      <c r="O205" s="10"/>
      <c r="P205" s="85"/>
      <c r="Q205" s="88"/>
      <c r="R205" s="3">
        <f>IFERROR(VLOOKUP(TablaMarzo[[#This Row],[BARRIO]],SECTOR!$A:$B,2,0),"")</f>
      </c>
      <c r="S205" s="89"/>
      <c r="T205" s="90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6"/>
      <c r="AZ205" s="120">
        <f>COUNTIF(U205:AY205,"A")</f>
      </c>
      <c r="BA205" s="121">
        <f>COUNTIF(U205:AY205,"F")</f>
      </c>
      <c r="BB205" s="119">
        <f>COUNTIF(U205:AY205,"E")</f>
      </c>
    </row>
    <row r="206" spans="1:54" x14ac:dyDescent="0.2">
      <c r="A206" s="84"/>
      <c r="B206" s="85"/>
      <c r="C206" s="85"/>
      <c r="D206" s="85"/>
      <c r="E206" s="86"/>
      <c r="F206" s="16">
        <f>IF(E206="","",DATEDIF(E206,$I$7,"Y"))</f>
      </c>
      <c r="G206" s="85"/>
      <c r="H206" s="85"/>
      <c r="I206" s="87"/>
      <c r="J206" s="85"/>
      <c r="K206" s="85"/>
      <c r="L206" s="10"/>
      <c r="M206" s="10"/>
      <c r="N206" s="10"/>
      <c r="O206" s="10"/>
      <c r="P206" s="85"/>
      <c r="Q206" s="88"/>
      <c r="R206" s="3">
        <f>IFERROR(VLOOKUP(TablaMarzo[[#This Row],[BARRIO]],SECTOR!$A:$B,2,0),"")</f>
      </c>
      <c r="S206" s="89"/>
      <c r="T206" s="90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6"/>
      <c r="AZ206" s="120">
        <f>COUNTIF(U206:AY206,"A")</f>
      </c>
      <c r="BA206" s="121">
        <f>COUNTIF(U206:AY206,"F")</f>
      </c>
      <c r="BB206" s="119">
        <f>COUNTIF(U206:AY206,"E")</f>
      </c>
    </row>
    <row r="207" spans="1:54" x14ac:dyDescent="0.2">
      <c r="A207" s="84"/>
      <c r="B207" s="85"/>
      <c r="C207" s="85"/>
      <c r="D207" s="85"/>
      <c r="E207" s="86"/>
      <c r="F207" s="16">
        <f>IF(E207="","",DATEDIF(E207,$I$7,"Y"))</f>
      </c>
      <c r="G207" s="85"/>
      <c r="H207" s="85"/>
      <c r="I207" s="87"/>
      <c r="J207" s="85"/>
      <c r="K207" s="85"/>
      <c r="L207" s="10"/>
      <c r="M207" s="10"/>
      <c r="N207" s="10"/>
      <c r="O207" s="10"/>
      <c r="P207" s="85"/>
      <c r="Q207" s="88"/>
      <c r="R207" s="3">
        <f>IFERROR(VLOOKUP(TablaMarzo[[#This Row],[BARRIO]],SECTOR!$A:$B,2,0),"")</f>
      </c>
      <c r="S207" s="89"/>
      <c r="T207" s="90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6"/>
      <c r="AZ207" s="120">
        <f>COUNTIF(U207:AY207,"A")</f>
      </c>
      <c r="BA207" s="121">
        <f>COUNTIF(U207:AY207,"F")</f>
      </c>
      <c r="BB207" s="119">
        <f>COUNTIF(U207:AY207,"E")</f>
      </c>
    </row>
    <row r="208" spans="1:54" x14ac:dyDescent="0.2">
      <c r="A208" s="84"/>
      <c r="B208" s="85"/>
      <c r="C208" s="85"/>
      <c r="D208" s="85"/>
      <c r="E208" s="86"/>
      <c r="F208" s="16">
        <f>IF(E208="","",DATEDIF(E208,$I$7,"Y"))</f>
      </c>
      <c r="G208" s="85"/>
      <c r="H208" s="85"/>
      <c r="I208" s="87"/>
      <c r="J208" s="85"/>
      <c r="K208" s="85"/>
      <c r="L208" s="10"/>
      <c r="M208" s="10"/>
      <c r="N208" s="10"/>
      <c r="O208" s="10"/>
      <c r="P208" s="85"/>
      <c r="Q208" s="88"/>
      <c r="R208" s="3">
        <f>IFERROR(VLOOKUP(TablaMarzo[[#This Row],[BARRIO]],SECTOR!$A:$B,2,0),"")</f>
      </c>
      <c r="S208" s="89"/>
      <c r="T208" s="90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6"/>
      <c r="AZ208" s="120">
        <f>COUNTIF(U208:AY208,"A")</f>
      </c>
      <c r="BA208" s="121">
        <f>COUNTIF(U208:AY208,"F")</f>
      </c>
      <c r="BB208" s="119">
        <f>COUNTIF(U208:AY208,"E")</f>
      </c>
    </row>
    <row r="209" spans="1:54" x14ac:dyDescent="0.2">
      <c r="A209" s="84"/>
      <c r="B209" s="85"/>
      <c r="C209" s="85"/>
      <c r="D209" s="85"/>
      <c r="E209" s="86"/>
      <c r="F209" s="16">
        <f>IF(E209="","",DATEDIF(E209,$I$7,"Y"))</f>
      </c>
      <c r="G209" s="85"/>
      <c r="H209" s="85"/>
      <c r="I209" s="87"/>
      <c r="J209" s="85"/>
      <c r="K209" s="85"/>
      <c r="L209" s="10"/>
      <c r="M209" s="10"/>
      <c r="N209" s="10"/>
      <c r="O209" s="10"/>
      <c r="P209" s="85"/>
      <c r="Q209" s="88"/>
      <c r="R209" s="3">
        <f>IFERROR(VLOOKUP(TablaMarzo[[#This Row],[BARRIO]],SECTOR!$A:$B,2,0),"")</f>
      </c>
      <c r="S209" s="89"/>
      <c r="T209" s="90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6"/>
      <c r="AZ209" s="120">
        <f>COUNTIF(U209:AY209,"A")</f>
      </c>
      <c r="BA209" s="121">
        <f>COUNTIF(U209:AY209,"F")</f>
      </c>
      <c r="BB209" s="119">
        <f>COUNTIF(U209:AY209,"E")</f>
      </c>
    </row>
    <row r="210" spans="1:54" x14ac:dyDescent="0.2">
      <c r="A210" s="84"/>
      <c r="B210" s="85"/>
      <c r="C210" s="85"/>
      <c r="D210" s="85"/>
      <c r="E210" s="86"/>
      <c r="F210" s="16">
        <f>IF(E210="","",DATEDIF(E210,$I$7,"Y"))</f>
      </c>
      <c r="G210" s="85"/>
      <c r="H210" s="85"/>
      <c r="I210" s="87"/>
      <c r="J210" s="85"/>
      <c r="K210" s="85"/>
      <c r="L210" s="10"/>
      <c r="M210" s="10"/>
      <c r="N210" s="10"/>
      <c r="O210" s="10"/>
      <c r="P210" s="85"/>
      <c r="Q210" s="88"/>
      <c r="R210" s="3">
        <f>IFERROR(VLOOKUP(TablaMarzo[[#This Row],[BARRIO]],SECTOR!$A:$B,2,0),"")</f>
      </c>
      <c r="S210" s="89"/>
      <c r="T210" s="90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6"/>
      <c r="AZ210" s="120">
        <f>COUNTIF(U210:AY210,"A")</f>
      </c>
      <c r="BA210" s="121">
        <f>COUNTIF(U210:AY210,"F")</f>
      </c>
      <c r="BB210" s="119">
        <f>COUNTIF(U210:AY210,"E")</f>
      </c>
    </row>
    <row r="211" spans="1:54" x14ac:dyDescent="0.2">
      <c r="A211" s="84"/>
      <c r="B211" s="85"/>
      <c r="C211" s="85"/>
      <c r="D211" s="85"/>
      <c r="E211" s="86"/>
      <c r="F211" s="16">
        <f>IF(E211="","",DATEDIF(E211,$I$7,"Y"))</f>
      </c>
      <c r="G211" s="85"/>
      <c r="H211" s="85"/>
      <c r="I211" s="87"/>
      <c r="J211" s="85"/>
      <c r="K211" s="85"/>
      <c r="L211" s="10"/>
      <c r="M211" s="10"/>
      <c r="N211" s="10"/>
      <c r="O211" s="10"/>
      <c r="P211" s="85"/>
      <c r="Q211" s="88"/>
      <c r="R211" s="3">
        <f>IFERROR(VLOOKUP(TablaMarzo[[#This Row],[BARRIO]],SECTOR!$A:$B,2,0),"")</f>
      </c>
      <c r="S211" s="89"/>
      <c r="T211" s="90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6"/>
      <c r="AZ211" s="120">
        <f>COUNTIF(U211:AY211,"A")</f>
      </c>
      <c r="BA211" s="121">
        <f>COUNTIF(U211:AY211,"F")</f>
      </c>
      <c r="BB211" s="119">
        <f>COUNTIF(U211:AY211,"E")</f>
      </c>
    </row>
    <row r="212" spans="1:54" x14ac:dyDescent="0.2">
      <c r="A212" s="84"/>
      <c r="B212" s="85"/>
      <c r="C212" s="85"/>
      <c r="D212" s="85"/>
      <c r="E212" s="86"/>
      <c r="F212" s="16">
        <f>IF(E212="","",DATEDIF(E212,$I$7,"Y"))</f>
      </c>
      <c r="G212" s="85"/>
      <c r="H212" s="85"/>
      <c r="I212" s="87"/>
      <c r="J212" s="85"/>
      <c r="K212" s="85"/>
      <c r="L212" s="10"/>
      <c r="M212" s="10"/>
      <c r="N212" s="10"/>
      <c r="O212" s="10"/>
      <c r="P212" s="85"/>
      <c r="Q212" s="88"/>
      <c r="R212" s="3">
        <f>IFERROR(VLOOKUP(TablaMarzo[[#This Row],[BARRIO]],SECTOR!$A:$B,2,0),"")</f>
      </c>
      <c r="S212" s="89"/>
      <c r="T212" s="90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6"/>
      <c r="AZ212" s="120">
        <f>COUNTIF(U212:AY212,"A")</f>
      </c>
      <c r="BA212" s="121">
        <f>COUNTIF(U212:AY212,"F")</f>
      </c>
      <c r="BB212" s="119">
        <f>COUNTIF(U212:AY212,"E")</f>
      </c>
    </row>
    <row r="213" spans="1:54" x14ac:dyDescent="0.2">
      <c r="A213" s="84"/>
      <c r="B213" s="85"/>
      <c r="C213" s="85"/>
      <c r="D213" s="85"/>
      <c r="E213" s="86"/>
      <c r="F213" s="16">
        <f>IF(E213="","",DATEDIF(E213,$I$7,"Y"))</f>
      </c>
      <c r="G213" s="85"/>
      <c r="H213" s="85"/>
      <c r="I213" s="87"/>
      <c r="J213" s="85"/>
      <c r="K213" s="85"/>
      <c r="L213" s="10"/>
      <c r="M213" s="10"/>
      <c r="N213" s="10"/>
      <c r="O213" s="10"/>
      <c r="P213" s="85"/>
      <c r="Q213" s="88"/>
      <c r="R213" s="3">
        <f>IFERROR(VLOOKUP(TablaMarzo[[#This Row],[BARRIO]],SECTOR!$A:$B,2,0),"")</f>
      </c>
      <c r="S213" s="89"/>
      <c r="T213" s="90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6"/>
      <c r="AZ213" s="120">
        <f>COUNTIF(U213:AY213,"A")</f>
      </c>
      <c r="BA213" s="121">
        <f>COUNTIF(U213:AY213,"F")</f>
      </c>
      <c r="BB213" s="119">
        <f>COUNTIF(U213:AY213,"E")</f>
      </c>
    </row>
    <row r="214" spans="1:54" x14ac:dyDescent="0.2">
      <c r="A214" s="84"/>
      <c r="B214" s="85"/>
      <c r="C214" s="85"/>
      <c r="D214" s="85"/>
      <c r="E214" s="86"/>
      <c r="F214" s="16">
        <f>IF(E214="","",DATEDIF(E214,$I$7,"Y"))</f>
      </c>
      <c r="G214" s="85"/>
      <c r="H214" s="85"/>
      <c r="I214" s="87"/>
      <c r="J214" s="85"/>
      <c r="K214" s="85"/>
      <c r="L214" s="10"/>
      <c r="M214" s="10"/>
      <c r="N214" s="10"/>
      <c r="O214" s="10"/>
      <c r="P214" s="85"/>
      <c r="Q214" s="88"/>
      <c r="R214" s="3">
        <f>IFERROR(VLOOKUP(TablaMarzo[[#This Row],[BARRIO]],SECTOR!$A:$B,2,0),"")</f>
      </c>
      <c r="S214" s="89"/>
      <c r="T214" s="90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6"/>
      <c r="AZ214" s="120">
        <f>COUNTIF(U214:AY214,"A")</f>
      </c>
      <c r="BA214" s="121">
        <f>COUNTIF(U214:AY214,"F")</f>
      </c>
      <c r="BB214" s="119">
        <f>COUNTIF(U214:AY214,"E")</f>
      </c>
    </row>
    <row r="215" spans="1:54" x14ac:dyDescent="0.2">
      <c r="A215" s="84"/>
      <c r="B215" s="85"/>
      <c r="C215" s="85"/>
      <c r="D215" s="85"/>
      <c r="E215" s="86"/>
      <c r="F215" s="16">
        <f>IF(E215="","",DATEDIF(E215,$I$7,"Y"))</f>
      </c>
      <c r="G215" s="85"/>
      <c r="H215" s="85"/>
      <c r="I215" s="87"/>
      <c r="J215" s="85"/>
      <c r="K215" s="85"/>
      <c r="L215" s="10"/>
      <c r="M215" s="10"/>
      <c r="N215" s="10"/>
      <c r="O215" s="10"/>
      <c r="P215" s="85"/>
      <c r="Q215" s="88"/>
      <c r="R215" s="3">
        <f>IFERROR(VLOOKUP(TablaMarzo[[#This Row],[BARRIO]],SECTOR!$A:$B,2,0),"")</f>
      </c>
      <c r="S215" s="89"/>
      <c r="T215" s="90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6"/>
      <c r="AZ215" s="120">
        <f>COUNTIF(U215:AY215,"A")</f>
      </c>
      <c r="BA215" s="121">
        <f>COUNTIF(U215:AY215,"F")</f>
      </c>
      <c r="BB215" s="119">
        <f>COUNTIF(U215:AY215,"E")</f>
      </c>
    </row>
    <row r="216" spans="1:54" x14ac:dyDescent="0.2">
      <c r="A216" s="84"/>
      <c r="B216" s="85"/>
      <c r="C216" s="85"/>
      <c r="D216" s="85"/>
      <c r="E216" s="86"/>
      <c r="F216" s="16">
        <f>IF(E216="","",DATEDIF(E216,$I$7,"Y"))</f>
      </c>
      <c r="G216" s="85"/>
      <c r="H216" s="85"/>
      <c r="I216" s="87"/>
      <c r="J216" s="85"/>
      <c r="K216" s="85"/>
      <c r="L216" s="10"/>
      <c r="M216" s="10"/>
      <c r="N216" s="10"/>
      <c r="O216" s="10"/>
      <c r="P216" s="85"/>
      <c r="Q216" s="88"/>
      <c r="R216" s="3">
        <f>IFERROR(VLOOKUP(TablaMarzo[[#This Row],[BARRIO]],SECTOR!$A:$B,2,0),"")</f>
      </c>
      <c r="S216" s="89"/>
      <c r="T216" s="90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6"/>
      <c r="AZ216" s="120">
        <f>COUNTIF(U216:AY216,"A")</f>
      </c>
      <c r="BA216" s="121">
        <f>COUNTIF(U216:AY216,"F")</f>
      </c>
      <c r="BB216" s="119">
        <f>COUNTIF(U216:AY216,"E")</f>
      </c>
    </row>
    <row r="217" spans="1:54" x14ac:dyDescent="0.2">
      <c r="A217" s="84"/>
      <c r="B217" s="85"/>
      <c r="C217" s="85"/>
      <c r="D217" s="85"/>
      <c r="E217" s="86"/>
      <c r="F217" s="16">
        <f>IF(E217="","",DATEDIF(E217,$I$7,"Y"))</f>
      </c>
      <c r="G217" s="85"/>
      <c r="H217" s="85"/>
      <c r="I217" s="87"/>
      <c r="J217" s="85"/>
      <c r="K217" s="85"/>
      <c r="L217" s="10"/>
      <c r="M217" s="10"/>
      <c r="N217" s="10"/>
      <c r="O217" s="10"/>
      <c r="P217" s="85"/>
      <c r="Q217" s="88"/>
      <c r="R217" s="3">
        <f>IFERROR(VLOOKUP(TablaMarzo[[#This Row],[BARRIO]],SECTOR!$A:$B,2,0),"")</f>
      </c>
      <c r="S217" s="89"/>
      <c r="T217" s="90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6"/>
      <c r="AZ217" s="120">
        <f>COUNTIF(U217:AY217,"A")</f>
      </c>
      <c r="BA217" s="121">
        <f>COUNTIF(U217:AY217,"F")</f>
      </c>
      <c r="BB217" s="119">
        <f>COUNTIF(U217:AY217,"E")</f>
      </c>
    </row>
    <row r="218" spans="1:54" x14ac:dyDescent="0.2">
      <c r="A218" s="84"/>
      <c r="B218" s="85"/>
      <c r="C218" s="85"/>
      <c r="D218" s="85"/>
      <c r="E218" s="86"/>
      <c r="F218" s="16">
        <f>IF(E218="","",DATEDIF(E218,$I$7,"Y"))</f>
      </c>
      <c r="G218" s="85"/>
      <c r="H218" s="85"/>
      <c r="I218" s="87"/>
      <c r="J218" s="85"/>
      <c r="K218" s="85"/>
      <c r="L218" s="10"/>
      <c r="M218" s="10"/>
      <c r="N218" s="10"/>
      <c r="O218" s="10"/>
      <c r="P218" s="85"/>
      <c r="Q218" s="88"/>
      <c r="R218" s="3">
        <f>IFERROR(VLOOKUP(TablaMarzo[[#This Row],[BARRIO]],SECTOR!$A:$B,2,0),"")</f>
      </c>
      <c r="S218" s="89"/>
      <c r="T218" s="90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6"/>
      <c r="AZ218" s="120">
        <f>COUNTIF(U218:AY218,"A")</f>
      </c>
      <c r="BA218" s="121">
        <f>COUNTIF(U218:AY218,"F")</f>
      </c>
      <c r="BB218" s="119">
        <f>COUNTIF(U218:AY218,"E")</f>
      </c>
    </row>
    <row r="219" spans="1:54" x14ac:dyDescent="0.2">
      <c r="A219" s="84"/>
      <c r="B219" s="85"/>
      <c r="C219" s="85"/>
      <c r="D219" s="85"/>
      <c r="E219" s="86"/>
      <c r="F219" s="16">
        <f>IF(E219="","",DATEDIF(E219,$I$7,"Y"))</f>
      </c>
      <c r="G219" s="85"/>
      <c r="H219" s="85"/>
      <c r="I219" s="87"/>
      <c r="J219" s="85"/>
      <c r="K219" s="85"/>
      <c r="L219" s="10"/>
      <c r="M219" s="10"/>
      <c r="N219" s="10"/>
      <c r="O219" s="10"/>
      <c r="P219" s="85"/>
      <c r="Q219" s="88"/>
      <c r="R219" s="3">
        <f>IFERROR(VLOOKUP(TablaMarzo[[#This Row],[BARRIO]],SECTOR!$A:$B,2,0),"")</f>
      </c>
      <c r="S219" s="89"/>
      <c r="T219" s="90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6"/>
      <c r="AZ219" s="120">
        <f>COUNTIF(U219:AY219,"A")</f>
      </c>
      <c r="BA219" s="121">
        <f>COUNTIF(U219:AY219,"F")</f>
      </c>
      <c r="BB219" s="119">
        <f>COUNTIF(U219:AY219,"E")</f>
      </c>
    </row>
    <row r="220" spans="1:54" x14ac:dyDescent="0.2">
      <c r="A220" s="84"/>
      <c r="B220" s="85"/>
      <c r="C220" s="85"/>
      <c r="D220" s="85"/>
      <c r="E220" s="86"/>
      <c r="F220" s="16">
        <f>IF(E220="","",DATEDIF(E220,$I$7,"Y"))</f>
      </c>
      <c r="G220" s="85"/>
      <c r="H220" s="85"/>
      <c r="I220" s="87"/>
      <c r="J220" s="85"/>
      <c r="K220" s="85"/>
      <c r="L220" s="10"/>
      <c r="M220" s="10"/>
      <c r="N220" s="10"/>
      <c r="O220" s="10"/>
      <c r="P220" s="85"/>
      <c r="Q220" s="88"/>
      <c r="R220" s="3">
        <f>IFERROR(VLOOKUP(TablaMarzo[[#This Row],[BARRIO]],SECTOR!$A:$B,2,0),"")</f>
      </c>
      <c r="S220" s="89"/>
      <c r="T220" s="90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6"/>
      <c r="AZ220" s="120">
        <f>COUNTIF(U220:AY220,"A")</f>
      </c>
      <c r="BA220" s="121">
        <f>COUNTIF(U220:AY220,"F")</f>
      </c>
      <c r="BB220" s="119">
        <f>COUNTIF(U220:AY220,"E")</f>
      </c>
    </row>
    <row r="221" spans="1:54" x14ac:dyDescent="0.2">
      <c r="A221" s="84"/>
      <c r="B221" s="85"/>
      <c r="C221" s="85"/>
      <c r="D221" s="85"/>
      <c r="E221" s="86"/>
      <c r="F221" s="16">
        <f>IF(E221="","",DATEDIF(E221,$I$7,"Y"))</f>
      </c>
      <c r="G221" s="85"/>
      <c r="H221" s="85"/>
      <c r="I221" s="87"/>
      <c r="J221" s="85"/>
      <c r="K221" s="85"/>
      <c r="L221" s="10"/>
      <c r="M221" s="10"/>
      <c r="N221" s="10"/>
      <c r="O221" s="10"/>
      <c r="P221" s="85"/>
      <c r="Q221" s="88"/>
      <c r="R221" s="3">
        <f>IFERROR(VLOOKUP(TablaMarzo[[#This Row],[BARRIO]],SECTOR!$A:$B,2,0),"")</f>
      </c>
      <c r="S221" s="89"/>
      <c r="T221" s="90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6"/>
      <c r="AZ221" s="120">
        <f>COUNTIF(U221:AY221,"A")</f>
      </c>
      <c r="BA221" s="121">
        <f>COUNTIF(U221:AY221,"F")</f>
      </c>
      <c r="BB221" s="119">
        <f>COUNTIF(U221:AY221,"E")</f>
      </c>
    </row>
    <row r="222" spans="1:54" x14ac:dyDescent="0.2">
      <c r="A222" s="84"/>
      <c r="B222" s="85"/>
      <c r="C222" s="85"/>
      <c r="D222" s="85"/>
      <c r="E222" s="86"/>
      <c r="F222" s="16">
        <f>IF(E222="","",DATEDIF(E222,$I$7,"Y"))</f>
      </c>
      <c r="G222" s="85"/>
      <c r="H222" s="85"/>
      <c r="I222" s="87"/>
      <c r="J222" s="85"/>
      <c r="K222" s="85"/>
      <c r="L222" s="10"/>
      <c r="M222" s="10"/>
      <c r="N222" s="10"/>
      <c r="O222" s="10"/>
      <c r="P222" s="85"/>
      <c r="Q222" s="88"/>
      <c r="R222" s="3">
        <f>IFERROR(VLOOKUP(TablaMarzo[[#This Row],[BARRIO]],SECTOR!$A:$B,2,0),"")</f>
      </c>
      <c r="S222" s="89"/>
      <c r="T222" s="90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6"/>
      <c r="AZ222" s="120">
        <f>COUNTIF(U222:AY222,"A")</f>
      </c>
      <c r="BA222" s="121">
        <f>COUNTIF(U222:AY222,"F")</f>
      </c>
      <c r="BB222" s="119">
        <f>COUNTIF(U222:AY222,"E")</f>
      </c>
    </row>
    <row r="223" spans="1:54" x14ac:dyDescent="0.2">
      <c r="A223" s="84"/>
      <c r="B223" s="85"/>
      <c r="C223" s="85"/>
      <c r="D223" s="85"/>
      <c r="E223" s="86"/>
      <c r="F223" s="16">
        <f>IF(E223="","",DATEDIF(E223,$I$7,"Y"))</f>
      </c>
      <c r="G223" s="85"/>
      <c r="H223" s="85"/>
      <c r="I223" s="87"/>
      <c r="J223" s="85"/>
      <c r="K223" s="85"/>
      <c r="L223" s="10"/>
      <c r="M223" s="10"/>
      <c r="N223" s="10"/>
      <c r="O223" s="10"/>
      <c r="P223" s="85"/>
      <c r="Q223" s="88"/>
      <c r="R223" s="3">
        <f>IFERROR(VLOOKUP(TablaMarzo[[#This Row],[BARRIO]],SECTOR!$A:$B,2,0),"")</f>
      </c>
      <c r="S223" s="89"/>
      <c r="T223" s="90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6"/>
      <c r="AZ223" s="120">
        <f>COUNTIF(U223:AY223,"A")</f>
      </c>
      <c r="BA223" s="121">
        <f>COUNTIF(U223:AY223,"F")</f>
      </c>
      <c r="BB223" s="119">
        <f>COUNTIF(U223:AY223,"E")</f>
      </c>
    </row>
    <row r="224" spans="1:54" x14ac:dyDescent="0.2">
      <c r="A224" s="84"/>
      <c r="B224" s="85"/>
      <c r="C224" s="85"/>
      <c r="D224" s="85"/>
      <c r="E224" s="86"/>
      <c r="F224" s="16">
        <f>IF(E224="","",DATEDIF(E224,$I$7,"Y"))</f>
      </c>
      <c r="G224" s="85"/>
      <c r="H224" s="85"/>
      <c r="I224" s="87"/>
      <c r="J224" s="85"/>
      <c r="K224" s="85"/>
      <c r="L224" s="10"/>
      <c r="M224" s="10"/>
      <c r="N224" s="10"/>
      <c r="O224" s="10"/>
      <c r="P224" s="85"/>
      <c r="Q224" s="88"/>
      <c r="R224" s="3">
        <f>IFERROR(VLOOKUP(TablaMarzo[[#This Row],[BARRIO]],SECTOR!$A:$B,2,0),"")</f>
      </c>
      <c r="S224" s="89"/>
      <c r="T224" s="90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6"/>
      <c r="AZ224" s="120">
        <f>COUNTIF(U224:AY224,"A")</f>
      </c>
      <c r="BA224" s="121">
        <f>COUNTIF(U224:AY224,"F")</f>
      </c>
      <c r="BB224" s="119">
        <f>COUNTIF(U224:AY224,"E")</f>
      </c>
    </row>
    <row r="225" spans="1:54" x14ac:dyDescent="0.2">
      <c r="A225" s="84"/>
      <c r="B225" s="85"/>
      <c r="C225" s="85"/>
      <c r="D225" s="85"/>
      <c r="E225" s="86"/>
      <c r="F225" s="16">
        <f>IF(E225="","",DATEDIF(E225,$I$7,"Y"))</f>
      </c>
      <c r="G225" s="85"/>
      <c r="H225" s="85"/>
      <c r="I225" s="87"/>
      <c r="J225" s="85"/>
      <c r="K225" s="85"/>
      <c r="L225" s="10"/>
      <c r="M225" s="10"/>
      <c r="N225" s="10"/>
      <c r="O225" s="10"/>
      <c r="P225" s="85"/>
      <c r="Q225" s="88"/>
      <c r="R225" s="3">
        <f>IFERROR(VLOOKUP(TablaMarzo[[#This Row],[BARRIO]],SECTOR!$A:$B,2,0),"")</f>
      </c>
      <c r="S225" s="89"/>
      <c r="T225" s="90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6"/>
      <c r="AZ225" s="120">
        <f>COUNTIF(U225:AY225,"A")</f>
      </c>
      <c r="BA225" s="121">
        <f>COUNTIF(U225:AY225,"F")</f>
      </c>
      <c r="BB225" s="119">
        <f>COUNTIF(U225:AY225,"E")</f>
      </c>
    </row>
    <row r="226" spans="1:54" x14ac:dyDescent="0.2">
      <c r="A226" s="84"/>
      <c r="B226" s="85"/>
      <c r="C226" s="85"/>
      <c r="D226" s="85"/>
      <c r="E226" s="86"/>
      <c r="F226" s="16">
        <f>IF(E226="","",DATEDIF(E226,$I$7,"Y"))</f>
      </c>
      <c r="G226" s="85"/>
      <c r="H226" s="85"/>
      <c r="I226" s="87"/>
      <c r="J226" s="85"/>
      <c r="K226" s="85"/>
      <c r="L226" s="10"/>
      <c r="M226" s="10"/>
      <c r="N226" s="10"/>
      <c r="O226" s="10"/>
      <c r="P226" s="85"/>
      <c r="Q226" s="88"/>
      <c r="R226" s="3">
        <f>IFERROR(VLOOKUP(TablaMarzo[[#This Row],[BARRIO]],SECTOR!$A:$B,2,0),"")</f>
      </c>
      <c r="S226" s="89"/>
      <c r="T226" s="90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6"/>
      <c r="AZ226" s="120">
        <f>COUNTIF(U226:AY226,"A")</f>
      </c>
      <c r="BA226" s="121">
        <f>COUNTIF(U226:AY226,"F")</f>
      </c>
      <c r="BB226" s="119">
        <f>COUNTIF(U226:AY226,"E")</f>
      </c>
    </row>
    <row r="227" spans="1:54" x14ac:dyDescent="0.2">
      <c r="A227" s="84"/>
      <c r="B227" s="85"/>
      <c r="C227" s="85"/>
      <c r="D227" s="85"/>
      <c r="E227" s="86"/>
      <c r="F227" s="16">
        <f>IF(E227="","",DATEDIF(E227,$I$7,"Y"))</f>
      </c>
      <c r="G227" s="85"/>
      <c r="H227" s="85"/>
      <c r="I227" s="87"/>
      <c r="J227" s="85"/>
      <c r="K227" s="85"/>
      <c r="L227" s="10"/>
      <c r="M227" s="10"/>
      <c r="N227" s="10"/>
      <c r="O227" s="10"/>
      <c r="P227" s="85"/>
      <c r="Q227" s="88"/>
      <c r="R227" s="3">
        <f>IFERROR(VLOOKUP(TablaMarzo[[#This Row],[BARRIO]],SECTOR!$A:$B,2,0),"")</f>
      </c>
      <c r="S227" s="89"/>
      <c r="T227" s="90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6"/>
      <c r="AZ227" s="120">
        <f>COUNTIF(U227:AY227,"A")</f>
      </c>
      <c r="BA227" s="121">
        <f>COUNTIF(U227:AY227,"F")</f>
      </c>
      <c r="BB227" s="119">
        <f>COUNTIF(U227:AY227,"E")</f>
      </c>
    </row>
    <row r="228" spans="1:54" x14ac:dyDescent="0.2">
      <c r="A228" s="84"/>
      <c r="B228" s="85"/>
      <c r="C228" s="85"/>
      <c r="D228" s="85"/>
      <c r="E228" s="86"/>
      <c r="F228" s="16">
        <f>IF(E228="","",DATEDIF(E228,$I$7,"Y"))</f>
      </c>
      <c r="G228" s="85"/>
      <c r="H228" s="85"/>
      <c r="I228" s="87"/>
      <c r="J228" s="85"/>
      <c r="K228" s="85"/>
      <c r="L228" s="10"/>
      <c r="M228" s="10"/>
      <c r="N228" s="10"/>
      <c r="O228" s="10"/>
      <c r="P228" s="85"/>
      <c r="Q228" s="88"/>
      <c r="R228" s="3">
        <f>IFERROR(VLOOKUP(TablaMarzo[[#This Row],[BARRIO]],SECTOR!$A:$B,2,0),"")</f>
      </c>
      <c r="S228" s="89"/>
      <c r="T228" s="90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6"/>
      <c r="AZ228" s="120">
        <f>COUNTIF(U228:AY228,"A")</f>
      </c>
      <c r="BA228" s="121">
        <f>COUNTIF(U228:AY228,"F")</f>
      </c>
      <c r="BB228" s="119">
        <f>COUNTIF(U228:AY228,"E")</f>
      </c>
    </row>
    <row r="229" spans="1:54" x14ac:dyDescent="0.2">
      <c r="A229" s="84"/>
      <c r="B229" s="85"/>
      <c r="C229" s="85"/>
      <c r="D229" s="85"/>
      <c r="E229" s="86"/>
      <c r="F229" s="16">
        <f>IF(E229="","",DATEDIF(E229,$I$7,"Y"))</f>
      </c>
      <c r="G229" s="85"/>
      <c r="H229" s="85"/>
      <c r="I229" s="87"/>
      <c r="J229" s="85"/>
      <c r="K229" s="85"/>
      <c r="L229" s="10"/>
      <c r="M229" s="10"/>
      <c r="N229" s="10"/>
      <c r="O229" s="10"/>
      <c r="P229" s="85"/>
      <c r="Q229" s="88"/>
      <c r="R229" s="3">
        <f>IFERROR(VLOOKUP(TablaMarzo[[#This Row],[BARRIO]],SECTOR!$A:$B,2,0),"")</f>
      </c>
      <c r="S229" s="89"/>
      <c r="T229" s="90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6"/>
      <c r="AZ229" s="120">
        <f>COUNTIF(U229:AY229,"A")</f>
      </c>
      <c r="BA229" s="121">
        <f>COUNTIF(U229:AY229,"F")</f>
      </c>
      <c r="BB229" s="119">
        <f>COUNTIF(U229:AY229,"E")</f>
      </c>
    </row>
    <row r="230" spans="1:54" x14ac:dyDescent="0.2">
      <c r="A230" s="84"/>
      <c r="B230" s="85"/>
      <c r="C230" s="85"/>
      <c r="D230" s="85"/>
      <c r="E230" s="86"/>
      <c r="F230" s="16">
        <f>IF(E230="","",DATEDIF(E230,$I$7,"Y"))</f>
      </c>
      <c r="G230" s="85"/>
      <c r="H230" s="85"/>
      <c r="I230" s="87"/>
      <c r="J230" s="85"/>
      <c r="K230" s="85"/>
      <c r="L230" s="10"/>
      <c r="M230" s="10"/>
      <c r="N230" s="10"/>
      <c r="O230" s="10"/>
      <c r="P230" s="85"/>
      <c r="Q230" s="88"/>
      <c r="R230" s="3">
        <f>IFERROR(VLOOKUP(TablaMarzo[[#This Row],[BARRIO]],SECTOR!$A:$B,2,0),"")</f>
      </c>
      <c r="S230" s="89"/>
      <c r="T230" s="90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6"/>
      <c r="AZ230" s="120">
        <f>COUNTIF(U230:AY230,"A")</f>
      </c>
      <c r="BA230" s="121">
        <f>COUNTIF(U230:AY230,"F")</f>
      </c>
      <c r="BB230" s="119">
        <f>COUNTIF(U230:AY230,"E")</f>
      </c>
    </row>
    <row r="231" spans="1:54" x14ac:dyDescent="0.2">
      <c r="A231" s="84"/>
      <c r="B231" s="85"/>
      <c r="C231" s="85"/>
      <c r="D231" s="85"/>
      <c r="E231" s="86"/>
      <c r="F231" s="16">
        <f>IF(E231="","",DATEDIF(E231,$I$7,"Y"))</f>
      </c>
      <c r="G231" s="85"/>
      <c r="H231" s="85"/>
      <c r="I231" s="87"/>
      <c r="J231" s="85"/>
      <c r="K231" s="85"/>
      <c r="L231" s="10"/>
      <c r="M231" s="10"/>
      <c r="N231" s="10"/>
      <c r="O231" s="10"/>
      <c r="P231" s="85"/>
      <c r="Q231" s="88"/>
      <c r="R231" s="3">
        <f>IFERROR(VLOOKUP(TablaMarzo[[#This Row],[BARRIO]],SECTOR!$A:$B,2,0),"")</f>
      </c>
      <c r="S231" s="89"/>
      <c r="T231" s="90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6"/>
      <c r="AZ231" s="120">
        <f>COUNTIF(U231:AY231,"A")</f>
      </c>
      <c r="BA231" s="121">
        <f>COUNTIF(U231:AY231,"F")</f>
      </c>
      <c r="BB231" s="119">
        <f>COUNTIF(U231:AY231,"E")</f>
      </c>
    </row>
    <row r="232" spans="1:54" x14ac:dyDescent="0.2">
      <c r="A232" s="84"/>
      <c r="B232" s="85"/>
      <c r="C232" s="85"/>
      <c r="D232" s="85"/>
      <c r="E232" s="86"/>
      <c r="F232" s="16">
        <f>IF(E232="","",DATEDIF(E232,$I$7,"Y"))</f>
      </c>
      <c r="G232" s="85"/>
      <c r="H232" s="85"/>
      <c r="I232" s="87"/>
      <c r="J232" s="85"/>
      <c r="K232" s="85"/>
      <c r="L232" s="10"/>
      <c r="M232" s="10"/>
      <c r="N232" s="10"/>
      <c r="O232" s="10"/>
      <c r="P232" s="85"/>
      <c r="Q232" s="88"/>
      <c r="R232" s="3">
        <f>IFERROR(VLOOKUP(TablaMarzo[[#This Row],[BARRIO]],SECTOR!$A:$B,2,0),"")</f>
      </c>
      <c r="S232" s="89"/>
      <c r="T232" s="90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6"/>
      <c r="AZ232" s="120">
        <f>COUNTIF(U232:AY232,"A")</f>
      </c>
      <c r="BA232" s="121">
        <f>COUNTIF(U232:AY232,"F")</f>
      </c>
      <c r="BB232" s="119">
        <f>COUNTIF(U232:AY232,"E")</f>
      </c>
    </row>
    <row r="233" spans="1:54" x14ac:dyDescent="0.2">
      <c r="A233" s="84"/>
      <c r="B233" s="85"/>
      <c r="C233" s="85"/>
      <c r="D233" s="85"/>
      <c r="E233" s="86"/>
      <c r="F233" s="16">
        <f>IF(E233="","",DATEDIF(E233,$I$7,"Y"))</f>
      </c>
      <c r="G233" s="85"/>
      <c r="H233" s="85"/>
      <c r="I233" s="87"/>
      <c r="J233" s="85"/>
      <c r="K233" s="85"/>
      <c r="L233" s="10"/>
      <c r="M233" s="10"/>
      <c r="N233" s="10"/>
      <c r="O233" s="10"/>
      <c r="P233" s="85"/>
      <c r="Q233" s="88"/>
      <c r="R233" s="3">
        <f>IFERROR(VLOOKUP(TablaMarzo[[#This Row],[BARRIO]],SECTOR!$A:$B,2,0),"")</f>
      </c>
      <c r="S233" s="89"/>
      <c r="T233" s="90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6"/>
      <c r="AZ233" s="120">
        <f>COUNTIF(U233:AY233,"A")</f>
      </c>
      <c r="BA233" s="121">
        <f>COUNTIF(U233:AY233,"F")</f>
      </c>
      <c r="BB233" s="119">
        <f>COUNTIF(U233:AY233,"E")</f>
      </c>
    </row>
    <row r="234" spans="1:54" x14ac:dyDescent="0.2">
      <c r="A234" s="84"/>
      <c r="B234" s="85"/>
      <c r="C234" s="85"/>
      <c r="D234" s="85"/>
      <c r="E234" s="86"/>
      <c r="F234" s="16">
        <f>IF(E234="","",DATEDIF(E234,$I$7,"Y"))</f>
      </c>
      <c r="G234" s="85"/>
      <c r="H234" s="85"/>
      <c r="I234" s="87"/>
      <c r="J234" s="85"/>
      <c r="K234" s="85"/>
      <c r="L234" s="10"/>
      <c r="M234" s="10"/>
      <c r="N234" s="10"/>
      <c r="O234" s="10"/>
      <c r="P234" s="85"/>
      <c r="Q234" s="88"/>
      <c r="R234" s="3">
        <f>IFERROR(VLOOKUP(TablaMarzo[[#This Row],[BARRIO]],SECTOR!$A:$B,2,0),"")</f>
      </c>
      <c r="S234" s="89"/>
      <c r="T234" s="90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6"/>
      <c r="AZ234" s="120">
        <f>COUNTIF(U234:AY234,"A")</f>
      </c>
      <c r="BA234" s="121">
        <f>COUNTIF(U234:AY234,"F")</f>
      </c>
      <c r="BB234" s="119">
        <f>COUNTIF(U234:AY234,"E")</f>
      </c>
    </row>
    <row r="235" spans="1:54" x14ac:dyDescent="0.2">
      <c r="A235" s="84"/>
      <c r="B235" s="85"/>
      <c r="C235" s="85"/>
      <c r="D235" s="85"/>
      <c r="E235" s="86"/>
      <c r="F235" s="16">
        <f>IF(E235="","",DATEDIF(E235,$I$7,"Y"))</f>
      </c>
      <c r="G235" s="85"/>
      <c r="H235" s="85"/>
      <c r="I235" s="87"/>
      <c r="J235" s="85"/>
      <c r="K235" s="85"/>
      <c r="L235" s="10"/>
      <c r="M235" s="10"/>
      <c r="N235" s="10"/>
      <c r="O235" s="10"/>
      <c r="P235" s="85"/>
      <c r="Q235" s="88"/>
      <c r="R235" s="3">
        <f>IFERROR(VLOOKUP(TablaMarzo[[#This Row],[BARRIO]],SECTOR!$A:$B,2,0),"")</f>
      </c>
      <c r="S235" s="89"/>
      <c r="T235" s="90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6"/>
      <c r="AZ235" s="120">
        <f>COUNTIF(U235:AY235,"A")</f>
      </c>
      <c r="BA235" s="121">
        <f>COUNTIF(U235:AY235,"F")</f>
      </c>
      <c r="BB235" s="119">
        <f>COUNTIF(U235:AY235,"E")</f>
      </c>
    </row>
    <row r="236" spans="1:54" x14ac:dyDescent="0.2">
      <c r="A236" s="84"/>
      <c r="B236" s="85"/>
      <c r="C236" s="85"/>
      <c r="D236" s="85"/>
      <c r="E236" s="86"/>
      <c r="F236" s="16">
        <f>IF(E236="","",DATEDIF(E236,$I$7,"Y"))</f>
      </c>
      <c r="G236" s="85"/>
      <c r="H236" s="85"/>
      <c r="I236" s="87"/>
      <c r="J236" s="85"/>
      <c r="K236" s="85"/>
      <c r="L236" s="10"/>
      <c r="M236" s="10"/>
      <c r="N236" s="10"/>
      <c r="O236" s="10"/>
      <c r="P236" s="85"/>
      <c r="Q236" s="88"/>
      <c r="R236" s="3">
        <f>IFERROR(VLOOKUP(TablaMarzo[[#This Row],[BARRIO]],SECTOR!$A:$B,2,0),"")</f>
      </c>
      <c r="S236" s="89"/>
      <c r="T236" s="90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6"/>
      <c r="AZ236" s="120">
        <f>COUNTIF(U236:AY236,"A")</f>
      </c>
      <c r="BA236" s="121">
        <f>COUNTIF(U236:AY236,"F")</f>
      </c>
      <c r="BB236" s="119">
        <f>COUNTIF(U236:AY236,"E")</f>
      </c>
    </row>
    <row r="237" spans="1:54" x14ac:dyDescent="0.2">
      <c r="A237" s="84"/>
      <c r="B237" s="85"/>
      <c r="C237" s="85"/>
      <c r="D237" s="85"/>
      <c r="E237" s="86"/>
      <c r="F237" s="16">
        <f>IF(E237="","",DATEDIF(E237,$I$7,"Y"))</f>
      </c>
      <c r="G237" s="85"/>
      <c r="H237" s="85"/>
      <c r="I237" s="87"/>
      <c r="J237" s="85"/>
      <c r="K237" s="85"/>
      <c r="L237" s="10"/>
      <c r="M237" s="10"/>
      <c r="N237" s="10"/>
      <c r="O237" s="10"/>
      <c r="P237" s="85"/>
      <c r="Q237" s="88"/>
      <c r="R237" s="3">
        <f>IFERROR(VLOOKUP(TablaMarzo[[#This Row],[BARRIO]],SECTOR!$A:$B,2,0),"")</f>
      </c>
      <c r="S237" s="89"/>
      <c r="T237" s="90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6"/>
      <c r="AZ237" s="120">
        <f>COUNTIF(U237:AY237,"A")</f>
      </c>
      <c r="BA237" s="121">
        <f>COUNTIF(U237:AY237,"F")</f>
      </c>
      <c r="BB237" s="119">
        <f>COUNTIF(U237:AY237,"E")</f>
      </c>
    </row>
    <row r="238" spans="1:54" x14ac:dyDescent="0.2">
      <c r="A238" s="84"/>
      <c r="B238" s="85"/>
      <c r="C238" s="85"/>
      <c r="D238" s="85"/>
      <c r="E238" s="86"/>
      <c r="F238" s="16">
        <f>IF(E238="","",DATEDIF(E238,$I$7,"Y"))</f>
      </c>
      <c r="G238" s="85"/>
      <c r="H238" s="85"/>
      <c r="I238" s="87"/>
      <c r="J238" s="85"/>
      <c r="K238" s="85"/>
      <c r="L238" s="10"/>
      <c r="M238" s="10"/>
      <c r="N238" s="10"/>
      <c r="O238" s="10"/>
      <c r="P238" s="85"/>
      <c r="Q238" s="88"/>
      <c r="R238" s="3">
        <f>IFERROR(VLOOKUP(TablaMarzo[[#This Row],[BARRIO]],SECTOR!$A:$B,2,0),"")</f>
      </c>
      <c r="S238" s="89"/>
      <c r="T238" s="90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6"/>
      <c r="AZ238" s="120">
        <f>COUNTIF(U238:AY238,"A")</f>
      </c>
      <c r="BA238" s="121">
        <f>COUNTIF(U238:AY238,"F")</f>
      </c>
      <c r="BB238" s="119">
        <f>COUNTIF(U238:AY238,"E")</f>
      </c>
    </row>
    <row r="239" spans="1:54" x14ac:dyDescent="0.2">
      <c r="A239" s="84"/>
      <c r="B239" s="85"/>
      <c r="C239" s="85"/>
      <c r="D239" s="85"/>
      <c r="E239" s="86"/>
      <c r="F239" s="16">
        <f>IF(E239="","",DATEDIF(E239,$I$7,"Y"))</f>
      </c>
      <c r="G239" s="85"/>
      <c r="H239" s="85"/>
      <c r="I239" s="87"/>
      <c r="J239" s="85"/>
      <c r="K239" s="85"/>
      <c r="L239" s="10"/>
      <c r="M239" s="10"/>
      <c r="N239" s="10"/>
      <c r="O239" s="10"/>
      <c r="P239" s="85"/>
      <c r="Q239" s="88"/>
      <c r="R239" s="3">
        <f>IFERROR(VLOOKUP(TablaMarzo[[#This Row],[BARRIO]],SECTOR!$A:$B,2,0),"")</f>
      </c>
      <c r="S239" s="89"/>
      <c r="T239" s="90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6"/>
      <c r="AZ239" s="120">
        <f>COUNTIF(U239:AY239,"A")</f>
      </c>
      <c r="BA239" s="121">
        <f>COUNTIF(U239:AY239,"F")</f>
      </c>
      <c r="BB239" s="119">
        <f>COUNTIF(U239:AY239,"E")</f>
      </c>
    </row>
    <row r="240" spans="1:54" x14ac:dyDescent="0.2">
      <c r="A240" s="84"/>
      <c r="B240" s="85"/>
      <c r="C240" s="85"/>
      <c r="D240" s="85"/>
      <c r="E240" s="86"/>
      <c r="F240" s="16">
        <f>IF(E240="","",DATEDIF(E240,$I$7,"Y"))</f>
      </c>
      <c r="G240" s="85"/>
      <c r="H240" s="85"/>
      <c r="I240" s="87"/>
      <c r="J240" s="85"/>
      <c r="K240" s="85"/>
      <c r="L240" s="10"/>
      <c r="M240" s="10"/>
      <c r="N240" s="10"/>
      <c r="O240" s="10"/>
      <c r="P240" s="85"/>
      <c r="Q240" s="88"/>
      <c r="R240" s="3">
        <f>IFERROR(VLOOKUP(TablaMarzo[[#This Row],[BARRIO]],SECTOR!$A:$B,2,0),"")</f>
      </c>
      <c r="S240" s="89"/>
      <c r="T240" s="90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6"/>
      <c r="AZ240" s="120">
        <f>COUNTIF(U240:AY240,"A")</f>
      </c>
      <c r="BA240" s="121">
        <f>COUNTIF(U240:AY240,"F")</f>
      </c>
      <c r="BB240" s="119">
        <f>COUNTIF(U240:AY240,"E")</f>
      </c>
    </row>
    <row r="241" spans="1:54" x14ac:dyDescent="0.2">
      <c r="A241" s="84"/>
      <c r="B241" s="85"/>
      <c r="C241" s="85"/>
      <c r="D241" s="85"/>
      <c r="E241" s="86"/>
      <c r="F241" s="16">
        <f>IF(E241="","",DATEDIF(E241,$I$7,"Y"))</f>
      </c>
      <c r="G241" s="85"/>
      <c r="H241" s="85"/>
      <c r="I241" s="87"/>
      <c r="J241" s="85"/>
      <c r="K241" s="85"/>
      <c r="L241" s="10"/>
      <c r="M241" s="10"/>
      <c r="N241" s="10"/>
      <c r="O241" s="10"/>
      <c r="P241" s="85"/>
      <c r="Q241" s="88"/>
      <c r="R241" s="3">
        <f>IFERROR(VLOOKUP(TablaMarzo[[#This Row],[BARRIO]],SECTOR!$A:$B,2,0),"")</f>
      </c>
      <c r="S241" s="89"/>
      <c r="T241" s="90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6"/>
      <c r="AZ241" s="120">
        <f>COUNTIF(U241:AY241,"A")</f>
      </c>
      <c r="BA241" s="121">
        <f>COUNTIF(U241:AY241,"F")</f>
      </c>
      <c r="BB241" s="119">
        <f>COUNTIF(U241:AY241,"E")</f>
      </c>
    </row>
    <row r="242" spans="1:54" x14ac:dyDescent="0.2">
      <c r="A242" s="84"/>
      <c r="B242" s="85"/>
      <c r="C242" s="85"/>
      <c r="D242" s="85"/>
      <c r="E242" s="86"/>
      <c r="F242" s="16">
        <f>IF(E242="","",DATEDIF(E242,$I$7,"Y"))</f>
      </c>
      <c r="G242" s="85"/>
      <c r="H242" s="85"/>
      <c r="I242" s="87"/>
      <c r="J242" s="85"/>
      <c r="K242" s="85"/>
      <c r="L242" s="10"/>
      <c r="M242" s="10"/>
      <c r="N242" s="10"/>
      <c r="O242" s="10"/>
      <c r="P242" s="85"/>
      <c r="Q242" s="88"/>
      <c r="R242" s="3">
        <f>IFERROR(VLOOKUP(TablaMarzo[[#This Row],[BARRIO]],SECTOR!$A:$B,2,0),"")</f>
      </c>
      <c r="S242" s="89"/>
      <c r="T242" s="90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6"/>
      <c r="AZ242" s="120">
        <f>COUNTIF(U242:AY242,"A")</f>
      </c>
      <c r="BA242" s="121">
        <f>COUNTIF(U242:AY242,"F")</f>
      </c>
      <c r="BB242" s="119">
        <f>COUNTIF(U242:AY242,"E")</f>
      </c>
    </row>
    <row r="243" spans="1:54" x14ac:dyDescent="0.2">
      <c r="A243" s="84"/>
      <c r="B243" s="85"/>
      <c r="C243" s="85"/>
      <c r="D243" s="85"/>
      <c r="E243" s="86"/>
      <c r="F243" s="16">
        <f>IF(E243="","",DATEDIF(E243,$I$7,"Y"))</f>
      </c>
      <c r="G243" s="85"/>
      <c r="H243" s="85"/>
      <c r="I243" s="87"/>
      <c r="J243" s="85"/>
      <c r="K243" s="85"/>
      <c r="L243" s="10"/>
      <c r="M243" s="10"/>
      <c r="N243" s="10"/>
      <c r="O243" s="10"/>
      <c r="P243" s="85"/>
      <c r="Q243" s="88"/>
      <c r="R243" s="3">
        <f>IFERROR(VLOOKUP(TablaMarzo[[#This Row],[BARRIO]],SECTOR!$A:$B,2,0),"")</f>
      </c>
      <c r="S243" s="89"/>
      <c r="T243" s="90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6"/>
      <c r="AZ243" s="120">
        <f>COUNTIF(U243:AY243,"A")</f>
      </c>
      <c r="BA243" s="121">
        <f>COUNTIF(U243:AY243,"F")</f>
      </c>
      <c r="BB243" s="119">
        <f>COUNTIF(U243:AY243,"E")</f>
      </c>
    </row>
    <row r="244" spans="1:54" x14ac:dyDescent="0.2">
      <c r="A244" s="84"/>
      <c r="B244" s="85"/>
      <c r="C244" s="85"/>
      <c r="D244" s="85"/>
      <c r="E244" s="86"/>
      <c r="F244" s="16">
        <f>IF(E244="","",DATEDIF(E244,$I$7,"Y"))</f>
      </c>
      <c r="G244" s="85"/>
      <c r="H244" s="85"/>
      <c r="I244" s="87"/>
      <c r="J244" s="85"/>
      <c r="K244" s="85"/>
      <c r="L244" s="10"/>
      <c r="M244" s="10"/>
      <c r="N244" s="10"/>
      <c r="O244" s="10"/>
      <c r="P244" s="85"/>
      <c r="Q244" s="88"/>
      <c r="R244" s="3">
        <f>IFERROR(VLOOKUP(TablaMarzo[[#This Row],[BARRIO]],SECTOR!$A:$B,2,0),"")</f>
      </c>
      <c r="S244" s="89"/>
      <c r="T244" s="90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6"/>
      <c r="AZ244" s="120">
        <f>COUNTIF(U244:AY244,"A")</f>
      </c>
      <c r="BA244" s="121">
        <f>COUNTIF(U244:AY244,"F")</f>
      </c>
      <c r="BB244" s="119">
        <f>COUNTIF(U244:AY244,"E")</f>
      </c>
    </row>
    <row r="245" spans="1:54" x14ac:dyDescent="0.2">
      <c r="A245" s="84"/>
      <c r="B245" s="85"/>
      <c r="C245" s="85"/>
      <c r="D245" s="85"/>
      <c r="E245" s="86"/>
      <c r="F245" s="16">
        <f>IF(E245="","",DATEDIF(E245,$I$7,"Y"))</f>
      </c>
      <c r="G245" s="85"/>
      <c r="H245" s="85"/>
      <c r="I245" s="87"/>
      <c r="J245" s="85"/>
      <c r="K245" s="85"/>
      <c r="L245" s="10"/>
      <c r="M245" s="10"/>
      <c r="N245" s="10"/>
      <c r="O245" s="10"/>
      <c r="P245" s="85"/>
      <c r="Q245" s="88"/>
      <c r="R245" s="3">
        <f>IFERROR(VLOOKUP(TablaMarzo[[#This Row],[BARRIO]],SECTOR!$A:$B,2,0),"")</f>
      </c>
      <c r="S245" s="89"/>
      <c r="T245" s="90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6"/>
      <c r="AZ245" s="120">
        <f>COUNTIF(U245:AY245,"A")</f>
      </c>
      <c r="BA245" s="121">
        <f>COUNTIF(U245:AY245,"F")</f>
      </c>
      <c r="BB245" s="119">
        <f>COUNTIF(U245:AY245,"E")</f>
      </c>
    </row>
    <row r="246" spans="1:54" x14ac:dyDescent="0.2">
      <c r="A246" s="84"/>
      <c r="B246" s="85"/>
      <c r="C246" s="85"/>
      <c r="D246" s="85"/>
      <c r="E246" s="86"/>
      <c r="F246" s="16">
        <f>IF(E246="","",DATEDIF(E246,$I$7,"Y"))</f>
      </c>
      <c r="G246" s="85"/>
      <c r="H246" s="85"/>
      <c r="I246" s="87"/>
      <c r="J246" s="85"/>
      <c r="K246" s="85"/>
      <c r="L246" s="10"/>
      <c r="M246" s="10"/>
      <c r="N246" s="10"/>
      <c r="O246" s="10"/>
      <c r="P246" s="85"/>
      <c r="Q246" s="88"/>
      <c r="R246" s="3">
        <f>IFERROR(VLOOKUP(TablaMarzo[[#This Row],[BARRIO]],SECTOR!$A:$B,2,0),"")</f>
      </c>
      <c r="S246" s="89"/>
      <c r="T246" s="90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6"/>
      <c r="AZ246" s="120">
        <f>COUNTIF(U246:AY246,"A")</f>
      </c>
      <c r="BA246" s="121">
        <f>COUNTIF(U246:AY246,"F")</f>
      </c>
      <c r="BB246" s="119">
        <f>COUNTIF(U246:AY246,"E")</f>
      </c>
    </row>
    <row r="247" spans="1:54" x14ac:dyDescent="0.2">
      <c r="A247" s="84"/>
      <c r="B247" s="85"/>
      <c r="C247" s="85"/>
      <c r="D247" s="85"/>
      <c r="E247" s="86"/>
      <c r="F247" s="16">
        <f>IF(E247="","",DATEDIF(E247,$I$7,"Y"))</f>
      </c>
      <c r="G247" s="85"/>
      <c r="H247" s="85"/>
      <c r="I247" s="87"/>
      <c r="J247" s="85"/>
      <c r="K247" s="85"/>
      <c r="L247" s="10"/>
      <c r="M247" s="10"/>
      <c r="N247" s="10"/>
      <c r="O247" s="10"/>
      <c r="P247" s="85"/>
      <c r="Q247" s="88"/>
      <c r="R247" s="3">
        <f>IFERROR(VLOOKUP(TablaMarzo[[#This Row],[BARRIO]],SECTOR!$A:$B,2,0),"")</f>
      </c>
      <c r="S247" s="89"/>
      <c r="T247" s="90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6"/>
      <c r="AZ247" s="120">
        <f>COUNTIF(U247:AY247,"A")</f>
      </c>
      <c r="BA247" s="121">
        <f>COUNTIF(U247:AY247,"F")</f>
      </c>
      <c r="BB247" s="119">
        <f>COUNTIF(U247:AY247,"E")</f>
      </c>
    </row>
    <row r="248" spans="1:54" x14ac:dyDescent="0.2">
      <c r="A248" s="84"/>
      <c r="B248" s="85"/>
      <c r="C248" s="85"/>
      <c r="D248" s="85"/>
      <c r="E248" s="86"/>
      <c r="F248" s="16">
        <f>IF(E248="","",DATEDIF(E248,$I$7,"Y"))</f>
      </c>
      <c r="G248" s="85"/>
      <c r="H248" s="85"/>
      <c r="I248" s="87"/>
      <c r="J248" s="85"/>
      <c r="K248" s="85"/>
      <c r="L248" s="10"/>
      <c r="M248" s="10"/>
      <c r="N248" s="10"/>
      <c r="O248" s="10"/>
      <c r="P248" s="85"/>
      <c r="Q248" s="88"/>
      <c r="R248" s="3">
        <f>IFERROR(VLOOKUP(TablaMarzo[[#This Row],[BARRIO]],SECTOR!$A:$B,2,0),"")</f>
      </c>
      <c r="S248" s="89"/>
      <c r="T248" s="90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6"/>
      <c r="AZ248" s="120">
        <f>COUNTIF(U248:AY248,"A")</f>
      </c>
      <c r="BA248" s="121">
        <f>COUNTIF(U248:AY248,"F")</f>
      </c>
      <c r="BB248" s="119">
        <f>COUNTIF(U248:AY248,"E")</f>
      </c>
    </row>
    <row r="249" spans="1:54" x14ac:dyDescent="0.2">
      <c r="A249" s="84"/>
      <c r="B249" s="85"/>
      <c r="C249" s="85"/>
      <c r="D249" s="85"/>
      <c r="E249" s="86"/>
      <c r="F249" s="16">
        <f>IF(E249="","",DATEDIF(E249,$I$7,"Y"))</f>
      </c>
      <c r="G249" s="85"/>
      <c r="H249" s="85"/>
      <c r="I249" s="87"/>
      <c r="J249" s="85"/>
      <c r="K249" s="85"/>
      <c r="L249" s="10"/>
      <c r="M249" s="10"/>
      <c r="N249" s="10"/>
      <c r="O249" s="10"/>
      <c r="P249" s="85"/>
      <c r="Q249" s="88"/>
      <c r="R249" s="3">
        <f>IFERROR(VLOOKUP(TablaMarzo[[#This Row],[BARRIO]],SECTOR!$A:$B,2,0),"")</f>
      </c>
      <c r="S249" s="89"/>
      <c r="T249" s="90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6"/>
      <c r="AZ249" s="120">
        <f>COUNTIF(U249:AY249,"A")</f>
      </c>
      <c r="BA249" s="121">
        <f>COUNTIF(U249:AY249,"F")</f>
      </c>
      <c r="BB249" s="119">
        <f>COUNTIF(U249:AY249,"E")</f>
      </c>
    </row>
    <row r="250" spans="1:54" x14ac:dyDescent="0.2">
      <c r="A250" s="84"/>
      <c r="B250" s="85"/>
      <c r="C250" s="85"/>
      <c r="D250" s="85"/>
      <c r="E250" s="86"/>
      <c r="F250" s="16">
        <f>IF(E250="","",DATEDIF(E250,$I$7,"Y"))</f>
      </c>
      <c r="G250" s="85"/>
      <c r="H250" s="85"/>
      <c r="I250" s="87"/>
      <c r="J250" s="85"/>
      <c r="K250" s="85"/>
      <c r="L250" s="10"/>
      <c r="M250" s="10"/>
      <c r="N250" s="10"/>
      <c r="O250" s="10"/>
      <c r="P250" s="85"/>
      <c r="Q250" s="88"/>
      <c r="R250" s="3">
        <f>IFERROR(VLOOKUP(TablaMarzo[[#This Row],[BARRIO]],SECTOR!$A:$B,2,0),"")</f>
      </c>
      <c r="S250" s="89"/>
      <c r="T250" s="90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6"/>
      <c r="AZ250" s="120">
        <f>COUNTIF(U250:AY250,"A")</f>
      </c>
      <c r="BA250" s="121">
        <f>COUNTIF(U250:AY250,"F")</f>
      </c>
      <c r="BB250" s="119">
        <f>COUNTIF(U250:AY250,"E")</f>
      </c>
    </row>
    <row r="251" spans="1:54" x14ac:dyDescent="0.2">
      <c r="A251" s="84"/>
      <c r="B251" s="85"/>
      <c r="C251" s="85"/>
      <c r="D251" s="85"/>
      <c r="E251" s="86"/>
      <c r="F251" s="16">
        <f>IF(E251="","",DATEDIF(E251,$I$7,"Y"))</f>
      </c>
      <c r="G251" s="85"/>
      <c r="H251" s="85"/>
      <c r="I251" s="87"/>
      <c r="J251" s="85"/>
      <c r="K251" s="85"/>
      <c r="L251" s="10"/>
      <c r="M251" s="10"/>
      <c r="N251" s="10"/>
      <c r="O251" s="10"/>
      <c r="P251" s="85"/>
      <c r="Q251" s="88"/>
      <c r="R251" s="3">
        <f>IFERROR(VLOOKUP(TablaMarzo[[#This Row],[BARRIO]],SECTOR!$A:$B,2,0),"")</f>
      </c>
      <c r="S251" s="89"/>
      <c r="T251" s="90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6"/>
      <c r="AZ251" s="120">
        <f>COUNTIF(U251:AY251,"A")</f>
      </c>
      <c r="BA251" s="121">
        <f>COUNTIF(U251:AY251,"F")</f>
      </c>
      <c r="BB251" s="119">
        <f>COUNTIF(U251:AY251,"E")</f>
      </c>
    </row>
    <row r="252" spans="1:54" x14ac:dyDescent="0.2">
      <c r="A252" s="84"/>
      <c r="B252" s="85"/>
      <c r="C252" s="85"/>
      <c r="D252" s="85"/>
      <c r="E252" s="86"/>
      <c r="F252" s="16">
        <f>IF(E252="","",DATEDIF(E252,$I$7,"Y"))</f>
      </c>
      <c r="G252" s="85"/>
      <c r="H252" s="85"/>
      <c r="I252" s="87"/>
      <c r="J252" s="85"/>
      <c r="K252" s="85"/>
      <c r="L252" s="10"/>
      <c r="M252" s="10"/>
      <c r="N252" s="10"/>
      <c r="O252" s="10"/>
      <c r="P252" s="85"/>
      <c r="Q252" s="88"/>
      <c r="R252" s="3">
        <f>IFERROR(VLOOKUP(TablaMarzo[[#This Row],[BARRIO]],SECTOR!$A:$B,2,0),"")</f>
      </c>
      <c r="S252" s="89"/>
      <c r="T252" s="90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6"/>
      <c r="AZ252" s="120">
        <f>COUNTIF(U252:AY252,"A")</f>
      </c>
      <c r="BA252" s="121">
        <f>COUNTIF(U252:AY252,"F")</f>
      </c>
      <c r="BB252" s="119">
        <f>COUNTIF(U252:AY252,"E")</f>
      </c>
    </row>
    <row r="253" spans="1:54" x14ac:dyDescent="0.2">
      <c r="A253" s="84"/>
      <c r="B253" s="85"/>
      <c r="C253" s="85"/>
      <c r="D253" s="85"/>
      <c r="E253" s="86"/>
      <c r="F253" s="16">
        <f>IF(E253="","",DATEDIF(E253,$I$7,"Y"))</f>
      </c>
      <c r="G253" s="85"/>
      <c r="H253" s="85"/>
      <c r="I253" s="87"/>
      <c r="J253" s="85"/>
      <c r="K253" s="85"/>
      <c r="L253" s="10"/>
      <c r="M253" s="10"/>
      <c r="N253" s="10"/>
      <c r="O253" s="10"/>
      <c r="P253" s="85"/>
      <c r="Q253" s="88"/>
      <c r="R253" s="3">
        <f>IFERROR(VLOOKUP(TablaMarzo[[#This Row],[BARRIO]],SECTOR!$A:$B,2,0),"")</f>
      </c>
      <c r="S253" s="89"/>
      <c r="T253" s="90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6"/>
      <c r="AZ253" s="120">
        <f>COUNTIF(U253:AY253,"A")</f>
      </c>
      <c r="BA253" s="121">
        <f>COUNTIF(U253:AY253,"F")</f>
      </c>
      <c r="BB253" s="119">
        <f>COUNTIF(U253:AY253,"E")</f>
      </c>
    </row>
    <row r="254" spans="1:54" x14ac:dyDescent="0.2">
      <c r="A254" s="84"/>
      <c r="B254" s="85"/>
      <c r="C254" s="85"/>
      <c r="D254" s="85"/>
      <c r="E254" s="86"/>
      <c r="F254" s="16">
        <f>IF(E254="","",DATEDIF(E254,$I$7,"Y"))</f>
      </c>
      <c r="G254" s="85"/>
      <c r="H254" s="85"/>
      <c r="I254" s="87"/>
      <c r="J254" s="85"/>
      <c r="K254" s="85"/>
      <c r="L254" s="10"/>
      <c r="M254" s="10"/>
      <c r="N254" s="10"/>
      <c r="O254" s="10"/>
      <c r="P254" s="85"/>
      <c r="Q254" s="88"/>
      <c r="R254" s="3">
        <f>IFERROR(VLOOKUP(TablaMarzo[[#This Row],[BARRIO]],SECTOR!$A:$B,2,0),"")</f>
      </c>
      <c r="S254" s="89"/>
      <c r="T254" s="90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6"/>
      <c r="AZ254" s="120">
        <f>COUNTIF(U254:AY254,"A")</f>
      </c>
      <c r="BA254" s="121">
        <f>COUNTIF(U254:AY254,"F")</f>
      </c>
      <c r="BB254" s="119">
        <f>COUNTIF(U254:AY254,"E")</f>
      </c>
    </row>
    <row r="255" spans="1:54" x14ac:dyDescent="0.2">
      <c r="A255" s="84"/>
      <c r="B255" s="85"/>
      <c r="C255" s="85"/>
      <c r="D255" s="85"/>
      <c r="E255" s="86"/>
      <c r="F255" s="16">
        <f>IF(E255="","",DATEDIF(E255,$I$7,"Y"))</f>
      </c>
      <c r="G255" s="85"/>
      <c r="H255" s="85"/>
      <c r="I255" s="87"/>
      <c r="J255" s="85"/>
      <c r="K255" s="85"/>
      <c r="L255" s="10"/>
      <c r="M255" s="10"/>
      <c r="N255" s="10"/>
      <c r="O255" s="10"/>
      <c r="P255" s="85"/>
      <c r="Q255" s="88"/>
      <c r="R255" s="3">
        <f>IFERROR(VLOOKUP(TablaMarzo[[#This Row],[BARRIO]],SECTOR!$A:$B,2,0),"")</f>
      </c>
      <c r="S255" s="89"/>
      <c r="T255" s="90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6"/>
      <c r="AZ255" s="120">
        <f>COUNTIF(U255:AY255,"A")</f>
      </c>
      <c r="BA255" s="121">
        <f>COUNTIF(U255:AY255,"F")</f>
      </c>
      <c r="BB255" s="119">
        <f>COUNTIF(U255:AY255,"E")</f>
      </c>
    </row>
    <row r="256" spans="1:54" x14ac:dyDescent="0.2">
      <c r="A256" s="84"/>
      <c r="B256" s="85"/>
      <c r="C256" s="85"/>
      <c r="D256" s="85"/>
      <c r="E256" s="86"/>
      <c r="F256" s="16">
        <f>IF(E256="","",DATEDIF(E256,$I$7,"Y"))</f>
      </c>
      <c r="G256" s="85"/>
      <c r="H256" s="85"/>
      <c r="I256" s="87"/>
      <c r="J256" s="85"/>
      <c r="K256" s="85"/>
      <c r="L256" s="10"/>
      <c r="M256" s="10"/>
      <c r="N256" s="10"/>
      <c r="O256" s="10"/>
      <c r="P256" s="85"/>
      <c r="Q256" s="88"/>
      <c r="R256" s="3">
        <f>IFERROR(VLOOKUP(TablaMarzo[[#This Row],[BARRIO]],SECTOR!$A:$B,2,0),"")</f>
      </c>
      <c r="S256" s="89"/>
      <c r="T256" s="90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6"/>
      <c r="AZ256" s="120">
        <f>COUNTIF(U256:AY256,"A")</f>
      </c>
      <c r="BA256" s="121">
        <f>COUNTIF(U256:AY256,"F")</f>
      </c>
      <c r="BB256" s="119">
        <f>COUNTIF(U256:AY256,"E")</f>
      </c>
    </row>
    <row r="257" spans="1:54" x14ac:dyDescent="0.2">
      <c r="A257" s="84"/>
      <c r="B257" s="85"/>
      <c r="C257" s="85"/>
      <c r="D257" s="85"/>
      <c r="E257" s="86"/>
      <c r="F257" s="16">
        <f>IF(E257="","",DATEDIF(E257,$I$7,"Y"))</f>
      </c>
      <c r="G257" s="85"/>
      <c r="H257" s="85"/>
      <c r="I257" s="87"/>
      <c r="J257" s="85"/>
      <c r="K257" s="85"/>
      <c r="L257" s="10"/>
      <c r="M257" s="10"/>
      <c r="N257" s="10"/>
      <c r="O257" s="10"/>
      <c r="P257" s="85"/>
      <c r="Q257" s="88"/>
      <c r="R257" s="3">
        <f>IFERROR(VLOOKUP(TablaMarzo[[#This Row],[BARRIO]],SECTOR!$A:$B,2,0),"")</f>
      </c>
      <c r="S257" s="89"/>
      <c r="T257" s="90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6"/>
      <c r="AZ257" s="120">
        <f>COUNTIF(U257:AY257,"A")</f>
      </c>
      <c r="BA257" s="121">
        <f>COUNTIF(U257:AY257,"F")</f>
      </c>
      <c r="BB257" s="119">
        <f>COUNTIF(U257:AY257,"E")</f>
      </c>
    </row>
    <row r="258" spans="1:54" x14ac:dyDescent="0.2">
      <c r="A258" s="84"/>
      <c r="B258" s="85"/>
      <c r="C258" s="85"/>
      <c r="D258" s="85"/>
      <c r="E258" s="86"/>
      <c r="F258" s="16">
        <f>IF(E258="","",DATEDIF(E258,$I$7,"Y"))</f>
      </c>
      <c r="G258" s="85"/>
      <c r="H258" s="85"/>
      <c r="I258" s="87"/>
      <c r="J258" s="85"/>
      <c r="K258" s="85"/>
      <c r="L258" s="10"/>
      <c r="M258" s="10"/>
      <c r="N258" s="10"/>
      <c r="O258" s="10"/>
      <c r="P258" s="85"/>
      <c r="Q258" s="88"/>
      <c r="R258" s="3">
        <f>IFERROR(VLOOKUP(TablaMarzo[[#This Row],[BARRIO]],SECTOR!$A:$B,2,0),"")</f>
      </c>
      <c r="S258" s="89"/>
      <c r="T258" s="90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6"/>
      <c r="AZ258" s="120">
        <f>COUNTIF(U258:AY258,"A")</f>
      </c>
      <c r="BA258" s="121">
        <f>COUNTIF(U258:AY258,"F")</f>
      </c>
      <c r="BB258" s="119">
        <f>COUNTIF(U258:AY258,"E")</f>
      </c>
    </row>
    <row r="259" spans="1:54" x14ac:dyDescent="0.2">
      <c r="A259" s="84"/>
      <c r="B259" s="85"/>
      <c r="C259" s="85"/>
      <c r="D259" s="85"/>
      <c r="E259" s="86"/>
      <c r="F259" s="16">
        <f>IF(E259="","",DATEDIF(E259,$I$7,"Y"))</f>
      </c>
      <c r="G259" s="85"/>
      <c r="H259" s="85"/>
      <c r="I259" s="87"/>
      <c r="J259" s="85"/>
      <c r="K259" s="85"/>
      <c r="L259" s="10"/>
      <c r="M259" s="10"/>
      <c r="N259" s="10"/>
      <c r="O259" s="10"/>
      <c r="P259" s="85"/>
      <c r="Q259" s="88"/>
      <c r="R259" s="3">
        <f>IFERROR(VLOOKUP(TablaMarzo[[#This Row],[BARRIO]],SECTOR!$A:$B,2,0),"")</f>
      </c>
      <c r="S259" s="89"/>
      <c r="T259" s="90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6"/>
      <c r="AZ259" s="120">
        <f>COUNTIF(U259:AY259,"A")</f>
      </c>
      <c r="BA259" s="121">
        <f>COUNTIF(U259:AY259,"F")</f>
      </c>
      <c r="BB259" s="119">
        <f>COUNTIF(U259:AY259,"E")</f>
      </c>
    </row>
    <row r="260" spans="1:54" x14ac:dyDescent="0.2">
      <c r="A260" s="84"/>
      <c r="B260" s="85"/>
      <c r="C260" s="85"/>
      <c r="D260" s="85"/>
      <c r="E260" s="86"/>
      <c r="F260" s="16">
        <f>IF(E260="","",DATEDIF(E260,$I$7,"Y"))</f>
      </c>
      <c r="G260" s="85"/>
      <c r="H260" s="85"/>
      <c r="I260" s="87"/>
      <c r="J260" s="85"/>
      <c r="K260" s="85"/>
      <c r="L260" s="10"/>
      <c r="M260" s="10"/>
      <c r="N260" s="10"/>
      <c r="O260" s="10"/>
      <c r="P260" s="85"/>
      <c r="Q260" s="88"/>
      <c r="R260" s="3">
        <f>IFERROR(VLOOKUP(TablaMarzo[[#This Row],[BARRIO]],SECTOR!$A:$B,2,0),"")</f>
      </c>
      <c r="S260" s="89"/>
      <c r="T260" s="90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6"/>
      <c r="AZ260" s="120">
        <f>COUNTIF(U260:AY260,"A")</f>
      </c>
      <c r="BA260" s="121">
        <f>COUNTIF(U260:AY260,"F")</f>
      </c>
      <c r="BB260" s="119">
        <f>COUNTIF(U260:AY260,"E")</f>
      </c>
    </row>
    <row r="261" spans="1:54" x14ac:dyDescent="0.2">
      <c r="A261" s="84"/>
      <c r="B261" s="85"/>
      <c r="C261" s="85"/>
      <c r="D261" s="85"/>
      <c r="E261" s="86"/>
      <c r="F261" s="16">
        <f>IF(E261="","",DATEDIF(E261,$I$7,"Y"))</f>
      </c>
      <c r="G261" s="85"/>
      <c r="H261" s="85"/>
      <c r="I261" s="87"/>
      <c r="J261" s="85"/>
      <c r="K261" s="85"/>
      <c r="L261" s="10"/>
      <c r="M261" s="10"/>
      <c r="N261" s="10"/>
      <c r="O261" s="10"/>
      <c r="P261" s="85"/>
      <c r="Q261" s="88"/>
      <c r="R261" s="3">
        <f>IFERROR(VLOOKUP(TablaMarzo[[#This Row],[BARRIO]],SECTOR!$A:$B,2,0),"")</f>
      </c>
      <c r="S261" s="89"/>
      <c r="T261" s="90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6"/>
      <c r="AZ261" s="120">
        <f>COUNTIF(U261:AY261,"A")</f>
      </c>
      <c r="BA261" s="121">
        <f>COUNTIF(U261:AY261,"F")</f>
      </c>
      <c r="BB261" s="119">
        <f>COUNTIF(U261:AY261,"E")</f>
      </c>
    </row>
    <row r="262" spans="1:54" x14ac:dyDescent="0.2">
      <c r="A262" s="84"/>
      <c r="B262" s="85"/>
      <c r="C262" s="85"/>
      <c r="D262" s="85"/>
      <c r="E262" s="86"/>
      <c r="F262" s="16">
        <f>IF(E262="","",DATEDIF(E262,$I$7,"Y"))</f>
      </c>
      <c r="G262" s="85"/>
      <c r="H262" s="85"/>
      <c r="I262" s="87"/>
      <c r="J262" s="85"/>
      <c r="K262" s="85"/>
      <c r="L262" s="10"/>
      <c r="M262" s="10"/>
      <c r="N262" s="10"/>
      <c r="O262" s="10"/>
      <c r="P262" s="85"/>
      <c r="Q262" s="88"/>
      <c r="R262" s="3">
        <f>IFERROR(VLOOKUP(TablaMarzo[[#This Row],[BARRIO]],SECTOR!$A:$B,2,0),"")</f>
      </c>
      <c r="S262" s="89"/>
      <c r="T262" s="90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6"/>
      <c r="AZ262" s="120">
        <f>COUNTIF(U262:AY262,"A")</f>
      </c>
      <c r="BA262" s="121">
        <f>COUNTIF(U262:AY262,"F")</f>
      </c>
      <c r="BB262" s="119">
        <f>COUNTIF(U262:AY262,"E")</f>
      </c>
    </row>
    <row r="263" spans="1:54" x14ac:dyDescent="0.2">
      <c r="A263" s="84"/>
      <c r="B263" s="85"/>
      <c r="C263" s="85"/>
      <c r="D263" s="85"/>
      <c r="E263" s="86"/>
      <c r="F263" s="16">
        <f>IF(E263="","",DATEDIF(E263,$I$7,"Y"))</f>
      </c>
      <c r="G263" s="85"/>
      <c r="H263" s="85"/>
      <c r="I263" s="87"/>
      <c r="J263" s="85"/>
      <c r="K263" s="85"/>
      <c r="L263" s="10"/>
      <c r="M263" s="10"/>
      <c r="N263" s="10"/>
      <c r="O263" s="10"/>
      <c r="P263" s="85"/>
      <c r="Q263" s="88"/>
      <c r="R263" s="3">
        <f>IFERROR(VLOOKUP(TablaMarzo[[#This Row],[BARRIO]],SECTOR!$A:$B,2,0),"")</f>
      </c>
      <c r="S263" s="89"/>
      <c r="T263" s="90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6"/>
      <c r="AZ263" s="120">
        <f>COUNTIF(U263:AY263,"A")</f>
      </c>
      <c r="BA263" s="121">
        <f>COUNTIF(U263:AY263,"F")</f>
      </c>
      <c r="BB263" s="119">
        <f>COUNTIF(U263:AY263,"E")</f>
      </c>
    </row>
    <row r="264" spans="1:54" x14ac:dyDescent="0.2">
      <c r="A264" s="84"/>
      <c r="B264" s="85"/>
      <c r="C264" s="85"/>
      <c r="D264" s="85"/>
      <c r="E264" s="86"/>
      <c r="F264" s="16">
        <f>IF(E264="","",DATEDIF(E264,$I$7,"Y"))</f>
      </c>
      <c r="G264" s="85"/>
      <c r="H264" s="85"/>
      <c r="I264" s="87"/>
      <c r="J264" s="85"/>
      <c r="K264" s="85"/>
      <c r="L264" s="10"/>
      <c r="M264" s="10"/>
      <c r="N264" s="10"/>
      <c r="O264" s="10"/>
      <c r="P264" s="85"/>
      <c r="Q264" s="88"/>
      <c r="R264" s="3">
        <f>IFERROR(VLOOKUP(TablaMarzo[[#This Row],[BARRIO]],SECTOR!$A:$B,2,0),"")</f>
      </c>
      <c r="S264" s="89"/>
      <c r="T264" s="90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6"/>
      <c r="AZ264" s="120">
        <f>COUNTIF(U264:AY264,"A")</f>
      </c>
      <c r="BA264" s="121">
        <f>COUNTIF(U264:AY264,"F")</f>
      </c>
      <c r="BB264" s="119">
        <f>COUNTIF(U264:AY264,"E")</f>
      </c>
    </row>
    <row r="265" spans="1:54" x14ac:dyDescent="0.2">
      <c r="A265" s="84"/>
      <c r="B265" s="85"/>
      <c r="C265" s="85"/>
      <c r="D265" s="85"/>
      <c r="E265" s="86"/>
      <c r="F265" s="16">
        <f>IF(E265="","",DATEDIF(E265,$I$7,"Y"))</f>
      </c>
      <c r="G265" s="85"/>
      <c r="H265" s="85"/>
      <c r="I265" s="87"/>
      <c r="J265" s="85"/>
      <c r="K265" s="85"/>
      <c r="L265" s="10"/>
      <c r="M265" s="10"/>
      <c r="N265" s="10"/>
      <c r="O265" s="10"/>
      <c r="P265" s="85"/>
      <c r="Q265" s="88"/>
      <c r="R265" s="3">
        <f>IFERROR(VLOOKUP(TablaMarzo[[#This Row],[BARRIO]],SECTOR!$A:$B,2,0),"")</f>
      </c>
      <c r="S265" s="89"/>
      <c r="T265" s="90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6"/>
      <c r="AZ265" s="120">
        <f>COUNTIF(U265:AY265,"A")</f>
      </c>
      <c r="BA265" s="121">
        <f>COUNTIF(U265:AY265,"F")</f>
      </c>
      <c r="BB265" s="119">
        <f>COUNTIF(U265:AY265,"E")</f>
      </c>
    </row>
    <row r="266" spans="1:54" x14ac:dyDescent="0.2">
      <c r="A266" s="84"/>
      <c r="B266" s="85"/>
      <c r="C266" s="85"/>
      <c r="D266" s="85"/>
      <c r="E266" s="86"/>
      <c r="F266" s="16">
        <f>IF(E266="","",DATEDIF(E266,$I$7,"Y"))</f>
      </c>
      <c r="G266" s="85"/>
      <c r="H266" s="85"/>
      <c r="I266" s="87"/>
      <c r="J266" s="85"/>
      <c r="K266" s="85"/>
      <c r="L266" s="10"/>
      <c r="M266" s="10"/>
      <c r="N266" s="10"/>
      <c r="O266" s="10"/>
      <c r="P266" s="85"/>
      <c r="Q266" s="88"/>
      <c r="R266" s="3">
        <f>IFERROR(VLOOKUP(TablaMarzo[[#This Row],[BARRIO]],SECTOR!$A:$B,2,0),"")</f>
      </c>
      <c r="S266" s="89"/>
      <c r="T266" s="90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6"/>
      <c r="AZ266" s="120">
        <f>COUNTIF(U266:AY266,"A")</f>
      </c>
      <c r="BA266" s="121">
        <f>COUNTIF(U266:AY266,"F")</f>
      </c>
      <c r="BB266" s="119">
        <f>COUNTIF(U266:AY266,"E")</f>
      </c>
    </row>
    <row r="267" spans="1:54" x14ac:dyDescent="0.2">
      <c r="A267" s="84"/>
      <c r="B267" s="85"/>
      <c r="C267" s="85"/>
      <c r="D267" s="85"/>
      <c r="E267" s="86"/>
      <c r="F267" s="16">
        <f>IF(E267="","",DATEDIF(E267,$I$7,"Y"))</f>
      </c>
      <c r="G267" s="85"/>
      <c r="H267" s="85"/>
      <c r="I267" s="87"/>
      <c r="J267" s="85"/>
      <c r="K267" s="85"/>
      <c r="L267" s="10"/>
      <c r="M267" s="10"/>
      <c r="N267" s="10"/>
      <c r="O267" s="10"/>
      <c r="P267" s="85"/>
      <c r="Q267" s="88"/>
      <c r="R267" s="3">
        <f>IFERROR(VLOOKUP(TablaMarzo[[#This Row],[BARRIO]],SECTOR!$A:$B,2,0),"")</f>
      </c>
      <c r="S267" s="89"/>
      <c r="T267" s="90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6"/>
      <c r="AZ267" s="120">
        <f>COUNTIF(U267:AY267,"A")</f>
      </c>
      <c r="BA267" s="121">
        <f>COUNTIF(U267:AY267,"F")</f>
      </c>
      <c r="BB267" s="119">
        <f>COUNTIF(U267:AY267,"E")</f>
      </c>
    </row>
    <row r="268" spans="1:54" x14ac:dyDescent="0.2">
      <c r="A268" s="84"/>
      <c r="B268" s="85"/>
      <c r="C268" s="85"/>
      <c r="D268" s="85"/>
      <c r="E268" s="86"/>
      <c r="F268" s="16">
        <f>IF(E268="","",DATEDIF(E268,$I$7,"Y"))</f>
      </c>
      <c r="G268" s="85"/>
      <c r="H268" s="85"/>
      <c r="I268" s="87"/>
      <c r="J268" s="85"/>
      <c r="K268" s="85"/>
      <c r="L268" s="10"/>
      <c r="M268" s="10"/>
      <c r="N268" s="10"/>
      <c r="O268" s="10"/>
      <c r="P268" s="85"/>
      <c r="Q268" s="88"/>
      <c r="R268" s="3">
        <f>IFERROR(VLOOKUP(TablaMarzo[[#This Row],[BARRIO]],SECTOR!$A:$B,2,0),"")</f>
      </c>
      <c r="S268" s="89"/>
      <c r="T268" s="90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6"/>
      <c r="AZ268" s="120">
        <f>COUNTIF(U268:AY268,"A")</f>
      </c>
      <c r="BA268" s="121">
        <f>COUNTIF(U268:AY268,"F")</f>
      </c>
      <c r="BB268" s="119">
        <f>COUNTIF(U268:AY268,"E")</f>
      </c>
    </row>
    <row r="269" spans="1:54" x14ac:dyDescent="0.2">
      <c r="A269" s="84"/>
      <c r="B269" s="85"/>
      <c r="C269" s="85"/>
      <c r="D269" s="85"/>
      <c r="E269" s="86"/>
      <c r="F269" s="16">
        <f>IF(E269="","",DATEDIF(E269,$I$7,"Y"))</f>
      </c>
      <c r="G269" s="85"/>
      <c r="H269" s="85"/>
      <c r="I269" s="87"/>
      <c r="J269" s="85"/>
      <c r="K269" s="85"/>
      <c r="L269" s="10"/>
      <c r="M269" s="10"/>
      <c r="N269" s="10"/>
      <c r="O269" s="10"/>
      <c r="P269" s="85"/>
      <c r="Q269" s="88"/>
      <c r="R269" s="3">
        <f>IFERROR(VLOOKUP(TablaMarzo[[#This Row],[BARRIO]],SECTOR!$A:$B,2,0),"")</f>
      </c>
      <c r="S269" s="89"/>
      <c r="T269" s="90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6"/>
      <c r="AZ269" s="120">
        <f>COUNTIF(U269:AY269,"A")</f>
      </c>
      <c r="BA269" s="121">
        <f>COUNTIF(U269:AY269,"F")</f>
      </c>
      <c r="BB269" s="119">
        <f>COUNTIF(U269:AY269,"E")</f>
      </c>
    </row>
    <row r="270" spans="1:54" x14ac:dyDescent="0.2">
      <c r="A270" s="84"/>
      <c r="B270" s="85"/>
      <c r="C270" s="85"/>
      <c r="D270" s="85"/>
      <c r="E270" s="86"/>
      <c r="F270" s="16">
        <f>IF(E270="","",DATEDIF(E270,$I$7,"Y"))</f>
      </c>
      <c r="G270" s="85"/>
      <c r="H270" s="85"/>
      <c r="I270" s="87"/>
      <c r="J270" s="85"/>
      <c r="K270" s="85"/>
      <c r="L270" s="10"/>
      <c r="M270" s="10"/>
      <c r="N270" s="10"/>
      <c r="O270" s="10"/>
      <c r="P270" s="85"/>
      <c r="Q270" s="88"/>
      <c r="R270" s="3">
        <f>IFERROR(VLOOKUP(TablaMarzo[[#This Row],[BARRIO]],SECTOR!$A:$B,2,0),"")</f>
      </c>
      <c r="S270" s="89"/>
      <c r="T270" s="90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6"/>
      <c r="AZ270" s="120">
        <f>COUNTIF(U270:AY270,"A")</f>
      </c>
      <c r="BA270" s="121">
        <f>COUNTIF(U270:AY270,"F")</f>
      </c>
      <c r="BB270" s="119">
        <f>COUNTIF(U270:AY270,"E")</f>
      </c>
    </row>
    <row r="271" spans="1:54" x14ac:dyDescent="0.2">
      <c r="A271" s="84"/>
      <c r="B271" s="85"/>
      <c r="C271" s="85"/>
      <c r="D271" s="85"/>
      <c r="E271" s="86"/>
      <c r="F271" s="16">
        <f>IF(E271="","",DATEDIF(E271,$I$7,"Y"))</f>
      </c>
      <c r="G271" s="85"/>
      <c r="H271" s="85"/>
      <c r="I271" s="87"/>
      <c r="J271" s="85"/>
      <c r="K271" s="85"/>
      <c r="L271" s="10"/>
      <c r="M271" s="10"/>
      <c r="N271" s="10"/>
      <c r="O271" s="10"/>
      <c r="P271" s="85"/>
      <c r="Q271" s="88"/>
      <c r="R271" s="3">
        <f>IFERROR(VLOOKUP(TablaMarzo[[#This Row],[BARRIO]],SECTOR!$A:$B,2,0),"")</f>
      </c>
      <c r="S271" s="89"/>
      <c r="T271" s="90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6"/>
      <c r="AZ271" s="120">
        <f>COUNTIF(U271:AY271,"A")</f>
      </c>
      <c r="BA271" s="121">
        <f>COUNTIF(U271:AY271,"F")</f>
      </c>
      <c r="BB271" s="119">
        <f>COUNTIF(U271:AY271,"E")</f>
      </c>
    </row>
    <row r="272" spans="1:54" x14ac:dyDescent="0.2">
      <c r="A272" s="84"/>
      <c r="B272" s="85"/>
      <c r="C272" s="85"/>
      <c r="D272" s="85"/>
      <c r="E272" s="86"/>
      <c r="F272" s="16">
        <f>IF(E272="","",DATEDIF(E272,$I$7,"Y"))</f>
      </c>
      <c r="G272" s="85"/>
      <c r="H272" s="85"/>
      <c r="I272" s="87"/>
      <c r="J272" s="85"/>
      <c r="K272" s="85"/>
      <c r="L272" s="10"/>
      <c r="M272" s="10"/>
      <c r="N272" s="10"/>
      <c r="O272" s="10"/>
      <c r="P272" s="85"/>
      <c r="Q272" s="88"/>
      <c r="R272" s="3">
        <f>IFERROR(VLOOKUP(TablaMarzo[[#This Row],[BARRIO]],SECTOR!$A:$B,2,0),"")</f>
      </c>
      <c r="S272" s="89"/>
      <c r="T272" s="90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6"/>
      <c r="AZ272" s="120">
        <f>COUNTIF(U272:AY272,"A")</f>
      </c>
      <c r="BA272" s="121">
        <f>COUNTIF(U272:AY272,"F")</f>
      </c>
      <c r="BB272" s="119">
        <f>COUNTIF(U272:AY272,"E")</f>
      </c>
    </row>
    <row r="273" spans="1:54" x14ac:dyDescent="0.2">
      <c r="A273" s="84"/>
      <c r="B273" s="85"/>
      <c r="C273" s="85"/>
      <c r="D273" s="85"/>
      <c r="E273" s="86"/>
      <c r="F273" s="16">
        <f>IF(E273="","",DATEDIF(E273,$I$7,"Y"))</f>
      </c>
      <c r="G273" s="85"/>
      <c r="H273" s="85"/>
      <c r="I273" s="87"/>
      <c r="J273" s="85"/>
      <c r="K273" s="85"/>
      <c r="L273" s="10"/>
      <c r="M273" s="10"/>
      <c r="N273" s="10"/>
      <c r="O273" s="10"/>
      <c r="P273" s="85"/>
      <c r="Q273" s="88"/>
      <c r="R273" s="3">
        <f>IFERROR(VLOOKUP(TablaMarzo[[#This Row],[BARRIO]],SECTOR!$A:$B,2,0),"")</f>
      </c>
      <c r="S273" s="89"/>
      <c r="T273" s="90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6"/>
      <c r="AZ273" s="120">
        <f>COUNTIF(U273:AY273,"A")</f>
      </c>
      <c r="BA273" s="121">
        <f>COUNTIF(U273:AY273,"F")</f>
      </c>
      <c r="BB273" s="119">
        <f>COUNTIF(U273:AY273,"E")</f>
      </c>
    </row>
    <row r="274" spans="1:54" x14ac:dyDescent="0.2">
      <c r="A274" s="84"/>
      <c r="B274" s="85"/>
      <c r="C274" s="85"/>
      <c r="D274" s="85"/>
      <c r="E274" s="86"/>
      <c r="F274" s="16">
        <f>IF(E274="","",DATEDIF(E274,$I$7,"Y"))</f>
      </c>
      <c r="G274" s="85"/>
      <c r="H274" s="85"/>
      <c r="I274" s="87"/>
      <c r="J274" s="85"/>
      <c r="K274" s="85"/>
      <c r="L274" s="10"/>
      <c r="M274" s="10"/>
      <c r="N274" s="10"/>
      <c r="O274" s="10"/>
      <c r="P274" s="85"/>
      <c r="Q274" s="88"/>
      <c r="R274" s="3">
        <f>IFERROR(VLOOKUP(TablaMarzo[[#This Row],[BARRIO]],SECTOR!$A:$B,2,0),"")</f>
      </c>
      <c r="S274" s="89"/>
      <c r="T274" s="90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6"/>
      <c r="AZ274" s="120">
        <f>COUNTIF(U274:AY274,"A")</f>
      </c>
      <c r="BA274" s="121">
        <f>COUNTIF(U274:AY274,"F")</f>
      </c>
      <c r="BB274" s="119">
        <f>COUNTIF(U274:AY274,"E")</f>
      </c>
    </row>
    <row r="275" spans="1:54" x14ac:dyDescent="0.2">
      <c r="A275" s="84"/>
      <c r="B275" s="85"/>
      <c r="C275" s="85"/>
      <c r="D275" s="85"/>
      <c r="E275" s="86"/>
      <c r="F275" s="16">
        <f>IF(E275="","",DATEDIF(E275,$I$7,"Y"))</f>
      </c>
      <c r="G275" s="85"/>
      <c r="H275" s="85"/>
      <c r="I275" s="87"/>
      <c r="J275" s="85"/>
      <c r="K275" s="85"/>
      <c r="L275" s="10"/>
      <c r="M275" s="10"/>
      <c r="N275" s="10"/>
      <c r="O275" s="10"/>
      <c r="P275" s="85"/>
      <c r="Q275" s="88"/>
      <c r="R275" s="3">
        <f>IFERROR(VLOOKUP(TablaMarzo[[#This Row],[BARRIO]],SECTOR!$A:$B,2,0),"")</f>
      </c>
      <c r="S275" s="89"/>
      <c r="T275" s="90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6"/>
      <c r="AZ275" s="120">
        <f>COUNTIF(U275:AY275,"A")</f>
      </c>
      <c r="BA275" s="121">
        <f>COUNTIF(U275:AY275,"F")</f>
      </c>
      <c r="BB275" s="119">
        <f>COUNTIF(U275:AY275,"E")</f>
      </c>
    </row>
    <row r="276" spans="1:54" x14ac:dyDescent="0.2">
      <c r="A276" s="84"/>
      <c r="B276" s="85"/>
      <c r="C276" s="85"/>
      <c r="D276" s="85"/>
      <c r="E276" s="86"/>
      <c r="F276" s="16">
        <f>IF(E276="","",DATEDIF(E276,$I$7,"Y"))</f>
      </c>
      <c r="G276" s="85"/>
      <c r="H276" s="85"/>
      <c r="I276" s="87"/>
      <c r="J276" s="85"/>
      <c r="K276" s="85"/>
      <c r="L276" s="10"/>
      <c r="M276" s="10"/>
      <c r="N276" s="10"/>
      <c r="O276" s="10"/>
      <c r="P276" s="85"/>
      <c r="Q276" s="88"/>
      <c r="R276" s="3">
        <f>IFERROR(VLOOKUP(TablaMarzo[[#This Row],[BARRIO]],SECTOR!$A:$B,2,0),"")</f>
      </c>
      <c r="S276" s="89"/>
      <c r="T276" s="90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6"/>
      <c r="AZ276" s="120">
        <f>COUNTIF(U276:AY276,"A")</f>
      </c>
      <c r="BA276" s="121">
        <f>COUNTIF(U276:AY276,"F")</f>
      </c>
      <c r="BB276" s="119">
        <f>COUNTIF(U276:AY276,"E")</f>
      </c>
    </row>
    <row r="277" spans="1:54" x14ac:dyDescent="0.2">
      <c r="A277" s="84"/>
      <c r="B277" s="85"/>
      <c r="C277" s="85"/>
      <c r="D277" s="85"/>
      <c r="E277" s="86"/>
      <c r="F277" s="16">
        <f>IF(E277="","",DATEDIF(E277,$I$7,"Y"))</f>
      </c>
      <c r="G277" s="85"/>
      <c r="H277" s="85"/>
      <c r="I277" s="87"/>
      <c r="J277" s="85"/>
      <c r="K277" s="85"/>
      <c r="L277" s="10"/>
      <c r="M277" s="10"/>
      <c r="N277" s="10"/>
      <c r="O277" s="10"/>
      <c r="P277" s="85"/>
      <c r="Q277" s="88"/>
      <c r="R277" s="3">
        <f>IFERROR(VLOOKUP(TablaMarzo[[#This Row],[BARRIO]],SECTOR!$A:$B,2,0),"")</f>
      </c>
      <c r="S277" s="89"/>
      <c r="T277" s="90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6"/>
      <c r="AZ277" s="120">
        <f>COUNTIF(U277:AY277,"A")</f>
      </c>
      <c r="BA277" s="121">
        <f>COUNTIF(U277:AY277,"F")</f>
      </c>
      <c r="BB277" s="119">
        <f>COUNTIF(U277:AY277,"E")</f>
      </c>
    </row>
    <row r="278" spans="1:54" x14ac:dyDescent="0.2">
      <c r="A278" s="84"/>
      <c r="B278" s="85"/>
      <c r="C278" s="85"/>
      <c r="D278" s="85"/>
      <c r="E278" s="86"/>
      <c r="F278" s="16">
        <f>IF(E278="","",DATEDIF(E278,$I$7,"Y"))</f>
      </c>
      <c r="G278" s="85"/>
      <c r="H278" s="85"/>
      <c r="I278" s="87"/>
      <c r="J278" s="85"/>
      <c r="K278" s="85"/>
      <c r="L278" s="10"/>
      <c r="M278" s="10"/>
      <c r="N278" s="10"/>
      <c r="O278" s="10"/>
      <c r="P278" s="85"/>
      <c r="Q278" s="88"/>
      <c r="R278" s="3">
        <f>IFERROR(VLOOKUP(TablaMarzo[[#This Row],[BARRIO]],SECTOR!$A:$B,2,0),"")</f>
      </c>
      <c r="S278" s="89"/>
      <c r="T278" s="90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6"/>
      <c r="AZ278" s="120">
        <f>COUNTIF(U278:AY278,"A")</f>
      </c>
      <c r="BA278" s="121">
        <f>COUNTIF(U278:AY278,"F")</f>
      </c>
      <c r="BB278" s="119">
        <f>COUNTIF(U278:AY278,"E")</f>
      </c>
    </row>
    <row r="279" spans="1:54" x14ac:dyDescent="0.2">
      <c r="A279" s="84"/>
      <c r="B279" s="85"/>
      <c r="C279" s="85"/>
      <c r="D279" s="85"/>
      <c r="E279" s="86"/>
      <c r="F279" s="16">
        <f>IF(E279="","",DATEDIF(E279,$I$7,"Y"))</f>
      </c>
      <c r="G279" s="85"/>
      <c r="H279" s="85"/>
      <c r="I279" s="87"/>
      <c r="J279" s="85"/>
      <c r="K279" s="85"/>
      <c r="L279" s="10"/>
      <c r="M279" s="10"/>
      <c r="N279" s="10"/>
      <c r="O279" s="10"/>
      <c r="P279" s="85"/>
      <c r="Q279" s="88"/>
      <c r="R279" s="3">
        <f>IFERROR(VLOOKUP(TablaMarzo[[#This Row],[BARRIO]],SECTOR!$A:$B,2,0),"")</f>
      </c>
      <c r="S279" s="89"/>
      <c r="T279" s="90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6"/>
      <c r="AZ279" s="120">
        <f>COUNTIF(U279:AY279,"A")</f>
      </c>
      <c r="BA279" s="121">
        <f>COUNTIF(U279:AY279,"F")</f>
      </c>
      <c r="BB279" s="119">
        <f>COUNTIF(U279:AY279,"E")</f>
      </c>
    </row>
    <row r="280" spans="1:54" x14ac:dyDescent="0.2">
      <c r="A280" s="84"/>
      <c r="B280" s="85"/>
      <c r="C280" s="85"/>
      <c r="D280" s="85"/>
      <c r="E280" s="86"/>
      <c r="F280" s="16">
        <f>IF(E280="","",DATEDIF(E280,$I$7,"Y"))</f>
      </c>
      <c r="G280" s="85"/>
      <c r="H280" s="85"/>
      <c r="I280" s="87"/>
      <c r="J280" s="85"/>
      <c r="K280" s="85"/>
      <c r="L280" s="10"/>
      <c r="M280" s="10"/>
      <c r="N280" s="10"/>
      <c r="O280" s="10"/>
      <c r="P280" s="85"/>
      <c r="Q280" s="88"/>
      <c r="R280" s="3">
        <f>IFERROR(VLOOKUP(TablaMarzo[[#This Row],[BARRIO]],SECTOR!$A:$B,2,0),"")</f>
      </c>
      <c r="S280" s="89"/>
      <c r="T280" s="90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6"/>
      <c r="AZ280" s="120">
        <f>COUNTIF(U280:AY280,"A")</f>
      </c>
      <c r="BA280" s="121">
        <f>COUNTIF(U280:AY280,"F")</f>
      </c>
      <c r="BB280" s="119">
        <f>COUNTIF(U280:AY280,"E")</f>
      </c>
    </row>
    <row r="281" spans="1:54" x14ac:dyDescent="0.2">
      <c r="A281" s="84"/>
      <c r="B281" s="85"/>
      <c r="C281" s="85"/>
      <c r="D281" s="85"/>
      <c r="E281" s="86"/>
      <c r="F281" s="16">
        <f>IF(E281="","",DATEDIF(E281,$I$7,"Y"))</f>
      </c>
      <c r="G281" s="85"/>
      <c r="H281" s="85"/>
      <c r="I281" s="87"/>
      <c r="J281" s="85"/>
      <c r="K281" s="85"/>
      <c r="L281" s="10"/>
      <c r="M281" s="10"/>
      <c r="N281" s="10"/>
      <c r="O281" s="10"/>
      <c r="P281" s="85"/>
      <c r="Q281" s="88"/>
      <c r="R281" s="3">
        <f>IFERROR(VLOOKUP(TablaMarzo[[#This Row],[BARRIO]],SECTOR!$A:$B,2,0),"")</f>
      </c>
      <c r="S281" s="89"/>
      <c r="T281" s="90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6"/>
      <c r="AZ281" s="120">
        <f>COUNTIF(U281:AY281,"A")</f>
      </c>
      <c r="BA281" s="121">
        <f>COUNTIF(U281:AY281,"F")</f>
      </c>
      <c r="BB281" s="119">
        <f>COUNTIF(U281:AY281,"E")</f>
      </c>
    </row>
    <row r="282" spans="1:54" x14ac:dyDescent="0.2">
      <c r="A282" s="84"/>
      <c r="B282" s="85"/>
      <c r="C282" s="85"/>
      <c r="D282" s="85"/>
      <c r="E282" s="86"/>
      <c r="F282" s="16">
        <f>IF(E282="","",DATEDIF(E282,$I$7,"Y"))</f>
      </c>
      <c r="G282" s="85"/>
      <c r="H282" s="85"/>
      <c r="I282" s="87"/>
      <c r="J282" s="85"/>
      <c r="K282" s="85"/>
      <c r="L282" s="10"/>
      <c r="M282" s="10"/>
      <c r="N282" s="10"/>
      <c r="O282" s="10"/>
      <c r="P282" s="85"/>
      <c r="Q282" s="88"/>
      <c r="R282" s="3">
        <f>IFERROR(VLOOKUP(TablaMarzo[[#This Row],[BARRIO]],SECTOR!$A:$B,2,0),"")</f>
      </c>
      <c r="S282" s="89"/>
      <c r="T282" s="90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6"/>
      <c r="AZ282" s="120">
        <f>COUNTIF(U282:AY282,"A")</f>
      </c>
      <c r="BA282" s="121">
        <f>COUNTIF(U282:AY282,"F")</f>
      </c>
      <c r="BB282" s="119">
        <f>COUNTIF(U282:AY282,"E")</f>
      </c>
    </row>
    <row r="283" spans="1:54" x14ac:dyDescent="0.2">
      <c r="A283" s="84"/>
      <c r="B283" s="85"/>
      <c r="C283" s="85"/>
      <c r="D283" s="85"/>
      <c r="E283" s="86"/>
      <c r="F283" s="16">
        <f>IF(E283="","",DATEDIF(E283,$I$7,"Y"))</f>
      </c>
      <c r="G283" s="85"/>
      <c r="H283" s="85"/>
      <c r="I283" s="87"/>
      <c r="J283" s="85"/>
      <c r="K283" s="85"/>
      <c r="L283" s="10"/>
      <c r="M283" s="10"/>
      <c r="N283" s="10"/>
      <c r="O283" s="10"/>
      <c r="P283" s="85"/>
      <c r="Q283" s="88"/>
      <c r="R283" s="3">
        <f>IFERROR(VLOOKUP(TablaMarzo[[#This Row],[BARRIO]],SECTOR!$A:$B,2,0),"")</f>
      </c>
      <c r="S283" s="89"/>
      <c r="T283" s="90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6"/>
      <c r="AZ283" s="120">
        <f>COUNTIF(U283:AY283,"A")</f>
      </c>
      <c r="BA283" s="121">
        <f>COUNTIF(U283:AY283,"F")</f>
      </c>
      <c r="BB283" s="119">
        <f>COUNTIF(U283:AY283,"E")</f>
      </c>
    </row>
    <row r="284" spans="1:54" x14ac:dyDescent="0.2">
      <c r="A284" s="84"/>
      <c r="B284" s="85"/>
      <c r="C284" s="85"/>
      <c r="D284" s="85"/>
      <c r="E284" s="86"/>
      <c r="F284" s="16">
        <f>IF(E284="","",DATEDIF(E284,$I$7,"Y"))</f>
      </c>
      <c r="G284" s="85"/>
      <c r="H284" s="85"/>
      <c r="I284" s="87"/>
      <c r="J284" s="85"/>
      <c r="K284" s="85"/>
      <c r="L284" s="10"/>
      <c r="M284" s="10"/>
      <c r="N284" s="10"/>
      <c r="O284" s="10"/>
      <c r="P284" s="85"/>
      <c r="Q284" s="88"/>
      <c r="R284" s="3">
        <f>IFERROR(VLOOKUP(TablaMarzo[[#This Row],[BARRIO]],SECTOR!$A:$B,2,0),"")</f>
      </c>
      <c r="S284" s="89"/>
      <c r="T284" s="90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6"/>
      <c r="AZ284" s="120">
        <f>COUNTIF(U284:AY284,"A")</f>
      </c>
      <c r="BA284" s="121">
        <f>COUNTIF(U284:AY284,"F")</f>
      </c>
      <c r="BB284" s="119">
        <f>COUNTIF(U284:AY284,"E")</f>
      </c>
    </row>
    <row r="285" spans="1:54" x14ac:dyDescent="0.2">
      <c r="A285" s="84"/>
      <c r="B285" s="85"/>
      <c r="C285" s="85"/>
      <c r="D285" s="85"/>
      <c r="E285" s="86"/>
      <c r="F285" s="16">
        <f>IF(E285="","",DATEDIF(E285,$I$7,"Y"))</f>
      </c>
      <c r="G285" s="85"/>
      <c r="H285" s="85"/>
      <c r="I285" s="87"/>
      <c r="J285" s="85"/>
      <c r="K285" s="85"/>
      <c r="L285" s="10"/>
      <c r="M285" s="10"/>
      <c r="N285" s="10"/>
      <c r="O285" s="10"/>
      <c r="P285" s="85"/>
      <c r="Q285" s="88"/>
      <c r="R285" s="3">
        <f>IFERROR(VLOOKUP(TablaMarzo[[#This Row],[BARRIO]],SECTOR!$A:$B,2,0),"")</f>
      </c>
      <c r="S285" s="89"/>
      <c r="T285" s="90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6"/>
      <c r="AZ285" s="120">
        <f>COUNTIF(U285:AY285,"A")</f>
      </c>
      <c r="BA285" s="121">
        <f>COUNTIF(U285:AY285,"F")</f>
      </c>
      <c r="BB285" s="119">
        <f>COUNTIF(U285:AY285,"E")</f>
      </c>
    </row>
    <row r="286" spans="1:54" x14ac:dyDescent="0.2">
      <c r="A286" s="84"/>
      <c r="B286" s="85"/>
      <c r="C286" s="85"/>
      <c r="D286" s="85"/>
      <c r="E286" s="86"/>
      <c r="F286" s="16">
        <f>IF(E286="","",DATEDIF(E286,$I$7,"Y"))</f>
      </c>
      <c r="G286" s="85"/>
      <c r="H286" s="85"/>
      <c r="I286" s="87"/>
      <c r="J286" s="85"/>
      <c r="K286" s="85"/>
      <c r="L286" s="10"/>
      <c r="M286" s="10"/>
      <c r="N286" s="10"/>
      <c r="O286" s="10"/>
      <c r="P286" s="85"/>
      <c r="Q286" s="88"/>
      <c r="R286" s="3">
        <f>IFERROR(VLOOKUP(TablaMarzo[[#This Row],[BARRIO]],SECTOR!$A:$B,2,0),"")</f>
      </c>
      <c r="S286" s="89"/>
      <c r="T286" s="90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6"/>
      <c r="AZ286" s="120">
        <f>COUNTIF(U286:AY286,"A")</f>
      </c>
      <c r="BA286" s="121">
        <f>COUNTIF(U286:AY286,"F")</f>
      </c>
      <c r="BB286" s="119">
        <f>COUNTIF(U286:AY286,"E")</f>
      </c>
    </row>
    <row r="287" spans="1:54" x14ac:dyDescent="0.2">
      <c r="A287" s="84"/>
      <c r="B287" s="85"/>
      <c r="C287" s="85"/>
      <c r="D287" s="85"/>
      <c r="E287" s="86"/>
      <c r="F287" s="16">
        <f>IF(E287="","",DATEDIF(E287,$I$7,"Y"))</f>
      </c>
      <c r="G287" s="85"/>
      <c r="H287" s="85"/>
      <c r="I287" s="87"/>
      <c r="J287" s="85"/>
      <c r="K287" s="85"/>
      <c r="L287" s="10"/>
      <c r="M287" s="10"/>
      <c r="N287" s="10"/>
      <c r="O287" s="10"/>
      <c r="P287" s="85"/>
      <c r="Q287" s="88"/>
      <c r="R287" s="3">
        <f>IFERROR(VLOOKUP(TablaMarzo[[#This Row],[BARRIO]],SECTOR!$A:$B,2,0),"")</f>
      </c>
      <c r="S287" s="89"/>
      <c r="T287" s="90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6"/>
      <c r="AZ287" s="120">
        <f>COUNTIF(U287:AY287,"A")</f>
      </c>
      <c r="BA287" s="121">
        <f>COUNTIF(U287:AY287,"F")</f>
      </c>
      <c r="BB287" s="119">
        <f>COUNTIF(U287:AY287,"E")</f>
      </c>
    </row>
    <row r="288" spans="1:54" x14ac:dyDescent="0.2">
      <c r="A288" s="84"/>
      <c r="B288" s="85"/>
      <c r="C288" s="85"/>
      <c r="D288" s="85"/>
      <c r="E288" s="86"/>
      <c r="F288" s="16">
        <f>IF(E288="","",DATEDIF(E288,$I$7,"Y"))</f>
      </c>
      <c r="G288" s="85"/>
      <c r="H288" s="85"/>
      <c r="I288" s="87"/>
      <c r="J288" s="85"/>
      <c r="K288" s="85"/>
      <c r="L288" s="10"/>
      <c r="M288" s="10"/>
      <c r="N288" s="10"/>
      <c r="O288" s="10"/>
      <c r="P288" s="85"/>
      <c r="Q288" s="88"/>
      <c r="R288" s="3">
        <f>IFERROR(VLOOKUP(TablaMarzo[[#This Row],[BARRIO]],SECTOR!$A:$B,2,0),"")</f>
      </c>
      <c r="S288" s="89"/>
      <c r="T288" s="90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6"/>
      <c r="AZ288" s="120">
        <f>COUNTIF(U288:AY288,"A")</f>
      </c>
      <c r="BA288" s="121">
        <f>COUNTIF(U288:AY288,"F")</f>
      </c>
      <c r="BB288" s="119">
        <f>COUNTIF(U288:AY288,"E")</f>
      </c>
    </row>
    <row r="289" spans="1:54" x14ac:dyDescent="0.2">
      <c r="A289" s="84"/>
      <c r="B289" s="85"/>
      <c r="C289" s="85"/>
      <c r="D289" s="85"/>
      <c r="E289" s="86"/>
      <c r="F289" s="16">
        <f>IF(E289="","",DATEDIF(E289,$I$7,"Y"))</f>
      </c>
      <c r="G289" s="85"/>
      <c r="H289" s="85"/>
      <c r="I289" s="87"/>
      <c r="J289" s="85"/>
      <c r="K289" s="85"/>
      <c r="L289" s="10"/>
      <c r="M289" s="10"/>
      <c r="N289" s="10"/>
      <c r="O289" s="10"/>
      <c r="P289" s="85"/>
      <c r="Q289" s="88"/>
      <c r="R289" s="3">
        <f>IFERROR(VLOOKUP(TablaMarzo[[#This Row],[BARRIO]],SECTOR!$A:$B,2,0),"")</f>
      </c>
      <c r="S289" s="89"/>
      <c r="T289" s="90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6"/>
      <c r="AZ289" s="120">
        <f>COUNTIF(U289:AY289,"A")</f>
      </c>
      <c r="BA289" s="121">
        <f>COUNTIF(U289:AY289,"F")</f>
      </c>
      <c r="BB289" s="119">
        <f>COUNTIF(U289:AY289,"E")</f>
      </c>
    </row>
    <row r="290" spans="1:54" x14ac:dyDescent="0.2">
      <c r="A290" s="84"/>
      <c r="B290" s="85"/>
      <c r="C290" s="85"/>
      <c r="D290" s="85"/>
      <c r="E290" s="86"/>
      <c r="F290" s="16">
        <f>IF(E290="","",DATEDIF(E290,$I$7,"Y"))</f>
      </c>
      <c r="G290" s="85"/>
      <c r="H290" s="85"/>
      <c r="I290" s="87"/>
      <c r="J290" s="85"/>
      <c r="K290" s="85"/>
      <c r="L290" s="10"/>
      <c r="M290" s="10"/>
      <c r="N290" s="10"/>
      <c r="O290" s="10"/>
      <c r="P290" s="85"/>
      <c r="Q290" s="88"/>
      <c r="R290" s="3">
        <f>IFERROR(VLOOKUP(TablaMarzo[[#This Row],[BARRIO]],SECTOR!$A:$B,2,0),"")</f>
      </c>
      <c r="S290" s="89"/>
      <c r="T290" s="90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6"/>
      <c r="AZ290" s="120">
        <f>COUNTIF(U290:AY290,"A")</f>
      </c>
      <c r="BA290" s="121">
        <f>COUNTIF(U290:AY290,"F")</f>
      </c>
      <c r="BB290" s="119">
        <f>COUNTIF(U290:AY290,"E")</f>
      </c>
    </row>
    <row r="291" spans="1:54" x14ac:dyDescent="0.2">
      <c r="A291" s="84"/>
      <c r="B291" s="85"/>
      <c r="C291" s="85"/>
      <c r="D291" s="85"/>
      <c r="E291" s="86"/>
      <c r="F291" s="16">
        <f>IF(E291="","",DATEDIF(E291,$I$7,"Y"))</f>
      </c>
      <c r="G291" s="85"/>
      <c r="H291" s="85"/>
      <c r="I291" s="87"/>
      <c r="J291" s="85"/>
      <c r="K291" s="85"/>
      <c r="L291" s="10"/>
      <c r="M291" s="10"/>
      <c r="N291" s="10"/>
      <c r="O291" s="10"/>
      <c r="P291" s="85"/>
      <c r="Q291" s="88"/>
      <c r="R291" s="3">
        <f>IFERROR(VLOOKUP(TablaMarzo[[#This Row],[BARRIO]],SECTOR!$A:$B,2,0),"")</f>
      </c>
      <c r="S291" s="89"/>
      <c r="T291" s="90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6"/>
      <c r="AZ291" s="120">
        <f>COUNTIF(U291:AY291,"A")</f>
      </c>
      <c r="BA291" s="121">
        <f>COUNTIF(U291:AY291,"F")</f>
      </c>
      <c r="BB291" s="119">
        <f>COUNTIF(U291:AY291,"E")</f>
      </c>
    </row>
    <row r="292" spans="1:54" x14ac:dyDescent="0.2">
      <c r="A292" s="84"/>
      <c r="B292" s="85"/>
      <c r="C292" s="85"/>
      <c r="D292" s="85"/>
      <c r="E292" s="86"/>
      <c r="F292" s="16">
        <f>IF(E292="","",DATEDIF(E292,$I$7,"Y"))</f>
      </c>
      <c r="G292" s="85"/>
      <c r="H292" s="85"/>
      <c r="I292" s="87"/>
      <c r="J292" s="85"/>
      <c r="K292" s="85"/>
      <c r="L292" s="10"/>
      <c r="M292" s="10"/>
      <c r="N292" s="10"/>
      <c r="O292" s="10"/>
      <c r="P292" s="85"/>
      <c r="Q292" s="88"/>
      <c r="R292" s="3">
        <f>IFERROR(VLOOKUP(TablaMarzo[[#This Row],[BARRIO]],SECTOR!$A:$B,2,0),"")</f>
      </c>
      <c r="S292" s="89"/>
      <c r="T292" s="90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6"/>
      <c r="AZ292" s="120">
        <f>COUNTIF(U292:AY292,"A")</f>
      </c>
      <c r="BA292" s="121">
        <f>COUNTIF(U292:AY292,"F")</f>
      </c>
      <c r="BB292" s="119">
        <f>COUNTIF(U292:AY292,"E")</f>
      </c>
    </row>
    <row r="293" spans="1:54" x14ac:dyDescent="0.2">
      <c r="A293" s="84"/>
      <c r="B293" s="85"/>
      <c r="C293" s="85"/>
      <c r="D293" s="85"/>
      <c r="E293" s="86"/>
      <c r="F293" s="16">
        <f>IF(E293="","",DATEDIF(E293,$I$7,"Y"))</f>
      </c>
      <c r="G293" s="85"/>
      <c r="H293" s="85"/>
      <c r="I293" s="87"/>
      <c r="J293" s="85"/>
      <c r="K293" s="85"/>
      <c r="L293" s="10"/>
      <c r="M293" s="10"/>
      <c r="N293" s="10"/>
      <c r="O293" s="10"/>
      <c r="P293" s="85"/>
      <c r="Q293" s="88"/>
      <c r="R293" s="3">
        <f>IFERROR(VLOOKUP(TablaMarzo[[#This Row],[BARRIO]],SECTOR!$A:$B,2,0),"")</f>
      </c>
      <c r="S293" s="89"/>
      <c r="T293" s="90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6"/>
      <c r="AZ293" s="120">
        <f>COUNTIF(U293:AY293,"A")</f>
      </c>
      <c r="BA293" s="121">
        <f>COUNTIF(U293:AY293,"F")</f>
      </c>
      <c r="BB293" s="119">
        <f>COUNTIF(U293:AY293,"E")</f>
      </c>
    </row>
    <row r="294" spans="1:54" x14ac:dyDescent="0.2">
      <c r="A294" s="84"/>
      <c r="B294" s="85"/>
      <c r="C294" s="85"/>
      <c r="D294" s="85"/>
      <c r="E294" s="86"/>
      <c r="F294" s="16">
        <f>IF(E294="","",DATEDIF(E294,$I$7,"Y"))</f>
      </c>
      <c r="G294" s="85"/>
      <c r="H294" s="85"/>
      <c r="I294" s="87"/>
      <c r="J294" s="85"/>
      <c r="K294" s="85"/>
      <c r="L294" s="10"/>
      <c r="M294" s="10"/>
      <c r="N294" s="10"/>
      <c r="O294" s="10"/>
      <c r="P294" s="85"/>
      <c r="Q294" s="88"/>
      <c r="R294" s="3">
        <f>IFERROR(VLOOKUP(TablaMarzo[[#This Row],[BARRIO]],SECTOR!$A:$B,2,0),"")</f>
      </c>
      <c r="S294" s="89"/>
      <c r="T294" s="90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6"/>
      <c r="AZ294" s="120">
        <f>COUNTIF(U294:AY294,"A")</f>
      </c>
      <c r="BA294" s="121">
        <f>COUNTIF(U294:AY294,"F")</f>
      </c>
      <c r="BB294" s="119">
        <f>COUNTIF(U294:AY294,"E")</f>
      </c>
    </row>
    <row r="295" spans="1:54" x14ac:dyDescent="0.2">
      <c r="A295" s="84"/>
      <c r="B295" s="85"/>
      <c r="C295" s="85"/>
      <c r="D295" s="85"/>
      <c r="E295" s="86"/>
      <c r="F295" s="16">
        <f>IF(E295="","",DATEDIF(E295,$I$7,"Y"))</f>
      </c>
      <c r="G295" s="85"/>
      <c r="H295" s="85"/>
      <c r="I295" s="87"/>
      <c r="J295" s="85"/>
      <c r="K295" s="85"/>
      <c r="L295" s="10"/>
      <c r="M295" s="10"/>
      <c r="N295" s="10"/>
      <c r="O295" s="10"/>
      <c r="P295" s="85"/>
      <c r="Q295" s="88"/>
      <c r="R295" s="3">
        <f>IFERROR(VLOOKUP(TablaMarzo[[#This Row],[BARRIO]],SECTOR!$A:$B,2,0),"")</f>
      </c>
      <c r="S295" s="89"/>
      <c r="T295" s="90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6"/>
      <c r="AZ295" s="120">
        <f>COUNTIF(U295:AY295,"A")</f>
      </c>
      <c r="BA295" s="121">
        <f>COUNTIF(U295:AY295,"F")</f>
      </c>
      <c r="BB295" s="119">
        <f>COUNTIF(U295:AY295,"E")</f>
      </c>
    </row>
    <row r="296" spans="1:54" x14ac:dyDescent="0.2">
      <c r="A296" s="84"/>
      <c r="B296" s="85"/>
      <c r="C296" s="85"/>
      <c r="D296" s="85"/>
      <c r="E296" s="86"/>
      <c r="F296" s="16">
        <f>IF(E296="","",DATEDIF(E296,$I$7,"Y"))</f>
      </c>
      <c r="G296" s="85"/>
      <c r="H296" s="85"/>
      <c r="I296" s="87"/>
      <c r="J296" s="85"/>
      <c r="K296" s="85"/>
      <c r="L296" s="10"/>
      <c r="M296" s="10"/>
      <c r="N296" s="10"/>
      <c r="O296" s="10"/>
      <c r="P296" s="85"/>
      <c r="Q296" s="88"/>
      <c r="R296" s="3">
        <f>IFERROR(VLOOKUP(TablaMarzo[[#This Row],[BARRIO]],SECTOR!$A:$B,2,0),"")</f>
      </c>
      <c r="S296" s="89"/>
      <c r="T296" s="90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6"/>
      <c r="AZ296" s="120">
        <f>COUNTIF(U296:AY296,"A")</f>
      </c>
      <c r="BA296" s="121">
        <f>COUNTIF(U296:AY296,"F")</f>
      </c>
      <c r="BB296" s="119">
        <f>COUNTIF(U296:AY296,"E")</f>
      </c>
    </row>
    <row r="297" spans="1:54" x14ac:dyDescent="0.2">
      <c r="A297" s="84"/>
      <c r="B297" s="85"/>
      <c r="C297" s="85"/>
      <c r="D297" s="85"/>
      <c r="E297" s="86"/>
      <c r="F297" s="16">
        <f>IF(E297="","",DATEDIF(E297,$I$7,"Y"))</f>
      </c>
      <c r="G297" s="85"/>
      <c r="H297" s="85"/>
      <c r="I297" s="87"/>
      <c r="J297" s="85"/>
      <c r="K297" s="85"/>
      <c r="L297" s="10"/>
      <c r="M297" s="10"/>
      <c r="N297" s="10"/>
      <c r="O297" s="10"/>
      <c r="P297" s="85"/>
      <c r="Q297" s="88"/>
      <c r="R297" s="3">
        <f>IFERROR(VLOOKUP(TablaMarzo[[#This Row],[BARRIO]],SECTOR!$A:$B,2,0),"")</f>
      </c>
      <c r="S297" s="89"/>
      <c r="T297" s="90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6"/>
      <c r="AZ297" s="120">
        <f>COUNTIF(U297:AY297,"A")</f>
      </c>
      <c r="BA297" s="121">
        <f>COUNTIF(U297:AY297,"F")</f>
      </c>
      <c r="BB297" s="119">
        <f>COUNTIF(U297:AY297,"E")</f>
      </c>
    </row>
    <row r="298" spans="1:54" x14ac:dyDescent="0.2">
      <c r="A298" s="84"/>
      <c r="B298" s="85"/>
      <c r="C298" s="85"/>
      <c r="D298" s="85"/>
      <c r="E298" s="86"/>
      <c r="F298" s="16">
        <f>IF(E298="","",DATEDIF(E298,$I$7,"Y"))</f>
      </c>
      <c r="G298" s="85"/>
      <c r="H298" s="85"/>
      <c r="I298" s="87"/>
      <c r="J298" s="85"/>
      <c r="K298" s="85"/>
      <c r="L298" s="10"/>
      <c r="M298" s="10"/>
      <c r="N298" s="10"/>
      <c r="O298" s="10"/>
      <c r="P298" s="85"/>
      <c r="Q298" s="88"/>
      <c r="R298" s="3">
        <f>IFERROR(VLOOKUP(TablaMarzo[[#This Row],[BARRIO]],SECTOR!$A:$B,2,0),"")</f>
      </c>
      <c r="S298" s="89"/>
      <c r="T298" s="90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6"/>
      <c r="AZ298" s="120">
        <f>COUNTIF(U298:AY298,"A")</f>
      </c>
      <c r="BA298" s="121">
        <f>COUNTIF(U298:AY298,"F")</f>
      </c>
      <c r="BB298" s="119">
        <f>COUNTIF(U298:AY298,"E")</f>
      </c>
    </row>
    <row r="299" spans="1:54" x14ac:dyDescent="0.2">
      <c r="A299" s="84"/>
      <c r="B299" s="85"/>
      <c r="C299" s="85"/>
      <c r="D299" s="85"/>
      <c r="E299" s="86"/>
      <c r="F299" s="16">
        <f>IF(E299="","",DATEDIF(E299,$I$7,"Y"))</f>
      </c>
      <c r="G299" s="85"/>
      <c r="H299" s="85"/>
      <c r="I299" s="87"/>
      <c r="J299" s="85"/>
      <c r="K299" s="85"/>
      <c r="L299" s="10"/>
      <c r="M299" s="10"/>
      <c r="N299" s="10"/>
      <c r="O299" s="10"/>
      <c r="P299" s="85"/>
      <c r="Q299" s="88"/>
      <c r="R299" s="3">
        <f>IFERROR(VLOOKUP(TablaMarzo[[#This Row],[BARRIO]],SECTOR!$A:$B,2,0),"")</f>
      </c>
      <c r="S299" s="89"/>
      <c r="T299" s="90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6"/>
      <c r="AZ299" s="120">
        <f>COUNTIF(U299:AY299,"A")</f>
      </c>
      <c r="BA299" s="121">
        <f>COUNTIF(U299:AY299,"F")</f>
      </c>
      <c r="BB299" s="119">
        <f>COUNTIF(U299:AY299,"E")</f>
      </c>
    </row>
    <row r="300" spans="1:54" x14ac:dyDescent="0.2">
      <c r="A300" s="84"/>
      <c r="B300" s="85"/>
      <c r="C300" s="85"/>
      <c r="D300" s="85"/>
      <c r="E300" s="86"/>
      <c r="F300" s="16">
        <f>IF(E300="","",DATEDIF(E300,$I$7,"Y"))</f>
      </c>
      <c r="G300" s="85"/>
      <c r="H300" s="85"/>
      <c r="I300" s="87"/>
      <c r="J300" s="85"/>
      <c r="K300" s="85"/>
      <c r="L300" s="10"/>
      <c r="M300" s="10"/>
      <c r="N300" s="10"/>
      <c r="O300" s="10"/>
      <c r="P300" s="85"/>
      <c r="Q300" s="88"/>
      <c r="R300" s="3">
        <f>IFERROR(VLOOKUP(TablaMarzo[[#This Row],[BARRIO]],SECTOR!$A:$B,2,0),"")</f>
      </c>
      <c r="S300" s="89"/>
      <c r="T300" s="90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6"/>
      <c r="AZ300" s="120">
        <f>COUNTIF(U300:AY300,"A")</f>
      </c>
      <c r="BA300" s="121">
        <f>COUNTIF(U300:AY300,"F")</f>
      </c>
      <c r="BB300" s="119">
        <f>COUNTIF(U300:AY300,"E")</f>
      </c>
    </row>
    <row r="301" spans="1:54" x14ac:dyDescent="0.2">
      <c r="A301" s="84"/>
      <c r="B301" s="85"/>
      <c r="C301" s="85"/>
      <c r="D301" s="85"/>
      <c r="E301" s="86"/>
      <c r="F301" s="16">
        <f>IF(E301="","",DATEDIF(E301,$I$7,"Y"))</f>
      </c>
      <c r="G301" s="85"/>
      <c r="H301" s="85"/>
      <c r="I301" s="87"/>
      <c r="J301" s="85"/>
      <c r="K301" s="85"/>
      <c r="L301" s="10"/>
      <c r="M301" s="10"/>
      <c r="N301" s="10"/>
      <c r="O301" s="10"/>
      <c r="P301" s="85"/>
      <c r="Q301" s="88"/>
      <c r="R301" s="3">
        <f>IFERROR(VLOOKUP(TablaMarzo[[#This Row],[BARRIO]],SECTOR!$A:$B,2,0),"")</f>
      </c>
      <c r="S301" s="89"/>
      <c r="T301" s="90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6"/>
      <c r="AZ301" s="120">
        <f>COUNTIF(U301:AY301,"A")</f>
      </c>
      <c r="BA301" s="121">
        <f>COUNTIF(U301:AY301,"F")</f>
      </c>
      <c r="BB301" s="119">
        <f>COUNTIF(U301:AY301,"E")</f>
      </c>
    </row>
    <row r="302" spans="1:54" x14ac:dyDescent="0.2">
      <c r="A302" s="84"/>
      <c r="B302" s="85"/>
      <c r="C302" s="85"/>
      <c r="D302" s="85"/>
      <c r="E302" s="86"/>
      <c r="F302" s="16">
        <f>IF(E302="","",DATEDIF(E302,$I$7,"Y"))</f>
      </c>
      <c r="G302" s="85"/>
      <c r="H302" s="85"/>
      <c r="I302" s="87"/>
      <c r="J302" s="85"/>
      <c r="K302" s="85"/>
      <c r="L302" s="10"/>
      <c r="M302" s="10"/>
      <c r="N302" s="10"/>
      <c r="O302" s="10"/>
      <c r="P302" s="85"/>
      <c r="Q302" s="88"/>
      <c r="R302" s="3">
        <f>IFERROR(VLOOKUP(TablaMarzo[[#This Row],[BARRIO]],SECTOR!$A:$B,2,0),"")</f>
      </c>
      <c r="S302" s="89"/>
      <c r="T302" s="90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6"/>
      <c r="AZ302" s="120">
        <f>COUNTIF(U302:AY302,"A")</f>
      </c>
      <c r="BA302" s="121">
        <f>COUNTIF(U302:AY302,"F")</f>
      </c>
      <c r="BB302" s="119">
        <f>COUNTIF(U302:AY302,"E")</f>
      </c>
    </row>
    <row r="303" spans="1:54" x14ac:dyDescent="0.2">
      <c r="A303" s="84"/>
      <c r="B303" s="85"/>
      <c r="C303" s="85"/>
      <c r="D303" s="85"/>
      <c r="E303" s="86"/>
      <c r="F303" s="16">
        <f>IF(E303="","",DATEDIF(E303,$I$7,"Y"))</f>
      </c>
      <c r="G303" s="85"/>
      <c r="H303" s="85"/>
      <c r="I303" s="87"/>
      <c r="J303" s="85"/>
      <c r="K303" s="85"/>
      <c r="L303" s="10"/>
      <c r="M303" s="10"/>
      <c r="N303" s="10"/>
      <c r="O303" s="10"/>
      <c r="P303" s="85"/>
      <c r="Q303" s="88"/>
      <c r="R303" s="3">
        <f>IFERROR(VLOOKUP(TablaMarzo[[#This Row],[BARRIO]],SECTOR!$A:$B,2,0),"")</f>
      </c>
      <c r="S303" s="89"/>
      <c r="T303" s="90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6"/>
      <c r="AZ303" s="120">
        <f>COUNTIF(U303:AY303,"A")</f>
      </c>
      <c r="BA303" s="121">
        <f>COUNTIF(U303:AY303,"F")</f>
      </c>
      <c r="BB303" s="119">
        <f>COUNTIF(U303:AY303,"E")</f>
      </c>
    </row>
    <row r="304" spans="1:54" x14ac:dyDescent="0.2">
      <c r="A304" s="84"/>
      <c r="B304" s="85"/>
      <c r="C304" s="85"/>
      <c r="D304" s="85"/>
      <c r="E304" s="86"/>
      <c r="F304" s="16">
        <f>IF(E304="","",DATEDIF(E304,$I$7,"Y"))</f>
      </c>
      <c r="G304" s="85"/>
      <c r="H304" s="85"/>
      <c r="I304" s="87"/>
      <c r="J304" s="85"/>
      <c r="K304" s="85"/>
      <c r="L304" s="10"/>
      <c r="M304" s="10"/>
      <c r="N304" s="10"/>
      <c r="O304" s="10"/>
      <c r="P304" s="85"/>
      <c r="Q304" s="88"/>
      <c r="R304" s="3">
        <f>IFERROR(VLOOKUP(TablaMarzo[[#This Row],[BARRIO]],SECTOR!$A:$B,2,0),"")</f>
      </c>
      <c r="S304" s="89"/>
      <c r="T304" s="90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6"/>
      <c r="AZ304" s="120">
        <f>COUNTIF(U304:AY304,"A")</f>
      </c>
      <c r="BA304" s="121">
        <f>COUNTIF(U304:AY304,"F")</f>
      </c>
      <c r="BB304" s="119">
        <f>COUNTIF(U304:AY304,"E")</f>
      </c>
    </row>
    <row r="305" spans="1:54" x14ac:dyDescent="0.2">
      <c r="A305" s="84"/>
      <c r="B305" s="85"/>
      <c r="C305" s="85"/>
      <c r="D305" s="85"/>
      <c r="E305" s="86"/>
      <c r="F305" s="16">
        <f>IF(E305="","",DATEDIF(E305,$I$7,"Y"))</f>
      </c>
      <c r="G305" s="85"/>
      <c r="H305" s="85"/>
      <c r="I305" s="87"/>
      <c r="J305" s="85"/>
      <c r="K305" s="85"/>
      <c r="L305" s="10"/>
      <c r="M305" s="10"/>
      <c r="N305" s="10"/>
      <c r="O305" s="10"/>
      <c r="P305" s="85"/>
      <c r="Q305" s="88"/>
      <c r="R305" s="3">
        <f>IFERROR(VLOOKUP(TablaMarzo[[#This Row],[BARRIO]],SECTOR!$A:$B,2,0),"")</f>
      </c>
      <c r="S305" s="89"/>
      <c r="T305" s="90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6"/>
      <c r="AZ305" s="120">
        <f>COUNTIF(U305:AY305,"A")</f>
      </c>
      <c r="BA305" s="121">
        <f>COUNTIF(U305:AY305,"F")</f>
      </c>
      <c r="BB305" s="119">
        <f>COUNTIF(U305:AY305,"E")</f>
      </c>
    </row>
    <row r="306" spans="1:54" x14ac:dyDescent="0.2">
      <c r="A306" s="84"/>
      <c r="B306" s="85"/>
      <c r="C306" s="85"/>
      <c r="D306" s="85"/>
      <c r="E306" s="86"/>
      <c r="F306" s="16">
        <f>IF(E306="","",DATEDIF(E306,$I$7,"Y"))</f>
      </c>
      <c r="G306" s="85"/>
      <c r="H306" s="85"/>
      <c r="I306" s="87"/>
      <c r="J306" s="85"/>
      <c r="K306" s="85"/>
      <c r="L306" s="10"/>
      <c r="M306" s="10"/>
      <c r="N306" s="10"/>
      <c r="O306" s="10"/>
      <c r="P306" s="85"/>
      <c r="Q306" s="88"/>
      <c r="R306" s="3">
        <f>IFERROR(VLOOKUP(TablaMarzo[[#This Row],[BARRIO]],SECTOR!$A:$B,2,0),"")</f>
      </c>
      <c r="S306" s="89"/>
      <c r="T306" s="90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6"/>
      <c r="AZ306" s="120">
        <f>COUNTIF(U306:AY306,"A")</f>
      </c>
      <c r="BA306" s="121">
        <f>COUNTIF(U306:AY306,"F")</f>
      </c>
      <c r="BB306" s="119">
        <f>COUNTIF(U306:AY306,"E")</f>
      </c>
    </row>
    <row r="307" spans="1:54" x14ac:dyDescent="0.2">
      <c r="A307" s="84"/>
      <c r="B307" s="85"/>
      <c r="C307" s="85"/>
      <c r="D307" s="85"/>
      <c r="E307" s="86"/>
      <c r="F307" s="16">
        <f>IF(E307="","",DATEDIF(E307,$I$7,"Y"))</f>
      </c>
      <c r="G307" s="85"/>
      <c r="H307" s="85"/>
      <c r="I307" s="87"/>
      <c r="J307" s="85"/>
      <c r="K307" s="85"/>
      <c r="L307" s="10"/>
      <c r="M307" s="10"/>
      <c r="N307" s="10"/>
      <c r="O307" s="10"/>
      <c r="P307" s="85"/>
      <c r="Q307" s="88"/>
      <c r="R307" s="3">
        <f>IFERROR(VLOOKUP(TablaMarzo[[#This Row],[BARRIO]],SECTOR!$A:$B,2,0),"")</f>
      </c>
      <c r="S307" s="89"/>
      <c r="T307" s="90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6"/>
      <c r="AZ307" s="120">
        <f>COUNTIF(U307:AY307,"A")</f>
      </c>
      <c r="BA307" s="121">
        <f>COUNTIF(U307:AY307,"F")</f>
      </c>
      <c r="BB307" s="119">
        <f>COUNTIF(U307:AY307,"E")</f>
      </c>
    </row>
    <row r="308" spans="1:54" x14ac:dyDescent="0.2">
      <c r="A308" s="84"/>
      <c r="B308" s="85"/>
      <c r="C308" s="85"/>
      <c r="D308" s="85"/>
      <c r="E308" s="86"/>
      <c r="F308" s="16">
        <f>IF(E308="","",DATEDIF(E308,$I$7,"Y"))</f>
      </c>
      <c r="G308" s="85"/>
      <c r="H308" s="85"/>
      <c r="I308" s="87"/>
      <c r="J308" s="85"/>
      <c r="K308" s="85"/>
      <c r="L308" s="10"/>
      <c r="M308" s="10"/>
      <c r="N308" s="10"/>
      <c r="O308" s="10"/>
      <c r="P308" s="85"/>
      <c r="Q308" s="88"/>
      <c r="R308" s="3">
        <f>IFERROR(VLOOKUP(TablaMarzo[[#This Row],[BARRIO]],SECTOR!$A:$B,2,0),"")</f>
      </c>
      <c r="S308" s="89"/>
      <c r="T308" s="90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6"/>
      <c r="AZ308" s="120">
        <f>COUNTIF(U308:AY308,"A")</f>
      </c>
      <c r="BA308" s="121">
        <f>COUNTIF(U308:AY308,"F")</f>
      </c>
      <c r="BB308" s="119">
        <f>COUNTIF(U308:AY308,"E")</f>
      </c>
    </row>
    <row r="309" spans="1:54" x14ac:dyDescent="0.2">
      <c r="A309" s="84"/>
      <c r="B309" s="85"/>
      <c r="C309" s="85"/>
      <c r="D309" s="85"/>
      <c r="E309" s="86"/>
      <c r="F309" s="16">
        <f>IF(E309="","",DATEDIF(E309,$I$7,"Y"))</f>
      </c>
      <c r="G309" s="85"/>
      <c r="H309" s="85"/>
      <c r="I309" s="87"/>
      <c r="J309" s="85"/>
      <c r="K309" s="85"/>
      <c r="L309" s="10"/>
      <c r="M309" s="10"/>
      <c r="N309" s="10"/>
      <c r="O309" s="10"/>
      <c r="P309" s="85"/>
      <c r="Q309" s="88"/>
      <c r="R309" s="3">
        <f>IFERROR(VLOOKUP(TablaMarzo[[#This Row],[BARRIO]],SECTOR!$A:$B,2,0),"")</f>
      </c>
      <c r="S309" s="89"/>
      <c r="T309" s="90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6"/>
      <c r="AZ309" s="120">
        <f>COUNTIF(U309:AY309,"A")</f>
      </c>
      <c r="BA309" s="121">
        <f>COUNTIF(U309:AY309,"F")</f>
      </c>
      <c r="BB309" s="119">
        <f>COUNTIF(U309:AY309,"E")</f>
      </c>
    </row>
    <row r="310" spans="1:54" x14ac:dyDescent="0.2">
      <c r="A310" s="84"/>
      <c r="B310" s="85"/>
      <c r="C310" s="85"/>
      <c r="D310" s="85"/>
      <c r="E310" s="86"/>
      <c r="F310" s="16">
        <f>IF(E310="","",DATEDIF(E310,$I$7,"Y"))</f>
      </c>
      <c r="G310" s="85"/>
      <c r="H310" s="85"/>
      <c r="I310" s="87"/>
      <c r="J310" s="85"/>
      <c r="K310" s="85"/>
      <c r="L310" s="10"/>
      <c r="M310" s="10"/>
      <c r="N310" s="10"/>
      <c r="O310" s="10"/>
      <c r="P310" s="85"/>
      <c r="Q310" s="88"/>
      <c r="R310" s="3">
        <f>IFERROR(VLOOKUP(TablaMarzo[[#This Row],[BARRIO]],SECTOR!$A:$B,2,0),"")</f>
      </c>
      <c r="S310" s="89"/>
      <c r="T310" s="90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6"/>
      <c r="AZ310" s="120">
        <f>COUNTIF(U310:AY310,"A")</f>
      </c>
      <c r="BA310" s="121">
        <f>COUNTIF(U310:AY310,"F")</f>
      </c>
      <c r="BB310" s="119">
        <f>COUNTIF(U310:AY310,"E")</f>
      </c>
    </row>
    <row r="311" spans="1:54" x14ac:dyDescent="0.2">
      <c r="A311" s="84"/>
      <c r="B311" s="85"/>
      <c r="C311" s="85"/>
      <c r="D311" s="85"/>
      <c r="E311" s="86"/>
      <c r="F311" s="16">
        <f>IF(E311="","",DATEDIF(E311,$I$7,"Y"))</f>
      </c>
      <c r="G311" s="85"/>
      <c r="H311" s="85"/>
      <c r="I311" s="87"/>
      <c r="J311" s="85"/>
      <c r="K311" s="85"/>
      <c r="L311" s="10"/>
      <c r="M311" s="10"/>
      <c r="N311" s="10"/>
      <c r="O311" s="10"/>
      <c r="P311" s="85"/>
      <c r="Q311" s="88"/>
      <c r="R311" s="3">
        <f>IFERROR(VLOOKUP(TablaMarzo[[#This Row],[BARRIO]],SECTOR!$A:$B,2,0),"")</f>
      </c>
      <c r="S311" s="89"/>
      <c r="T311" s="90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6"/>
      <c r="AZ311" s="120">
        <f>COUNTIF(U311:AY311,"A")</f>
      </c>
      <c r="BA311" s="121">
        <f>COUNTIF(U311:AY311,"F")</f>
      </c>
      <c r="BB311" s="119">
        <f>COUNTIF(U311:AY311,"E")</f>
      </c>
    </row>
    <row r="312" spans="1:54" x14ac:dyDescent="0.2">
      <c r="A312" s="84"/>
      <c r="B312" s="85"/>
      <c r="C312" s="85"/>
      <c r="D312" s="85"/>
      <c r="E312" s="86"/>
      <c r="F312" s="16">
        <f>IF(E312="","",DATEDIF(E312,$I$7,"Y"))</f>
      </c>
      <c r="G312" s="85"/>
      <c r="H312" s="85"/>
      <c r="I312" s="87"/>
      <c r="J312" s="85"/>
      <c r="K312" s="85"/>
      <c r="L312" s="10"/>
      <c r="M312" s="10"/>
      <c r="N312" s="10"/>
      <c r="O312" s="10"/>
      <c r="P312" s="85"/>
      <c r="Q312" s="88"/>
      <c r="R312" s="3">
        <f>IFERROR(VLOOKUP(TablaMarzo[[#This Row],[BARRIO]],SECTOR!$A:$B,2,0),"")</f>
      </c>
      <c r="S312" s="89"/>
      <c r="T312" s="90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6"/>
      <c r="AZ312" s="120">
        <f>COUNTIF(U312:AY312,"A")</f>
      </c>
      <c r="BA312" s="121">
        <f>COUNTIF(U312:AY312,"F")</f>
      </c>
      <c r="BB312" s="119">
        <f>COUNTIF(U312:AY312,"E")</f>
      </c>
    </row>
    <row r="313" spans="1:54" x14ac:dyDescent="0.2">
      <c r="A313" s="84"/>
      <c r="B313" s="85"/>
      <c r="C313" s="85"/>
      <c r="D313" s="85"/>
      <c r="E313" s="86"/>
      <c r="F313" s="16">
        <f>IF(E313="","",DATEDIF(E313,$I$7,"Y"))</f>
      </c>
      <c r="G313" s="85"/>
      <c r="H313" s="85"/>
      <c r="I313" s="87"/>
      <c r="J313" s="85"/>
      <c r="K313" s="85"/>
      <c r="L313" s="10"/>
      <c r="M313" s="10"/>
      <c r="N313" s="10"/>
      <c r="O313" s="10"/>
      <c r="P313" s="85"/>
      <c r="Q313" s="88"/>
      <c r="R313" s="3">
        <f>IFERROR(VLOOKUP(TablaMarzo[[#This Row],[BARRIO]],SECTOR!$A:$B,2,0),"")</f>
      </c>
      <c r="S313" s="89"/>
      <c r="T313" s="90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6"/>
      <c r="AZ313" s="120">
        <f>COUNTIF(U313:AY313,"A")</f>
      </c>
      <c r="BA313" s="121">
        <f>COUNTIF(U313:AY313,"F")</f>
      </c>
      <c r="BB313" s="119">
        <f>COUNTIF(U313:AY313,"E")</f>
      </c>
    </row>
    <row r="314" spans="1:54" x14ac:dyDescent="0.2">
      <c r="A314" s="84"/>
      <c r="B314" s="85"/>
      <c r="C314" s="85"/>
      <c r="D314" s="85"/>
      <c r="E314" s="86"/>
      <c r="F314" s="16">
        <f>IF(E314="","",DATEDIF(E314,$I$7,"Y"))</f>
      </c>
      <c r="G314" s="85"/>
      <c r="H314" s="85"/>
      <c r="I314" s="87"/>
      <c r="J314" s="85"/>
      <c r="K314" s="85"/>
      <c r="L314" s="10"/>
      <c r="M314" s="10"/>
      <c r="N314" s="10"/>
      <c r="O314" s="10"/>
      <c r="P314" s="85"/>
      <c r="Q314" s="88"/>
      <c r="R314" s="3">
        <f>IFERROR(VLOOKUP(TablaMarzo[[#This Row],[BARRIO]],SECTOR!$A:$B,2,0),"")</f>
      </c>
      <c r="S314" s="89"/>
      <c r="T314" s="90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6"/>
      <c r="AZ314" s="120">
        <f>COUNTIF(U314:AY314,"A")</f>
      </c>
      <c r="BA314" s="121">
        <f>COUNTIF(U314:AY314,"F")</f>
      </c>
      <c r="BB314" s="119">
        <f>COUNTIF(U314:AY314,"E")</f>
      </c>
    </row>
    <row r="315" spans="1:54" x14ac:dyDescent="0.2">
      <c r="A315" s="84"/>
      <c r="B315" s="85"/>
      <c r="C315" s="85"/>
      <c r="D315" s="85"/>
      <c r="E315" s="86"/>
      <c r="F315" s="16">
        <f>IF(E315="","",DATEDIF(E315,$I$7,"Y"))</f>
      </c>
      <c r="G315" s="85"/>
      <c r="H315" s="85"/>
      <c r="I315" s="87"/>
      <c r="J315" s="85"/>
      <c r="K315" s="85"/>
      <c r="L315" s="10"/>
      <c r="M315" s="10"/>
      <c r="N315" s="10"/>
      <c r="O315" s="10"/>
      <c r="P315" s="85"/>
      <c r="Q315" s="88"/>
      <c r="R315" s="3">
        <f>IFERROR(VLOOKUP(TablaMarzo[[#This Row],[BARRIO]],SECTOR!$A:$B,2,0),"")</f>
      </c>
      <c r="S315" s="89"/>
      <c r="T315" s="90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6"/>
      <c r="AZ315" s="120">
        <f>COUNTIF(U315:AY315,"A")</f>
      </c>
      <c r="BA315" s="121">
        <f>COUNTIF(U315:AY315,"F")</f>
      </c>
      <c r="BB315" s="119">
        <f>COUNTIF(U315:AY315,"E")</f>
      </c>
    </row>
    <row r="316" spans="1:54" x14ac:dyDescent="0.2">
      <c r="A316" s="84"/>
      <c r="B316" s="85"/>
      <c r="C316" s="85"/>
      <c r="D316" s="85"/>
      <c r="E316" s="86"/>
      <c r="F316" s="16">
        <f>IF(E316="","",DATEDIF(E316,$I$7,"Y"))</f>
      </c>
      <c r="G316" s="85"/>
      <c r="H316" s="85"/>
      <c r="I316" s="87"/>
      <c r="J316" s="85"/>
      <c r="K316" s="85"/>
      <c r="L316" s="10"/>
      <c r="M316" s="10"/>
      <c r="N316" s="10"/>
      <c r="O316" s="10"/>
      <c r="P316" s="85"/>
      <c r="Q316" s="88"/>
      <c r="R316" s="3">
        <f>IFERROR(VLOOKUP(TablaMarzo[[#This Row],[BARRIO]],SECTOR!$A:$B,2,0),"")</f>
      </c>
      <c r="S316" s="89"/>
      <c r="T316" s="90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6"/>
      <c r="AZ316" s="120">
        <f>COUNTIF(U316:AY316,"A")</f>
      </c>
      <c r="BA316" s="121">
        <f>COUNTIF(U316:AY316,"F")</f>
      </c>
      <c r="BB316" s="119">
        <f>COUNTIF(U316:AY316,"E")</f>
      </c>
    </row>
    <row r="317" spans="1:54" x14ac:dyDescent="0.2">
      <c r="A317" s="84"/>
      <c r="B317" s="85"/>
      <c r="C317" s="85"/>
      <c r="D317" s="85"/>
      <c r="E317" s="86"/>
      <c r="F317" s="16">
        <f>IF(E317="","",DATEDIF(E317,$I$7,"Y"))</f>
      </c>
      <c r="G317" s="85"/>
      <c r="H317" s="85"/>
      <c r="I317" s="87"/>
      <c r="J317" s="85"/>
      <c r="K317" s="85"/>
      <c r="L317" s="10"/>
      <c r="M317" s="10"/>
      <c r="N317" s="10"/>
      <c r="O317" s="10"/>
      <c r="P317" s="85"/>
      <c r="Q317" s="88"/>
      <c r="R317" s="3">
        <f>IFERROR(VLOOKUP(TablaMarzo[[#This Row],[BARRIO]],SECTOR!$A:$B,2,0),"")</f>
      </c>
      <c r="S317" s="89"/>
      <c r="T317" s="90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6"/>
      <c r="AZ317" s="120">
        <f>COUNTIF(U317:AY317,"A")</f>
      </c>
      <c r="BA317" s="121">
        <f>COUNTIF(U317:AY317,"F")</f>
      </c>
      <c r="BB317" s="119">
        <f>COUNTIF(U317:AY317,"E")</f>
      </c>
    </row>
    <row r="318" spans="1:54" x14ac:dyDescent="0.2">
      <c r="A318" s="84"/>
      <c r="B318" s="85"/>
      <c r="C318" s="85"/>
      <c r="D318" s="85"/>
      <c r="E318" s="86"/>
      <c r="F318" s="16">
        <f>IF(E318="","",DATEDIF(E318,$I$7,"Y"))</f>
      </c>
      <c r="G318" s="85"/>
      <c r="H318" s="85"/>
      <c r="I318" s="87"/>
      <c r="J318" s="85"/>
      <c r="K318" s="85"/>
      <c r="L318" s="10"/>
      <c r="M318" s="10"/>
      <c r="N318" s="10"/>
      <c r="O318" s="10"/>
      <c r="P318" s="85"/>
      <c r="Q318" s="88"/>
      <c r="R318" s="3">
        <f>IFERROR(VLOOKUP(TablaMarzo[[#This Row],[BARRIO]],SECTOR!$A:$B,2,0),"")</f>
      </c>
      <c r="S318" s="89"/>
      <c r="T318" s="90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6"/>
      <c r="AZ318" s="120">
        <f>COUNTIF(U318:AY318,"A")</f>
      </c>
      <c r="BA318" s="121">
        <f>COUNTIF(U318:AY318,"F")</f>
      </c>
      <c r="BB318" s="119">
        <f>COUNTIF(U318:AY318,"E")</f>
      </c>
    </row>
    <row r="319" spans="1:54" x14ac:dyDescent="0.2">
      <c r="A319" s="84"/>
      <c r="B319" s="85"/>
      <c r="C319" s="85"/>
      <c r="D319" s="85"/>
      <c r="E319" s="86"/>
      <c r="F319" s="16">
        <f>IF(E319="","",DATEDIF(E319,$I$7,"Y"))</f>
      </c>
      <c r="G319" s="85"/>
      <c r="H319" s="85"/>
      <c r="I319" s="87"/>
      <c r="J319" s="85"/>
      <c r="K319" s="85"/>
      <c r="L319" s="10"/>
      <c r="M319" s="10"/>
      <c r="N319" s="10"/>
      <c r="O319" s="10"/>
      <c r="P319" s="85"/>
      <c r="Q319" s="88"/>
      <c r="R319" s="3">
        <f>IFERROR(VLOOKUP(TablaMarzo[[#This Row],[BARRIO]],SECTOR!$A:$B,2,0),"")</f>
      </c>
      <c r="S319" s="89"/>
      <c r="T319" s="90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6"/>
      <c r="AZ319" s="120">
        <f>COUNTIF(U319:AY319,"A")</f>
      </c>
      <c r="BA319" s="121">
        <f>COUNTIF(U319:AY319,"F")</f>
      </c>
      <c r="BB319" s="119">
        <f>COUNTIF(U319:AY319,"E")</f>
      </c>
    </row>
    <row r="320" spans="1:54" x14ac:dyDescent="0.2">
      <c r="A320" s="84"/>
      <c r="B320" s="85"/>
      <c r="C320" s="85"/>
      <c r="D320" s="85"/>
      <c r="E320" s="86"/>
      <c r="F320" s="16">
        <f>IF(E320="","",DATEDIF(E320,$I$7,"Y"))</f>
      </c>
      <c r="G320" s="85"/>
      <c r="H320" s="85"/>
      <c r="I320" s="87"/>
      <c r="J320" s="85"/>
      <c r="K320" s="85"/>
      <c r="L320" s="10"/>
      <c r="M320" s="10"/>
      <c r="N320" s="10"/>
      <c r="O320" s="10"/>
      <c r="P320" s="85"/>
      <c r="Q320" s="88"/>
      <c r="R320" s="3">
        <f>IFERROR(VLOOKUP(TablaMarzo[[#This Row],[BARRIO]],SECTOR!$A:$B,2,0),"")</f>
      </c>
      <c r="S320" s="89"/>
      <c r="T320" s="90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6"/>
      <c r="AZ320" s="120">
        <f>COUNTIF(U320:AY320,"A")</f>
      </c>
      <c r="BA320" s="121">
        <f>COUNTIF(U320:AY320,"F")</f>
      </c>
      <c r="BB320" s="119">
        <f>COUNTIF(U320:AY320,"E")</f>
      </c>
    </row>
    <row r="321" spans="1:54" x14ac:dyDescent="0.2">
      <c r="A321" s="84"/>
      <c r="B321" s="85"/>
      <c r="C321" s="85"/>
      <c r="D321" s="85"/>
      <c r="E321" s="86"/>
      <c r="F321" s="16">
        <f>IF(E321="","",DATEDIF(E321,$I$7,"Y"))</f>
      </c>
      <c r="G321" s="85"/>
      <c r="H321" s="85"/>
      <c r="I321" s="87"/>
      <c r="J321" s="85"/>
      <c r="K321" s="85"/>
      <c r="L321" s="10"/>
      <c r="M321" s="10"/>
      <c r="N321" s="10"/>
      <c r="O321" s="10"/>
      <c r="P321" s="85"/>
      <c r="Q321" s="88"/>
      <c r="R321" s="3">
        <f>IFERROR(VLOOKUP(TablaMarzo[[#This Row],[BARRIO]],SECTOR!$A:$B,2,0),"")</f>
      </c>
      <c r="S321" s="89"/>
      <c r="T321" s="90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6"/>
      <c r="AZ321" s="120">
        <f>COUNTIF(U321:AY321,"A")</f>
      </c>
      <c r="BA321" s="121">
        <f>COUNTIF(U321:AY321,"F")</f>
      </c>
      <c r="BB321" s="119">
        <f>COUNTIF(U321:AY321,"E")</f>
      </c>
    </row>
    <row r="322" spans="1:54" x14ac:dyDescent="0.2">
      <c r="A322" s="84"/>
      <c r="B322" s="85"/>
      <c r="C322" s="85"/>
      <c r="D322" s="85"/>
      <c r="E322" s="86"/>
      <c r="F322" s="16">
        <f>IF(E322="","",DATEDIF(E322,$I$7,"Y"))</f>
      </c>
      <c r="G322" s="85"/>
      <c r="H322" s="85"/>
      <c r="I322" s="87"/>
      <c r="J322" s="85"/>
      <c r="K322" s="85"/>
      <c r="L322" s="10"/>
      <c r="M322" s="10"/>
      <c r="N322" s="10"/>
      <c r="O322" s="10"/>
      <c r="P322" s="85"/>
      <c r="Q322" s="88"/>
      <c r="R322" s="3">
        <f>IFERROR(VLOOKUP(TablaMarzo[[#This Row],[BARRIO]],SECTOR!$A:$B,2,0),"")</f>
      </c>
      <c r="S322" s="89"/>
      <c r="T322" s="90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6"/>
      <c r="AZ322" s="120">
        <f>COUNTIF(U322:AY322,"A")</f>
      </c>
      <c r="BA322" s="121">
        <f>COUNTIF(U322:AY322,"F")</f>
      </c>
      <c r="BB322" s="119">
        <f>COUNTIF(U322:AY322,"E")</f>
      </c>
    </row>
    <row r="323" spans="1:54" x14ac:dyDescent="0.2">
      <c r="A323" s="84"/>
      <c r="B323" s="85"/>
      <c r="C323" s="85"/>
      <c r="D323" s="85"/>
      <c r="E323" s="86"/>
      <c r="F323" s="16">
        <f>IF(E323="","",DATEDIF(E323,$I$7,"Y"))</f>
      </c>
      <c r="G323" s="85"/>
      <c r="H323" s="85"/>
      <c r="I323" s="87"/>
      <c r="J323" s="85"/>
      <c r="K323" s="85"/>
      <c r="L323" s="10"/>
      <c r="M323" s="10"/>
      <c r="N323" s="10"/>
      <c r="O323" s="10"/>
      <c r="P323" s="85"/>
      <c r="Q323" s="88"/>
      <c r="R323" s="3">
        <f>IFERROR(VLOOKUP(TablaMarzo[[#This Row],[BARRIO]],SECTOR!$A:$B,2,0),"")</f>
      </c>
      <c r="S323" s="89"/>
      <c r="T323" s="90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6"/>
      <c r="AZ323" s="120">
        <f>COUNTIF(U323:AY323,"A")</f>
      </c>
      <c r="BA323" s="121">
        <f>COUNTIF(U323:AY323,"F")</f>
      </c>
      <c r="BB323" s="119">
        <f>COUNTIF(U323:AY323,"E")</f>
      </c>
    </row>
    <row r="324" spans="1:54" x14ac:dyDescent="0.2">
      <c r="A324" s="84"/>
      <c r="B324" s="85"/>
      <c r="C324" s="85"/>
      <c r="D324" s="85"/>
      <c r="E324" s="86"/>
      <c r="F324" s="16">
        <f>IF(E324="","",DATEDIF(E324,$I$7,"Y"))</f>
      </c>
      <c r="G324" s="85"/>
      <c r="H324" s="85"/>
      <c r="I324" s="87"/>
      <c r="J324" s="85"/>
      <c r="K324" s="85"/>
      <c r="L324" s="10"/>
      <c r="M324" s="10"/>
      <c r="N324" s="10"/>
      <c r="O324" s="10"/>
      <c r="P324" s="85"/>
      <c r="Q324" s="88"/>
      <c r="R324" s="3">
        <f>IFERROR(VLOOKUP(TablaMarzo[[#This Row],[BARRIO]],SECTOR!$A:$B,2,0),"")</f>
      </c>
      <c r="S324" s="89"/>
      <c r="T324" s="90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6"/>
      <c r="AZ324" s="120">
        <f>COUNTIF(U324:AY324,"A")</f>
      </c>
      <c r="BA324" s="121">
        <f>COUNTIF(U324:AY324,"F")</f>
      </c>
      <c r="BB324" s="119">
        <f>COUNTIF(U324:AY324,"E")</f>
      </c>
    </row>
    <row r="325" spans="1:54" x14ac:dyDescent="0.2">
      <c r="A325" s="84"/>
      <c r="B325" s="85"/>
      <c r="C325" s="85"/>
      <c r="D325" s="85"/>
      <c r="E325" s="86"/>
      <c r="F325" s="16">
        <f>IF(E325="","",DATEDIF(E325,$I$7,"Y"))</f>
      </c>
      <c r="G325" s="85"/>
      <c r="H325" s="85"/>
      <c r="I325" s="87"/>
      <c r="J325" s="85"/>
      <c r="K325" s="85"/>
      <c r="L325" s="10"/>
      <c r="M325" s="10"/>
      <c r="N325" s="10"/>
      <c r="O325" s="10"/>
      <c r="P325" s="85"/>
      <c r="Q325" s="88"/>
      <c r="R325" s="3">
        <f>IFERROR(VLOOKUP(TablaMarzo[[#This Row],[BARRIO]],SECTOR!$A:$B,2,0),"")</f>
      </c>
      <c r="S325" s="89"/>
      <c r="T325" s="90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6"/>
      <c r="AZ325" s="120">
        <f>COUNTIF(U325:AY325,"A")</f>
      </c>
      <c r="BA325" s="121">
        <f>COUNTIF(U325:AY325,"F")</f>
      </c>
      <c r="BB325" s="119">
        <f>COUNTIF(U325:AY325,"E")</f>
      </c>
    </row>
    <row r="326" spans="1:54" x14ac:dyDescent="0.2">
      <c r="A326" s="84"/>
      <c r="B326" s="85"/>
      <c r="C326" s="85"/>
      <c r="D326" s="85"/>
      <c r="E326" s="86"/>
      <c r="F326" s="16">
        <f>IF(E326="","",DATEDIF(E326,$I$7,"Y"))</f>
      </c>
      <c r="G326" s="85"/>
      <c r="H326" s="85"/>
      <c r="I326" s="87"/>
      <c r="J326" s="85"/>
      <c r="K326" s="85"/>
      <c r="L326" s="10"/>
      <c r="M326" s="10"/>
      <c r="N326" s="10"/>
      <c r="O326" s="10"/>
      <c r="P326" s="85"/>
      <c r="Q326" s="88"/>
      <c r="R326" s="3">
        <f>IFERROR(VLOOKUP(TablaMarzo[[#This Row],[BARRIO]],SECTOR!$A:$B,2,0),"")</f>
      </c>
      <c r="S326" s="89"/>
      <c r="T326" s="90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6"/>
      <c r="AZ326" s="120">
        <f>COUNTIF(U326:AY326,"A")</f>
      </c>
      <c r="BA326" s="121">
        <f>COUNTIF(U326:AY326,"F")</f>
      </c>
      <c r="BB326" s="119">
        <f>COUNTIF(U326:AY326,"E")</f>
      </c>
    </row>
    <row r="327" spans="1:54" x14ac:dyDescent="0.2">
      <c r="A327" s="84"/>
      <c r="B327" s="85"/>
      <c r="C327" s="85"/>
      <c r="D327" s="85"/>
      <c r="E327" s="86"/>
      <c r="F327" s="16">
        <f>IF(E327="","",DATEDIF(E327,$I$7,"Y"))</f>
      </c>
      <c r="G327" s="85"/>
      <c r="H327" s="85"/>
      <c r="I327" s="87"/>
      <c r="J327" s="85"/>
      <c r="K327" s="85"/>
      <c r="L327" s="10"/>
      <c r="M327" s="10"/>
      <c r="N327" s="10"/>
      <c r="O327" s="10"/>
      <c r="P327" s="85"/>
      <c r="Q327" s="88"/>
      <c r="R327" s="3">
        <f>IFERROR(VLOOKUP(TablaMarzo[[#This Row],[BARRIO]],SECTOR!$A:$B,2,0),"")</f>
      </c>
      <c r="S327" s="89"/>
      <c r="T327" s="90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6"/>
      <c r="AZ327" s="120">
        <f>COUNTIF(U327:AY327,"A")</f>
      </c>
      <c r="BA327" s="121">
        <f>COUNTIF(U327:AY327,"F")</f>
      </c>
      <c r="BB327" s="119">
        <f>COUNTIF(U327:AY327,"E")</f>
      </c>
    </row>
    <row r="328" spans="1:54" x14ac:dyDescent="0.2">
      <c r="A328" s="84"/>
      <c r="B328" s="85"/>
      <c r="C328" s="85"/>
      <c r="D328" s="85"/>
      <c r="E328" s="86"/>
      <c r="F328" s="16">
        <f>IF(E328="","",DATEDIF(E328,$I$7,"Y"))</f>
      </c>
      <c r="G328" s="85"/>
      <c r="H328" s="85"/>
      <c r="I328" s="87"/>
      <c r="J328" s="85"/>
      <c r="K328" s="85"/>
      <c r="L328" s="10"/>
      <c r="M328" s="10"/>
      <c r="N328" s="10"/>
      <c r="O328" s="10"/>
      <c r="P328" s="85"/>
      <c r="Q328" s="88"/>
      <c r="R328" s="3">
        <f>IFERROR(VLOOKUP(TablaMarzo[[#This Row],[BARRIO]],SECTOR!$A:$B,2,0),"")</f>
      </c>
      <c r="S328" s="89"/>
      <c r="T328" s="90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6"/>
      <c r="AZ328" s="120">
        <f>COUNTIF(U328:AY328,"A")</f>
      </c>
      <c r="BA328" s="121">
        <f>COUNTIF(U328:AY328,"F")</f>
      </c>
      <c r="BB328" s="119">
        <f>COUNTIF(U328:AY328,"E")</f>
      </c>
    </row>
    <row r="329" spans="1:54" x14ac:dyDescent="0.2">
      <c r="A329" s="84"/>
      <c r="B329" s="85"/>
      <c r="C329" s="85"/>
      <c r="D329" s="85"/>
      <c r="E329" s="86"/>
      <c r="F329" s="16">
        <f>IF(E329="","",DATEDIF(E329,$I$7,"Y"))</f>
      </c>
      <c r="G329" s="85"/>
      <c r="H329" s="85"/>
      <c r="I329" s="87"/>
      <c r="J329" s="85"/>
      <c r="K329" s="85"/>
      <c r="L329" s="10"/>
      <c r="M329" s="10"/>
      <c r="N329" s="10"/>
      <c r="O329" s="10"/>
      <c r="P329" s="85"/>
      <c r="Q329" s="88"/>
      <c r="R329" s="3">
        <f>IFERROR(VLOOKUP(TablaMarzo[[#This Row],[BARRIO]],SECTOR!$A:$B,2,0),"")</f>
      </c>
      <c r="S329" s="89"/>
      <c r="T329" s="90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6"/>
      <c r="AZ329" s="120">
        <f>COUNTIF(U329:AY329,"A")</f>
      </c>
      <c r="BA329" s="121">
        <f>COUNTIF(U329:AY329,"F")</f>
      </c>
      <c r="BB329" s="119">
        <f>COUNTIF(U329:AY329,"E")</f>
      </c>
    </row>
    <row r="330" spans="1:54" x14ac:dyDescent="0.2">
      <c r="A330" s="84"/>
      <c r="B330" s="85"/>
      <c r="C330" s="85"/>
      <c r="D330" s="85"/>
      <c r="E330" s="86"/>
      <c r="F330" s="16">
        <f>IF(E330="","",DATEDIF(E330,$I$7,"Y"))</f>
      </c>
      <c r="G330" s="85"/>
      <c r="H330" s="85"/>
      <c r="I330" s="87"/>
      <c r="J330" s="85"/>
      <c r="K330" s="85"/>
      <c r="L330" s="10"/>
      <c r="M330" s="10"/>
      <c r="N330" s="10"/>
      <c r="O330" s="10"/>
      <c r="P330" s="85"/>
      <c r="Q330" s="88"/>
      <c r="R330" s="3">
        <f>IFERROR(VLOOKUP(TablaMarzo[[#This Row],[BARRIO]],SECTOR!$A:$B,2,0),"")</f>
      </c>
      <c r="S330" s="89"/>
      <c r="T330" s="90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6"/>
      <c r="AZ330" s="120">
        <f>COUNTIF(U330:AY330,"A")</f>
      </c>
      <c r="BA330" s="121">
        <f>COUNTIF(U330:AY330,"F")</f>
      </c>
      <c r="BB330" s="119">
        <f>COUNTIF(U330:AY330,"E")</f>
      </c>
    </row>
    <row r="331" spans="1:54" x14ac:dyDescent="0.2">
      <c r="A331" s="84"/>
      <c r="B331" s="85"/>
      <c r="C331" s="85"/>
      <c r="D331" s="85"/>
      <c r="E331" s="86"/>
      <c r="F331" s="16">
        <f>IF(E331="","",DATEDIF(E331,$I$7,"Y"))</f>
      </c>
      <c r="G331" s="85"/>
      <c r="H331" s="85"/>
      <c r="I331" s="87"/>
      <c r="J331" s="85"/>
      <c r="K331" s="85"/>
      <c r="L331" s="10"/>
      <c r="M331" s="10"/>
      <c r="N331" s="10"/>
      <c r="O331" s="10"/>
      <c r="P331" s="85"/>
      <c r="Q331" s="88"/>
      <c r="R331" s="3">
        <f>IFERROR(VLOOKUP(TablaMarzo[[#This Row],[BARRIO]],SECTOR!$A:$B,2,0),"")</f>
      </c>
      <c r="S331" s="89"/>
      <c r="T331" s="90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6"/>
      <c r="AZ331" s="120">
        <f>COUNTIF(U331:AY331,"A")</f>
      </c>
      <c r="BA331" s="121">
        <f>COUNTIF(U331:AY331,"F")</f>
      </c>
      <c r="BB331" s="119">
        <f>COUNTIF(U331:AY331,"E")</f>
      </c>
    </row>
    <row r="332" spans="1:54" x14ac:dyDescent="0.2">
      <c r="A332" s="84"/>
      <c r="B332" s="85"/>
      <c r="C332" s="85"/>
      <c r="D332" s="85"/>
      <c r="E332" s="86"/>
      <c r="F332" s="16">
        <f>IF(E332="","",DATEDIF(E332,$I$7,"Y"))</f>
      </c>
      <c r="G332" s="85"/>
      <c r="H332" s="85"/>
      <c r="I332" s="87"/>
      <c r="J332" s="85"/>
      <c r="K332" s="85"/>
      <c r="L332" s="10"/>
      <c r="M332" s="10"/>
      <c r="N332" s="10"/>
      <c r="O332" s="10"/>
      <c r="P332" s="85"/>
      <c r="Q332" s="88"/>
      <c r="R332" s="3">
        <f>IFERROR(VLOOKUP(TablaMarzo[[#This Row],[BARRIO]],SECTOR!$A:$B,2,0),"")</f>
      </c>
      <c r="S332" s="89"/>
      <c r="T332" s="90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6"/>
      <c r="AZ332" s="120">
        <f>COUNTIF(U332:AY332,"A")</f>
      </c>
      <c r="BA332" s="121">
        <f>COUNTIF(U332:AY332,"F")</f>
      </c>
      <c r="BB332" s="119">
        <f>COUNTIF(U332:AY332,"E")</f>
      </c>
    </row>
    <row r="333" spans="1:54" x14ac:dyDescent="0.2">
      <c r="A333" s="84"/>
      <c r="B333" s="85"/>
      <c r="C333" s="85"/>
      <c r="D333" s="85"/>
      <c r="E333" s="86"/>
      <c r="F333" s="16">
        <f>IF(E333="","",DATEDIF(E333,$I$7,"Y"))</f>
      </c>
      <c r="G333" s="85"/>
      <c r="H333" s="85"/>
      <c r="I333" s="87"/>
      <c r="J333" s="85"/>
      <c r="K333" s="85"/>
      <c r="L333" s="10"/>
      <c r="M333" s="10"/>
      <c r="N333" s="10"/>
      <c r="O333" s="10"/>
      <c r="P333" s="85"/>
      <c r="Q333" s="88"/>
      <c r="R333" s="3">
        <f>IFERROR(VLOOKUP(TablaMarzo[[#This Row],[BARRIO]],SECTOR!$A:$B,2,0),"")</f>
      </c>
      <c r="S333" s="89"/>
      <c r="T333" s="90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6"/>
      <c r="AZ333" s="120">
        <f>COUNTIF(U333:AY333,"A")</f>
      </c>
      <c r="BA333" s="121">
        <f>COUNTIF(U333:AY333,"F")</f>
      </c>
      <c r="BB333" s="119">
        <f>COUNTIF(U333:AY333,"E")</f>
      </c>
    </row>
    <row r="334" spans="1:54" x14ac:dyDescent="0.2">
      <c r="A334" s="84"/>
      <c r="B334" s="85"/>
      <c r="C334" s="85"/>
      <c r="D334" s="85"/>
      <c r="E334" s="86"/>
      <c r="F334" s="16">
        <f>IF(E334="","",DATEDIF(E334,$I$7,"Y"))</f>
      </c>
      <c r="G334" s="85"/>
      <c r="H334" s="85"/>
      <c r="I334" s="87"/>
      <c r="J334" s="85"/>
      <c r="K334" s="85"/>
      <c r="L334" s="10"/>
      <c r="M334" s="10"/>
      <c r="N334" s="10"/>
      <c r="O334" s="10"/>
      <c r="P334" s="85"/>
      <c r="Q334" s="88"/>
      <c r="R334" s="3">
        <f>IFERROR(VLOOKUP(TablaMarzo[[#This Row],[BARRIO]],SECTOR!$A:$B,2,0),"")</f>
      </c>
      <c r="S334" s="89"/>
      <c r="T334" s="90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6"/>
      <c r="AZ334" s="120">
        <f>COUNTIF(U334:AY334,"A")</f>
      </c>
      <c r="BA334" s="121">
        <f>COUNTIF(U334:AY334,"F")</f>
      </c>
      <c r="BB334" s="119">
        <f>COUNTIF(U334:AY334,"E")</f>
      </c>
    </row>
    <row r="335" spans="1:54" x14ac:dyDescent="0.2">
      <c r="A335" s="84"/>
      <c r="B335" s="85"/>
      <c r="C335" s="85"/>
      <c r="D335" s="85"/>
      <c r="E335" s="86"/>
      <c r="F335" s="16">
        <f>IF(E335="","",DATEDIF(E335,$I$7,"Y"))</f>
      </c>
      <c r="G335" s="85"/>
      <c r="H335" s="85"/>
      <c r="I335" s="87"/>
      <c r="J335" s="85"/>
      <c r="K335" s="85"/>
      <c r="L335" s="10"/>
      <c r="M335" s="10"/>
      <c r="N335" s="10"/>
      <c r="O335" s="10"/>
      <c r="P335" s="85"/>
      <c r="Q335" s="88"/>
      <c r="R335" s="3">
        <f>IFERROR(VLOOKUP(TablaMarzo[[#This Row],[BARRIO]],SECTOR!$A:$B,2,0),"")</f>
      </c>
      <c r="S335" s="89"/>
      <c r="T335" s="90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6"/>
      <c r="AZ335" s="120">
        <f>COUNTIF(U335:AY335,"A")</f>
      </c>
      <c r="BA335" s="121">
        <f>COUNTIF(U335:AY335,"F")</f>
      </c>
      <c r="BB335" s="119">
        <f>COUNTIF(U335:AY335,"E")</f>
      </c>
    </row>
    <row r="336" spans="1:54" x14ac:dyDescent="0.2">
      <c r="A336" s="84"/>
      <c r="B336" s="85"/>
      <c r="C336" s="85"/>
      <c r="D336" s="85"/>
      <c r="E336" s="86"/>
      <c r="F336" s="16">
        <f>IF(E336="","",DATEDIF(E336,$I$7,"Y"))</f>
      </c>
      <c r="G336" s="85"/>
      <c r="H336" s="85"/>
      <c r="I336" s="87"/>
      <c r="J336" s="85"/>
      <c r="K336" s="85"/>
      <c r="L336" s="10"/>
      <c r="M336" s="10"/>
      <c r="N336" s="10"/>
      <c r="O336" s="10"/>
      <c r="P336" s="85"/>
      <c r="Q336" s="88"/>
      <c r="R336" s="3">
        <f>IFERROR(VLOOKUP(TablaMarzo[[#This Row],[BARRIO]],SECTOR!$A:$B,2,0),"")</f>
      </c>
      <c r="S336" s="89"/>
      <c r="T336" s="90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6"/>
      <c r="AZ336" s="120">
        <f>COUNTIF(U336:AY336,"A")</f>
      </c>
      <c r="BA336" s="121">
        <f>COUNTIF(U336:AY336,"F")</f>
      </c>
      <c r="BB336" s="119">
        <f>COUNTIF(U336:AY336,"E")</f>
      </c>
    </row>
    <row r="337" spans="1:54" x14ac:dyDescent="0.2">
      <c r="A337" s="84"/>
      <c r="B337" s="85"/>
      <c r="C337" s="85"/>
      <c r="D337" s="85"/>
      <c r="E337" s="86"/>
      <c r="F337" s="16">
        <f>IF(E337="","",DATEDIF(E337,$I$7,"Y"))</f>
      </c>
      <c r="G337" s="85"/>
      <c r="H337" s="85"/>
      <c r="I337" s="87"/>
      <c r="J337" s="85"/>
      <c r="K337" s="85"/>
      <c r="L337" s="10"/>
      <c r="M337" s="10"/>
      <c r="N337" s="10"/>
      <c r="O337" s="10"/>
      <c r="P337" s="85"/>
      <c r="Q337" s="88"/>
      <c r="R337" s="3">
        <f>IFERROR(VLOOKUP(TablaMarzo[[#This Row],[BARRIO]],SECTOR!$A:$B,2,0),"")</f>
      </c>
      <c r="S337" s="89"/>
      <c r="T337" s="90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6"/>
      <c r="AZ337" s="120">
        <f>COUNTIF(U337:AY337,"A")</f>
      </c>
      <c r="BA337" s="121">
        <f>COUNTIF(U337:AY337,"F")</f>
      </c>
      <c r="BB337" s="119">
        <f>COUNTIF(U337:AY337,"E")</f>
      </c>
    </row>
    <row r="338" spans="1:54" x14ac:dyDescent="0.2">
      <c r="A338" s="84"/>
      <c r="B338" s="85"/>
      <c r="C338" s="85"/>
      <c r="D338" s="85"/>
      <c r="E338" s="86"/>
      <c r="F338" s="16">
        <f>IF(E338="","",DATEDIF(E338,$I$7,"Y"))</f>
      </c>
      <c r="G338" s="85"/>
      <c r="H338" s="85"/>
      <c r="I338" s="87"/>
      <c r="J338" s="85"/>
      <c r="K338" s="85"/>
      <c r="L338" s="10"/>
      <c r="M338" s="10"/>
      <c r="N338" s="10"/>
      <c r="O338" s="10"/>
      <c r="P338" s="85"/>
      <c r="Q338" s="88"/>
      <c r="R338" s="3">
        <f>IFERROR(VLOOKUP(TablaMarzo[[#This Row],[BARRIO]],SECTOR!$A:$B,2,0),"")</f>
      </c>
      <c r="S338" s="89"/>
      <c r="T338" s="90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6"/>
      <c r="AZ338" s="120">
        <f>COUNTIF(U338:AY338,"A")</f>
      </c>
      <c r="BA338" s="121">
        <f>COUNTIF(U338:AY338,"F")</f>
      </c>
      <c r="BB338" s="119">
        <f>COUNTIF(U338:AY338,"E")</f>
      </c>
    </row>
    <row r="339" spans="1:54" x14ac:dyDescent="0.2">
      <c r="A339" s="84"/>
      <c r="B339" s="85"/>
      <c r="C339" s="85"/>
      <c r="D339" s="85"/>
      <c r="E339" s="86"/>
      <c r="F339" s="16">
        <f>IF(E339="","",DATEDIF(E339,$I$7,"Y"))</f>
      </c>
      <c r="G339" s="85"/>
      <c r="H339" s="85"/>
      <c r="I339" s="87"/>
      <c r="J339" s="85"/>
      <c r="K339" s="85"/>
      <c r="L339" s="10"/>
      <c r="M339" s="10"/>
      <c r="N339" s="10"/>
      <c r="O339" s="10"/>
      <c r="P339" s="85"/>
      <c r="Q339" s="88"/>
      <c r="R339" s="3">
        <f>IFERROR(VLOOKUP(TablaMarzo[[#This Row],[BARRIO]],SECTOR!$A:$B,2,0),"")</f>
      </c>
      <c r="S339" s="89"/>
      <c r="T339" s="90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6"/>
      <c r="AZ339" s="120">
        <f>COUNTIF(U339:AY339,"A")</f>
      </c>
      <c r="BA339" s="121">
        <f>COUNTIF(U339:AY339,"F")</f>
      </c>
      <c r="BB339" s="119">
        <f>COUNTIF(U339:AY339,"E")</f>
      </c>
    </row>
    <row r="340" spans="1:54" x14ac:dyDescent="0.2">
      <c r="A340" s="84"/>
      <c r="B340" s="85"/>
      <c r="C340" s="85"/>
      <c r="D340" s="85"/>
      <c r="E340" s="86"/>
      <c r="F340" s="16">
        <f>IF(E340="","",DATEDIF(E340,$I$7,"Y"))</f>
      </c>
      <c r="G340" s="85"/>
      <c r="H340" s="85"/>
      <c r="I340" s="87"/>
      <c r="J340" s="85"/>
      <c r="K340" s="85"/>
      <c r="L340" s="10"/>
      <c r="M340" s="10"/>
      <c r="N340" s="10"/>
      <c r="O340" s="10"/>
      <c r="P340" s="85"/>
      <c r="Q340" s="88"/>
      <c r="R340" s="3">
        <f>IFERROR(VLOOKUP(TablaMarzo[[#This Row],[BARRIO]],SECTOR!$A:$B,2,0),"")</f>
      </c>
      <c r="S340" s="89"/>
      <c r="T340" s="90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6"/>
      <c r="AZ340" s="120">
        <f>COUNTIF(U340:AY340,"A")</f>
      </c>
      <c r="BA340" s="121">
        <f>COUNTIF(U340:AY340,"F")</f>
      </c>
      <c r="BB340" s="119">
        <f>COUNTIF(U340:AY340,"E")</f>
      </c>
    </row>
    <row r="341" spans="1:54" x14ac:dyDescent="0.2">
      <c r="A341" s="84"/>
      <c r="B341" s="85"/>
      <c r="C341" s="85"/>
      <c r="D341" s="85"/>
      <c r="E341" s="86"/>
      <c r="F341" s="16">
        <f>IF(E341="","",DATEDIF(E341,$I$7,"Y"))</f>
      </c>
      <c r="G341" s="85"/>
      <c r="H341" s="85"/>
      <c r="I341" s="87"/>
      <c r="J341" s="85"/>
      <c r="K341" s="85"/>
      <c r="L341" s="10"/>
      <c r="M341" s="10"/>
      <c r="N341" s="10"/>
      <c r="O341" s="10"/>
      <c r="P341" s="85"/>
      <c r="Q341" s="88"/>
      <c r="R341" s="3">
        <f>IFERROR(VLOOKUP(TablaMarzo[[#This Row],[BARRIO]],SECTOR!$A:$B,2,0),"")</f>
      </c>
      <c r="S341" s="89"/>
      <c r="T341" s="90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6"/>
      <c r="AZ341" s="120">
        <f>COUNTIF(U341:AY341,"A")</f>
      </c>
      <c r="BA341" s="121">
        <f>COUNTIF(U341:AY341,"F")</f>
      </c>
      <c r="BB341" s="119">
        <f>COUNTIF(U341:AY341,"E")</f>
      </c>
    </row>
    <row r="342" spans="1:54" x14ac:dyDescent="0.2">
      <c r="A342" s="84"/>
      <c r="B342" s="85"/>
      <c r="C342" s="85"/>
      <c r="D342" s="85"/>
      <c r="E342" s="86"/>
      <c r="F342" s="16">
        <f>IF(E342="","",DATEDIF(E342,$I$7,"Y"))</f>
      </c>
      <c r="G342" s="85"/>
      <c r="H342" s="85"/>
      <c r="I342" s="87"/>
      <c r="J342" s="85"/>
      <c r="K342" s="85"/>
      <c r="L342" s="10"/>
      <c r="M342" s="10"/>
      <c r="N342" s="10"/>
      <c r="O342" s="10"/>
      <c r="P342" s="85"/>
      <c r="Q342" s="88"/>
      <c r="R342" s="3">
        <f>IFERROR(VLOOKUP(TablaMarzo[[#This Row],[BARRIO]],SECTOR!$A:$B,2,0),"")</f>
      </c>
      <c r="S342" s="89"/>
      <c r="T342" s="90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6"/>
      <c r="AZ342" s="120">
        <f>COUNTIF(U342:AY342,"A")</f>
      </c>
      <c r="BA342" s="121">
        <f>COUNTIF(U342:AY342,"F")</f>
      </c>
      <c r="BB342" s="119">
        <f>COUNTIF(U342:AY342,"E")</f>
      </c>
    </row>
    <row r="343" spans="1:54" x14ac:dyDescent="0.2">
      <c r="A343" s="84"/>
      <c r="B343" s="85"/>
      <c r="C343" s="85"/>
      <c r="D343" s="85"/>
      <c r="E343" s="86"/>
      <c r="F343" s="16">
        <f>IF(E343="","",DATEDIF(E343,$I$7,"Y"))</f>
      </c>
      <c r="G343" s="85"/>
      <c r="H343" s="85"/>
      <c r="I343" s="87"/>
      <c r="J343" s="85"/>
      <c r="K343" s="85"/>
      <c r="L343" s="10"/>
      <c r="M343" s="10"/>
      <c r="N343" s="10"/>
      <c r="O343" s="10"/>
      <c r="P343" s="85"/>
      <c r="Q343" s="88"/>
      <c r="R343" s="3">
        <f>IFERROR(VLOOKUP(TablaMarzo[[#This Row],[BARRIO]],SECTOR!$A:$B,2,0),"")</f>
      </c>
      <c r="S343" s="89"/>
      <c r="T343" s="90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6"/>
      <c r="AZ343" s="120">
        <f>COUNTIF(U343:AY343,"A")</f>
      </c>
      <c r="BA343" s="121">
        <f>COUNTIF(U343:AY343,"F")</f>
      </c>
      <c r="BB343" s="119">
        <f>COUNTIF(U343:AY343,"E")</f>
      </c>
    </row>
    <row r="344" spans="1:54" x14ac:dyDescent="0.2">
      <c r="A344" s="84"/>
      <c r="B344" s="85"/>
      <c r="C344" s="85"/>
      <c r="D344" s="85"/>
      <c r="E344" s="86"/>
      <c r="F344" s="16">
        <f>IF(E344="","",DATEDIF(E344,$I$7,"Y"))</f>
      </c>
      <c r="G344" s="85"/>
      <c r="H344" s="85"/>
      <c r="I344" s="87"/>
      <c r="J344" s="85"/>
      <c r="K344" s="85"/>
      <c r="L344" s="10"/>
      <c r="M344" s="10"/>
      <c r="N344" s="10"/>
      <c r="O344" s="10"/>
      <c r="P344" s="85"/>
      <c r="Q344" s="88"/>
      <c r="R344" s="3">
        <f>IFERROR(VLOOKUP(TablaMarzo[[#This Row],[BARRIO]],SECTOR!$A:$B,2,0),"")</f>
      </c>
      <c r="S344" s="89"/>
      <c r="T344" s="90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6"/>
      <c r="AZ344" s="120">
        <f>COUNTIF(U344:AY344,"A")</f>
      </c>
      <c r="BA344" s="121">
        <f>COUNTIF(U344:AY344,"F")</f>
      </c>
      <c r="BB344" s="119">
        <f>COUNTIF(U344:AY344,"E")</f>
      </c>
    </row>
    <row r="345" spans="1:54" x14ac:dyDescent="0.2">
      <c r="A345" s="84"/>
      <c r="B345" s="85"/>
      <c r="C345" s="85"/>
      <c r="D345" s="85"/>
      <c r="E345" s="86"/>
      <c r="F345" s="16">
        <f>IF(E345="","",DATEDIF(E345,$I$7,"Y"))</f>
      </c>
      <c r="G345" s="85"/>
      <c r="H345" s="85"/>
      <c r="I345" s="87"/>
      <c r="J345" s="85"/>
      <c r="K345" s="85"/>
      <c r="L345" s="10"/>
      <c r="M345" s="10"/>
      <c r="N345" s="10"/>
      <c r="O345" s="10"/>
      <c r="P345" s="85"/>
      <c r="Q345" s="88"/>
      <c r="R345" s="3">
        <f>IFERROR(VLOOKUP(TablaMarzo[[#This Row],[BARRIO]],SECTOR!$A:$B,2,0),"")</f>
      </c>
      <c r="S345" s="89"/>
      <c r="T345" s="90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6"/>
      <c r="AZ345" s="120">
        <f>COUNTIF(U345:AY345,"A")</f>
      </c>
      <c r="BA345" s="121">
        <f>COUNTIF(U345:AY345,"F")</f>
      </c>
      <c r="BB345" s="119">
        <f>COUNTIF(U345:AY345,"E")</f>
      </c>
    </row>
    <row r="346" spans="1:54" x14ac:dyDescent="0.2">
      <c r="A346" s="84"/>
      <c r="B346" s="85"/>
      <c r="C346" s="85"/>
      <c r="D346" s="85"/>
      <c r="E346" s="86"/>
      <c r="F346" s="16">
        <f>IF(E346="","",DATEDIF(E346,$I$7,"Y"))</f>
      </c>
      <c r="G346" s="85"/>
      <c r="H346" s="85"/>
      <c r="I346" s="87"/>
      <c r="J346" s="85"/>
      <c r="K346" s="85"/>
      <c r="L346" s="10"/>
      <c r="M346" s="10"/>
      <c r="N346" s="10"/>
      <c r="O346" s="10"/>
      <c r="P346" s="85"/>
      <c r="Q346" s="88"/>
      <c r="R346" s="3">
        <f>IFERROR(VLOOKUP(TablaMarzo[[#This Row],[BARRIO]],SECTOR!$A:$B,2,0),"")</f>
      </c>
      <c r="S346" s="89"/>
      <c r="T346" s="90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6"/>
      <c r="AZ346" s="120">
        <f>COUNTIF(U346:AY346,"A")</f>
      </c>
      <c r="BA346" s="121">
        <f>COUNTIF(U346:AY346,"F")</f>
      </c>
      <c r="BB346" s="119">
        <f>COUNTIF(U346:AY346,"E")</f>
      </c>
    </row>
    <row r="347" spans="1:54" x14ac:dyDescent="0.2">
      <c r="A347" s="84"/>
      <c r="B347" s="85"/>
      <c r="C347" s="85"/>
      <c r="D347" s="85"/>
      <c r="E347" s="86"/>
      <c r="F347" s="16">
        <f>IF(E347="","",DATEDIF(E347,$I$7,"Y"))</f>
      </c>
      <c r="G347" s="85"/>
      <c r="H347" s="85"/>
      <c r="I347" s="87"/>
      <c r="J347" s="85"/>
      <c r="K347" s="85"/>
      <c r="L347" s="10"/>
      <c r="M347" s="10"/>
      <c r="N347" s="10"/>
      <c r="O347" s="10"/>
      <c r="P347" s="85"/>
      <c r="Q347" s="88"/>
      <c r="R347" s="3">
        <f>IFERROR(VLOOKUP(TablaMarzo[[#This Row],[BARRIO]],SECTOR!$A:$B,2,0),"")</f>
      </c>
      <c r="S347" s="89"/>
      <c r="T347" s="90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6"/>
      <c r="AZ347" s="120">
        <f>COUNTIF(U347:AY347,"A")</f>
      </c>
      <c r="BA347" s="121">
        <f>COUNTIF(U347:AY347,"F")</f>
      </c>
      <c r="BB347" s="119">
        <f>COUNTIF(U347:AY347,"E")</f>
      </c>
    </row>
    <row r="348" spans="1:54" x14ac:dyDescent="0.2">
      <c r="A348" s="84"/>
      <c r="B348" s="85"/>
      <c r="C348" s="85"/>
      <c r="D348" s="85"/>
      <c r="E348" s="86"/>
      <c r="F348" s="16">
        <f>IF(E348="","",DATEDIF(E348,$I$7,"Y"))</f>
      </c>
      <c r="G348" s="85"/>
      <c r="H348" s="85"/>
      <c r="I348" s="87"/>
      <c r="J348" s="85"/>
      <c r="K348" s="85"/>
      <c r="L348" s="10"/>
      <c r="M348" s="10"/>
      <c r="N348" s="10"/>
      <c r="O348" s="10"/>
      <c r="P348" s="85"/>
      <c r="Q348" s="88"/>
      <c r="R348" s="3">
        <f>IFERROR(VLOOKUP(TablaMarzo[[#This Row],[BARRIO]],SECTOR!$A:$B,2,0),"")</f>
      </c>
      <c r="S348" s="89"/>
      <c r="T348" s="90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6"/>
      <c r="AZ348" s="120">
        <f>COUNTIF(U348:AY348,"A")</f>
      </c>
      <c r="BA348" s="121">
        <f>COUNTIF(U348:AY348,"F")</f>
      </c>
      <c r="BB348" s="119">
        <f>COUNTIF(U348:AY348,"E")</f>
      </c>
    </row>
    <row r="349" spans="1:54" x14ac:dyDescent="0.2">
      <c r="A349" s="84"/>
      <c r="B349" s="85"/>
      <c r="C349" s="85"/>
      <c r="D349" s="85"/>
      <c r="E349" s="86"/>
      <c r="F349" s="16">
        <f>IF(E349="","",DATEDIF(E349,$I$7,"Y"))</f>
      </c>
      <c r="G349" s="85"/>
      <c r="H349" s="85"/>
      <c r="I349" s="87"/>
      <c r="J349" s="85"/>
      <c r="K349" s="85"/>
      <c r="L349" s="10"/>
      <c r="M349" s="10"/>
      <c r="N349" s="10"/>
      <c r="O349" s="10"/>
      <c r="P349" s="85"/>
      <c r="Q349" s="88"/>
      <c r="R349" s="3">
        <f>IFERROR(VLOOKUP(TablaMarzo[[#This Row],[BARRIO]],SECTOR!$A:$B,2,0),"")</f>
      </c>
      <c r="S349" s="89"/>
      <c r="T349" s="90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6"/>
      <c r="AZ349" s="120">
        <f>COUNTIF(U349:AY349,"A")</f>
      </c>
      <c r="BA349" s="121">
        <f>COUNTIF(U349:AY349,"F")</f>
      </c>
      <c r="BB349" s="119">
        <f>COUNTIF(U349:AY349,"E")</f>
      </c>
    </row>
    <row r="350" spans="1:54" x14ac:dyDescent="0.2">
      <c r="A350" s="84"/>
      <c r="B350" s="85"/>
      <c r="C350" s="85"/>
      <c r="D350" s="85"/>
      <c r="E350" s="86"/>
      <c r="F350" s="16">
        <f>IF(E350="","",DATEDIF(E350,$I$7,"Y"))</f>
      </c>
      <c r="G350" s="85"/>
      <c r="H350" s="85"/>
      <c r="I350" s="87"/>
      <c r="J350" s="85"/>
      <c r="K350" s="85"/>
      <c r="L350" s="10"/>
      <c r="M350" s="10"/>
      <c r="N350" s="10"/>
      <c r="O350" s="10"/>
      <c r="P350" s="85"/>
      <c r="Q350" s="88"/>
      <c r="R350" s="3">
        <f>IFERROR(VLOOKUP(TablaMarzo[[#This Row],[BARRIO]],SECTOR!$A:$B,2,0),"")</f>
      </c>
      <c r="S350" s="89"/>
      <c r="T350" s="90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6"/>
      <c r="AZ350" s="120">
        <f>COUNTIF(U350:AY350,"A")</f>
      </c>
      <c r="BA350" s="121">
        <f>COUNTIF(U350:AY350,"F")</f>
      </c>
      <c r="BB350" s="119">
        <f>COUNTIF(U350:AY350,"E")</f>
      </c>
    </row>
    <row r="351" spans="1:54" x14ac:dyDescent="0.2">
      <c r="A351" s="84"/>
      <c r="B351" s="85"/>
      <c r="C351" s="85"/>
      <c r="D351" s="85"/>
      <c r="E351" s="86"/>
      <c r="F351" s="16">
        <f>IF(E351="","",DATEDIF(E351,$I$7,"Y"))</f>
      </c>
      <c r="G351" s="85"/>
      <c r="H351" s="85"/>
      <c r="I351" s="87"/>
      <c r="J351" s="85"/>
      <c r="K351" s="85"/>
      <c r="L351" s="10"/>
      <c r="M351" s="10"/>
      <c r="N351" s="10"/>
      <c r="O351" s="10"/>
      <c r="P351" s="85"/>
      <c r="Q351" s="88"/>
      <c r="R351" s="3">
        <f>IFERROR(VLOOKUP(TablaMarzo[[#This Row],[BARRIO]],SECTOR!$A:$B,2,0),"")</f>
      </c>
      <c r="S351" s="89"/>
      <c r="T351" s="90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6"/>
      <c r="AZ351" s="120">
        <f>COUNTIF(U351:AY351,"A")</f>
      </c>
      <c r="BA351" s="121">
        <f>COUNTIF(U351:AY351,"F")</f>
      </c>
      <c r="BB351" s="119">
        <f>COUNTIF(U351:AY351,"E")</f>
      </c>
    </row>
    <row r="352" spans="1:54" x14ac:dyDescent="0.2">
      <c r="A352" s="84"/>
      <c r="B352" s="85"/>
      <c r="C352" s="85"/>
      <c r="D352" s="85"/>
      <c r="E352" s="86"/>
      <c r="F352" s="16">
        <f>IF(E352="","",DATEDIF(E352,$I$7,"Y"))</f>
      </c>
      <c r="G352" s="85"/>
      <c r="H352" s="85"/>
      <c r="I352" s="87"/>
      <c r="J352" s="85"/>
      <c r="K352" s="85"/>
      <c r="L352" s="10"/>
      <c r="M352" s="10"/>
      <c r="N352" s="10"/>
      <c r="O352" s="10"/>
      <c r="P352" s="85"/>
      <c r="Q352" s="88"/>
      <c r="R352" s="3">
        <f>IFERROR(VLOOKUP(TablaMarzo[[#This Row],[BARRIO]],SECTOR!$A:$B,2,0),"")</f>
      </c>
      <c r="S352" s="89"/>
      <c r="T352" s="90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6"/>
      <c r="AZ352" s="120">
        <f>COUNTIF(U352:AY352,"A")</f>
      </c>
      <c r="BA352" s="121">
        <f>COUNTIF(U352:AY352,"F")</f>
      </c>
      <c r="BB352" s="119">
        <f>COUNTIF(U352:AY352,"E")</f>
      </c>
    </row>
    <row r="353" spans="1:54" x14ac:dyDescent="0.2">
      <c r="A353" s="84"/>
      <c r="B353" s="85"/>
      <c r="C353" s="85"/>
      <c r="D353" s="85"/>
      <c r="E353" s="86"/>
      <c r="F353" s="16">
        <f>IF(E353="","",DATEDIF(E353,$I$7,"Y"))</f>
      </c>
      <c r="G353" s="85"/>
      <c r="H353" s="85"/>
      <c r="I353" s="87"/>
      <c r="J353" s="85"/>
      <c r="K353" s="85"/>
      <c r="L353" s="10"/>
      <c r="M353" s="10"/>
      <c r="N353" s="10"/>
      <c r="O353" s="10"/>
      <c r="P353" s="85"/>
      <c r="Q353" s="88"/>
      <c r="R353" s="3">
        <f>IFERROR(VLOOKUP(TablaMarzo[[#This Row],[BARRIO]],SECTOR!$A:$B,2,0),"")</f>
      </c>
      <c r="S353" s="89"/>
      <c r="T353" s="90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6"/>
      <c r="AZ353" s="120">
        <f>COUNTIF(U353:AY353,"A")</f>
      </c>
      <c r="BA353" s="121">
        <f>COUNTIF(U353:AY353,"F")</f>
      </c>
      <c r="BB353" s="119">
        <f>COUNTIF(U353:AY353,"E")</f>
      </c>
    </row>
    <row r="354" spans="1:54" x14ac:dyDescent="0.2">
      <c r="A354" s="84"/>
      <c r="B354" s="85"/>
      <c r="C354" s="85"/>
      <c r="D354" s="85"/>
      <c r="E354" s="86"/>
      <c r="F354" s="16">
        <f>IF(E354="","",DATEDIF(E354,$I$7,"Y"))</f>
      </c>
      <c r="G354" s="85"/>
      <c r="H354" s="85"/>
      <c r="I354" s="87"/>
      <c r="J354" s="85"/>
      <c r="K354" s="85"/>
      <c r="L354" s="10"/>
      <c r="M354" s="10"/>
      <c r="N354" s="10"/>
      <c r="O354" s="10"/>
      <c r="P354" s="85"/>
      <c r="Q354" s="88"/>
      <c r="R354" s="3">
        <f>IFERROR(VLOOKUP(TablaMarzo[[#This Row],[BARRIO]],SECTOR!$A:$B,2,0),"")</f>
      </c>
      <c r="S354" s="89"/>
      <c r="T354" s="90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6"/>
      <c r="AZ354" s="120">
        <f>COUNTIF(U354:AY354,"A")</f>
      </c>
      <c r="BA354" s="121">
        <f>COUNTIF(U354:AY354,"F")</f>
      </c>
      <c r="BB354" s="119">
        <f>COUNTIF(U354:AY354,"E")</f>
      </c>
    </row>
    <row r="355" spans="1:54" x14ac:dyDescent="0.2">
      <c r="A355" s="84"/>
      <c r="B355" s="85"/>
      <c r="C355" s="85"/>
      <c r="D355" s="85"/>
      <c r="E355" s="86"/>
      <c r="F355" s="16">
        <f>IF(E355="","",DATEDIF(E355,$I$7,"Y"))</f>
      </c>
      <c r="G355" s="85"/>
      <c r="H355" s="85"/>
      <c r="I355" s="87"/>
      <c r="J355" s="85"/>
      <c r="K355" s="85"/>
      <c r="L355" s="10"/>
      <c r="M355" s="10"/>
      <c r="N355" s="10"/>
      <c r="O355" s="10"/>
      <c r="P355" s="85"/>
      <c r="Q355" s="88"/>
      <c r="R355" s="3">
        <f>IFERROR(VLOOKUP(TablaMarzo[[#This Row],[BARRIO]],SECTOR!$A:$B,2,0),"")</f>
      </c>
      <c r="S355" s="89"/>
      <c r="T355" s="90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6"/>
      <c r="AZ355" s="120">
        <f>COUNTIF(U355:AY355,"A")</f>
      </c>
      <c r="BA355" s="121">
        <f>COUNTIF(U355:AY355,"F")</f>
      </c>
      <c r="BB355" s="119">
        <f>COUNTIF(U355:AY355,"E")</f>
      </c>
    </row>
    <row r="356" spans="1:54" x14ac:dyDescent="0.2">
      <c r="A356" s="84"/>
      <c r="B356" s="85"/>
      <c r="C356" s="85"/>
      <c r="D356" s="85"/>
      <c r="E356" s="86"/>
      <c r="F356" s="16">
        <f>IF(E356="","",DATEDIF(E356,$I$7,"Y"))</f>
      </c>
      <c r="G356" s="85"/>
      <c r="H356" s="85"/>
      <c r="I356" s="87"/>
      <c r="J356" s="85"/>
      <c r="K356" s="85"/>
      <c r="L356" s="10"/>
      <c r="M356" s="10"/>
      <c r="N356" s="10"/>
      <c r="O356" s="10"/>
      <c r="P356" s="85"/>
      <c r="Q356" s="88"/>
      <c r="R356" s="3">
        <f>IFERROR(VLOOKUP(TablaMarzo[[#This Row],[BARRIO]],SECTOR!$A:$B,2,0),"")</f>
      </c>
      <c r="S356" s="89"/>
      <c r="T356" s="90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6"/>
      <c r="AZ356" s="120">
        <f>COUNTIF(U356:AY356,"A")</f>
      </c>
      <c r="BA356" s="121">
        <f>COUNTIF(U356:AY356,"F")</f>
      </c>
      <c r="BB356" s="119">
        <f>COUNTIF(U356:AY356,"E")</f>
      </c>
    </row>
    <row r="357" spans="1:54" x14ac:dyDescent="0.2">
      <c r="A357" s="84"/>
      <c r="B357" s="85"/>
      <c r="C357" s="85"/>
      <c r="D357" s="85"/>
      <c r="E357" s="86"/>
      <c r="F357" s="16">
        <f>IF(E357="","",DATEDIF(E357,$I$7,"Y"))</f>
      </c>
      <c r="G357" s="85"/>
      <c r="H357" s="85"/>
      <c r="I357" s="87"/>
      <c r="J357" s="85"/>
      <c r="K357" s="85"/>
      <c r="L357" s="10"/>
      <c r="M357" s="10"/>
      <c r="N357" s="10"/>
      <c r="O357" s="10"/>
      <c r="P357" s="85"/>
      <c r="Q357" s="88"/>
      <c r="R357" s="3">
        <f>IFERROR(VLOOKUP(TablaMarzo[[#This Row],[BARRIO]],SECTOR!$A:$B,2,0),"")</f>
      </c>
      <c r="S357" s="89"/>
      <c r="T357" s="90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6"/>
      <c r="AZ357" s="120">
        <f>COUNTIF(U357:AY357,"A")</f>
      </c>
      <c r="BA357" s="121">
        <f>COUNTIF(U357:AY357,"F")</f>
      </c>
      <c r="BB357" s="119">
        <f>COUNTIF(U357:AY357,"E")</f>
      </c>
    </row>
    <row r="358" spans="1:54" x14ac:dyDescent="0.2">
      <c r="A358" s="84"/>
      <c r="B358" s="85"/>
      <c r="C358" s="85"/>
      <c r="D358" s="85"/>
      <c r="E358" s="86"/>
      <c r="F358" s="16">
        <f>IF(E358="","",DATEDIF(E358,$I$7,"Y"))</f>
      </c>
      <c r="G358" s="85"/>
      <c r="H358" s="85"/>
      <c r="I358" s="87"/>
      <c r="J358" s="85"/>
      <c r="K358" s="85"/>
      <c r="L358" s="10"/>
      <c r="M358" s="10"/>
      <c r="N358" s="10"/>
      <c r="O358" s="10"/>
      <c r="P358" s="85"/>
      <c r="Q358" s="88"/>
      <c r="R358" s="3">
        <f>IFERROR(VLOOKUP(TablaMarzo[[#This Row],[BARRIO]],SECTOR!$A:$B,2,0),"")</f>
      </c>
      <c r="S358" s="89"/>
      <c r="T358" s="90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6"/>
      <c r="AZ358" s="120">
        <f>COUNTIF(U358:AY358,"A")</f>
      </c>
      <c r="BA358" s="121">
        <f>COUNTIF(U358:AY358,"F")</f>
      </c>
      <c r="BB358" s="119">
        <f>COUNTIF(U358:AY358,"E")</f>
      </c>
    </row>
    <row r="359" spans="1:54" x14ac:dyDescent="0.2">
      <c r="A359" s="84"/>
      <c r="B359" s="85"/>
      <c r="C359" s="85"/>
      <c r="D359" s="85"/>
      <c r="E359" s="86"/>
      <c r="F359" s="16">
        <f>IF(E359="","",DATEDIF(E359,$I$7,"Y"))</f>
      </c>
      <c r="G359" s="85"/>
      <c r="H359" s="85"/>
      <c r="I359" s="87"/>
      <c r="J359" s="85"/>
      <c r="K359" s="85"/>
      <c r="L359" s="10"/>
      <c r="M359" s="10"/>
      <c r="N359" s="10"/>
      <c r="O359" s="10"/>
      <c r="P359" s="85"/>
      <c r="Q359" s="88"/>
      <c r="R359" s="3">
        <f>IFERROR(VLOOKUP(TablaMarzo[[#This Row],[BARRIO]],SECTOR!$A:$B,2,0),"")</f>
      </c>
      <c r="S359" s="89"/>
      <c r="T359" s="90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6"/>
      <c r="AZ359" s="120">
        <f>COUNTIF(U359:AY359,"A")</f>
      </c>
      <c r="BA359" s="121">
        <f>COUNTIF(U359:AY359,"F")</f>
      </c>
      <c r="BB359" s="119">
        <f>COUNTIF(U359:AY359,"E")</f>
      </c>
    </row>
    <row r="360" spans="1:54" x14ac:dyDescent="0.2">
      <c r="A360" s="84"/>
      <c r="B360" s="85"/>
      <c r="C360" s="85"/>
      <c r="D360" s="85"/>
      <c r="E360" s="86"/>
      <c r="F360" s="16">
        <f>IF(E360="","",DATEDIF(E360,$I$7,"Y"))</f>
      </c>
      <c r="G360" s="85"/>
      <c r="H360" s="85"/>
      <c r="I360" s="87"/>
      <c r="J360" s="85"/>
      <c r="K360" s="85"/>
      <c r="L360" s="10"/>
      <c r="M360" s="10"/>
      <c r="N360" s="10"/>
      <c r="O360" s="10"/>
      <c r="P360" s="85"/>
      <c r="Q360" s="88"/>
      <c r="R360" s="3">
        <f>IFERROR(VLOOKUP(TablaMarzo[[#This Row],[BARRIO]],SECTOR!$A:$B,2,0),"")</f>
      </c>
      <c r="S360" s="89"/>
      <c r="T360" s="90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6"/>
      <c r="AZ360" s="120">
        <f>COUNTIF(U360:AY360,"A")</f>
      </c>
      <c r="BA360" s="121">
        <f>COUNTIF(U360:AY360,"F")</f>
      </c>
      <c r="BB360" s="119">
        <f>COUNTIF(U360:AY360,"E")</f>
      </c>
    </row>
    <row r="361" spans="1:54" x14ac:dyDescent="0.2">
      <c r="A361" s="84"/>
      <c r="B361" s="85"/>
      <c r="C361" s="85"/>
      <c r="D361" s="85"/>
      <c r="E361" s="86"/>
      <c r="F361" s="16">
        <f>IF(E361="","",DATEDIF(E361,$I$7,"Y"))</f>
      </c>
      <c r="G361" s="85"/>
      <c r="H361" s="85"/>
      <c r="I361" s="87"/>
      <c r="J361" s="85"/>
      <c r="K361" s="85"/>
      <c r="L361" s="10"/>
      <c r="M361" s="10"/>
      <c r="N361" s="10"/>
      <c r="O361" s="10"/>
      <c r="P361" s="85"/>
      <c r="Q361" s="88"/>
      <c r="R361" s="3">
        <f>IFERROR(VLOOKUP(TablaMarzo[[#This Row],[BARRIO]],SECTOR!$A:$B,2,0),"")</f>
      </c>
      <c r="S361" s="89"/>
      <c r="T361" s="90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6"/>
      <c r="AZ361" s="120">
        <f>COUNTIF(U361:AY361,"A")</f>
      </c>
      <c r="BA361" s="121">
        <f>COUNTIF(U361:AY361,"F")</f>
      </c>
      <c r="BB361" s="119">
        <f>COUNTIF(U361:AY361,"E")</f>
      </c>
    </row>
    <row r="362" spans="1:54" x14ac:dyDescent="0.2">
      <c r="A362" s="84"/>
      <c r="B362" s="85"/>
      <c r="C362" s="85"/>
      <c r="D362" s="85"/>
      <c r="E362" s="86"/>
      <c r="F362" s="16">
        <f>IF(E362="","",DATEDIF(E362,$I$7,"Y"))</f>
      </c>
      <c r="G362" s="85"/>
      <c r="H362" s="85"/>
      <c r="I362" s="87"/>
      <c r="J362" s="85"/>
      <c r="K362" s="85"/>
      <c r="L362" s="10"/>
      <c r="M362" s="10"/>
      <c r="N362" s="10"/>
      <c r="O362" s="10"/>
      <c r="P362" s="85"/>
      <c r="Q362" s="88"/>
      <c r="R362" s="3">
        <f>IFERROR(VLOOKUP(TablaMarzo[[#This Row],[BARRIO]],SECTOR!$A:$B,2,0),"")</f>
      </c>
      <c r="S362" s="89"/>
      <c r="T362" s="90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6"/>
      <c r="AZ362" s="120">
        <f>COUNTIF(U362:AY362,"A")</f>
      </c>
      <c r="BA362" s="121">
        <f>COUNTIF(U362:AY362,"F")</f>
      </c>
      <c r="BB362" s="119">
        <f>COUNTIF(U362:AY362,"E")</f>
      </c>
    </row>
    <row r="363" spans="1:54" x14ac:dyDescent="0.2">
      <c r="A363" s="84"/>
      <c r="B363" s="85"/>
      <c r="C363" s="85"/>
      <c r="D363" s="85"/>
      <c r="E363" s="86"/>
      <c r="F363" s="16">
        <f>IF(E363="","",DATEDIF(E363,$I$7,"Y"))</f>
      </c>
      <c r="G363" s="85"/>
      <c r="H363" s="85"/>
      <c r="I363" s="87"/>
      <c r="J363" s="85"/>
      <c r="K363" s="85"/>
      <c r="L363" s="10"/>
      <c r="M363" s="10"/>
      <c r="N363" s="10"/>
      <c r="O363" s="10"/>
      <c r="P363" s="85"/>
      <c r="Q363" s="88"/>
      <c r="R363" s="3">
        <f>IFERROR(VLOOKUP(TablaMarzo[[#This Row],[BARRIO]],SECTOR!$A:$B,2,0),"")</f>
      </c>
      <c r="S363" s="89"/>
      <c r="T363" s="90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6"/>
      <c r="AZ363" s="120">
        <f>COUNTIF(U363:AY363,"A")</f>
      </c>
      <c r="BA363" s="121">
        <f>COUNTIF(U363:AY363,"F")</f>
      </c>
      <c r="BB363" s="119">
        <f>COUNTIF(U363:AY363,"E")</f>
      </c>
    </row>
    <row r="364" spans="1:54" x14ac:dyDescent="0.2">
      <c r="A364" s="84"/>
      <c r="B364" s="85"/>
      <c r="C364" s="85"/>
      <c r="D364" s="85"/>
      <c r="E364" s="86"/>
      <c r="F364" s="16">
        <f>IF(E364="","",DATEDIF(E364,$I$7,"Y"))</f>
      </c>
      <c r="G364" s="85"/>
      <c r="H364" s="85"/>
      <c r="I364" s="87"/>
      <c r="J364" s="85"/>
      <c r="K364" s="85"/>
      <c r="L364" s="10"/>
      <c r="M364" s="10"/>
      <c r="N364" s="10"/>
      <c r="O364" s="10"/>
      <c r="P364" s="85"/>
      <c r="Q364" s="88"/>
      <c r="R364" s="3">
        <f>IFERROR(VLOOKUP(TablaMarzo[[#This Row],[BARRIO]],SECTOR!$A:$B,2,0),"")</f>
      </c>
      <c r="S364" s="89"/>
      <c r="T364" s="90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6"/>
      <c r="AZ364" s="120">
        <f>COUNTIF(U364:AY364,"A")</f>
      </c>
      <c r="BA364" s="121">
        <f>COUNTIF(U364:AY364,"F")</f>
      </c>
      <c r="BB364" s="119">
        <f>COUNTIF(U364:AY364,"E")</f>
      </c>
    </row>
    <row r="365" spans="1:54" x14ac:dyDescent="0.2">
      <c r="A365" s="84"/>
      <c r="B365" s="85"/>
      <c r="C365" s="85"/>
      <c r="D365" s="85"/>
      <c r="E365" s="86"/>
      <c r="F365" s="16">
        <f>IF(E365="","",DATEDIF(E365,$I$7,"Y"))</f>
      </c>
      <c r="G365" s="85"/>
      <c r="H365" s="85"/>
      <c r="I365" s="87"/>
      <c r="J365" s="85"/>
      <c r="K365" s="85"/>
      <c r="L365" s="10"/>
      <c r="M365" s="10"/>
      <c r="N365" s="10"/>
      <c r="O365" s="10"/>
      <c r="P365" s="85"/>
      <c r="Q365" s="88"/>
      <c r="R365" s="3">
        <f>IFERROR(VLOOKUP(TablaMarzo[[#This Row],[BARRIO]],SECTOR!$A:$B,2,0),"")</f>
      </c>
      <c r="S365" s="89"/>
      <c r="T365" s="90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6"/>
      <c r="AZ365" s="120">
        <f>COUNTIF(U365:AY365,"A")</f>
      </c>
      <c r="BA365" s="121">
        <f>COUNTIF(U365:AY365,"F")</f>
      </c>
      <c r="BB365" s="119">
        <f>COUNTIF(U365:AY365,"E")</f>
      </c>
    </row>
    <row r="366" spans="1:54" x14ac:dyDescent="0.2">
      <c r="A366" s="84"/>
      <c r="B366" s="85"/>
      <c r="C366" s="85"/>
      <c r="D366" s="85"/>
      <c r="E366" s="86"/>
      <c r="F366" s="16">
        <f>IF(E366="","",DATEDIF(E366,$I$7,"Y"))</f>
      </c>
      <c r="G366" s="85"/>
      <c r="H366" s="85"/>
      <c r="I366" s="87"/>
      <c r="J366" s="85"/>
      <c r="K366" s="85"/>
      <c r="L366" s="10"/>
      <c r="M366" s="10"/>
      <c r="N366" s="10"/>
      <c r="O366" s="10"/>
      <c r="P366" s="85"/>
      <c r="Q366" s="88"/>
      <c r="R366" s="3">
        <f>IFERROR(VLOOKUP(TablaMarzo[[#This Row],[BARRIO]],SECTOR!$A:$B,2,0),"")</f>
      </c>
      <c r="S366" s="89"/>
      <c r="T366" s="90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6"/>
      <c r="AZ366" s="120">
        <f>COUNTIF(U366:AY366,"A")</f>
      </c>
      <c r="BA366" s="121">
        <f>COUNTIF(U366:AY366,"F")</f>
      </c>
      <c r="BB366" s="119">
        <f>COUNTIF(U366:AY366,"E")</f>
      </c>
    </row>
    <row r="367" spans="1:54" x14ac:dyDescent="0.2">
      <c r="A367" s="84"/>
      <c r="B367" s="85"/>
      <c r="C367" s="85"/>
      <c r="D367" s="85"/>
      <c r="E367" s="86"/>
      <c r="F367" s="16">
        <f>IF(E367="","",DATEDIF(E367,$I$7,"Y"))</f>
      </c>
      <c r="G367" s="85"/>
      <c r="H367" s="85"/>
      <c r="I367" s="87"/>
      <c r="J367" s="85"/>
      <c r="K367" s="85"/>
      <c r="L367" s="10"/>
      <c r="M367" s="10"/>
      <c r="N367" s="10"/>
      <c r="O367" s="10"/>
      <c r="P367" s="85"/>
      <c r="Q367" s="88"/>
      <c r="R367" s="3">
        <f>IFERROR(VLOOKUP(TablaMarzo[[#This Row],[BARRIO]],SECTOR!$A:$B,2,0),"")</f>
      </c>
      <c r="S367" s="89"/>
      <c r="T367" s="90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6"/>
      <c r="AZ367" s="120">
        <f>COUNTIF(U367:AY367,"A")</f>
      </c>
      <c r="BA367" s="121">
        <f>COUNTIF(U367:AY367,"F")</f>
      </c>
      <c r="BB367" s="119">
        <f>COUNTIF(U367:AY367,"E")</f>
      </c>
    </row>
    <row r="368" spans="1:54" x14ac:dyDescent="0.2">
      <c r="A368" s="84"/>
      <c r="B368" s="85"/>
      <c r="C368" s="85"/>
      <c r="D368" s="85"/>
      <c r="E368" s="86"/>
      <c r="F368" s="16">
        <f>IF(E368="","",DATEDIF(E368,$I$7,"Y"))</f>
      </c>
      <c r="G368" s="85"/>
      <c r="H368" s="85"/>
      <c r="I368" s="87"/>
      <c r="J368" s="85"/>
      <c r="K368" s="85"/>
      <c r="L368" s="10"/>
      <c r="M368" s="10"/>
      <c r="N368" s="10"/>
      <c r="O368" s="10"/>
      <c r="P368" s="85"/>
      <c r="Q368" s="88"/>
      <c r="R368" s="3">
        <f>IFERROR(VLOOKUP(TablaMarzo[[#This Row],[BARRIO]],SECTOR!$A:$B,2,0),"")</f>
      </c>
      <c r="S368" s="89"/>
      <c r="T368" s="90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6"/>
      <c r="AZ368" s="120">
        <f>COUNTIF(U368:AY368,"A")</f>
      </c>
      <c r="BA368" s="121">
        <f>COUNTIF(U368:AY368,"F")</f>
      </c>
      <c r="BB368" s="119">
        <f>COUNTIF(U368:AY368,"E")</f>
      </c>
    </row>
    <row r="369" spans="1:54" x14ac:dyDescent="0.2">
      <c r="A369" s="84"/>
      <c r="B369" s="85"/>
      <c r="C369" s="85"/>
      <c r="D369" s="85"/>
      <c r="E369" s="86"/>
      <c r="F369" s="16">
        <f>IF(E369="","",DATEDIF(E369,$I$7,"Y"))</f>
      </c>
      <c r="G369" s="85"/>
      <c r="H369" s="85"/>
      <c r="I369" s="87"/>
      <c r="J369" s="85"/>
      <c r="K369" s="85"/>
      <c r="L369" s="10"/>
      <c r="M369" s="10"/>
      <c r="N369" s="10"/>
      <c r="O369" s="10"/>
      <c r="P369" s="85"/>
      <c r="Q369" s="88"/>
      <c r="R369" s="3">
        <f>IFERROR(VLOOKUP(TablaMarzo[[#This Row],[BARRIO]],SECTOR!$A:$B,2,0),"")</f>
      </c>
      <c r="S369" s="89"/>
      <c r="T369" s="90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6"/>
      <c r="AZ369" s="120">
        <f>COUNTIF(U369:AY369,"A")</f>
      </c>
      <c r="BA369" s="121">
        <f>COUNTIF(U369:AY369,"F")</f>
      </c>
      <c r="BB369" s="119">
        <f>COUNTIF(U369:AY369,"E")</f>
      </c>
    </row>
    <row r="370" spans="1:54" x14ac:dyDescent="0.2">
      <c r="A370" s="84"/>
      <c r="B370" s="85"/>
      <c r="C370" s="85"/>
      <c r="D370" s="85"/>
      <c r="E370" s="86"/>
      <c r="F370" s="16">
        <f>IF(E370="","",DATEDIF(E370,$I$7,"Y"))</f>
      </c>
      <c r="G370" s="85"/>
      <c r="H370" s="85"/>
      <c r="I370" s="87"/>
      <c r="J370" s="85"/>
      <c r="K370" s="85"/>
      <c r="L370" s="10"/>
      <c r="M370" s="10"/>
      <c r="N370" s="10"/>
      <c r="O370" s="10"/>
      <c r="P370" s="85"/>
      <c r="Q370" s="88"/>
      <c r="R370" s="3">
        <f>IFERROR(VLOOKUP(TablaMarzo[[#This Row],[BARRIO]],SECTOR!$A:$B,2,0),"")</f>
      </c>
      <c r="S370" s="89"/>
      <c r="T370" s="90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6"/>
      <c r="AZ370" s="120">
        <f>COUNTIF(U370:AY370,"A")</f>
      </c>
      <c r="BA370" s="121">
        <f>COUNTIF(U370:AY370,"F")</f>
      </c>
      <c r="BB370" s="119">
        <f>COUNTIF(U370:AY370,"E")</f>
      </c>
    </row>
    <row r="371" spans="1:54" x14ac:dyDescent="0.2">
      <c r="A371" s="84"/>
      <c r="B371" s="85"/>
      <c r="C371" s="85"/>
      <c r="D371" s="85"/>
      <c r="E371" s="86"/>
      <c r="F371" s="16">
        <f>IF(E371="","",DATEDIF(E371,$I$7,"Y"))</f>
      </c>
      <c r="G371" s="85"/>
      <c r="H371" s="85"/>
      <c r="I371" s="87"/>
      <c r="J371" s="85"/>
      <c r="K371" s="85"/>
      <c r="L371" s="10"/>
      <c r="M371" s="10"/>
      <c r="N371" s="10"/>
      <c r="O371" s="10"/>
      <c r="P371" s="85"/>
      <c r="Q371" s="88"/>
      <c r="R371" s="3">
        <f>IFERROR(VLOOKUP(TablaMarzo[[#This Row],[BARRIO]],SECTOR!$A:$B,2,0),"")</f>
      </c>
      <c r="S371" s="89"/>
      <c r="T371" s="90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6"/>
      <c r="AZ371" s="120">
        <f>COUNTIF(U371:AY371,"A")</f>
      </c>
      <c r="BA371" s="121">
        <f>COUNTIF(U371:AY371,"F")</f>
      </c>
      <c r="BB371" s="119">
        <f>COUNTIF(U371:AY371,"E")</f>
      </c>
    </row>
    <row r="372" spans="1:54" x14ac:dyDescent="0.2">
      <c r="A372" s="84"/>
      <c r="B372" s="85"/>
      <c r="C372" s="85"/>
      <c r="D372" s="85"/>
      <c r="E372" s="86"/>
      <c r="F372" s="16">
        <f>IF(E372="","",DATEDIF(E372,$I$7,"Y"))</f>
      </c>
      <c r="G372" s="85"/>
      <c r="H372" s="85"/>
      <c r="I372" s="87"/>
      <c r="J372" s="85"/>
      <c r="K372" s="85"/>
      <c r="L372" s="10"/>
      <c r="M372" s="10"/>
      <c r="N372" s="10"/>
      <c r="O372" s="10"/>
      <c r="P372" s="85"/>
      <c r="Q372" s="88"/>
      <c r="R372" s="3">
        <f>IFERROR(VLOOKUP(TablaMarzo[[#This Row],[BARRIO]],SECTOR!$A:$B,2,0),"")</f>
      </c>
      <c r="S372" s="89"/>
      <c r="T372" s="90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6"/>
      <c r="AZ372" s="120">
        <f>COUNTIF(U372:AY372,"A")</f>
      </c>
      <c r="BA372" s="121">
        <f>COUNTIF(U372:AY372,"F")</f>
      </c>
      <c r="BB372" s="119">
        <f>COUNTIF(U372:AY372,"E")</f>
      </c>
    </row>
    <row r="373" spans="1:54" x14ac:dyDescent="0.2">
      <c r="A373" s="84"/>
      <c r="B373" s="85"/>
      <c r="C373" s="85"/>
      <c r="D373" s="85"/>
      <c r="E373" s="86"/>
      <c r="F373" s="16">
        <f>IF(E373="","",DATEDIF(E373,$I$7,"Y"))</f>
      </c>
      <c r="G373" s="85"/>
      <c r="H373" s="85"/>
      <c r="I373" s="87"/>
      <c r="J373" s="85"/>
      <c r="K373" s="85"/>
      <c r="L373" s="10"/>
      <c r="M373" s="10"/>
      <c r="N373" s="10"/>
      <c r="O373" s="10"/>
      <c r="P373" s="85"/>
      <c r="Q373" s="88"/>
      <c r="R373" s="3">
        <f>IFERROR(VLOOKUP(TablaMarzo[[#This Row],[BARRIO]],SECTOR!$A:$B,2,0),"")</f>
      </c>
      <c r="S373" s="89"/>
      <c r="T373" s="90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6"/>
      <c r="AZ373" s="120">
        <f>COUNTIF(U373:AY373,"A")</f>
      </c>
      <c r="BA373" s="121">
        <f>COUNTIF(U373:AY373,"F")</f>
      </c>
      <c r="BB373" s="119">
        <f>COUNTIF(U373:AY373,"E")</f>
      </c>
    </row>
    <row r="374" spans="1:54" x14ac:dyDescent="0.2">
      <c r="A374" s="84"/>
      <c r="B374" s="85"/>
      <c r="C374" s="85"/>
      <c r="D374" s="85"/>
      <c r="E374" s="86"/>
      <c r="F374" s="16">
        <f>IF(E374="","",DATEDIF(E374,$I$7,"Y"))</f>
      </c>
      <c r="G374" s="85"/>
      <c r="H374" s="85"/>
      <c r="I374" s="87"/>
      <c r="J374" s="85"/>
      <c r="K374" s="85"/>
      <c r="L374" s="10"/>
      <c r="M374" s="10"/>
      <c r="N374" s="10"/>
      <c r="O374" s="10"/>
      <c r="P374" s="85"/>
      <c r="Q374" s="88"/>
      <c r="R374" s="3">
        <f>IFERROR(VLOOKUP(TablaMarzo[[#This Row],[BARRIO]],SECTOR!$A:$B,2,0),"")</f>
      </c>
      <c r="S374" s="89"/>
      <c r="T374" s="90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6"/>
      <c r="AZ374" s="120">
        <f>COUNTIF(U374:AY374,"A")</f>
      </c>
      <c r="BA374" s="121">
        <f>COUNTIF(U374:AY374,"F")</f>
      </c>
      <c r="BB374" s="119">
        <f>COUNTIF(U374:AY374,"E")</f>
      </c>
    </row>
    <row r="375" spans="1:54" x14ac:dyDescent="0.2">
      <c r="A375" s="84"/>
      <c r="B375" s="85"/>
      <c r="C375" s="85"/>
      <c r="D375" s="85"/>
      <c r="E375" s="86"/>
      <c r="F375" s="16">
        <f>IF(E375="","",DATEDIF(E375,$I$7,"Y"))</f>
      </c>
      <c r="G375" s="85"/>
      <c r="H375" s="85"/>
      <c r="I375" s="87"/>
      <c r="J375" s="85"/>
      <c r="K375" s="85"/>
      <c r="L375" s="10"/>
      <c r="M375" s="10"/>
      <c r="N375" s="10"/>
      <c r="O375" s="10"/>
      <c r="P375" s="85"/>
      <c r="Q375" s="88"/>
      <c r="R375" s="3">
        <f>IFERROR(VLOOKUP(TablaMarzo[[#This Row],[BARRIO]],SECTOR!$A:$B,2,0),"")</f>
      </c>
      <c r="S375" s="89"/>
      <c r="T375" s="90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6"/>
      <c r="AZ375" s="120">
        <f>COUNTIF(U375:AY375,"A")</f>
      </c>
      <c r="BA375" s="121">
        <f>COUNTIF(U375:AY375,"F")</f>
      </c>
      <c r="BB375" s="119">
        <f>COUNTIF(U375:AY375,"E")</f>
      </c>
    </row>
    <row r="376" spans="1:54" x14ac:dyDescent="0.2">
      <c r="A376" s="84"/>
      <c r="B376" s="85"/>
      <c r="C376" s="85"/>
      <c r="D376" s="85"/>
      <c r="E376" s="86"/>
      <c r="F376" s="16">
        <f>IF(E376="","",DATEDIF(E376,$I$7,"Y"))</f>
      </c>
      <c r="G376" s="85"/>
      <c r="H376" s="85"/>
      <c r="I376" s="87"/>
      <c r="J376" s="85"/>
      <c r="K376" s="85"/>
      <c r="L376" s="10"/>
      <c r="M376" s="10"/>
      <c r="N376" s="10"/>
      <c r="O376" s="10"/>
      <c r="P376" s="85"/>
      <c r="Q376" s="88"/>
      <c r="R376" s="3">
        <f>IFERROR(VLOOKUP(TablaMarzo[[#This Row],[BARRIO]],SECTOR!$A:$B,2,0),"")</f>
      </c>
      <c r="S376" s="89"/>
      <c r="T376" s="90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6"/>
      <c r="AZ376" s="120">
        <f>COUNTIF(U376:AY376,"A")</f>
      </c>
      <c r="BA376" s="121">
        <f>COUNTIF(U376:AY376,"F")</f>
      </c>
      <c r="BB376" s="119">
        <f>COUNTIF(U376:AY376,"E")</f>
      </c>
    </row>
    <row r="377" spans="1:54" x14ac:dyDescent="0.2">
      <c r="A377" s="84"/>
      <c r="B377" s="85"/>
      <c r="C377" s="85"/>
      <c r="D377" s="85"/>
      <c r="E377" s="86"/>
      <c r="F377" s="16">
        <f>IF(E377="","",DATEDIF(E377,$I$7,"Y"))</f>
      </c>
      <c r="G377" s="85"/>
      <c r="H377" s="85"/>
      <c r="I377" s="87"/>
      <c r="J377" s="85"/>
      <c r="K377" s="85"/>
      <c r="L377" s="10"/>
      <c r="M377" s="10"/>
      <c r="N377" s="10"/>
      <c r="O377" s="10"/>
      <c r="P377" s="85"/>
      <c r="Q377" s="88"/>
      <c r="R377" s="3">
        <f>IFERROR(VLOOKUP(TablaMarzo[[#This Row],[BARRIO]],SECTOR!$A:$B,2,0),"")</f>
      </c>
      <c r="S377" s="89"/>
      <c r="T377" s="90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6"/>
      <c r="AZ377" s="120">
        <f>COUNTIF(U377:AY377,"A")</f>
      </c>
      <c r="BA377" s="121">
        <f>COUNTIF(U377:AY377,"F")</f>
      </c>
      <c r="BB377" s="119">
        <f>COUNTIF(U377:AY377,"E")</f>
      </c>
    </row>
    <row r="378" spans="1:54" x14ac:dyDescent="0.2">
      <c r="A378" s="84"/>
      <c r="B378" s="85"/>
      <c r="C378" s="85"/>
      <c r="D378" s="85"/>
      <c r="E378" s="86"/>
      <c r="F378" s="16">
        <f>IF(E378="","",DATEDIF(E378,$I$7,"Y"))</f>
      </c>
      <c r="G378" s="85"/>
      <c r="H378" s="85"/>
      <c r="I378" s="87"/>
      <c r="J378" s="85"/>
      <c r="K378" s="85"/>
      <c r="L378" s="10"/>
      <c r="M378" s="10"/>
      <c r="N378" s="10"/>
      <c r="O378" s="10"/>
      <c r="P378" s="85"/>
      <c r="Q378" s="88"/>
      <c r="R378" s="3">
        <f>IFERROR(VLOOKUP(TablaMarzo[[#This Row],[BARRIO]],SECTOR!$A:$B,2,0),"")</f>
      </c>
      <c r="S378" s="89"/>
      <c r="T378" s="90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6"/>
      <c r="AZ378" s="120">
        <f>COUNTIF(U378:AY378,"A")</f>
      </c>
      <c r="BA378" s="121">
        <f>COUNTIF(U378:AY378,"F")</f>
      </c>
      <c r="BB378" s="119">
        <f>COUNTIF(U378:AY378,"E")</f>
      </c>
    </row>
    <row r="379" spans="1:54" x14ac:dyDescent="0.2">
      <c r="A379" s="84"/>
      <c r="B379" s="85"/>
      <c r="C379" s="85"/>
      <c r="D379" s="85"/>
      <c r="E379" s="86"/>
      <c r="F379" s="16">
        <f>IF(E379="","",DATEDIF(E379,$I$7,"Y"))</f>
      </c>
      <c r="G379" s="85"/>
      <c r="H379" s="85"/>
      <c r="I379" s="87"/>
      <c r="J379" s="85"/>
      <c r="K379" s="85"/>
      <c r="L379" s="10"/>
      <c r="M379" s="10"/>
      <c r="N379" s="10"/>
      <c r="O379" s="10"/>
      <c r="P379" s="85"/>
      <c r="Q379" s="88"/>
      <c r="R379" s="3">
        <f>IFERROR(VLOOKUP(TablaMarzo[[#This Row],[BARRIO]],SECTOR!$A:$B,2,0),"")</f>
      </c>
      <c r="S379" s="89"/>
      <c r="T379" s="90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6"/>
      <c r="AZ379" s="120">
        <f>COUNTIF(U379:AY379,"A")</f>
      </c>
      <c r="BA379" s="121">
        <f>COUNTIF(U379:AY379,"F")</f>
      </c>
      <c r="BB379" s="119">
        <f>COUNTIF(U379:AY379,"E")</f>
      </c>
    </row>
    <row r="380" spans="1:54" x14ac:dyDescent="0.2">
      <c r="A380" s="84"/>
      <c r="B380" s="85"/>
      <c r="C380" s="85"/>
      <c r="D380" s="85"/>
      <c r="E380" s="86"/>
      <c r="F380" s="16">
        <f>IF(E380="","",DATEDIF(E380,$I$7,"Y"))</f>
      </c>
      <c r="G380" s="85"/>
      <c r="H380" s="85"/>
      <c r="I380" s="87"/>
      <c r="J380" s="85"/>
      <c r="K380" s="85"/>
      <c r="L380" s="10"/>
      <c r="M380" s="10"/>
      <c r="N380" s="10"/>
      <c r="O380" s="10"/>
      <c r="P380" s="85"/>
      <c r="Q380" s="88"/>
      <c r="R380" s="3">
        <f>IFERROR(VLOOKUP(TablaMarzo[[#This Row],[BARRIO]],SECTOR!$A:$B,2,0),"")</f>
      </c>
      <c r="S380" s="89"/>
      <c r="T380" s="90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6"/>
      <c r="AZ380" s="120">
        <f>COUNTIF(U380:AY380,"A")</f>
      </c>
      <c r="BA380" s="121">
        <f>COUNTIF(U380:AY380,"F")</f>
      </c>
      <c r="BB380" s="119">
        <f>COUNTIF(U380:AY380,"E")</f>
      </c>
    </row>
    <row r="381" spans="1:54" x14ac:dyDescent="0.2">
      <c r="A381" s="84"/>
      <c r="B381" s="85"/>
      <c r="C381" s="85"/>
      <c r="D381" s="85"/>
      <c r="E381" s="86"/>
      <c r="F381" s="16">
        <f>IF(E381="","",DATEDIF(E381,$I$7,"Y"))</f>
      </c>
      <c r="G381" s="85"/>
      <c r="H381" s="85"/>
      <c r="I381" s="87"/>
      <c r="J381" s="85"/>
      <c r="K381" s="85"/>
      <c r="L381" s="10"/>
      <c r="M381" s="10"/>
      <c r="N381" s="10"/>
      <c r="O381" s="10"/>
      <c r="P381" s="85"/>
      <c r="Q381" s="88"/>
      <c r="R381" s="3">
        <f>IFERROR(VLOOKUP(TablaMarzo[[#This Row],[BARRIO]],SECTOR!$A:$B,2,0),"")</f>
      </c>
      <c r="S381" s="89"/>
      <c r="T381" s="90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6"/>
      <c r="AZ381" s="120">
        <f>COUNTIF(U381:AY381,"A")</f>
      </c>
      <c r="BA381" s="121">
        <f>COUNTIF(U381:AY381,"F")</f>
      </c>
      <c r="BB381" s="119">
        <f>COUNTIF(U381:AY381,"E")</f>
      </c>
    </row>
    <row r="382" spans="1:54" x14ac:dyDescent="0.2">
      <c r="A382" s="84"/>
      <c r="B382" s="85"/>
      <c r="C382" s="85"/>
      <c r="D382" s="85"/>
      <c r="E382" s="86"/>
      <c r="F382" s="16">
        <f>IF(E382="","",DATEDIF(E382,$I$7,"Y"))</f>
      </c>
      <c r="G382" s="85"/>
      <c r="H382" s="85"/>
      <c r="I382" s="87"/>
      <c r="J382" s="85"/>
      <c r="K382" s="85"/>
      <c r="L382" s="10"/>
      <c r="M382" s="10"/>
      <c r="N382" s="10"/>
      <c r="O382" s="10"/>
      <c r="P382" s="85"/>
      <c r="Q382" s="88"/>
      <c r="R382" s="3">
        <f>IFERROR(VLOOKUP(TablaMarzo[[#This Row],[BARRIO]],SECTOR!$A:$B,2,0),"")</f>
      </c>
      <c r="S382" s="89"/>
      <c r="T382" s="90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6"/>
      <c r="AZ382" s="120">
        <f>COUNTIF(U382:AY382,"A")</f>
      </c>
      <c r="BA382" s="121">
        <f>COUNTIF(U382:AY382,"F")</f>
      </c>
      <c r="BB382" s="119">
        <f>COUNTIF(U382:AY382,"E")</f>
      </c>
    </row>
    <row r="383" spans="1:54" x14ac:dyDescent="0.2">
      <c r="A383" s="84"/>
      <c r="B383" s="85"/>
      <c r="C383" s="85"/>
      <c r="D383" s="85"/>
      <c r="E383" s="86"/>
      <c r="F383" s="16">
        <f>IF(E383="","",DATEDIF(E383,$I$7,"Y"))</f>
      </c>
      <c r="G383" s="85"/>
      <c r="H383" s="85"/>
      <c r="I383" s="87"/>
      <c r="J383" s="85"/>
      <c r="K383" s="85"/>
      <c r="L383" s="10"/>
      <c r="M383" s="10"/>
      <c r="N383" s="10"/>
      <c r="O383" s="10"/>
      <c r="P383" s="85"/>
      <c r="Q383" s="88"/>
      <c r="R383" s="3">
        <f>IFERROR(VLOOKUP(TablaMarzo[[#This Row],[BARRIO]],SECTOR!$A:$B,2,0),"")</f>
      </c>
      <c r="S383" s="89"/>
      <c r="T383" s="90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6"/>
      <c r="AZ383" s="120">
        <f>COUNTIF(U383:AY383,"A")</f>
      </c>
      <c r="BA383" s="121">
        <f>COUNTIF(U383:AY383,"F")</f>
      </c>
      <c r="BB383" s="119">
        <f>COUNTIF(U383:AY383,"E")</f>
      </c>
    </row>
    <row r="384" spans="1:54" x14ac:dyDescent="0.2">
      <c r="A384" s="84"/>
      <c r="B384" s="85"/>
      <c r="C384" s="85"/>
      <c r="D384" s="85"/>
      <c r="E384" s="86"/>
      <c r="F384" s="16">
        <f>IF(E384="","",DATEDIF(E384,$I$7,"Y"))</f>
      </c>
      <c r="G384" s="85"/>
      <c r="H384" s="85"/>
      <c r="I384" s="87"/>
      <c r="J384" s="85"/>
      <c r="K384" s="85"/>
      <c r="L384" s="10"/>
      <c r="M384" s="10"/>
      <c r="N384" s="10"/>
      <c r="O384" s="10"/>
      <c r="P384" s="85"/>
      <c r="Q384" s="88"/>
      <c r="R384" s="3">
        <f>IFERROR(VLOOKUP(TablaMarzo[[#This Row],[BARRIO]],SECTOR!$A:$B,2,0),"")</f>
      </c>
      <c r="S384" s="89"/>
      <c r="T384" s="90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6"/>
      <c r="AZ384" s="120">
        <f>COUNTIF(U384:AY384,"A")</f>
      </c>
      <c r="BA384" s="121">
        <f>COUNTIF(U384:AY384,"F")</f>
      </c>
      <c r="BB384" s="119">
        <f>COUNTIF(U384:AY384,"E")</f>
      </c>
    </row>
    <row r="385" spans="1:54" x14ac:dyDescent="0.2">
      <c r="A385" s="84"/>
      <c r="B385" s="85"/>
      <c r="C385" s="85"/>
      <c r="D385" s="85"/>
      <c r="E385" s="86"/>
      <c r="F385" s="16">
        <f>IF(E385="","",DATEDIF(E385,$I$7,"Y"))</f>
      </c>
      <c r="G385" s="85"/>
      <c r="H385" s="85"/>
      <c r="I385" s="87"/>
      <c r="J385" s="85"/>
      <c r="K385" s="85"/>
      <c r="L385" s="10"/>
      <c r="M385" s="10"/>
      <c r="N385" s="10"/>
      <c r="O385" s="10"/>
      <c r="P385" s="85"/>
      <c r="Q385" s="88"/>
      <c r="R385" s="3">
        <f>IFERROR(VLOOKUP(TablaMarzo[[#This Row],[BARRIO]],SECTOR!$A:$B,2,0),"")</f>
      </c>
      <c r="S385" s="89"/>
      <c r="T385" s="90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6"/>
      <c r="AZ385" s="120">
        <f>COUNTIF(U385:AY385,"A")</f>
      </c>
      <c r="BA385" s="121">
        <f>COUNTIF(U385:AY385,"F")</f>
      </c>
      <c r="BB385" s="119">
        <f>COUNTIF(U385:AY385,"E")</f>
      </c>
    </row>
    <row r="386" spans="1:54" x14ac:dyDescent="0.2">
      <c r="A386" s="84"/>
      <c r="B386" s="85"/>
      <c r="C386" s="85"/>
      <c r="D386" s="85"/>
      <c r="E386" s="86"/>
      <c r="F386" s="16">
        <f>IF(E386="","",DATEDIF(E386,$I$7,"Y"))</f>
      </c>
      <c r="G386" s="85"/>
      <c r="H386" s="85"/>
      <c r="I386" s="87"/>
      <c r="J386" s="85"/>
      <c r="K386" s="85"/>
      <c r="L386" s="10"/>
      <c r="M386" s="10"/>
      <c r="N386" s="10"/>
      <c r="O386" s="10"/>
      <c r="P386" s="85"/>
      <c r="Q386" s="88"/>
      <c r="R386" s="3">
        <f>IFERROR(VLOOKUP(TablaMarzo[[#This Row],[BARRIO]],SECTOR!$A:$B,2,0),"")</f>
      </c>
      <c r="S386" s="89"/>
      <c r="T386" s="90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6"/>
      <c r="AZ386" s="120">
        <f>COUNTIF(U386:AY386,"A")</f>
      </c>
      <c r="BA386" s="121">
        <f>COUNTIF(U386:AY386,"F")</f>
      </c>
      <c r="BB386" s="119">
        <f>COUNTIF(U386:AY386,"E")</f>
      </c>
    </row>
    <row r="387" spans="1:54" x14ac:dyDescent="0.2">
      <c r="A387" s="84"/>
      <c r="B387" s="85"/>
      <c r="C387" s="85"/>
      <c r="D387" s="85"/>
      <c r="E387" s="86"/>
      <c r="F387" s="16">
        <f>IF(E387="","",DATEDIF(E387,$I$7,"Y"))</f>
      </c>
      <c r="G387" s="85"/>
      <c r="H387" s="85"/>
      <c r="I387" s="87"/>
      <c r="J387" s="85"/>
      <c r="K387" s="85"/>
      <c r="L387" s="10"/>
      <c r="M387" s="10"/>
      <c r="N387" s="10"/>
      <c r="O387" s="10"/>
      <c r="P387" s="85"/>
      <c r="Q387" s="88"/>
      <c r="R387" s="3">
        <f>IFERROR(VLOOKUP(TablaMarzo[[#This Row],[BARRIO]],SECTOR!$A:$B,2,0),"")</f>
      </c>
      <c r="S387" s="89"/>
      <c r="T387" s="90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6"/>
      <c r="AZ387" s="120">
        <f>COUNTIF(U387:AY387,"A")</f>
      </c>
      <c r="BA387" s="121">
        <f>COUNTIF(U387:AY387,"F")</f>
      </c>
      <c r="BB387" s="119">
        <f>COUNTIF(U387:AY387,"E")</f>
      </c>
    </row>
    <row r="388" spans="1:54" x14ac:dyDescent="0.2">
      <c r="A388" s="84"/>
      <c r="B388" s="85"/>
      <c r="C388" s="85"/>
      <c r="D388" s="85"/>
      <c r="E388" s="86"/>
      <c r="F388" s="16">
        <f>IF(E388="","",DATEDIF(E388,$I$7,"Y"))</f>
      </c>
      <c r="G388" s="85"/>
      <c r="H388" s="85"/>
      <c r="I388" s="87"/>
      <c r="J388" s="85"/>
      <c r="K388" s="85"/>
      <c r="L388" s="10"/>
      <c r="M388" s="10"/>
      <c r="N388" s="10"/>
      <c r="O388" s="10"/>
      <c r="P388" s="85"/>
      <c r="Q388" s="88"/>
      <c r="R388" s="3">
        <f>IFERROR(VLOOKUP(TablaMarzo[[#This Row],[BARRIO]],SECTOR!$A:$B,2,0),"")</f>
      </c>
      <c r="S388" s="89"/>
      <c r="T388" s="90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6"/>
      <c r="AZ388" s="120">
        <f>COUNTIF(U388:AY388,"A")</f>
      </c>
      <c r="BA388" s="121">
        <f>COUNTIF(U388:AY388,"F")</f>
      </c>
      <c r="BB388" s="119">
        <f>COUNTIF(U388:AY388,"E")</f>
      </c>
    </row>
    <row r="389" spans="1:54" x14ac:dyDescent="0.2">
      <c r="A389" s="84"/>
      <c r="B389" s="85"/>
      <c r="C389" s="85"/>
      <c r="D389" s="85"/>
      <c r="E389" s="86"/>
      <c r="F389" s="16">
        <f>IF(E389="","",DATEDIF(E389,$I$7,"Y"))</f>
      </c>
      <c r="G389" s="85"/>
      <c r="H389" s="85"/>
      <c r="I389" s="87"/>
      <c r="J389" s="85"/>
      <c r="K389" s="85"/>
      <c r="L389" s="10"/>
      <c r="M389" s="10"/>
      <c r="N389" s="10"/>
      <c r="O389" s="10"/>
      <c r="P389" s="85"/>
      <c r="Q389" s="88"/>
      <c r="R389" s="3">
        <f>IFERROR(VLOOKUP(TablaMarzo[[#This Row],[BARRIO]],SECTOR!$A:$B,2,0),"")</f>
      </c>
      <c r="S389" s="89"/>
      <c r="T389" s="90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6"/>
      <c r="AZ389" s="120">
        <f>COUNTIF(U389:AY389,"A")</f>
      </c>
      <c r="BA389" s="121">
        <f>COUNTIF(U389:AY389,"F")</f>
      </c>
      <c r="BB389" s="119">
        <f>COUNTIF(U389:AY389,"E")</f>
      </c>
    </row>
    <row r="390" spans="1:54" x14ac:dyDescent="0.2">
      <c r="A390" s="84"/>
      <c r="B390" s="85"/>
      <c r="C390" s="85"/>
      <c r="D390" s="85"/>
      <c r="E390" s="86"/>
      <c r="F390" s="16">
        <f>IF(E390="","",DATEDIF(E390,$I$7,"Y"))</f>
      </c>
      <c r="G390" s="85"/>
      <c r="H390" s="85"/>
      <c r="I390" s="87"/>
      <c r="J390" s="85"/>
      <c r="K390" s="85"/>
      <c r="L390" s="10"/>
      <c r="M390" s="10"/>
      <c r="N390" s="10"/>
      <c r="O390" s="10"/>
      <c r="P390" s="85"/>
      <c r="Q390" s="88"/>
      <c r="R390" s="3">
        <f>IFERROR(VLOOKUP(TablaMarzo[[#This Row],[BARRIO]],SECTOR!$A:$B,2,0),"")</f>
      </c>
      <c r="S390" s="89"/>
      <c r="T390" s="90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6"/>
      <c r="AZ390" s="120">
        <f>COUNTIF(U390:AY390,"A")</f>
      </c>
      <c r="BA390" s="121">
        <f>COUNTIF(U390:AY390,"F")</f>
      </c>
      <c r="BB390" s="119">
        <f>COUNTIF(U390:AY390,"E")</f>
      </c>
    </row>
    <row r="391" spans="1:54" x14ac:dyDescent="0.2">
      <c r="A391" s="84"/>
      <c r="B391" s="85"/>
      <c r="C391" s="85"/>
      <c r="D391" s="85"/>
      <c r="E391" s="86"/>
      <c r="F391" s="16">
        <f>IF(E391="","",DATEDIF(E391,$I$7,"Y"))</f>
      </c>
      <c r="G391" s="85"/>
      <c r="H391" s="85"/>
      <c r="I391" s="87"/>
      <c r="J391" s="85"/>
      <c r="K391" s="85"/>
      <c r="L391" s="10"/>
      <c r="M391" s="10"/>
      <c r="N391" s="10"/>
      <c r="O391" s="10"/>
      <c r="P391" s="85"/>
      <c r="Q391" s="88"/>
      <c r="R391" s="3">
        <f>IFERROR(VLOOKUP(TablaMarzo[[#This Row],[BARRIO]],SECTOR!$A:$B,2,0),"")</f>
      </c>
      <c r="S391" s="89"/>
      <c r="T391" s="90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6"/>
      <c r="AZ391" s="120">
        <f>COUNTIF(U391:AY391,"A")</f>
      </c>
      <c r="BA391" s="121">
        <f>COUNTIF(U391:AY391,"F")</f>
      </c>
      <c r="BB391" s="119">
        <f>COUNTIF(U391:AY391,"E")</f>
      </c>
    </row>
    <row r="392" spans="1:54" x14ac:dyDescent="0.2">
      <c r="A392" s="84"/>
      <c r="B392" s="85"/>
      <c r="C392" s="85"/>
      <c r="D392" s="85"/>
      <c r="E392" s="86"/>
      <c r="F392" s="16">
        <f>IF(E392="","",DATEDIF(E392,$I$7,"Y"))</f>
      </c>
      <c r="G392" s="85"/>
      <c r="H392" s="85"/>
      <c r="I392" s="87"/>
      <c r="J392" s="85"/>
      <c r="K392" s="85"/>
      <c r="L392" s="10"/>
      <c r="M392" s="10"/>
      <c r="N392" s="10"/>
      <c r="O392" s="10"/>
      <c r="P392" s="85"/>
      <c r="Q392" s="88"/>
      <c r="R392" s="3">
        <f>IFERROR(VLOOKUP(TablaMarzo[[#This Row],[BARRIO]],SECTOR!$A:$B,2,0),"")</f>
      </c>
      <c r="S392" s="89"/>
      <c r="T392" s="90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6"/>
      <c r="AZ392" s="120">
        <f>COUNTIF(U392:AY392,"A")</f>
      </c>
      <c r="BA392" s="121">
        <f>COUNTIF(U392:AY392,"F")</f>
      </c>
      <c r="BB392" s="119">
        <f>COUNTIF(U392:AY392,"E")</f>
      </c>
    </row>
    <row r="393" spans="1:54" x14ac:dyDescent="0.2">
      <c r="A393" s="84"/>
      <c r="B393" s="85"/>
      <c r="C393" s="85"/>
      <c r="D393" s="85"/>
      <c r="E393" s="86"/>
      <c r="F393" s="16">
        <f>IF(E393="","",DATEDIF(E393,$I$7,"Y"))</f>
      </c>
      <c r="G393" s="85"/>
      <c r="H393" s="85"/>
      <c r="I393" s="87"/>
      <c r="J393" s="85"/>
      <c r="K393" s="85"/>
      <c r="L393" s="10"/>
      <c r="M393" s="10"/>
      <c r="N393" s="10"/>
      <c r="O393" s="10"/>
      <c r="P393" s="85"/>
      <c r="Q393" s="88"/>
      <c r="R393" s="3">
        <f>IFERROR(VLOOKUP(TablaMarzo[[#This Row],[BARRIO]],SECTOR!$A:$B,2,0),"")</f>
      </c>
      <c r="S393" s="89"/>
      <c r="T393" s="90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6"/>
      <c r="AZ393" s="120">
        <f>COUNTIF(U393:AY393,"A")</f>
      </c>
      <c r="BA393" s="121">
        <f>COUNTIF(U393:AY393,"F")</f>
      </c>
      <c r="BB393" s="119">
        <f>COUNTIF(U393:AY393,"E")</f>
      </c>
    </row>
    <row r="394" spans="1:54" x14ac:dyDescent="0.2">
      <c r="A394" s="84"/>
      <c r="B394" s="85"/>
      <c r="C394" s="85"/>
      <c r="D394" s="85"/>
      <c r="E394" s="86"/>
      <c r="F394" s="16">
        <f>IF(E394="","",DATEDIF(E394,$I$7,"Y"))</f>
      </c>
      <c r="G394" s="85"/>
      <c r="H394" s="85"/>
      <c r="I394" s="87"/>
      <c r="J394" s="85"/>
      <c r="K394" s="85"/>
      <c r="L394" s="10"/>
      <c r="M394" s="10"/>
      <c r="N394" s="10"/>
      <c r="O394" s="10"/>
      <c r="P394" s="85"/>
      <c r="Q394" s="88"/>
      <c r="R394" s="3">
        <f>IFERROR(VLOOKUP(TablaMarzo[[#This Row],[BARRIO]],SECTOR!$A:$B,2,0),"")</f>
      </c>
      <c r="S394" s="89"/>
      <c r="T394" s="90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6"/>
      <c r="AZ394" s="120">
        <f>COUNTIF(U394:AY394,"A")</f>
      </c>
      <c r="BA394" s="121">
        <f>COUNTIF(U394:AY394,"F")</f>
      </c>
      <c r="BB394" s="119">
        <f>COUNTIF(U394:AY394,"E")</f>
      </c>
    </row>
    <row r="395" spans="1:54" x14ac:dyDescent="0.2">
      <c r="A395" s="84"/>
      <c r="B395" s="85"/>
      <c r="C395" s="85"/>
      <c r="D395" s="85"/>
      <c r="E395" s="86"/>
      <c r="F395" s="16">
        <f>IF(E395="","",DATEDIF(E395,$I$7,"Y"))</f>
      </c>
      <c r="G395" s="85"/>
      <c r="H395" s="85"/>
      <c r="I395" s="87"/>
      <c r="J395" s="85"/>
      <c r="K395" s="85"/>
      <c r="L395" s="10"/>
      <c r="M395" s="10"/>
      <c r="N395" s="10"/>
      <c r="O395" s="10"/>
      <c r="P395" s="85"/>
      <c r="Q395" s="88"/>
      <c r="R395" s="3">
        <f>IFERROR(VLOOKUP(TablaMarzo[[#This Row],[BARRIO]],SECTOR!$A:$B,2,0),"")</f>
      </c>
      <c r="S395" s="89"/>
      <c r="T395" s="90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6"/>
      <c r="AZ395" s="120">
        <f>COUNTIF(U395:AY395,"A")</f>
      </c>
      <c r="BA395" s="121">
        <f>COUNTIF(U395:AY395,"F")</f>
      </c>
      <c r="BB395" s="119">
        <f>COUNTIF(U395:AY395,"E")</f>
      </c>
    </row>
    <row r="396" spans="1:54" x14ac:dyDescent="0.2">
      <c r="A396" s="84"/>
      <c r="B396" s="85"/>
      <c r="C396" s="85"/>
      <c r="D396" s="85"/>
      <c r="E396" s="86"/>
      <c r="F396" s="16">
        <f>IF(E396="","",DATEDIF(E396,$I$7,"Y"))</f>
      </c>
      <c r="G396" s="85"/>
      <c r="H396" s="85"/>
      <c r="I396" s="87"/>
      <c r="J396" s="85"/>
      <c r="K396" s="85"/>
      <c r="L396" s="10"/>
      <c r="M396" s="10"/>
      <c r="N396" s="10"/>
      <c r="O396" s="10"/>
      <c r="P396" s="85"/>
      <c r="Q396" s="88"/>
      <c r="R396" s="3">
        <f>IFERROR(VLOOKUP(TablaMarzo[[#This Row],[BARRIO]],SECTOR!$A:$B,2,0),"")</f>
      </c>
      <c r="S396" s="89"/>
      <c r="T396" s="90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6"/>
      <c r="AZ396" s="120">
        <f>COUNTIF(U396:AY396,"A")</f>
      </c>
      <c r="BA396" s="121">
        <f>COUNTIF(U396:AY396,"F")</f>
      </c>
      <c r="BB396" s="119">
        <f>COUNTIF(U396:AY396,"E")</f>
      </c>
    </row>
    <row r="397" spans="1:54" x14ac:dyDescent="0.2">
      <c r="A397" s="84"/>
      <c r="B397" s="85"/>
      <c r="C397" s="85"/>
      <c r="D397" s="85"/>
      <c r="E397" s="86"/>
      <c r="F397" s="16">
        <f>IF(E397="","",DATEDIF(E397,$I$7,"Y"))</f>
      </c>
      <c r="G397" s="85"/>
      <c r="H397" s="85"/>
      <c r="I397" s="87"/>
      <c r="J397" s="85"/>
      <c r="K397" s="85"/>
      <c r="L397" s="10"/>
      <c r="M397" s="10"/>
      <c r="N397" s="10"/>
      <c r="O397" s="10"/>
      <c r="P397" s="85"/>
      <c r="Q397" s="88"/>
      <c r="R397" s="3">
        <f>IFERROR(VLOOKUP(TablaMarzo[[#This Row],[BARRIO]],SECTOR!$A:$B,2,0),"")</f>
      </c>
      <c r="S397" s="89"/>
      <c r="T397" s="90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6"/>
      <c r="AZ397" s="120">
        <f>COUNTIF(U397:AY397,"A")</f>
      </c>
      <c r="BA397" s="121">
        <f>COUNTIF(U397:AY397,"F")</f>
      </c>
      <c r="BB397" s="119">
        <f>COUNTIF(U397:AY397,"E")</f>
      </c>
    </row>
    <row r="398" spans="1:54" x14ac:dyDescent="0.2">
      <c r="A398" s="84"/>
      <c r="B398" s="85"/>
      <c r="C398" s="85"/>
      <c r="D398" s="85"/>
      <c r="E398" s="86"/>
      <c r="F398" s="16">
        <f>IF(E398="","",DATEDIF(E398,$I$7,"Y"))</f>
      </c>
      <c r="G398" s="85"/>
      <c r="H398" s="85"/>
      <c r="I398" s="87"/>
      <c r="J398" s="85"/>
      <c r="K398" s="85"/>
      <c r="L398" s="10"/>
      <c r="M398" s="10"/>
      <c r="N398" s="10"/>
      <c r="O398" s="10"/>
      <c r="P398" s="85"/>
      <c r="Q398" s="88"/>
      <c r="R398" s="3">
        <f>IFERROR(VLOOKUP(TablaMarzo[[#This Row],[BARRIO]],SECTOR!$A:$B,2,0),"")</f>
      </c>
      <c r="S398" s="89"/>
      <c r="T398" s="90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6"/>
      <c r="AZ398" s="120">
        <f>COUNTIF(U398:AY398,"A")</f>
      </c>
      <c r="BA398" s="121">
        <f>COUNTIF(U398:AY398,"F")</f>
      </c>
      <c r="BB398" s="119">
        <f>COUNTIF(U398:AY398,"E")</f>
      </c>
    </row>
    <row r="399" spans="1:54" x14ac:dyDescent="0.2">
      <c r="A399" s="84"/>
      <c r="B399" s="85"/>
      <c r="C399" s="85"/>
      <c r="D399" s="85"/>
      <c r="E399" s="86"/>
      <c r="F399" s="16">
        <f>IF(E399="","",DATEDIF(E399,$I$7,"Y"))</f>
      </c>
      <c r="G399" s="85"/>
      <c r="H399" s="85"/>
      <c r="I399" s="87"/>
      <c r="J399" s="85"/>
      <c r="K399" s="85"/>
      <c r="L399" s="10"/>
      <c r="M399" s="10"/>
      <c r="N399" s="10"/>
      <c r="O399" s="10"/>
      <c r="P399" s="85"/>
      <c r="Q399" s="88"/>
      <c r="R399" s="3">
        <f>IFERROR(VLOOKUP(TablaMarzo[[#This Row],[BARRIO]],SECTOR!$A:$B,2,0),"")</f>
      </c>
      <c r="S399" s="89"/>
      <c r="T399" s="90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6"/>
      <c r="AZ399" s="120">
        <f>COUNTIF(U399:AY399,"A")</f>
      </c>
      <c r="BA399" s="121">
        <f>COUNTIF(U399:AY399,"F")</f>
      </c>
      <c r="BB399" s="119">
        <f>COUNTIF(U399:AY399,"E")</f>
      </c>
    </row>
    <row r="400" spans="1:54" x14ac:dyDescent="0.2">
      <c r="A400" s="84"/>
      <c r="B400" s="85"/>
      <c r="C400" s="85"/>
      <c r="D400" s="85"/>
      <c r="E400" s="86"/>
      <c r="F400" s="16">
        <f>IF(E400="","",DATEDIF(E400,$I$7,"Y"))</f>
      </c>
      <c r="G400" s="85"/>
      <c r="H400" s="85"/>
      <c r="I400" s="87"/>
      <c r="J400" s="85"/>
      <c r="K400" s="85"/>
      <c r="L400" s="10"/>
      <c r="M400" s="10"/>
      <c r="N400" s="10"/>
      <c r="O400" s="10"/>
      <c r="P400" s="85"/>
      <c r="Q400" s="88"/>
      <c r="R400" s="3">
        <f>IFERROR(VLOOKUP(TablaMarzo[[#This Row],[BARRIO]],SECTOR!$A:$B,2,0),"")</f>
      </c>
      <c r="S400" s="89"/>
      <c r="T400" s="90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6"/>
      <c r="AZ400" s="120">
        <f>COUNTIF(U400:AY400,"A")</f>
      </c>
      <c r="BA400" s="121">
        <f>COUNTIF(U400:AY400,"F")</f>
      </c>
      <c r="BB400" s="119">
        <f>COUNTIF(U400:AY400,"E")</f>
      </c>
    </row>
    <row r="401" spans="1:54" x14ac:dyDescent="0.2">
      <c r="A401" s="84"/>
      <c r="B401" s="85"/>
      <c r="C401" s="85"/>
      <c r="D401" s="85"/>
      <c r="E401" s="86"/>
      <c r="F401" s="16">
        <f>IF(E401="","",DATEDIF(E401,$I$7,"Y"))</f>
      </c>
      <c r="G401" s="85"/>
      <c r="H401" s="85"/>
      <c r="I401" s="87"/>
      <c r="J401" s="85"/>
      <c r="K401" s="85"/>
      <c r="L401" s="10"/>
      <c r="M401" s="10"/>
      <c r="N401" s="10"/>
      <c r="O401" s="10"/>
      <c r="P401" s="85"/>
      <c r="Q401" s="88"/>
      <c r="R401" s="3">
        <f>IFERROR(VLOOKUP(TablaMarzo[[#This Row],[BARRIO]],SECTOR!$A:$B,2,0),"")</f>
      </c>
      <c r="S401" s="89"/>
      <c r="T401" s="90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6"/>
      <c r="AZ401" s="120">
        <f>COUNTIF(U401:AY401,"A")</f>
      </c>
      <c r="BA401" s="121">
        <f>COUNTIF(U401:AY401,"F")</f>
      </c>
      <c r="BB401" s="119">
        <f>COUNTIF(U401:AY401,"E")</f>
      </c>
    </row>
    <row r="402" spans="1:54" x14ac:dyDescent="0.2">
      <c r="A402" s="84"/>
      <c r="B402" s="85"/>
      <c r="C402" s="85"/>
      <c r="D402" s="85"/>
      <c r="E402" s="86"/>
      <c r="F402" s="16">
        <f>IF(E402="","",DATEDIF(E402,$I$7,"Y"))</f>
      </c>
      <c r="G402" s="85"/>
      <c r="H402" s="85"/>
      <c r="I402" s="87"/>
      <c r="J402" s="85"/>
      <c r="K402" s="85"/>
      <c r="L402" s="10"/>
      <c r="M402" s="10"/>
      <c r="N402" s="10"/>
      <c r="O402" s="10"/>
      <c r="P402" s="85"/>
      <c r="Q402" s="88"/>
      <c r="R402" s="3">
        <f>IFERROR(VLOOKUP(TablaMarzo[[#This Row],[BARRIO]],SECTOR!$A:$B,2,0),"")</f>
      </c>
      <c r="S402" s="89"/>
      <c r="T402" s="90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6"/>
      <c r="AZ402" s="120">
        <f>COUNTIF(U402:AY402,"A")</f>
      </c>
      <c r="BA402" s="121">
        <f>COUNTIF(U402:AY402,"F")</f>
      </c>
      <c r="BB402" s="119">
        <f>COUNTIF(U402:AY402,"E")</f>
      </c>
    </row>
    <row r="403" spans="1:54" x14ac:dyDescent="0.2">
      <c r="A403" s="84"/>
      <c r="B403" s="85"/>
      <c r="C403" s="85"/>
      <c r="D403" s="85"/>
      <c r="E403" s="86"/>
      <c r="F403" s="16">
        <f>IF(E403="","",DATEDIF(E403,$I$7,"Y"))</f>
      </c>
      <c r="G403" s="85"/>
      <c r="H403" s="85"/>
      <c r="I403" s="87"/>
      <c r="J403" s="85"/>
      <c r="K403" s="85"/>
      <c r="L403" s="10"/>
      <c r="M403" s="10"/>
      <c r="N403" s="10"/>
      <c r="O403" s="10"/>
      <c r="P403" s="85"/>
      <c r="Q403" s="88"/>
      <c r="R403" s="3">
        <f>IFERROR(VLOOKUP(TablaMarzo[[#This Row],[BARRIO]],SECTOR!$A:$B,2,0),"")</f>
      </c>
      <c r="S403" s="89"/>
      <c r="T403" s="90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6"/>
      <c r="AZ403" s="120">
        <f>COUNTIF(U403:AY403,"A")</f>
      </c>
      <c r="BA403" s="121">
        <f>COUNTIF(U403:AY403,"F")</f>
      </c>
      <c r="BB403" s="119">
        <f>COUNTIF(U403:AY403,"E")</f>
      </c>
    </row>
    <row r="404" spans="1:54" x14ac:dyDescent="0.2">
      <c r="A404" s="84"/>
      <c r="B404" s="85"/>
      <c r="C404" s="85"/>
      <c r="D404" s="85"/>
      <c r="E404" s="86"/>
      <c r="F404" s="16">
        <f>IF(E404="","",DATEDIF(E404,$I$7,"Y"))</f>
      </c>
      <c r="G404" s="85"/>
      <c r="H404" s="85"/>
      <c r="I404" s="87"/>
      <c r="J404" s="85"/>
      <c r="K404" s="85"/>
      <c r="L404" s="10"/>
      <c r="M404" s="10"/>
      <c r="N404" s="10"/>
      <c r="O404" s="10"/>
      <c r="P404" s="85"/>
      <c r="Q404" s="88"/>
      <c r="R404" s="3">
        <f>IFERROR(VLOOKUP(TablaMarzo[[#This Row],[BARRIO]],SECTOR!$A:$B,2,0),"")</f>
      </c>
      <c r="S404" s="89"/>
      <c r="T404" s="90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6"/>
      <c r="AZ404" s="120">
        <f>COUNTIF(U404:AY404,"A")</f>
      </c>
      <c r="BA404" s="121">
        <f>COUNTIF(U404:AY404,"F")</f>
      </c>
      <c r="BB404" s="119">
        <f>COUNTIF(U404:AY404,"E")</f>
      </c>
    </row>
    <row r="405" spans="1:54" x14ac:dyDescent="0.2">
      <c r="A405" s="84"/>
      <c r="B405" s="85"/>
      <c r="C405" s="85"/>
      <c r="D405" s="85"/>
      <c r="E405" s="86"/>
      <c r="F405" s="16">
        <f>IF(E405="","",DATEDIF(E405,$I$7,"Y"))</f>
      </c>
      <c r="G405" s="85"/>
      <c r="H405" s="85"/>
      <c r="I405" s="87"/>
      <c r="J405" s="85"/>
      <c r="K405" s="85"/>
      <c r="L405" s="10"/>
      <c r="M405" s="10"/>
      <c r="N405" s="10"/>
      <c r="O405" s="10"/>
      <c r="P405" s="85"/>
      <c r="Q405" s="88"/>
      <c r="R405" s="3">
        <f>IFERROR(VLOOKUP(TablaMarzo[[#This Row],[BARRIO]],SECTOR!$A:$B,2,0),"")</f>
      </c>
      <c r="S405" s="89"/>
      <c r="T405" s="90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6"/>
      <c r="AZ405" s="120">
        <f>COUNTIF(U405:AY405,"A")</f>
      </c>
      <c r="BA405" s="121">
        <f>COUNTIF(U405:AY405,"F")</f>
      </c>
      <c r="BB405" s="119">
        <f>COUNTIF(U405:AY405,"E")</f>
      </c>
    </row>
    <row r="406" spans="1:54" x14ac:dyDescent="0.2">
      <c r="A406" s="84"/>
      <c r="B406" s="85"/>
      <c r="C406" s="85"/>
      <c r="D406" s="85"/>
      <c r="E406" s="86"/>
      <c r="F406" s="16">
        <f>IF(E406="","",DATEDIF(E406,$I$7,"Y"))</f>
      </c>
      <c r="G406" s="85"/>
      <c r="H406" s="85"/>
      <c r="I406" s="87"/>
      <c r="J406" s="85"/>
      <c r="K406" s="85"/>
      <c r="L406" s="10"/>
      <c r="M406" s="10"/>
      <c r="N406" s="10"/>
      <c r="O406" s="10"/>
      <c r="P406" s="85"/>
      <c r="Q406" s="88"/>
      <c r="R406" s="3">
        <f>IFERROR(VLOOKUP(TablaMarzo[[#This Row],[BARRIO]],SECTOR!$A:$B,2,0),"")</f>
      </c>
      <c r="S406" s="89"/>
      <c r="T406" s="90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6"/>
      <c r="AZ406" s="120">
        <f>COUNTIF(U406:AY406,"A")</f>
      </c>
      <c r="BA406" s="121">
        <f>COUNTIF(U406:AY406,"F")</f>
      </c>
      <c r="BB406" s="119">
        <f>COUNTIF(U406:AY406,"E")</f>
      </c>
    </row>
    <row r="407" spans="1:54" x14ac:dyDescent="0.2">
      <c r="A407" s="84"/>
      <c r="B407" s="85"/>
      <c r="C407" s="85"/>
      <c r="D407" s="85"/>
      <c r="E407" s="86"/>
      <c r="F407" s="16">
        <f>IF(E407="","",DATEDIF(E407,$I$7,"Y"))</f>
      </c>
      <c r="G407" s="85"/>
      <c r="H407" s="85"/>
      <c r="I407" s="87"/>
      <c r="J407" s="85"/>
      <c r="K407" s="85"/>
      <c r="L407" s="10"/>
      <c r="M407" s="10"/>
      <c r="N407" s="10"/>
      <c r="O407" s="10"/>
      <c r="P407" s="85"/>
      <c r="Q407" s="88"/>
      <c r="R407" s="3">
        <f>IFERROR(VLOOKUP(TablaMarzo[[#This Row],[BARRIO]],SECTOR!$A:$B,2,0),"")</f>
      </c>
      <c r="S407" s="89"/>
      <c r="T407" s="90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6"/>
      <c r="AZ407" s="120">
        <f>COUNTIF(U407:AY407,"A")</f>
      </c>
      <c r="BA407" s="121">
        <f>COUNTIF(U407:AY407,"F")</f>
      </c>
      <c r="BB407" s="119">
        <f>COUNTIF(U407:AY407,"E")</f>
      </c>
    </row>
    <row r="408" spans="1:54" x14ac:dyDescent="0.2">
      <c r="A408" s="84"/>
      <c r="B408" s="85"/>
      <c r="C408" s="85"/>
      <c r="D408" s="85"/>
      <c r="E408" s="86"/>
      <c r="F408" s="16">
        <f>IF(E408="","",DATEDIF(E408,$I$7,"Y"))</f>
      </c>
      <c r="G408" s="85"/>
      <c r="H408" s="85"/>
      <c r="I408" s="87"/>
      <c r="J408" s="85"/>
      <c r="K408" s="85"/>
      <c r="L408" s="10"/>
      <c r="M408" s="10"/>
      <c r="N408" s="10"/>
      <c r="O408" s="10"/>
      <c r="P408" s="85"/>
      <c r="Q408" s="88"/>
      <c r="R408" s="3">
        <f>IFERROR(VLOOKUP(TablaMarzo[[#This Row],[BARRIO]],SECTOR!$A:$B,2,0),"")</f>
      </c>
      <c r="S408" s="89"/>
      <c r="T408" s="90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6"/>
      <c r="AZ408" s="120">
        <f>COUNTIF(U408:AY408,"A")</f>
      </c>
      <c r="BA408" s="121">
        <f>COUNTIF(U408:AY408,"F")</f>
      </c>
      <c r="BB408" s="119">
        <f>COUNTIF(U408:AY408,"E")</f>
      </c>
    </row>
    <row r="409" spans="1:54" x14ac:dyDescent="0.2">
      <c r="A409" s="84"/>
      <c r="B409" s="85"/>
      <c r="C409" s="85"/>
      <c r="D409" s="85"/>
      <c r="E409" s="86"/>
      <c r="F409" s="16">
        <f>IF(E409="","",DATEDIF(E409,$I$7,"Y"))</f>
      </c>
      <c r="G409" s="85"/>
      <c r="H409" s="85"/>
      <c r="I409" s="87"/>
      <c r="J409" s="85"/>
      <c r="K409" s="85"/>
      <c r="L409" s="10"/>
      <c r="M409" s="10"/>
      <c r="N409" s="10"/>
      <c r="O409" s="10"/>
      <c r="P409" s="85"/>
      <c r="Q409" s="88"/>
      <c r="R409" s="3">
        <f>IFERROR(VLOOKUP(TablaMarzo[[#This Row],[BARRIO]],SECTOR!$A:$B,2,0),"")</f>
      </c>
      <c r="S409" s="89"/>
      <c r="T409" s="90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6"/>
      <c r="AZ409" s="120">
        <f>COUNTIF(U409:AY409,"A")</f>
      </c>
      <c r="BA409" s="121">
        <f>COUNTIF(U409:AY409,"F")</f>
      </c>
      <c r="BB409" s="119">
        <f>COUNTIF(U409:AY409,"E")</f>
      </c>
    </row>
    <row r="410" spans="1:54" x14ac:dyDescent="0.2">
      <c r="A410" s="84"/>
      <c r="B410" s="85"/>
      <c r="C410" s="85"/>
      <c r="D410" s="85"/>
      <c r="E410" s="86"/>
      <c r="F410" s="16">
        <f>IF(E410="","",DATEDIF(E410,$I$7,"Y"))</f>
      </c>
      <c r="G410" s="85"/>
      <c r="H410" s="85"/>
      <c r="I410" s="87"/>
      <c r="J410" s="85"/>
      <c r="K410" s="85"/>
      <c r="L410" s="10"/>
      <c r="M410" s="10"/>
      <c r="N410" s="10"/>
      <c r="O410" s="10"/>
      <c r="P410" s="85"/>
      <c r="Q410" s="88"/>
      <c r="R410" s="3">
        <f>IFERROR(VLOOKUP(TablaMarzo[[#This Row],[BARRIO]],SECTOR!$A:$B,2,0),"")</f>
      </c>
      <c r="S410" s="89"/>
      <c r="T410" s="90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6"/>
      <c r="AZ410" s="120">
        <f>COUNTIF(U410:AY410,"A")</f>
      </c>
      <c r="BA410" s="121">
        <f>COUNTIF(U410:AY410,"F")</f>
      </c>
      <c r="BB410" s="119">
        <f>COUNTIF(U410:AY410,"E")</f>
      </c>
    </row>
    <row r="411" spans="1:54" x14ac:dyDescent="0.2">
      <c r="A411" s="84"/>
      <c r="B411" s="85"/>
      <c r="C411" s="85"/>
      <c r="D411" s="85"/>
      <c r="E411" s="86"/>
      <c r="F411" s="16">
        <f>IF(E411="","",DATEDIF(E411,$I$7,"Y"))</f>
      </c>
      <c r="G411" s="85"/>
      <c r="H411" s="85"/>
      <c r="I411" s="87"/>
      <c r="J411" s="85"/>
      <c r="K411" s="85"/>
      <c r="L411" s="10"/>
      <c r="M411" s="10"/>
      <c r="N411" s="10"/>
      <c r="O411" s="10"/>
      <c r="P411" s="85"/>
      <c r="Q411" s="88"/>
      <c r="R411" s="3">
        <f>IFERROR(VLOOKUP(TablaMarzo[[#This Row],[BARRIO]],SECTOR!$A:$B,2,0),"")</f>
      </c>
      <c r="S411" s="89"/>
      <c r="T411" s="90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6"/>
      <c r="AZ411" s="120">
        <f>COUNTIF(U411:AY411,"A")</f>
      </c>
      <c r="BA411" s="121">
        <f>COUNTIF(U411:AY411,"F")</f>
      </c>
      <c r="BB411" s="119">
        <f>COUNTIF(U411:AY411,"E")</f>
      </c>
    </row>
    <row r="412" spans="1:54" x14ac:dyDescent="0.2">
      <c r="A412" s="84"/>
      <c r="B412" s="85"/>
      <c r="C412" s="85"/>
      <c r="D412" s="85"/>
      <c r="E412" s="86"/>
      <c r="F412" s="16">
        <f>IF(E412="","",DATEDIF(E412,$I$7,"Y"))</f>
      </c>
      <c r="G412" s="85"/>
      <c r="H412" s="85"/>
      <c r="I412" s="87"/>
      <c r="J412" s="85"/>
      <c r="K412" s="85"/>
      <c r="L412" s="10"/>
      <c r="M412" s="10"/>
      <c r="N412" s="10"/>
      <c r="O412" s="10"/>
      <c r="P412" s="85"/>
      <c r="Q412" s="88"/>
      <c r="R412" s="3">
        <f>IFERROR(VLOOKUP(TablaMarzo[[#This Row],[BARRIO]],SECTOR!$A:$B,2,0),"")</f>
      </c>
      <c r="S412" s="89"/>
      <c r="T412" s="90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6"/>
      <c r="AZ412" s="120">
        <f>COUNTIF(U412:AY412,"A")</f>
      </c>
      <c r="BA412" s="121">
        <f>COUNTIF(U412:AY412,"F")</f>
      </c>
      <c r="BB412" s="119">
        <f>COUNTIF(U412:AY412,"E")</f>
      </c>
    </row>
    <row r="413" spans="1:54" x14ac:dyDescent="0.2">
      <c r="A413" s="84"/>
      <c r="B413" s="85"/>
      <c r="C413" s="85"/>
      <c r="D413" s="85"/>
      <c r="E413" s="86"/>
      <c r="F413" s="16">
        <f>IF(E413="","",DATEDIF(E413,$I$7,"Y"))</f>
      </c>
      <c r="G413" s="85"/>
      <c r="H413" s="85"/>
      <c r="I413" s="87"/>
      <c r="J413" s="85"/>
      <c r="K413" s="85"/>
      <c r="L413" s="10"/>
      <c r="M413" s="10"/>
      <c r="N413" s="10"/>
      <c r="O413" s="10"/>
      <c r="P413" s="85"/>
      <c r="Q413" s="88"/>
      <c r="R413" s="3">
        <f>IFERROR(VLOOKUP(TablaMarzo[[#This Row],[BARRIO]],SECTOR!$A:$B,2,0),"")</f>
      </c>
      <c r="S413" s="89"/>
      <c r="T413" s="90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6"/>
      <c r="AZ413" s="120">
        <f>COUNTIF(U413:AY413,"A")</f>
      </c>
      <c r="BA413" s="121">
        <f>COUNTIF(U413:AY413,"F")</f>
      </c>
      <c r="BB413" s="119">
        <f>COUNTIF(U413:AY413,"E")</f>
      </c>
    </row>
    <row r="414" spans="1:54" x14ac:dyDescent="0.2">
      <c r="A414" s="84"/>
      <c r="B414" s="85"/>
      <c r="C414" s="85"/>
      <c r="D414" s="85"/>
      <c r="E414" s="86"/>
      <c r="F414" s="16">
        <f>IF(E414="","",DATEDIF(E414,$I$7,"Y"))</f>
      </c>
      <c r="G414" s="85"/>
      <c r="H414" s="85"/>
      <c r="I414" s="87"/>
      <c r="J414" s="85"/>
      <c r="K414" s="85"/>
      <c r="L414" s="10"/>
      <c r="M414" s="10"/>
      <c r="N414" s="10"/>
      <c r="O414" s="10"/>
      <c r="P414" s="85"/>
      <c r="Q414" s="88"/>
      <c r="R414" s="3">
        <f>IFERROR(VLOOKUP(TablaMarzo[[#This Row],[BARRIO]],SECTOR!$A:$B,2,0),"")</f>
      </c>
      <c r="S414" s="89"/>
      <c r="T414" s="90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6"/>
      <c r="AZ414" s="120">
        <f>COUNTIF(U414:AY414,"A")</f>
      </c>
      <c r="BA414" s="121">
        <f>COUNTIF(U414:AY414,"F")</f>
      </c>
      <c r="BB414" s="119">
        <f>COUNTIF(U414:AY414,"E")</f>
      </c>
    </row>
    <row r="415" spans="1:54" x14ac:dyDescent="0.2">
      <c r="A415" s="84"/>
      <c r="B415" s="85"/>
      <c r="C415" s="85"/>
      <c r="D415" s="85"/>
      <c r="E415" s="86"/>
      <c r="F415" s="16">
        <f>IF(E415="","",DATEDIF(E415,$I$7,"Y"))</f>
      </c>
      <c r="G415" s="85"/>
      <c r="H415" s="85"/>
      <c r="I415" s="87"/>
      <c r="J415" s="85"/>
      <c r="K415" s="85"/>
      <c r="L415" s="10"/>
      <c r="M415" s="10"/>
      <c r="N415" s="10"/>
      <c r="O415" s="10"/>
      <c r="P415" s="85"/>
      <c r="Q415" s="88"/>
      <c r="R415" s="3">
        <f>IFERROR(VLOOKUP(TablaMarzo[[#This Row],[BARRIO]],SECTOR!$A:$B,2,0),"")</f>
      </c>
      <c r="S415" s="89"/>
      <c r="T415" s="90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6"/>
      <c r="AZ415" s="120">
        <f>COUNTIF(U415:AY415,"A")</f>
      </c>
      <c r="BA415" s="121">
        <f>COUNTIF(U415:AY415,"F")</f>
      </c>
      <c r="BB415" s="119">
        <f>COUNTIF(U415:AY415,"E")</f>
      </c>
    </row>
    <row r="416" spans="1:54" x14ac:dyDescent="0.2">
      <c r="A416" s="84"/>
      <c r="B416" s="85"/>
      <c r="C416" s="85"/>
      <c r="D416" s="85"/>
      <c r="E416" s="86"/>
      <c r="F416" s="16">
        <f>IF(E416="","",DATEDIF(E416,$I$7,"Y"))</f>
      </c>
      <c r="G416" s="85"/>
      <c r="H416" s="85"/>
      <c r="I416" s="87"/>
      <c r="J416" s="85"/>
      <c r="K416" s="85"/>
      <c r="L416" s="10"/>
      <c r="M416" s="10"/>
      <c r="N416" s="10"/>
      <c r="O416" s="10"/>
      <c r="P416" s="85"/>
      <c r="Q416" s="88"/>
      <c r="R416" s="3">
        <f>IFERROR(VLOOKUP(TablaMarzo[[#This Row],[BARRIO]],SECTOR!$A:$B,2,0),"")</f>
      </c>
      <c r="S416" s="89"/>
      <c r="T416" s="90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6"/>
      <c r="AZ416" s="120">
        <f>COUNTIF(U416:AY416,"A")</f>
      </c>
      <c r="BA416" s="121">
        <f>COUNTIF(U416:AY416,"F")</f>
      </c>
      <c r="BB416" s="119">
        <f>COUNTIF(U416:AY416,"E")</f>
      </c>
    </row>
    <row r="417" spans="1:54" x14ac:dyDescent="0.2">
      <c r="A417" s="84"/>
      <c r="B417" s="85"/>
      <c r="C417" s="85"/>
      <c r="D417" s="85"/>
      <c r="E417" s="86"/>
      <c r="F417" s="16">
        <f>IF(E417="","",DATEDIF(E417,$I$7,"Y"))</f>
      </c>
      <c r="G417" s="85"/>
      <c r="H417" s="85"/>
      <c r="I417" s="87"/>
      <c r="J417" s="85"/>
      <c r="K417" s="85"/>
      <c r="L417" s="10"/>
      <c r="M417" s="10"/>
      <c r="N417" s="10"/>
      <c r="O417" s="10"/>
      <c r="P417" s="85"/>
      <c r="Q417" s="88"/>
      <c r="R417" s="3">
        <f>IFERROR(VLOOKUP(TablaMarzo[[#This Row],[BARRIO]],SECTOR!$A:$B,2,0),"")</f>
      </c>
      <c r="S417" s="89"/>
      <c r="T417" s="90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6"/>
      <c r="AZ417" s="120">
        <f>COUNTIF(U417:AY417,"A")</f>
      </c>
      <c r="BA417" s="121">
        <f>COUNTIF(U417:AY417,"F")</f>
      </c>
      <c r="BB417" s="119">
        <f>COUNTIF(U417:AY417,"E")</f>
      </c>
    </row>
    <row r="418" spans="1:54" x14ac:dyDescent="0.2">
      <c r="A418" s="84"/>
      <c r="B418" s="85"/>
      <c r="C418" s="85"/>
      <c r="D418" s="85"/>
      <c r="E418" s="86"/>
      <c r="F418" s="16">
        <f>IF(E418="","",DATEDIF(E418,$I$7,"Y"))</f>
      </c>
      <c r="G418" s="85"/>
      <c r="H418" s="85"/>
      <c r="I418" s="87"/>
      <c r="J418" s="85"/>
      <c r="K418" s="85"/>
      <c r="L418" s="10"/>
      <c r="M418" s="10"/>
      <c r="N418" s="10"/>
      <c r="O418" s="10"/>
      <c r="P418" s="85"/>
      <c r="Q418" s="88"/>
      <c r="R418" s="3">
        <f>IFERROR(VLOOKUP(TablaMarzo[[#This Row],[BARRIO]],SECTOR!$A:$B,2,0),"")</f>
      </c>
      <c r="S418" s="89"/>
      <c r="T418" s="90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6"/>
      <c r="AZ418" s="120">
        <f>COUNTIF(U418:AY418,"A")</f>
      </c>
      <c r="BA418" s="121">
        <f>COUNTIF(U418:AY418,"F")</f>
      </c>
      <c r="BB418" s="119">
        <f>COUNTIF(U418:AY418,"E")</f>
      </c>
    </row>
    <row r="419" spans="1:54" x14ac:dyDescent="0.2">
      <c r="A419" s="84"/>
      <c r="B419" s="85"/>
      <c r="C419" s="85"/>
      <c r="D419" s="85"/>
      <c r="E419" s="86"/>
      <c r="F419" s="16">
        <f>IF(E419="","",DATEDIF(E419,$I$7,"Y"))</f>
      </c>
      <c r="G419" s="85"/>
      <c r="H419" s="85"/>
      <c r="I419" s="87"/>
      <c r="J419" s="85"/>
      <c r="K419" s="85"/>
      <c r="L419" s="10"/>
      <c r="M419" s="10"/>
      <c r="N419" s="10"/>
      <c r="O419" s="10"/>
      <c r="P419" s="85"/>
      <c r="Q419" s="88"/>
      <c r="R419" s="3">
        <f>IFERROR(VLOOKUP(TablaMarzo[[#This Row],[BARRIO]],SECTOR!$A:$B,2,0),"")</f>
      </c>
      <c r="S419" s="89"/>
      <c r="T419" s="90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6"/>
      <c r="AZ419" s="120">
        <f>COUNTIF(U419:AY419,"A")</f>
      </c>
      <c r="BA419" s="121">
        <f>COUNTIF(U419:AY419,"F")</f>
      </c>
      <c r="BB419" s="119">
        <f>COUNTIF(U419:AY419,"E")</f>
      </c>
    </row>
    <row r="420" spans="1:54" x14ac:dyDescent="0.2">
      <c r="A420" s="84"/>
      <c r="B420" s="85"/>
      <c r="C420" s="85"/>
      <c r="D420" s="85"/>
      <c r="E420" s="86"/>
      <c r="F420" s="16">
        <f>IF(E420="","",DATEDIF(E420,$I$7,"Y"))</f>
      </c>
      <c r="G420" s="85"/>
      <c r="H420" s="85"/>
      <c r="I420" s="87"/>
      <c r="J420" s="85"/>
      <c r="K420" s="85"/>
      <c r="L420" s="10"/>
      <c r="M420" s="10"/>
      <c r="N420" s="10"/>
      <c r="O420" s="10"/>
      <c r="P420" s="85"/>
      <c r="Q420" s="88"/>
      <c r="R420" s="3">
        <f>IFERROR(VLOOKUP(TablaMarzo[[#This Row],[BARRIO]],SECTOR!$A:$B,2,0),"")</f>
      </c>
      <c r="S420" s="89"/>
      <c r="T420" s="90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6"/>
      <c r="AZ420" s="120">
        <f>COUNTIF(U420:AY420,"A")</f>
      </c>
      <c r="BA420" s="121">
        <f>COUNTIF(U420:AY420,"F")</f>
      </c>
      <c r="BB420" s="119">
        <f>COUNTIF(U420:AY420,"E")</f>
      </c>
    </row>
    <row r="421" spans="1:54" x14ac:dyDescent="0.2">
      <c r="A421" s="84"/>
      <c r="B421" s="85"/>
      <c r="C421" s="85"/>
      <c r="D421" s="85"/>
      <c r="E421" s="86"/>
      <c r="F421" s="16">
        <f>IF(E421="","",DATEDIF(E421,$I$7,"Y"))</f>
      </c>
      <c r="G421" s="85"/>
      <c r="H421" s="85"/>
      <c r="I421" s="87"/>
      <c r="J421" s="85"/>
      <c r="K421" s="85"/>
      <c r="L421" s="10"/>
      <c r="M421" s="10"/>
      <c r="N421" s="10"/>
      <c r="O421" s="10"/>
      <c r="P421" s="85"/>
      <c r="Q421" s="88"/>
      <c r="R421" s="3">
        <f>IFERROR(VLOOKUP(TablaMarzo[[#This Row],[BARRIO]],SECTOR!$A:$B,2,0),"")</f>
      </c>
      <c r="S421" s="89"/>
      <c r="T421" s="90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6"/>
      <c r="AZ421" s="120">
        <f>COUNTIF(U421:AY421,"A")</f>
      </c>
      <c r="BA421" s="121">
        <f>COUNTIF(U421:AY421,"F")</f>
      </c>
      <c r="BB421" s="119">
        <f>COUNTIF(U421:AY421,"E")</f>
      </c>
    </row>
    <row r="422" spans="1:54" x14ac:dyDescent="0.2">
      <c r="A422" s="84"/>
      <c r="B422" s="85"/>
      <c r="C422" s="85"/>
      <c r="D422" s="85"/>
      <c r="E422" s="86"/>
      <c r="F422" s="16">
        <f>IF(E422="","",DATEDIF(E422,$I$7,"Y"))</f>
      </c>
      <c r="G422" s="85"/>
      <c r="H422" s="85"/>
      <c r="I422" s="87"/>
      <c r="J422" s="85"/>
      <c r="K422" s="85"/>
      <c r="L422" s="10"/>
      <c r="M422" s="10"/>
      <c r="N422" s="10"/>
      <c r="O422" s="10"/>
      <c r="P422" s="85"/>
      <c r="Q422" s="88"/>
      <c r="R422" s="3">
        <f>IFERROR(VLOOKUP(TablaMarzo[[#This Row],[BARRIO]],SECTOR!$A:$B,2,0),"")</f>
      </c>
      <c r="S422" s="89"/>
      <c r="T422" s="90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6"/>
      <c r="AZ422" s="120">
        <f>COUNTIF(U422:AY422,"A")</f>
      </c>
      <c r="BA422" s="121">
        <f>COUNTIF(U422:AY422,"F")</f>
      </c>
      <c r="BB422" s="119">
        <f>COUNTIF(U422:AY422,"E")</f>
      </c>
    </row>
    <row r="423" spans="1:54" x14ac:dyDescent="0.2">
      <c r="A423" s="84"/>
      <c r="B423" s="85"/>
      <c r="C423" s="85"/>
      <c r="D423" s="85"/>
      <c r="E423" s="86"/>
      <c r="F423" s="16">
        <f>IF(E423="","",DATEDIF(E423,$I$7,"Y"))</f>
      </c>
      <c r="G423" s="85"/>
      <c r="H423" s="85"/>
      <c r="I423" s="87"/>
      <c r="J423" s="85"/>
      <c r="K423" s="85"/>
      <c r="L423" s="10"/>
      <c r="M423" s="10"/>
      <c r="N423" s="10"/>
      <c r="O423" s="10"/>
      <c r="P423" s="85"/>
      <c r="Q423" s="88"/>
      <c r="R423" s="3">
        <f>IFERROR(VLOOKUP(TablaMarzo[[#This Row],[BARRIO]],SECTOR!$A:$B,2,0),"")</f>
      </c>
      <c r="S423" s="89"/>
      <c r="T423" s="90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6"/>
      <c r="AZ423" s="120">
        <f>COUNTIF(U423:AY423,"A")</f>
      </c>
      <c r="BA423" s="121">
        <f>COUNTIF(U423:AY423,"F")</f>
      </c>
      <c r="BB423" s="119">
        <f>COUNTIF(U423:AY423,"E")</f>
      </c>
    </row>
    <row r="424" spans="1:54" x14ac:dyDescent="0.2">
      <c r="A424" s="84"/>
      <c r="B424" s="85"/>
      <c r="C424" s="85"/>
      <c r="D424" s="85"/>
      <c r="E424" s="86"/>
      <c r="F424" s="16">
        <f>IF(E424="","",DATEDIF(E424,$I$7,"Y"))</f>
      </c>
      <c r="G424" s="85"/>
      <c r="H424" s="85"/>
      <c r="I424" s="87"/>
      <c r="J424" s="85"/>
      <c r="K424" s="85"/>
      <c r="L424" s="10"/>
      <c r="M424" s="10"/>
      <c r="N424" s="10"/>
      <c r="O424" s="10"/>
      <c r="P424" s="85"/>
      <c r="Q424" s="88"/>
      <c r="R424" s="3">
        <f>IFERROR(VLOOKUP(TablaMarzo[[#This Row],[BARRIO]],SECTOR!$A:$B,2,0),"")</f>
      </c>
      <c r="S424" s="89"/>
      <c r="T424" s="90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6"/>
      <c r="AZ424" s="120">
        <f>COUNTIF(U424:AY424,"A")</f>
      </c>
      <c r="BA424" s="121">
        <f>COUNTIF(U424:AY424,"F")</f>
      </c>
      <c r="BB424" s="119">
        <f>COUNTIF(U424:AY424,"E")</f>
      </c>
    </row>
    <row r="425" spans="1:54" x14ac:dyDescent="0.2">
      <c r="A425" s="84"/>
      <c r="B425" s="85"/>
      <c r="C425" s="85"/>
      <c r="D425" s="85"/>
      <c r="E425" s="86"/>
      <c r="F425" s="16">
        <f>IF(E425="","",DATEDIF(E425,$I$7,"Y"))</f>
      </c>
      <c r="G425" s="85"/>
      <c r="H425" s="85"/>
      <c r="I425" s="87"/>
      <c r="J425" s="85"/>
      <c r="K425" s="85"/>
      <c r="L425" s="10"/>
      <c r="M425" s="10"/>
      <c r="N425" s="10"/>
      <c r="O425" s="10"/>
      <c r="P425" s="85"/>
      <c r="Q425" s="88"/>
      <c r="R425" s="3">
        <f>IFERROR(VLOOKUP(TablaMarzo[[#This Row],[BARRIO]],SECTOR!$A:$B,2,0),"")</f>
      </c>
      <c r="S425" s="89"/>
      <c r="T425" s="90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6"/>
      <c r="AZ425" s="120">
        <f>COUNTIF(U425:AY425,"A")</f>
      </c>
      <c r="BA425" s="121">
        <f>COUNTIF(U425:AY425,"F")</f>
      </c>
      <c r="BB425" s="119">
        <f>COUNTIF(U425:AY425,"E")</f>
      </c>
    </row>
    <row r="426" spans="1:54" x14ac:dyDescent="0.2">
      <c r="A426" s="84"/>
      <c r="B426" s="85"/>
      <c r="C426" s="85"/>
      <c r="D426" s="85"/>
      <c r="E426" s="86"/>
      <c r="F426" s="16">
        <f>IF(E426="","",DATEDIF(E426,$I$7,"Y"))</f>
      </c>
      <c r="G426" s="85"/>
      <c r="H426" s="85"/>
      <c r="I426" s="87"/>
      <c r="J426" s="85"/>
      <c r="K426" s="85"/>
      <c r="L426" s="10"/>
      <c r="M426" s="10"/>
      <c r="N426" s="10"/>
      <c r="O426" s="10"/>
      <c r="P426" s="85"/>
      <c r="Q426" s="88"/>
      <c r="R426" s="3">
        <f>IFERROR(VLOOKUP(TablaMarzo[[#This Row],[BARRIO]],SECTOR!$A:$B,2,0),"")</f>
      </c>
      <c r="S426" s="89"/>
      <c r="T426" s="90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6"/>
      <c r="AZ426" s="120">
        <f>COUNTIF(U426:AY426,"A")</f>
      </c>
      <c r="BA426" s="121">
        <f>COUNTIF(U426:AY426,"F")</f>
      </c>
      <c r="BB426" s="119">
        <f>COUNTIF(U426:AY426,"E")</f>
      </c>
    </row>
    <row r="427" spans="1:54" x14ac:dyDescent="0.2">
      <c r="A427" s="84"/>
      <c r="B427" s="85"/>
      <c r="C427" s="85"/>
      <c r="D427" s="85"/>
      <c r="E427" s="86"/>
      <c r="F427" s="16">
        <f>IF(E427="","",DATEDIF(E427,$I$7,"Y"))</f>
      </c>
      <c r="G427" s="85"/>
      <c r="H427" s="85"/>
      <c r="I427" s="87"/>
      <c r="J427" s="85"/>
      <c r="K427" s="85"/>
      <c r="L427" s="10"/>
      <c r="M427" s="10"/>
      <c r="N427" s="10"/>
      <c r="O427" s="10"/>
      <c r="P427" s="85"/>
      <c r="Q427" s="88"/>
      <c r="R427" s="3">
        <f>IFERROR(VLOOKUP(TablaMarzo[[#This Row],[BARRIO]],SECTOR!$A:$B,2,0),"")</f>
      </c>
      <c r="S427" s="89"/>
      <c r="T427" s="90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6"/>
      <c r="AZ427" s="120">
        <f>COUNTIF(U427:AY427,"A")</f>
      </c>
      <c r="BA427" s="121">
        <f>COUNTIF(U427:AY427,"F")</f>
      </c>
      <c r="BB427" s="119">
        <f>COUNTIF(U427:AY427,"E")</f>
      </c>
    </row>
    <row r="428" spans="1:54" x14ac:dyDescent="0.2">
      <c r="A428" s="84"/>
      <c r="B428" s="85"/>
      <c r="C428" s="85"/>
      <c r="D428" s="85"/>
      <c r="E428" s="86"/>
      <c r="F428" s="16">
        <f>IF(E428="","",DATEDIF(E428,$I$7,"Y"))</f>
      </c>
      <c r="G428" s="85"/>
      <c r="H428" s="85"/>
      <c r="I428" s="87"/>
      <c r="J428" s="85"/>
      <c r="K428" s="85"/>
      <c r="L428" s="10"/>
      <c r="M428" s="10"/>
      <c r="N428" s="10"/>
      <c r="O428" s="10"/>
      <c r="P428" s="85"/>
      <c r="Q428" s="88"/>
      <c r="R428" s="3">
        <f>IFERROR(VLOOKUP(TablaMarzo[[#This Row],[BARRIO]],SECTOR!$A:$B,2,0),"")</f>
      </c>
      <c r="S428" s="89"/>
      <c r="T428" s="90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6"/>
      <c r="AZ428" s="120">
        <f>COUNTIF(U428:AY428,"A")</f>
      </c>
      <c r="BA428" s="121">
        <f>COUNTIF(U428:AY428,"F")</f>
      </c>
      <c r="BB428" s="119">
        <f>COUNTIF(U428:AY428,"E")</f>
      </c>
    </row>
    <row r="429" spans="1:54" x14ac:dyDescent="0.2">
      <c r="A429" s="84"/>
      <c r="B429" s="85"/>
      <c r="C429" s="85"/>
      <c r="D429" s="85"/>
      <c r="E429" s="86"/>
      <c r="F429" s="16">
        <f>IF(E429="","",DATEDIF(E429,$I$7,"Y"))</f>
      </c>
      <c r="G429" s="85"/>
      <c r="H429" s="85"/>
      <c r="I429" s="87"/>
      <c r="J429" s="85"/>
      <c r="K429" s="85"/>
      <c r="L429" s="10"/>
      <c r="M429" s="10"/>
      <c r="N429" s="10"/>
      <c r="O429" s="10"/>
      <c r="P429" s="85"/>
      <c r="Q429" s="88"/>
      <c r="R429" s="3">
        <f>IFERROR(VLOOKUP(TablaMarzo[[#This Row],[BARRIO]],SECTOR!$A:$B,2,0),"")</f>
      </c>
      <c r="S429" s="89"/>
      <c r="T429" s="90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6"/>
      <c r="AZ429" s="120">
        <f>COUNTIF(U429:AY429,"A")</f>
      </c>
      <c r="BA429" s="121">
        <f>COUNTIF(U429:AY429,"F")</f>
      </c>
      <c r="BB429" s="119">
        <f>COUNTIF(U429:AY429,"E")</f>
      </c>
    </row>
    <row r="430" spans="1:54" x14ac:dyDescent="0.2">
      <c r="A430" s="84"/>
      <c r="B430" s="85"/>
      <c r="C430" s="85"/>
      <c r="D430" s="85"/>
      <c r="E430" s="86"/>
      <c r="F430" s="16">
        <f>IF(E430="","",DATEDIF(E430,$I$7,"Y"))</f>
      </c>
      <c r="G430" s="85"/>
      <c r="H430" s="85"/>
      <c r="I430" s="87"/>
      <c r="J430" s="85"/>
      <c r="K430" s="85"/>
      <c r="L430" s="10"/>
      <c r="M430" s="10"/>
      <c r="N430" s="10"/>
      <c r="O430" s="10"/>
      <c r="P430" s="85"/>
      <c r="Q430" s="88"/>
      <c r="R430" s="3">
        <f>IFERROR(VLOOKUP(TablaMarzo[[#This Row],[BARRIO]],SECTOR!$A:$B,2,0),"")</f>
      </c>
      <c r="S430" s="89"/>
      <c r="T430" s="90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6"/>
      <c r="AZ430" s="120">
        <f>COUNTIF(U430:AY430,"A")</f>
      </c>
      <c r="BA430" s="121">
        <f>COUNTIF(U430:AY430,"F")</f>
      </c>
      <c r="BB430" s="119">
        <f>COUNTIF(U430:AY430,"E")</f>
      </c>
    </row>
    <row r="431" spans="1:54" x14ac:dyDescent="0.2">
      <c r="A431" s="84"/>
      <c r="B431" s="85"/>
      <c r="C431" s="85"/>
      <c r="D431" s="85"/>
      <c r="E431" s="86"/>
      <c r="F431" s="16">
        <f>IF(E431="","",DATEDIF(E431,$I$7,"Y"))</f>
      </c>
      <c r="G431" s="85"/>
      <c r="H431" s="85"/>
      <c r="I431" s="87"/>
      <c r="J431" s="85"/>
      <c r="K431" s="85"/>
      <c r="L431" s="10"/>
      <c r="M431" s="10"/>
      <c r="N431" s="10"/>
      <c r="O431" s="10"/>
      <c r="P431" s="85"/>
      <c r="Q431" s="88"/>
      <c r="R431" s="3">
        <f>IFERROR(VLOOKUP(TablaMarzo[[#This Row],[BARRIO]],SECTOR!$A:$B,2,0),"")</f>
      </c>
      <c r="S431" s="89"/>
      <c r="T431" s="90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6"/>
      <c r="AZ431" s="120">
        <f>COUNTIF(U431:AY431,"A")</f>
      </c>
      <c r="BA431" s="121">
        <f>COUNTIF(U431:AY431,"F")</f>
      </c>
      <c r="BB431" s="119">
        <f>COUNTIF(U431:AY431,"E")</f>
      </c>
    </row>
    <row r="432" spans="1:54" x14ac:dyDescent="0.2">
      <c r="A432" s="84"/>
      <c r="B432" s="85"/>
      <c r="C432" s="85"/>
      <c r="D432" s="85"/>
      <c r="E432" s="86"/>
      <c r="F432" s="16">
        <f>IF(E432="","",DATEDIF(E432,$I$7,"Y"))</f>
      </c>
      <c r="G432" s="85"/>
      <c r="H432" s="85"/>
      <c r="I432" s="87"/>
      <c r="J432" s="85"/>
      <c r="K432" s="85"/>
      <c r="L432" s="10"/>
      <c r="M432" s="10"/>
      <c r="N432" s="10"/>
      <c r="O432" s="10"/>
      <c r="P432" s="85"/>
      <c r="Q432" s="88"/>
      <c r="R432" s="3">
        <f>IFERROR(VLOOKUP(TablaMarzo[[#This Row],[BARRIO]],SECTOR!$A:$B,2,0),"")</f>
      </c>
      <c r="S432" s="89"/>
      <c r="T432" s="90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6"/>
      <c r="AZ432" s="120">
        <f>COUNTIF(U432:AY432,"A")</f>
      </c>
      <c r="BA432" s="121">
        <f>COUNTIF(U432:AY432,"F")</f>
      </c>
      <c r="BB432" s="119">
        <f>COUNTIF(U432:AY432,"E")</f>
      </c>
    </row>
    <row r="433" spans="1:54" x14ac:dyDescent="0.2">
      <c r="A433" s="84"/>
      <c r="B433" s="85"/>
      <c r="C433" s="85"/>
      <c r="D433" s="85"/>
      <c r="E433" s="86"/>
      <c r="F433" s="16">
        <f>IF(E433="","",DATEDIF(E433,$I$7,"Y"))</f>
      </c>
      <c r="G433" s="85"/>
      <c r="H433" s="85"/>
      <c r="I433" s="87"/>
      <c r="J433" s="85"/>
      <c r="K433" s="85"/>
      <c r="L433" s="10"/>
      <c r="M433" s="10"/>
      <c r="N433" s="10"/>
      <c r="O433" s="10"/>
      <c r="P433" s="85"/>
      <c r="Q433" s="88"/>
      <c r="R433" s="3">
        <f>IFERROR(VLOOKUP(TablaMarzo[[#This Row],[BARRIO]],SECTOR!$A:$B,2,0),"")</f>
      </c>
      <c r="S433" s="89"/>
      <c r="T433" s="90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6"/>
      <c r="AZ433" s="120">
        <f>COUNTIF(U433:AY433,"A")</f>
      </c>
      <c r="BA433" s="121">
        <f>COUNTIF(U433:AY433,"F")</f>
      </c>
      <c r="BB433" s="119">
        <f>COUNTIF(U433:AY433,"E")</f>
      </c>
    </row>
    <row r="434" spans="1:54" x14ac:dyDescent="0.2">
      <c r="A434" s="84"/>
      <c r="B434" s="85"/>
      <c r="C434" s="85"/>
      <c r="D434" s="85"/>
      <c r="E434" s="86"/>
      <c r="F434" s="16">
        <f>IF(E434="","",DATEDIF(E434,$I$7,"Y"))</f>
      </c>
      <c r="G434" s="85"/>
      <c r="H434" s="85"/>
      <c r="I434" s="87"/>
      <c r="J434" s="85"/>
      <c r="K434" s="85"/>
      <c r="L434" s="10"/>
      <c r="M434" s="10"/>
      <c r="N434" s="10"/>
      <c r="O434" s="10"/>
      <c r="P434" s="85"/>
      <c r="Q434" s="88"/>
      <c r="R434" s="3">
        <f>IFERROR(VLOOKUP(TablaMarzo[[#This Row],[BARRIO]],SECTOR!$A:$B,2,0),"")</f>
      </c>
      <c r="S434" s="89"/>
      <c r="T434" s="90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6"/>
      <c r="AZ434" s="120">
        <f>COUNTIF(U434:AY434,"A")</f>
      </c>
      <c r="BA434" s="121">
        <f>COUNTIF(U434:AY434,"F")</f>
      </c>
      <c r="BB434" s="119">
        <f>COUNTIF(U434:AY434,"E")</f>
      </c>
    </row>
    <row r="435" spans="1:54" x14ac:dyDescent="0.2">
      <c r="A435" s="84"/>
      <c r="B435" s="85"/>
      <c r="C435" s="85"/>
      <c r="D435" s="85"/>
      <c r="E435" s="86"/>
      <c r="F435" s="16">
        <f>IF(E435="","",DATEDIF(E435,$I$7,"Y"))</f>
      </c>
      <c r="G435" s="85"/>
      <c r="H435" s="85"/>
      <c r="I435" s="87"/>
      <c r="J435" s="85"/>
      <c r="K435" s="85"/>
      <c r="L435" s="10"/>
      <c r="M435" s="10"/>
      <c r="N435" s="10"/>
      <c r="O435" s="10"/>
      <c r="P435" s="85"/>
      <c r="Q435" s="88"/>
      <c r="R435" s="3">
        <f>IFERROR(VLOOKUP(TablaMarzo[[#This Row],[BARRIO]],SECTOR!$A:$B,2,0),"")</f>
      </c>
      <c r="S435" s="89"/>
      <c r="T435" s="90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6"/>
      <c r="AZ435" s="120">
        <f>COUNTIF(U435:AY435,"A")</f>
      </c>
      <c r="BA435" s="121">
        <f>COUNTIF(U435:AY435,"F")</f>
      </c>
      <c r="BB435" s="119">
        <f>COUNTIF(U435:AY435,"E")</f>
      </c>
    </row>
    <row r="436" spans="1:54" x14ac:dyDescent="0.2">
      <c r="A436" s="84"/>
      <c r="B436" s="85"/>
      <c r="C436" s="85"/>
      <c r="D436" s="85"/>
      <c r="E436" s="86"/>
      <c r="F436" s="16">
        <f>IF(E436="","",DATEDIF(E436,$I$7,"Y"))</f>
      </c>
      <c r="G436" s="85"/>
      <c r="H436" s="85"/>
      <c r="I436" s="87"/>
      <c r="J436" s="85"/>
      <c r="K436" s="85"/>
      <c r="L436" s="10"/>
      <c r="M436" s="10"/>
      <c r="N436" s="10"/>
      <c r="O436" s="10"/>
      <c r="P436" s="85"/>
      <c r="Q436" s="88"/>
      <c r="R436" s="3">
        <f>IFERROR(VLOOKUP(TablaMarzo[[#This Row],[BARRIO]],SECTOR!$A:$B,2,0),"")</f>
      </c>
      <c r="S436" s="89"/>
      <c r="T436" s="90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6"/>
      <c r="AZ436" s="120">
        <f>COUNTIF(U436:AY436,"A")</f>
      </c>
      <c r="BA436" s="121">
        <f>COUNTIF(U436:AY436,"F")</f>
      </c>
      <c r="BB436" s="119">
        <f>COUNTIF(U436:AY436,"E")</f>
      </c>
    </row>
    <row r="437" spans="1:54" x14ac:dyDescent="0.2">
      <c r="A437" s="84"/>
      <c r="B437" s="85"/>
      <c r="C437" s="85"/>
      <c r="D437" s="85"/>
      <c r="E437" s="86"/>
      <c r="F437" s="16">
        <f>IF(E437="","",DATEDIF(E437,$I$7,"Y"))</f>
      </c>
      <c r="G437" s="85"/>
      <c r="H437" s="85"/>
      <c r="I437" s="87"/>
      <c r="J437" s="85"/>
      <c r="K437" s="85"/>
      <c r="L437" s="10"/>
      <c r="M437" s="10"/>
      <c r="N437" s="10"/>
      <c r="O437" s="10"/>
      <c r="P437" s="85"/>
      <c r="Q437" s="88"/>
      <c r="R437" s="3">
        <f>IFERROR(VLOOKUP(TablaMarzo[[#This Row],[BARRIO]],SECTOR!$A:$B,2,0),"")</f>
      </c>
      <c r="S437" s="89"/>
      <c r="T437" s="90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6"/>
      <c r="AZ437" s="120">
        <f>COUNTIF(U437:AY437,"A")</f>
      </c>
      <c r="BA437" s="121">
        <f>COUNTIF(U437:AY437,"F")</f>
      </c>
      <c r="BB437" s="119">
        <f>COUNTIF(U437:AY437,"E")</f>
      </c>
    </row>
    <row r="438" spans="1:54" x14ac:dyDescent="0.2">
      <c r="A438" s="84"/>
      <c r="B438" s="85"/>
      <c r="C438" s="85"/>
      <c r="D438" s="85"/>
      <c r="E438" s="86"/>
      <c r="F438" s="16">
        <f>IF(E438="","",DATEDIF(E438,$I$7,"Y"))</f>
      </c>
      <c r="G438" s="85"/>
      <c r="H438" s="85"/>
      <c r="I438" s="87"/>
      <c r="J438" s="85"/>
      <c r="K438" s="85"/>
      <c r="L438" s="10"/>
      <c r="M438" s="10"/>
      <c r="N438" s="10"/>
      <c r="O438" s="10"/>
      <c r="P438" s="85"/>
      <c r="Q438" s="88"/>
      <c r="R438" s="3">
        <f>IFERROR(VLOOKUP(TablaMarzo[[#This Row],[BARRIO]],SECTOR!$A:$B,2,0),"")</f>
      </c>
      <c r="S438" s="89"/>
      <c r="T438" s="90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6"/>
      <c r="AZ438" s="120">
        <f>COUNTIF(U438:AY438,"A")</f>
      </c>
      <c r="BA438" s="121">
        <f>COUNTIF(U438:AY438,"F")</f>
      </c>
      <c r="BB438" s="119">
        <f>COUNTIF(U438:AY438,"E")</f>
      </c>
    </row>
    <row r="439" spans="1:54" x14ac:dyDescent="0.2">
      <c r="A439" s="84"/>
      <c r="B439" s="85"/>
      <c r="C439" s="85"/>
      <c r="D439" s="85"/>
      <c r="E439" s="86"/>
      <c r="F439" s="16">
        <f>IF(E439="","",DATEDIF(E439,$I$7,"Y"))</f>
      </c>
      <c r="G439" s="85"/>
      <c r="H439" s="85"/>
      <c r="I439" s="87"/>
      <c r="J439" s="85"/>
      <c r="K439" s="85"/>
      <c r="L439" s="10"/>
      <c r="M439" s="10"/>
      <c r="N439" s="10"/>
      <c r="O439" s="10"/>
      <c r="P439" s="85"/>
      <c r="Q439" s="88"/>
      <c r="R439" s="3">
        <f>IFERROR(VLOOKUP(TablaMarzo[[#This Row],[BARRIO]],SECTOR!$A:$B,2,0),"")</f>
      </c>
      <c r="S439" s="89"/>
      <c r="T439" s="90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6"/>
      <c r="AZ439" s="120">
        <f>COUNTIF(U439:AY439,"A")</f>
      </c>
      <c r="BA439" s="121">
        <f>COUNTIF(U439:AY439,"F")</f>
      </c>
      <c r="BB439" s="119">
        <f>COUNTIF(U439:AY439,"E")</f>
      </c>
    </row>
    <row r="440" spans="1:54" x14ac:dyDescent="0.2">
      <c r="A440" s="84"/>
      <c r="B440" s="85"/>
      <c r="C440" s="85"/>
      <c r="D440" s="85"/>
      <c r="E440" s="86"/>
      <c r="F440" s="16">
        <f>IF(E440="","",DATEDIF(E440,$I$7,"Y"))</f>
      </c>
      <c r="G440" s="85"/>
      <c r="H440" s="85"/>
      <c r="I440" s="87"/>
      <c r="J440" s="85"/>
      <c r="K440" s="85"/>
      <c r="L440" s="10"/>
      <c r="M440" s="10"/>
      <c r="N440" s="10"/>
      <c r="O440" s="10"/>
      <c r="P440" s="85"/>
      <c r="Q440" s="88"/>
      <c r="R440" s="3">
        <f>IFERROR(VLOOKUP(TablaMarzo[[#This Row],[BARRIO]],SECTOR!$A:$B,2,0),"")</f>
      </c>
      <c r="S440" s="89"/>
      <c r="T440" s="90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6"/>
      <c r="AZ440" s="120">
        <f>COUNTIF(U440:AY440,"A")</f>
      </c>
      <c r="BA440" s="121">
        <f>COUNTIF(U440:AY440,"F")</f>
      </c>
      <c r="BB440" s="119">
        <f>COUNTIF(U440:AY440,"E")</f>
      </c>
    </row>
    <row r="441" spans="1:54" x14ac:dyDescent="0.2">
      <c r="A441" s="84"/>
      <c r="B441" s="85"/>
      <c r="C441" s="85"/>
      <c r="D441" s="85"/>
      <c r="E441" s="86"/>
      <c r="F441" s="16">
        <f>IF(E441="","",DATEDIF(E441,$I$7,"Y"))</f>
      </c>
      <c r="G441" s="85"/>
      <c r="H441" s="85"/>
      <c r="I441" s="87"/>
      <c r="J441" s="85"/>
      <c r="K441" s="85"/>
      <c r="L441" s="10"/>
      <c r="M441" s="10"/>
      <c r="N441" s="10"/>
      <c r="O441" s="10"/>
      <c r="P441" s="85"/>
      <c r="Q441" s="88"/>
      <c r="R441" s="3">
        <f>IFERROR(VLOOKUP(TablaMarzo[[#This Row],[BARRIO]],SECTOR!$A:$B,2,0),"")</f>
      </c>
      <c r="S441" s="89"/>
      <c r="T441" s="90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6"/>
      <c r="AZ441" s="120">
        <f>COUNTIF(U441:AY441,"A")</f>
      </c>
      <c r="BA441" s="121">
        <f>COUNTIF(U441:AY441,"F")</f>
      </c>
      <c r="BB441" s="119">
        <f>COUNTIF(U441:AY441,"E")</f>
      </c>
    </row>
    <row r="442" spans="1:54" x14ac:dyDescent="0.2">
      <c r="A442" s="84"/>
      <c r="B442" s="85"/>
      <c r="C442" s="85"/>
      <c r="D442" s="85"/>
      <c r="E442" s="86"/>
      <c r="F442" s="16">
        <f>IF(E442="","",DATEDIF(E442,$I$7,"Y"))</f>
      </c>
      <c r="G442" s="85"/>
      <c r="H442" s="85"/>
      <c r="I442" s="87"/>
      <c r="J442" s="85"/>
      <c r="K442" s="85"/>
      <c r="L442" s="10"/>
      <c r="M442" s="10"/>
      <c r="N442" s="10"/>
      <c r="O442" s="10"/>
      <c r="P442" s="85"/>
      <c r="Q442" s="88"/>
      <c r="R442" s="3">
        <f>IFERROR(VLOOKUP(TablaMarzo[[#This Row],[BARRIO]],SECTOR!$A:$B,2,0),"")</f>
      </c>
      <c r="S442" s="89"/>
      <c r="T442" s="90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6"/>
      <c r="AZ442" s="120">
        <f>COUNTIF(U442:AY442,"A")</f>
      </c>
      <c r="BA442" s="121">
        <f>COUNTIF(U442:AY442,"F")</f>
      </c>
      <c r="BB442" s="119">
        <f>COUNTIF(U442:AY442,"E")</f>
      </c>
    </row>
    <row r="443" spans="1:54" x14ac:dyDescent="0.2">
      <c r="A443" s="84"/>
      <c r="B443" s="85"/>
      <c r="C443" s="85"/>
      <c r="D443" s="85"/>
      <c r="E443" s="86"/>
      <c r="F443" s="16">
        <f>IF(E443="","",DATEDIF(E443,$I$7,"Y"))</f>
      </c>
      <c r="G443" s="85"/>
      <c r="H443" s="85"/>
      <c r="I443" s="87"/>
      <c r="J443" s="85"/>
      <c r="K443" s="85"/>
      <c r="L443" s="10"/>
      <c r="M443" s="10"/>
      <c r="N443" s="10"/>
      <c r="O443" s="10"/>
      <c r="P443" s="85"/>
      <c r="Q443" s="88"/>
      <c r="R443" s="3">
        <f>IFERROR(VLOOKUP(TablaMarzo[[#This Row],[BARRIO]],SECTOR!$A:$B,2,0),"")</f>
      </c>
      <c r="S443" s="89"/>
      <c r="T443" s="90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6"/>
      <c r="AZ443" s="120">
        <f>COUNTIF(U443:AY443,"A")</f>
      </c>
      <c r="BA443" s="121">
        <f>COUNTIF(U443:AY443,"F")</f>
      </c>
      <c r="BB443" s="119">
        <f>COUNTIF(U443:AY443,"E")</f>
      </c>
    </row>
    <row r="444" spans="1:54" x14ac:dyDescent="0.2">
      <c r="A444" s="84"/>
      <c r="B444" s="85"/>
      <c r="C444" s="85"/>
      <c r="D444" s="85"/>
      <c r="E444" s="86"/>
      <c r="F444" s="16">
        <f>IF(E444="","",DATEDIF(E444,$I$7,"Y"))</f>
      </c>
      <c r="G444" s="85"/>
      <c r="H444" s="85"/>
      <c r="I444" s="87"/>
      <c r="J444" s="85"/>
      <c r="K444" s="85"/>
      <c r="L444" s="10"/>
      <c r="M444" s="10"/>
      <c r="N444" s="10"/>
      <c r="O444" s="10"/>
      <c r="P444" s="85"/>
      <c r="Q444" s="88"/>
      <c r="R444" s="3">
        <f>IFERROR(VLOOKUP(TablaMarzo[[#This Row],[BARRIO]],SECTOR!$A:$B,2,0),"")</f>
      </c>
      <c r="S444" s="89"/>
      <c r="T444" s="90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6"/>
      <c r="AZ444" s="120">
        <f>COUNTIF(U444:AY444,"A")</f>
      </c>
      <c r="BA444" s="121">
        <f>COUNTIF(U444:AY444,"F")</f>
      </c>
      <c r="BB444" s="119">
        <f>COUNTIF(U444:AY444,"E")</f>
      </c>
    </row>
    <row r="445" spans="1:54" x14ac:dyDescent="0.2">
      <c r="A445" s="84"/>
      <c r="B445" s="85"/>
      <c r="C445" s="85"/>
      <c r="D445" s="85"/>
      <c r="E445" s="86"/>
      <c r="F445" s="16">
        <f>IF(E445="","",DATEDIF(E445,$I$7,"Y"))</f>
      </c>
      <c r="G445" s="85"/>
      <c r="H445" s="85"/>
      <c r="I445" s="87"/>
      <c r="J445" s="85"/>
      <c r="K445" s="85"/>
      <c r="L445" s="10"/>
      <c r="M445" s="10"/>
      <c r="N445" s="10"/>
      <c r="O445" s="10"/>
      <c r="P445" s="85"/>
      <c r="Q445" s="88"/>
      <c r="R445" s="3">
        <f>IFERROR(VLOOKUP(TablaMarzo[[#This Row],[BARRIO]],SECTOR!$A:$B,2,0),"")</f>
      </c>
      <c r="S445" s="89"/>
      <c r="T445" s="90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6"/>
      <c r="AZ445" s="120">
        <f>COUNTIF(U445:AY445,"A")</f>
      </c>
      <c r="BA445" s="121">
        <f>COUNTIF(U445:AY445,"F")</f>
      </c>
      <c r="BB445" s="119">
        <f>COUNTIF(U445:AY445,"E")</f>
      </c>
    </row>
    <row r="446" spans="1:54" x14ac:dyDescent="0.2">
      <c r="A446" s="84"/>
      <c r="B446" s="85"/>
      <c r="C446" s="85"/>
      <c r="D446" s="85"/>
      <c r="E446" s="86"/>
      <c r="F446" s="16">
        <f>IF(E446="","",DATEDIF(E446,$I$7,"Y"))</f>
      </c>
      <c r="G446" s="85"/>
      <c r="H446" s="85"/>
      <c r="I446" s="87"/>
      <c r="J446" s="85"/>
      <c r="K446" s="85"/>
      <c r="L446" s="10"/>
      <c r="M446" s="10"/>
      <c r="N446" s="10"/>
      <c r="O446" s="10"/>
      <c r="P446" s="85"/>
      <c r="Q446" s="88"/>
      <c r="R446" s="3">
        <f>IFERROR(VLOOKUP(TablaMarzo[[#This Row],[BARRIO]],SECTOR!$A:$B,2,0),"")</f>
      </c>
      <c r="S446" s="89"/>
      <c r="T446" s="90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6"/>
      <c r="AZ446" s="120">
        <f>COUNTIF(U446:AY446,"A")</f>
      </c>
      <c r="BA446" s="121">
        <f>COUNTIF(U446:AY446,"F")</f>
      </c>
      <c r="BB446" s="119">
        <f>COUNTIF(U446:AY446,"E")</f>
      </c>
    </row>
    <row r="447" spans="1:54" x14ac:dyDescent="0.2">
      <c r="A447" s="84"/>
      <c r="B447" s="85"/>
      <c r="C447" s="85"/>
      <c r="D447" s="85"/>
      <c r="E447" s="86"/>
      <c r="F447" s="16">
        <f>IF(E447="","",DATEDIF(E447,$I$7,"Y"))</f>
      </c>
      <c r="G447" s="85"/>
      <c r="H447" s="85"/>
      <c r="I447" s="87"/>
      <c r="J447" s="85"/>
      <c r="K447" s="85"/>
      <c r="L447" s="10"/>
      <c r="M447" s="10"/>
      <c r="N447" s="10"/>
      <c r="O447" s="10"/>
      <c r="P447" s="85"/>
      <c r="Q447" s="88"/>
      <c r="R447" s="3">
        <f>IFERROR(VLOOKUP(TablaMarzo[[#This Row],[BARRIO]],SECTOR!$A:$B,2,0),"")</f>
      </c>
      <c r="S447" s="89"/>
      <c r="T447" s="90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6"/>
      <c r="AZ447" s="120">
        <f>COUNTIF(U447:AY447,"A")</f>
      </c>
      <c r="BA447" s="121">
        <f>COUNTIF(U447:AY447,"F")</f>
      </c>
      <c r="BB447" s="119">
        <f>COUNTIF(U447:AY447,"E")</f>
      </c>
    </row>
    <row r="448" spans="1:54" x14ac:dyDescent="0.2">
      <c r="A448" s="84"/>
      <c r="B448" s="85"/>
      <c r="C448" s="85"/>
      <c r="D448" s="85"/>
      <c r="E448" s="86"/>
      <c r="F448" s="16">
        <f>IF(E448="","",DATEDIF(E448,$I$7,"Y"))</f>
      </c>
      <c r="G448" s="85"/>
      <c r="H448" s="85"/>
      <c r="I448" s="87"/>
      <c r="J448" s="85"/>
      <c r="K448" s="85"/>
      <c r="L448" s="10"/>
      <c r="M448" s="10"/>
      <c r="N448" s="10"/>
      <c r="O448" s="10"/>
      <c r="P448" s="85"/>
      <c r="Q448" s="88"/>
      <c r="R448" s="3">
        <f>IFERROR(VLOOKUP(TablaMarzo[[#This Row],[BARRIO]],SECTOR!$A:$B,2,0),"")</f>
      </c>
      <c r="S448" s="89"/>
      <c r="T448" s="90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6"/>
      <c r="AZ448" s="120">
        <f>COUNTIF(U448:AY448,"A")</f>
      </c>
      <c r="BA448" s="121">
        <f>COUNTIF(U448:AY448,"F")</f>
      </c>
      <c r="BB448" s="119">
        <f>COUNTIF(U448:AY448,"E")</f>
      </c>
    </row>
    <row r="449" spans="1:54" x14ac:dyDescent="0.2">
      <c r="A449" s="84"/>
      <c r="B449" s="85"/>
      <c r="C449" s="85"/>
      <c r="D449" s="85"/>
      <c r="E449" s="86"/>
      <c r="F449" s="16">
        <f>IF(E449="","",DATEDIF(E449,$I$7,"Y"))</f>
      </c>
      <c r="G449" s="85"/>
      <c r="H449" s="85"/>
      <c r="I449" s="87"/>
      <c r="J449" s="85"/>
      <c r="K449" s="85"/>
      <c r="L449" s="10"/>
      <c r="M449" s="10"/>
      <c r="N449" s="10"/>
      <c r="O449" s="10"/>
      <c r="P449" s="85"/>
      <c r="Q449" s="88"/>
      <c r="R449" s="3">
        <f>IFERROR(VLOOKUP(TablaMarzo[[#This Row],[BARRIO]],SECTOR!$A:$B,2,0),"")</f>
      </c>
      <c r="S449" s="89"/>
      <c r="T449" s="90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6"/>
      <c r="AZ449" s="120">
        <f>COUNTIF(U449:AY449,"A")</f>
      </c>
      <c r="BA449" s="121">
        <f>COUNTIF(U449:AY449,"F")</f>
      </c>
      <c r="BB449" s="119">
        <f>COUNTIF(U449:AY449,"E")</f>
      </c>
    </row>
    <row r="450" spans="1:54" x14ac:dyDescent="0.2">
      <c r="A450" s="84"/>
      <c r="B450" s="85"/>
      <c r="C450" s="85"/>
      <c r="D450" s="85"/>
      <c r="E450" s="86"/>
      <c r="F450" s="16">
        <f>IF(E450="","",DATEDIF(E450,$I$7,"Y"))</f>
      </c>
      <c r="G450" s="85"/>
      <c r="H450" s="85"/>
      <c r="I450" s="87"/>
      <c r="J450" s="85"/>
      <c r="K450" s="85"/>
      <c r="L450" s="10"/>
      <c r="M450" s="10"/>
      <c r="N450" s="10"/>
      <c r="O450" s="10"/>
      <c r="P450" s="85"/>
      <c r="Q450" s="88"/>
      <c r="R450" s="3">
        <f>IFERROR(VLOOKUP(TablaMarzo[[#This Row],[BARRIO]],SECTOR!$A:$B,2,0),"")</f>
      </c>
      <c r="S450" s="89"/>
      <c r="T450" s="90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6"/>
      <c r="AZ450" s="120">
        <f>COUNTIF(U450:AY450,"A")</f>
      </c>
      <c r="BA450" s="121">
        <f>COUNTIF(U450:AY450,"F")</f>
      </c>
      <c r="BB450" s="119">
        <f>COUNTIF(U450:AY450,"E")</f>
      </c>
    </row>
    <row r="451" spans="1:54" x14ac:dyDescent="0.2">
      <c r="A451" s="84"/>
      <c r="B451" s="85"/>
      <c r="C451" s="85"/>
      <c r="D451" s="85"/>
      <c r="E451" s="86"/>
      <c r="F451" s="16">
        <f>IF(E451="","",DATEDIF(E451,$I$7,"Y"))</f>
      </c>
      <c r="G451" s="85"/>
      <c r="H451" s="85"/>
      <c r="I451" s="87"/>
      <c r="J451" s="85"/>
      <c r="K451" s="85"/>
      <c r="L451" s="10"/>
      <c r="M451" s="10"/>
      <c r="N451" s="10"/>
      <c r="O451" s="10"/>
      <c r="P451" s="85"/>
      <c r="Q451" s="88"/>
      <c r="R451" s="3">
        <f>IFERROR(VLOOKUP(TablaMarzo[[#This Row],[BARRIO]],SECTOR!$A:$B,2,0),"")</f>
      </c>
      <c r="S451" s="89"/>
      <c r="T451" s="90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6"/>
      <c r="AZ451" s="120">
        <f>COUNTIF(U451:AY451,"A")</f>
      </c>
      <c r="BA451" s="121">
        <f>COUNTIF(U451:AY451,"F")</f>
      </c>
      <c r="BB451" s="119">
        <f>COUNTIF(U451:AY451,"E")</f>
      </c>
    </row>
    <row r="452" spans="1:54" x14ac:dyDescent="0.2">
      <c r="A452" s="84"/>
      <c r="B452" s="85"/>
      <c r="C452" s="85"/>
      <c r="D452" s="85"/>
      <c r="E452" s="86"/>
      <c r="F452" s="16">
        <f>IF(E452="","",DATEDIF(E452,$I$7,"Y"))</f>
      </c>
      <c r="G452" s="85"/>
      <c r="H452" s="85"/>
      <c r="I452" s="87"/>
      <c r="J452" s="85"/>
      <c r="K452" s="85"/>
      <c r="L452" s="10"/>
      <c r="M452" s="10"/>
      <c r="N452" s="10"/>
      <c r="O452" s="10"/>
      <c r="P452" s="85"/>
      <c r="Q452" s="88"/>
      <c r="R452" s="3">
        <f>IFERROR(VLOOKUP(TablaMarzo[[#This Row],[BARRIO]],SECTOR!$A:$B,2,0),"")</f>
      </c>
      <c r="S452" s="89"/>
      <c r="T452" s="90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6"/>
      <c r="AZ452" s="120">
        <f>COUNTIF(U452:AY452,"A")</f>
      </c>
      <c r="BA452" s="121">
        <f>COUNTIF(U452:AY452,"F")</f>
      </c>
      <c r="BB452" s="119">
        <f>COUNTIF(U452:AY452,"E")</f>
      </c>
    </row>
    <row r="453" spans="1:54" x14ac:dyDescent="0.2">
      <c r="A453" s="84"/>
      <c r="B453" s="85"/>
      <c r="C453" s="85"/>
      <c r="D453" s="85"/>
      <c r="E453" s="86"/>
      <c r="F453" s="16">
        <f>IF(E453="","",DATEDIF(E453,$I$7,"Y"))</f>
      </c>
      <c r="G453" s="85"/>
      <c r="H453" s="85"/>
      <c r="I453" s="87"/>
      <c r="J453" s="85"/>
      <c r="K453" s="85"/>
      <c r="L453" s="10"/>
      <c r="M453" s="10"/>
      <c r="N453" s="10"/>
      <c r="O453" s="10"/>
      <c r="P453" s="85"/>
      <c r="Q453" s="88"/>
      <c r="R453" s="3">
        <f>IFERROR(VLOOKUP(TablaMarzo[[#This Row],[BARRIO]],SECTOR!$A:$B,2,0),"")</f>
      </c>
      <c r="S453" s="89"/>
      <c r="T453" s="90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6"/>
      <c r="AZ453" s="120">
        <f>COUNTIF(U453:AY453,"A")</f>
      </c>
      <c r="BA453" s="121">
        <f>COUNTIF(U453:AY453,"F")</f>
      </c>
      <c r="BB453" s="119">
        <f>COUNTIF(U453:AY453,"E")</f>
      </c>
    </row>
    <row r="454" spans="1:54" x14ac:dyDescent="0.2">
      <c r="A454" s="84"/>
      <c r="B454" s="85"/>
      <c r="C454" s="85"/>
      <c r="D454" s="85"/>
      <c r="E454" s="86"/>
      <c r="F454" s="16">
        <f>IF(E454="","",DATEDIF(E454,$I$7,"Y"))</f>
      </c>
      <c r="G454" s="85"/>
      <c r="H454" s="85"/>
      <c r="I454" s="87"/>
      <c r="J454" s="85"/>
      <c r="K454" s="85"/>
      <c r="L454" s="10"/>
      <c r="M454" s="10"/>
      <c r="N454" s="10"/>
      <c r="O454" s="10"/>
      <c r="P454" s="85"/>
      <c r="Q454" s="88"/>
      <c r="R454" s="3">
        <f>IFERROR(VLOOKUP(TablaMarzo[[#This Row],[BARRIO]],SECTOR!$A:$B,2,0),"")</f>
      </c>
      <c r="S454" s="89"/>
      <c r="T454" s="90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6"/>
      <c r="AZ454" s="120">
        <f>COUNTIF(U454:AY454,"A")</f>
      </c>
      <c r="BA454" s="121">
        <f>COUNTIF(U454:AY454,"F")</f>
      </c>
      <c r="BB454" s="119">
        <f>COUNTIF(U454:AY454,"E")</f>
      </c>
    </row>
    <row r="455" spans="1:54" x14ac:dyDescent="0.2">
      <c r="A455" s="84"/>
      <c r="B455" s="85"/>
      <c r="C455" s="85"/>
      <c r="D455" s="85"/>
      <c r="E455" s="86"/>
      <c r="F455" s="16">
        <f>IF(E455="","",DATEDIF(E455,$I$7,"Y"))</f>
      </c>
      <c r="G455" s="85"/>
      <c r="H455" s="85"/>
      <c r="I455" s="87"/>
      <c r="J455" s="85"/>
      <c r="K455" s="85"/>
      <c r="L455" s="10"/>
      <c r="M455" s="10"/>
      <c r="N455" s="10"/>
      <c r="O455" s="10"/>
      <c r="P455" s="85"/>
      <c r="Q455" s="88"/>
      <c r="R455" s="3">
        <f>IFERROR(VLOOKUP(TablaMarzo[[#This Row],[BARRIO]],SECTOR!$A:$B,2,0),"")</f>
      </c>
      <c r="S455" s="89"/>
      <c r="T455" s="90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6"/>
      <c r="AZ455" s="120">
        <f>COUNTIF(U455:AY455,"A")</f>
      </c>
      <c r="BA455" s="121">
        <f>COUNTIF(U455:AY455,"F")</f>
      </c>
      <c r="BB455" s="119">
        <f>COUNTIF(U455:AY455,"E")</f>
      </c>
    </row>
    <row r="456" spans="1:54" x14ac:dyDescent="0.2">
      <c r="A456" s="84"/>
      <c r="B456" s="85"/>
      <c r="C456" s="85"/>
      <c r="D456" s="85"/>
      <c r="E456" s="86"/>
      <c r="F456" s="16">
        <f>IF(E456="","",DATEDIF(E456,$I$7,"Y"))</f>
      </c>
      <c r="G456" s="85"/>
      <c r="H456" s="85"/>
      <c r="I456" s="87"/>
      <c r="J456" s="85"/>
      <c r="K456" s="85"/>
      <c r="L456" s="10"/>
      <c r="M456" s="10"/>
      <c r="N456" s="10"/>
      <c r="O456" s="10"/>
      <c r="P456" s="85"/>
      <c r="Q456" s="88"/>
      <c r="R456" s="3">
        <f>IFERROR(VLOOKUP(TablaMarzo[[#This Row],[BARRIO]],SECTOR!$A:$B,2,0),"")</f>
      </c>
      <c r="S456" s="89"/>
      <c r="T456" s="90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6"/>
      <c r="AZ456" s="120">
        <f>COUNTIF(U456:AY456,"A")</f>
      </c>
      <c r="BA456" s="121">
        <f>COUNTIF(U456:AY456,"F")</f>
      </c>
      <c r="BB456" s="119">
        <f>COUNTIF(U456:AY456,"E")</f>
      </c>
    </row>
    <row r="457" spans="1:54" x14ac:dyDescent="0.2">
      <c r="A457" s="84"/>
      <c r="B457" s="85"/>
      <c r="C457" s="85"/>
      <c r="D457" s="85"/>
      <c r="E457" s="86"/>
      <c r="F457" s="16">
        <f>IF(E457="","",DATEDIF(E457,$I$7,"Y"))</f>
      </c>
      <c r="G457" s="85"/>
      <c r="H457" s="85"/>
      <c r="I457" s="87"/>
      <c r="J457" s="85"/>
      <c r="K457" s="85"/>
      <c r="L457" s="10"/>
      <c r="M457" s="10"/>
      <c r="N457" s="10"/>
      <c r="O457" s="10"/>
      <c r="P457" s="85"/>
      <c r="Q457" s="88"/>
      <c r="R457" s="3">
        <f>IFERROR(VLOOKUP(TablaMarzo[[#This Row],[BARRIO]],SECTOR!$A:$B,2,0),"")</f>
      </c>
      <c r="S457" s="89"/>
      <c r="T457" s="90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6"/>
      <c r="AZ457" s="120">
        <f>COUNTIF(U457:AY457,"A")</f>
      </c>
      <c r="BA457" s="121">
        <f>COUNTIF(U457:AY457,"F")</f>
      </c>
      <c r="BB457" s="119">
        <f>COUNTIF(U457:AY457,"E")</f>
      </c>
    </row>
    <row r="458" spans="1:54" x14ac:dyDescent="0.2">
      <c r="A458" s="84"/>
      <c r="B458" s="85"/>
      <c r="C458" s="85"/>
      <c r="D458" s="85"/>
      <c r="E458" s="86"/>
      <c r="F458" s="16">
        <f>IF(E458="","",DATEDIF(E458,$I$7,"Y"))</f>
      </c>
      <c r="G458" s="85"/>
      <c r="H458" s="85"/>
      <c r="I458" s="87"/>
      <c r="J458" s="85"/>
      <c r="K458" s="85"/>
      <c r="L458" s="10"/>
      <c r="M458" s="10"/>
      <c r="N458" s="10"/>
      <c r="O458" s="10"/>
      <c r="P458" s="85"/>
      <c r="Q458" s="88"/>
      <c r="R458" s="3">
        <f>IFERROR(VLOOKUP(TablaMarzo[[#This Row],[BARRIO]],SECTOR!$A:$B,2,0),"")</f>
      </c>
      <c r="S458" s="89"/>
      <c r="T458" s="90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6"/>
      <c r="AZ458" s="120">
        <f>COUNTIF(U458:AY458,"A")</f>
      </c>
      <c r="BA458" s="121">
        <f>COUNTIF(U458:AY458,"F")</f>
      </c>
      <c r="BB458" s="119">
        <f>COUNTIF(U458:AY458,"E")</f>
      </c>
    </row>
    <row r="459" spans="1:54" x14ac:dyDescent="0.2">
      <c r="A459" s="84"/>
      <c r="B459" s="85"/>
      <c r="C459" s="85"/>
      <c r="D459" s="85"/>
      <c r="E459" s="86"/>
      <c r="F459" s="16">
        <f>IF(E459="","",DATEDIF(E459,$I$7,"Y"))</f>
      </c>
      <c r="G459" s="85"/>
      <c r="H459" s="85"/>
      <c r="I459" s="87"/>
      <c r="J459" s="85"/>
      <c r="K459" s="85"/>
      <c r="L459" s="10"/>
      <c r="M459" s="10"/>
      <c r="N459" s="10"/>
      <c r="O459" s="10"/>
      <c r="P459" s="85"/>
      <c r="Q459" s="88"/>
      <c r="R459" s="3">
        <f>IFERROR(VLOOKUP(TablaMarzo[[#This Row],[BARRIO]],SECTOR!$A:$B,2,0),"")</f>
      </c>
      <c r="S459" s="89"/>
      <c r="T459" s="90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6"/>
      <c r="AZ459" s="120">
        <f>COUNTIF(U459:AY459,"A")</f>
      </c>
      <c r="BA459" s="121">
        <f>COUNTIF(U459:AY459,"F")</f>
      </c>
      <c r="BB459" s="119">
        <f>COUNTIF(U459:AY459,"E")</f>
      </c>
    </row>
    <row r="460" spans="1:54" x14ac:dyDescent="0.2">
      <c r="A460" s="84"/>
      <c r="B460" s="85"/>
      <c r="C460" s="85"/>
      <c r="D460" s="85"/>
      <c r="E460" s="86"/>
      <c r="F460" s="16">
        <f>IF(E460="","",DATEDIF(E460,$I$7,"Y"))</f>
      </c>
      <c r="G460" s="85"/>
      <c r="H460" s="85"/>
      <c r="I460" s="87"/>
      <c r="J460" s="85"/>
      <c r="K460" s="85"/>
      <c r="L460" s="10"/>
      <c r="M460" s="10"/>
      <c r="N460" s="10"/>
      <c r="O460" s="10"/>
      <c r="P460" s="85"/>
      <c r="Q460" s="88"/>
      <c r="R460" s="3">
        <f>IFERROR(VLOOKUP(TablaMarzo[[#This Row],[BARRIO]],SECTOR!$A:$B,2,0),"")</f>
      </c>
      <c r="S460" s="89"/>
      <c r="T460" s="90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6"/>
      <c r="AZ460" s="120">
        <f>COUNTIF(U460:AY460,"A")</f>
      </c>
      <c r="BA460" s="121">
        <f>COUNTIF(U460:AY460,"F")</f>
      </c>
      <c r="BB460" s="119">
        <f>COUNTIF(U460:AY460,"E")</f>
      </c>
    </row>
    <row r="461" spans="1:54" x14ac:dyDescent="0.2">
      <c r="A461" s="84"/>
      <c r="B461" s="85"/>
      <c r="C461" s="85"/>
      <c r="D461" s="85"/>
      <c r="E461" s="86"/>
      <c r="F461" s="16">
        <f>IF(E461="","",DATEDIF(E461,$I$7,"Y"))</f>
      </c>
      <c r="G461" s="85"/>
      <c r="H461" s="85"/>
      <c r="I461" s="87"/>
      <c r="J461" s="85"/>
      <c r="K461" s="85"/>
      <c r="L461" s="10"/>
      <c r="M461" s="10"/>
      <c r="N461" s="10"/>
      <c r="O461" s="10"/>
      <c r="P461" s="85"/>
      <c r="Q461" s="88"/>
      <c r="R461" s="3">
        <f>IFERROR(VLOOKUP(TablaMarzo[[#This Row],[BARRIO]],SECTOR!$A:$B,2,0),"")</f>
      </c>
      <c r="S461" s="89"/>
      <c r="T461" s="90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6"/>
      <c r="AZ461" s="120">
        <f>COUNTIF(U461:AY461,"A")</f>
      </c>
      <c r="BA461" s="121">
        <f>COUNTIF(U461:AY461,"F")</f>
      </c>
      <c r="BB461" s="119">
        <f>COUNTIF(U461:AY461,"E")</f>
      </c>
    </row>
    <row r="462" spans="1:54" x14ac:dyDescent="0.2">
      <c r="A462" s="84"/>
      <c r="B462" s="85"/>
      <c r="C462" s="85"/>
      <c r="D462" s="85"/>
      <c r="E462" s="86"/>
      <c r="F462" s="16">
        <f>IF(E462="","",DATEDIF(E462,$I$7,"Y"))</f>
      </c>
      <c r="G462" s="85"/>
      <c r="H462" s="85"/>
      <c r="I462" s="87"/>
      <c r="J462" s="85"/>
      <c r="K462" s="85"/>
      <c r="L462" s="10"/>
      <c r="M462" s="10"/>
      <c r="N462" s="10"/>
      <c r="O462" s="10"/>
      <c r="P462" s="85"/>
      <c r="Q462" s="88"/>
      <c r="R462" s="3">
        <f>IFERROR(VLOOKUP(TablaMarzo[[#This Row],[BARRIO]],SECTOR!$A:$B,2,0),"")</f>
      </c>
      <c r="S462" s="89"/>
      <c r="T462" s="90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6"/>
      <c r="AZ462" s="120">
        <f>COUNTIF(U462:AY462,"A")</f>
      </c>
      <c r="BA462" s="121">
        <f>COUNTIF(U462:AY462,"F")</f>
      </c>
      <c r="BB462" s="119">
        <f>COUNTIF(U462:AY462,"E")</f>
      </c>
    </row>
    <row r="463" spans="1:54" x14ac:dyDescent="0.2">
      <c r="A463" s="84"/>
      <c r="B463" s="85"/>
      <c r="C463" s="85"/>
      <c r="D463" s="85"/>
      <c r="E463" s="86"/>
      <c r="F463" s="16">
        <f>IF(E463="","",DATEDIF(E463,$I$7,"Y"))</f>
      </c>
      <c r="G463" s="85"/>
      <c r="H463" s="85"/>
      <c r="I463" s="87"/>
      <c r="J463" s="85"/>
      <c r="K463" s="85"/>
      <c r="L463" s="10"/>
      <c r="M463" s="10"/>
      <c r="N463" s="10"/>
      <c r="O463" s="10"/>
      <c r="P463" s="85"/>
      <c r="Q463" s="88"/>
      <c r="R463" s="3">
        <f>IFERROR(VLOOKUP(TablaMarzo[[#This Row],[BARRIO]],SECTOR!$A:$B,2,0),"")</f>
      </c>
      <c r="S463" s="89"/>
      <c r="T463" s="90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6"/>
      <c r="AZ463" s="120">
        <f>COUNTIF(U463:AY463,"A")</f>
      </c>
      <c r="BA463" s="121">
        <f>COUNTIF(U463:AY463,"F")</f>
      </c>
      <c r="BB463" s="119">
        <f>COUNTIF(U463:AY463,"E")</f>
      </c>
    </row>
    <row r="464" spans="1:54" x14ac:dyDescent="0.2">
      <c r="A464" s="84"/>
      <c r="B464" s="85"/>
      <c r="C464" s="85"/>
      <c r="D464" s="85"/>
      <c r="E464" s="86"/>
      <c r="F464" s="16">
        <f>IF(E464="","",DATEDIF(E464,$I$7,"Y"))</f>
      </c>
      <c r="G464" s="85"/>
      <c r="H464" s="85"/>
      <c r="I464" s="87"/>
      <c r="J464" s="85"/>
      <c r="K464" s="85"/>
      <c r="L464" s="10"/>
      <c r="M464" s="10"/>
      <c r="N464" s="10"/>
      <c r="O464" s="10"/>
      <c r="P464" s="85"/>
      <c r="Q464" s="88"/>
      <c r="R464" s="3">
        <f>IFERROR(VLOOKUP(TablaMarzo[[#This Row],[BARRIO]],SECTOR!$A:$B,2,0),"")</f>
      </c>
      <c r="S464" s="89"/>
      <c r="T464" s="90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6"/>
      <c r="AZ464" s="120">
        <f>COUNTIF(U464:AY464,"A")</f>
      </c>
      <c r="BA464" s="121">
        <f>COUNTIF(U464:AY464,"F")</f>
      </c>
      <c r="BB464" s="119">
        <f>COUNTIF(U464:AY464,"E")</f>
      </c>
    </row>
    <row r="465" spans="1:54" x14ac:dyDescent="0.2">
      <c r="A465" s="84"/>
      <c r="B465" s="85"/>
      <c r="C465" s="85"/>
      <c r="D465" s="85"/>
      <c r="E465" s="86"/>
      <c r="F465" s="16">
        <f>IF(E465="","",DATEDIF(E465,$I$7,"Y"))</f>
      </c>
      <c r="G465" s="85"/>
      <c r="H465" s="85"/>
      <c r="I465" s="87"/>
      <c r="J465" s="85"/>
      <c r="K465" s="85"/>
      <c r="L465" s="10"/>
      <c r="M465" s="10"/>
      <c r="N465" s="10"/>
      <c r="O465" s="10"/>
      <c r="P465" s="85"/>
      <c r="Q465" s="88"/>
      <c r="R465" s="3">
        <f>IFERROR(VLOOKUP(TablaMarzo[[#This Row],[BARRIO]],SECTOR!$A:$B,2,0),"")</f>
      </c>
      <c r="S465" s="89"/>
      <c r="T465" s="90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6"/>
      <c r="AZ465" s="120">
        <f>COUNTIF(U465:AY465,"A")</f>
      </c>
      <c r="BA465" s="121">
        <f>COUNTIF(U465:AY465,"F")</f>
      </c>
      <c r="BB465" s="119">
        <f>COUNTIF(U465:AY465,"E")</f>
      </c>
    </row>
    <row r="466" spans="1:54" x14ac:dyDescent="0.2">
      <c r="A466" s="84"/>
      <c r="B466" s="85"/>
      <c r="C466" s="85"/>
      <c r="D466" s="85"/>
      <c r="E466" s="86"/>
      <c r="F466" s="16">
        <f>IF(E466="","",DATEDIF(E466,$I$7,"Y"))</f>
      </c>
      <c r="G466" s="85"/>
      <c r="H466" s="85"/>
      <c r="I466" s="87"/>
      <c r="J466" s="85"/>
      <c r="K466" s="85"/>
      <c r="L466" s="10"/>
      <c r="M466" s="10"/>
      <c r="N466" s="10"/>
      <c r="O466" s="10"/>
      <c r="P466" s="85"/>
      <c r="Q466" s="88"/>
      <c r="R466" s="3">
        <f>IFERROR(VLOOKUP(TablaMarzo[[#This Row],[BARRIO]],SECTOR!$A:$B,2,0),"")</f>
      </c>
      <c r="S466" s="89"/>
      <c r="T466" s="90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6"/>
      <c r="AZ466" s="120">
        <f>COUNTIF(U466:AY466,"A")</f>
      </c>
      <c r="BA466" s="121">
        <f>COUNTIF(U466:AY466,"F")</f>
      </c>
      <c r="BB466" s="119">
        <f>COUNTIF(U466:AY466,"E")</f>
      </c>
    </row>
    <row r="467" spans="1:54" x14ac:dyDescent="0.2">
      <c r="A467" s="84"/>
      <c r="B467" s="85"/>
      <c r="C467" s="85"/>
      <c r="D467" s="85"/>
      <c r="E467" s="86"/>
      <c r="F467" s="16">
        <f>IF(E467="","",DATEDIF(E467,$I$7,"Y"))</f>
      </c>
      <c r="G467" s="85"/>
      <c r="H467" s="85"/>
      <c r="I467" s="87"/>
      <c r="J467" s="85"/>
      <c r="K467" s="85"/>
      <c r="L467" s="10"/>
      <c r="M467" s="10"/>
      <c r="N467" s="10"/>
      <c r="O467" s="10"/>
      <c r="P467" s="85"/>
      <c r="Q467" s="88"/>
      <c r="R467" s="3">
        <f>IFERROR(VLOOKUP(TablaMarzo[[#This Row],[BARRIO]],SECTOR!$A:$B,2,0),"")</f>
      </c>
      <c r="S467" s="89"/>
      <c r="T467" s="90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6"/>
      <c r="AZ467" s="120">
        <f>COUNTIF(U467:AY467,"A")</f>
      </c>
      <c r="BA467" s="121">
        <f>COUNTIF(U467:AY467,"F")</f>
      </c>
      <c r="BB467" s="119">
        <f>COUNTIF(U467:AY467,"E")</f>
      </c>
    </row>
    <row r="468" spans="1:54" x14ac:dyDescent="0.2">
      <c r="A468" s="84"/>
      <c r="B468" s="85"/>
      <c r="C468" s="85"/>
      <c r="D468" s="85"/>
      <c r="E468" s="86"/>
      <c r="F468" s="16">
        <f>IF(E468="","",DATEDIF(E468,$I$7,"Y"))</f>
      </c>
      <c r="G468" s="85"/>
      <c r="H468" s="85"/>
      <c r="I468" s="87"/>
      <c r="J468" s="85"/>
      <c r="K468" s="85"/>
      <c r="L468" s="10"/>
      <c r="M468" s="10"/>
      <c r="N468" s="10"/>
      <c r="O468" s="10"/>
      <c r="P468" s="85"/>
      <c r="Q468" s="88"/>
      <c r="R468" s="3">
        <f>IFERROR(VLOOKUP(TablaMarzo[[#This Row],[BARRIO]],SECTOR!$A:$B,2,0),"")</f>
      </c>
      <c r="S468" s="89"/>
      <c r="T468" s="90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6"/>
      <c r="AZ468" s="120">
        <f>COUNTIF(U468:AY468,"A")</f>
      </c>
      <c r="BA468" s="121">
        <f>COUNTIF(U468:AY468,"F")</f>
      </c>
      <c r="BB468" s="119">
        <f>COUNTIF(U468:AY468,"E")</f>
      </c>
    </row>
    <row r="469" spans="1:54" x14ac:dyDescent="0.2">
      <c r="A469" s="84"/>
      <c r="B469" s="85"/>
      <c r="C469" s="85"/>
      <c r="D469" s="85"/>
      <c r="E469" s="86"/>
      <c r="F469" s="16">
        <f>IF(E469="","",DATEDIF(E469,$I$7,"Y"))</f>
      </c>
      <c r="G469" s="85"/>
      <c r="H469" s="85"/>
      <c r="I469" s="87"/>
      <c r="J469" s="85"/>
      <c r="K469" s="85"/>
      <c r="L469" s="10"/>
      <c r="M469" s="10"/>
      <c r="N469" s="10"/>
      <c r="O469" s="10"/>
      <c r="P469" s="85"/>
      <c r="Q469" s="88"/>
      <c r="R469" s="3">
        <f>IFERROR(VLOOKUP(TablaMarzo[[#This Row],[BARRIO]],SECTOR!$A:$B,2,0),"")</f>
      </c>
      <c r="S469" s="89"/>
      <c r="T469" s="90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6"/>
      <c r="AZ469" s="120">
        <f>COUNTIF(U469:AY469,"A")</f>
      </c>
      <c r="BA469" s="121">
        <f>COUNTIF(U469:AY469,"F")</f>
      </c>
      <c r="BB469" s="119">
        <f>COUNTIF(U469:AY469,"E")</f>
      </c>
    </row>
    <row r="470" spans="1:54" x14ac:dyDescent="0.2">
      <c r="A470" s="84"/>
      <c r="B470" s="85"/>
      <c r="C470" s="85"/>
      <c r="D470" s="85"/>
      <c r="E470" s="86"/>
      <c r="F470" s="16">
        <f>IF(E470="","",DATEDIF(E470,$I$7,"Y"))</f>
      </c>
      <c r="G470" s="85"/>
      <c r="H470" s="85"/>
      <c r="I470" s="87"/>
      <c r="J470" s="85"/>
      <c r="K470" s="85"/>
      <c r="L470" s="10"/>
      <c r="M470" s="10"/>
      <c r="N470" s="10"/>
      <c r="O470" s="10"/>
      <c r="P470" s="85"/>
      <c r="Q470" s="88"/>
      <c r="R470" s="3">
        <f>IFERROR(VLOOKUP(TablaMarzo[[#This Row],[BARRIO]],SECTOR!$A:$B,2,0),"")</f>
      </c>
      <c r="S470" s="89"/>
      <c r="T470" s="90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6"/>
      <c r="AZ470" s="120">
        <f>COUNTIF(U470:AY470,"A")</f>
      </c>
      <c r="BA470" s="121">
        <f>COUNTIF(U470:AY470,"F")</f>
      </c>
      <c r="BB470" s="119">
        <f>COUNTIF(U470:AY470,"E")</f>
      </c>
    </row>
    <row r="471" spans="1:54" x14ac:dyDescent="0.2">
      <c r="A471" s="84"/>
      <c r="B471" s="85"/>
      <c r="C471" s="85"/>
      <c r="D471" s="85"/>
      <c r="E471" s="86"/>
      <c r="F471" s="16">
        <f>IF(E471="","",DATEDIF(E471,$I$7,"Y"))</f>
      </c>
      <c r="G471" s="85"/>
      <c r="H471" s="85"/>
      <c r="I471" s="87"/>
      <c r="J471" s="85"/>
      <c r="K471" s="85"/>
      <c r="L471" s="10"/>
      <c r="M471" s="10"/>
      <c r="N471" s="10"/>
      <c r="O471" s="10"/>
      <c r="P471" s="85"/>
      <c r="Q471" s="88"/>
      <c r="R471" s="3">
        <f>IFERROR(VLOOKUP(TablaMarzo[[#This Row],[BARRIO]],SECTOR!$A:$B,2,0),"")</f>
      </c>
      <c r="S471" s="89"/>
      <c r="T471" s="90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6"/>
      <c r="AZ471" s="120">
        <f>COUNTIF(U471:AY471,"A")</f>
      </c>
      <c r="BA471" s="121">
        <f>COUNTIF(U471:AY471,"F")</f>
      </c>
      <c r="BB471" s="119">
        <f>COUNTIF(U471:AY471,"E")</f>
      </c>
    </row>
    <row r="472" spans="1:54" x14ac:dyDescent="0.2">
      <c r="A472" s="84"/>
      <c r="B472" s="85"/>
      <c r="C472" s="85"/>
      <c r="D472" s="85"/>
      <c r="E472" s="86"/>
      <c r="F472" s="16">
        <f>IF(E472="","",DATEDIF(E472,$I$7,"Y"))</f>
      </c>
      <c r="G472" s="85"/>
      <c r="H472" s="85"/>
      <c r="I472" s="87"/>
      <c r="J472" s="85"/>
      <c r="K472" s="85"/>
      <c r="L472" s="10"/>
      <c r="M472" s="10"/>
      <c r="N472" s="10"/>
      <c r="O472" s="10"/>
      <c r="P472" s="85"/>
      <c r="Q472" s="88"/>
      <c r="R472" s="3">
        <f>IFERROR(VLOOKUP(TablaMarzo[[#This Row],[BARRIO]],SECTOR!$A:$B,2,0),"")</f>
      </c>
      <c r="S472" s="89"/>
      <c r="T472" s="90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6"/>
      <c r="AZ472" s="120">
        <f>COUNTIF(U472:AY472,"A")</f>
      </c>
      <c r="BA472" s="121">
        <f>COUNTIF(U472:AY472,"F")</f>
      </c>
      <c r="BB472" s="119">
        <f>COUNTIF(U472:AY472,"E")</f>
      </c>
    </row>
    <row r="473" spans="1:54" x14ac:dyDescent="0.2">
      <c r="A473" s="84"/>
      <c r="B473" s="85"/>
      <c r="C473" s="85"/>
      <c r="D473" s="85"/>
      <c r="E473" s="86"/>
      <c r="F473" s="16">
        <f>IF(E473="","",DATEDIF(E473,$I$7,"Y"))</f>
      </c>
      <c r="G473" s="85"/>
      <c r="H473" s="85"/>
      <c r="I473" s="87"/>
      <c r="J473" s="85"/>
      <c r="K473" s="85"/>
      <c r="L473" s="10"/>
      <c r="M473" s="10"/>
      <c r="N473" s="10"/>
      <c r="O473" s="10"/>
      <c r="P473" s="85"/>
      <c r="Q473" s="88"/>
      <c r="R473" s="3">
        <f>IFERROR(VLOOKUP(TablaMarzo[[#This Row],[BARRIO]],SECTOR!$A:$B,2,0),"")</f>
      </c>
      <c r="S473" s="89"/>
      <c r="T473" s="90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6"/>
      <c r="AZ473" s="120">
        <f>COUNTIF(U473:AY473,"A")</f>
      </c>
      <c r="BA473" s="121">
        <f>COUNTIF(U473:AY473,"F")</f>
      </c>
      <c r="BB473" s="119">
        <f>COUNTIF(U473:AY473,"E")</f>
      </c>
    </row>
    <row r="474" spans="1:54" x14ac:dyDescent="0.2">
      <c r="A474" s="84"/>
      <c r="B474" s="85"/>
      <c r="C474" s="85"/>
      <c r="D474" s="85"/>
      <c r="E474" s="86"/>
      <c r="F474" s="16">
        <f>IF(E474="","",DATEDIF(E474,$I$7,"Y"))</f>
      </c>
      <c r="G474" s="85"/>
      <c r="H474" s="85"/>
      <c r="I474" s="87"/>
      <c r="J474" s="85"/>
      <c r="K474" s="85"/>
      <c r="L474" s="10"/>
      <c r="M474" s="10"/>
      <c r="N474" s="10"/>
      <c r="O474" s="10"/>
      <c r="P474" s="85"/>
      <c r="Q474" s="88"/>
      <c r="R474" s="3">
        <f>IFERROR(VLOOKUP(TablaMarzo[[#This Row],[BARRIO]],SECTOR!$A:$B,2,0),"")</f>
      </c>
      <c r="S474" s="89"/>
      <c r="T474" s="90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6"/>
      <c r="AZ474" s="120">
        <f>COUNTIF(U474:AY474,"A")</f>
      </c>
      <c r="BA474" s="121">
        <f>COUNTIF(U474:AY474,"F")</f>
      </c>
      <c r="BB474" s="119">
        <f>COUNTIF(U474:AY474,"E")</f>
      </c>
    </row>
    <row r="475" spans="1:54" x14ac:dyDescent="0.2">
      <c r="A475" s="84"/>
      <c r="B475" s="85"/>
      <c r="C475" s="85"/>
      <c r="D475" s="85"/>
      <c r="E475" s="86"/>
      <c r="F475" s="16">
        <f>IF(E475="","",DATEDIF(E475,$I$7,"Y"))</f>
      </c>
      <c r="G475" s="85"/>
      <c r="H475" s="85"/>
      <c r="I475" s="87"/>
      <c r="J475" s="85"/>
      <c r="K475" s="85"/>
      <c r="L475" s="10"/>
      <c r="M475" s="10"/>
      <c r="N475" s="10"/>
      <c r="O475" s="10"/>
      <c r="P475" s="85"/>
      <c r="Q475" s="88"/>
      <c r="R475" s="3">
        <f>IFERROR(VLOOKUP(TablaMarzo[[#This Row],[BARRIO]],SECTOR!$A:$B,2,0),"")</f>
      </c>
      <c r="S475" s="89"/>
      <c r="T475" s="90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6"/>
      <c r="AZ475" s="120">
        <f>COUNTIF(U475:AY475,"A")</f>
      </c>
      <c r="BA475" s="121">
        <f>COUNTIF(U475:AY475,"F")</f>
      </c>
      <c r="BB475" s="119">
        <f>COUNTIF(U475:AY475,"E")</f>
      </c>
    </row>
    <row r="476" spans="1:54" x14ac:dyDescent="0.2">
      <c r="A476" s="84"/>
      <c r="B476" s="85"/>
      <c r="C476" s="85"/>
      <c r="D476" s="85"/>
      <c r="E476" s="86"/>
      <c r="F476" s="16">
        <f>IF(E476="","",DATEDIF(E476,$I$7,"Y"))</f>
      </c>
      <c r="G476" s="85"/>
      <c r="H476" s="85"/>
      <c r="I476" s="87"/>
      <c r="J476" s="85"/>
      <c r="K476" s="85"/>
      <c r="L476" s="10"/>
      <c r="M476" s="10"/>
      <c r="N476" s="10"/>
      <c r="O476" s="10"/>
      <c r="P476" s="85"/>
      <c r="Q476" s="88"/>
      <c r="R476" s="3">
        <f>IFERROR(VLOOKUP(TablaMarzo[[#This Row],[BARRIO]],SECTOR!$A:$B,2,0),"")</f>
      </c>
      <c r="S476" s="89"/>
      <c r="T476" s="90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6"/>
      <c r="AZ476" s="120">
        <f>COUNTIF(U476:AY476,"A")</f>
      </c>
      <c r="BA476" s="121">
        <f>COUNTIF(U476:AY476,"F")</f>
      </c>
      <c r="BB476" s="119">
        <f>COUNTIF(U476:AY476,"E")</f>
      </c>
    </row>
    <row r="477" spans="1:54" x14ac:dyDescent="0.2">
      <c r="A477" s="84"/>
      <c r="B477" s="85"/>
      <c r="C477" s="85"/>
      <c r="D477" s="85"/>
      <c r="E477" s="86"/>
      <c r="F477" s="16">
        <f>IF(E477="","",DATEDIF(E477,$I$7,"Y"))</f>
      </c>
      <c r="G477" s="85"/>
      <c r="H477" s="85"/>
      <c r="I477" s="87"/>
      <c r="J477" s="85"/>
      <c r="K477" s="85"/>
      <c r="L477" s="10"/>
      <c r="M477" s="10"/>
      <c r="N477" s="10"/>
      <c r="O477" s="10"/>
      <c r="P477" s="85"/>
      <c r="Q477" s="88"/>
      <c r="R477" s="3">
        <f>IFERROR(VLOOKUP(TablaMarzo[[#This Row],[BARRIO]],SECTOR!$A:$B,2,0),"")</f>
      </c>
      <c r="S477" s="89"/>
      <c r="T477" s="90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6"/>
      <c r="AZ477" s="120">
        <f>COUNTIF(U477:AY477,"A")</f>
      </c>
      <c r="BA477" s="121">
        <f>COUNTIF(U477:AY477,"F")</f>
      </c>
      <c r="BB477" s="119">
        <f>COUNTIF(U477:AY477,"E")</f>
      </c>
    </row>
    <row r="478" spans="1:54" x14ac:dyDescent="0.2">
      <c r="A478" s="84"/>
      <c r="B478" s="85"/>
      <c r="C478" s="85"/>
      <c r="D478" s="85"/>
      <c r="E478" s="86"/>
      <c r="F478" s="16">
        <f>IF(E478="","",DATEDIF(E478,$I$7,"Y"))</f>
      </c>
      <c r="G478" s="85"/>
      <c r="H478" s="85"/>
      <c r="I478" s="87"/>
      <c r="J478" s="85"/>
      <c r="K478" s="85"/>
      <c r="L478" s="10"/>
      <c r="M478" s="10"/>
      <c r="N478" s="10"/>
      <c r="O478" s="10"/>
      <c r="P478" s="85"/>
      <c r="Q478" s="88"/>
      <c r="R478" s="3">
        <f>IFERROR(VLOOKUP(TablaMarzo[[#This Row],[BARRIO]],SECTOR!$A:$B,2,0),"")</f>
      </c>
      <c r="S478" s="89"/>
      <c r="T478" s="90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6"/>
      <c r="AZ478" s="120">
        <f>COUNTIF(U478:AY478,"A")</f>
      </c>
      <c r="BA478" s="121">
        <f>COUNTIF(U478:AY478,"F")</f>
      </c>
      <c r="BB478" s="119">
        <f>COUNTIF(U478:AY478,"E")</f>
      </c>
    </row>
    <row r="479" spans="1:54" x14ac:dyDescent="0.2">
      <c r="A479" s="84"/>
      <c r="B479" s="85"/>
      <c r="C479" s="85"/>
      <c r="D479" s="85"/>
      <c r="E479" s="86"/>
      <c r="F479" s="16">
        <f>IF(E479="","",DATEDIF(E479,$I$7,"Y"))</f>
      </c>
      <c r="G479" s="85"/>
      <c r="H479" s="85"/>
      <c r="I479" s="87"/>
      <c r="J479" s="85"/>
      <c r="K479" s="85"/>
      <c r="L479" s="10"/>
      <c r="M479" s="10"/>
      <c r="N479" s="10"/>
      <c r="O479" s="10"/>
      <c r="P479" s="85"/>
      <c r="Q479" s="88"/>
      <c r="R479" s="3">
        <f>IFERROR(VLOOKUP(TablaMarzo[[#This Row],[BARRIO]],SECTOR!$A:$B,2,0),"")</f>
      </c>
      <c r="S479" s="89"/>
      <c r="T479" s="90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6"/>
      <c r="AZ479" s="120">
        <f>COUNTIF(U479:AY479,"A")</f>
      </c>
      <c r="BA479" s="121">
        <f>COUNTIF(U479:AY479,"F")</f>
      </c>
      <c r="BB479" s="119">
        <f>COUNTIF(U479:AY479,"E")</f>
      </c>
    </row>
    <row r="480" spans="1:54" x14ac:dyDescent="0.2">
      <c r="A480" s="84"/>
      <c r="B480" s="85"/>
      <c r="C480" s="85"/>
      <c r="D480" s="85"/>
      <c r="E480" s="86"/>
      <c r="F480" s="16">
        <f>IF(E480="","",DATEDIF(E480,$I$7,"Y"))</f>
      </c>
      <c r="G480" s="85"/>
      <c r="H480" s="85"/>
      <c r="I480" s="87"/>
      <c r="J480" s="85"/>
      <c r="K480" s="85"/>
      <c r="L480" s="10"/>
      <c r="M480" s="10"/>
      <c r="N480" s="10"/>
      <c r="O480" s="10"/>
      <c r="P480" s="85"/>
      <c r="Q480" s="88"/>
      <c r="R480" s="3">
        <f>IFERROR(VLOOKUP(TablaMarzo[[#This Row],[BARRIO]],SECTOR!$A:$B,2,0),"")</f>
      </c>
      <c r="S480" s="89"/>
      <c r="T480" s="90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6"/>
      <c r="AZ480" s="120">
        <f>COUNTIF(U480:AY480,"A")</f>
      </c>
      <c r="BA480" s="121">
        <f>COUNTIF(U480:AY480,"F")</f>
      </c>
      <c r="BB480" s="119">
        <f>COUNTIF(U480:AY480,"E")</f>
      </c>
    </row>
    <row r="481" spans="1:54" x14ac:dyDescent="0.2">
      <c r="A481" s="84"/>
      <c r="B481" s="85"/>
      <c r="C481" s="85"/>
      <c r="D481" s="85"/>
      <c r="E481" s="86"/>
      <c r="F481" s="16">
        <f>IF(E481="","",DATEDIF(E481,$I$7,"Y"))</f>
      </c>
      <c r="G481" s="85"/>
      <c r="H481" s="85"/>
      <c r="I481" s="87"/>
      <c r="J481" s="85"/>
      <c r="K481" s="85"/>
      <c r="L481" s="10"/>
      <c r="M481" s="10"/>
      <c r="N481" s="10"/>
      <c r="O481" s="10"/>
      <c r="P481" s="85"/>
      <c r="Q481" s="88"/>
      <c r="R481" s="3">
        <f>IFERROR(VLOOKUP(TablaMarzo[[#This Row],[BARRIO]],SECTOR!$A:$B,2,0),"")</f>
      </c>
      <c r="S481" s="89"/>
      <c r="T481" s="90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6"/>
      <c r="AZ481" s="120">
        <f>COUNTIF(U481:AY481,"A")</f>
      </c>
      <c r="BA481" s="121">
        <f>COUNTIF(U481:AY481,"F")</f>
      </c>
      <c r="BB481" s="119">
        <f>COUNTIF(U481:AY481,"E")</f>
      </c>
    </row>
    <row r="482" spans="1:54" x14ac:dyDescent="0.2">
      <c r="A482" s="84"/>
      <c r="B482" s="85"/>
      <c r="C482" s="85"/>
      <c r="D482" s="85"/>
      <c r="E482" s="86"/>
      <c r="F482" s="16">
        <f>IF(E482="","",DATEDIF(E482,$I$7,"Y"))</f>
      </c>
      <c r="G482" s="85"/>
      <c r="H482" s="85"/>
      <c r="I482" s="87"/>
      <c r="J482" s="85"/>
      <c r="K482" s="85"/>
      <c r="L482" s="10"/>
      <c r="M482" s="10"/>
      <c r="N482" s="10"/>
      <c r="O482" s="10"/>
      <c r="P482" s="85"/>
      <c r="Q482" s="88"/>
      <c r="R482" s="3">
        <f>IFERROR(VLOOKUP(TablaMarzo[[#This Row],[BARRIO]],SECTOR!$A:$B,2,0),"")</f>
      </c>
      <c r="S482" s="89"/>
      <c r="T482" s="90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6"/>
      <c r="AZ482" s="120">
        <f>COUNTIF(U482:AY482,"A")</f>
      </c>
      <c r="BA482" s="121">
        <f>COUNTIF(U482:AY482,"F")</f>
      </c>
      <c r="BB482" s="119">
        <f>COUNTIF(U482:AY482,"E")</f>
      </c>
    </row>
    <row r="483" spans="1:54" x14ac:dyDescent="0.2">
      <c r="A483" s="84"/>
      <c r="B483" s="85"/>
      <c r="C483" s="85"/>
      <c r="D483" s="85"/>
      <c r="E483" s="86"/>
      <c r="F483" s="16">
        <f>IF(E483="","",DATEDIF(E483,$I$7,"Y"))</f>
      </c>
      <c r="G483" s="85"/>
      <c r="H483" s="85"/>
      <c r="I483" s="87"/>
      <c r="J483" s="85"/>
      <c r="K483" s="85"/>
      <c r="L483" s="10"/>
      <c r="M483" s="10"/>
      <c r="N483" s="10"/>
      <c r="O483" s="10"/>
      <c r="P483" s="85"/>
      <c r="Q483" s="88"/>
      <c r="R483" s="3">
        <f>IFERROR(VLOOKUP(TablaMarzo[[#This Row],[BARRIO]],SECTOR!$A:$B,2,0),"")</f>
      </c>
      <c r="S483" s="89"/>
      <c r="T483" s="90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6"/>
      <c r="AZ483" s="120">
        <f>COUNTIF(U483:AY483,"A")</f>
      </c>
      <c r="BA483" s="121">
        <f>COUNTIF(U483:AY483,"F")</f>
      </c>
      <c r="BB483" s="119">
        <f>COUNTIF(U483:AY483,"E")</f>
      </c>
    </row>
    <row r="484" spans="1:54" x14ac:dyDescent="0.2">
      <c r="A484" s="84"/>
      <c r="B484" s="85"/>
      <c r="C484" s="85"/>
      <c r="D484" s="85"/>
      <c r="E484" s="86"/>
      <c r="F484" s="16">
        <f>IF(E484="","",DATEDIF(E484,$I$7,"Y"))</f>
      </c>
      <c r="G484" s="85"/>
      <c r="H484" s="85"/>
      <c r="I484" s="87"/>
      <c r="J484" s="85"/>
      <c r="K484" s="85"/>
      <c r="L484" s="10"/>
      <c r="M484" s="10"/>
      <c r="N484" s="10"/>
      <c r="O484" s="10"/>
      <c r="P484" s="85"/>
      <c r="Q484" s="88"/>
      <c r="R484" s="3">
        <f>IFERROR(VLOOKUP(TablaMarzo[[#This Row],[BARRIO]],SECTOR!$A:$B,2,0),"")</f>
      </c>
      <c r="S484" s="89"/>
      <c r="T484" s="90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6"/>
      <c r="AZ484" s="120">
        <f>COUNTIF(U484:AY484,"A")</f>
      </c>
      <c r="BA484" s="121">
        <f>COUNTIF(U484:AY484,"F")</f>
      </c>
      <c r="BB484" s="119">
        <f>COUNTIF(U484:AY484,"E")</f>
      </c>
    </row>
    <row r="485" spans="1:54" x14ac:dyDescent="0.2">
      <c r="A485" s="84"/>
      <c r="B485" s="85"/>
      <c r="C485" s="85"/>
      <c r="D485" s="85"/>
      <c r="E485" s="86"/>
      <c r="F485" s="16">
        <f>IF(E485="","",DATEDIF(E485,$I$7,"Y"))</f>
      </c>
      <c r="G485" s="85"/>
      <c r="H485" s="85"/>
      <c r="I485" s="87"/>
      <c r="J485" s="85"/>
      <c r="K485" s="85"/>
      <c r="L485" s="10"/>
      <c r="M485" s="10"/>
      <c r="N485" s="10"/>
      <c r="O485" s="10"/>
      <c r="P485" s="85"/>
      <c r="Q485" s="88"/>
      <c r="R485" s="3">
        <f>IFERROR(VLOOKUP(TablaMarzo[[#This Row],[BARRIO]],SECTOR!$A:$B,2,0),"")</f>
      </c>
      <c r="S485" s="89"/>
      <c r="T485" s="90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6"/>
      <c r="AZ485" s="120">
        <f>COUNTIF(U485:AY485,"A")</f>
      </c>
      <c r="BA485" s="121">
        <f>COUNTIF(U485:AY485,"F")</f>
      </c>
      <c r="BB485" s="119">
        <f>COUNTIF(U485:AY485,"E")</f>
      </c>
    </row>
    <row r="486" spans="1:54" x14ac:dyDescent="0.2">
      <c r="A486" s="84"/>
      <c r="B486" s="85"/>
      <c r="C486" s="85"/>
      <c r="D486" s="85"/>
      <c r="E486" s="86"/>
      <c r="F486" s="16">
        <f>IF(E486="","",DATEDIF(E486,$I$7,"Y"))</f>
      </c>
      <c r="G486" s="85"/>
      <c r="H486" s="85"/>
      <c r="I486" s="87"/>
      <c r="J486" s="85"/>
      <c r="K486" s="85"/>
      <c r="L486" s="10"/>
      <c r="M486" s="10"/>
      <c r="N486" s="10"/>
      <c r="O486" s="10"/>
      <c r="P486" s="85"/>
      <c r="Q486" s="88"/>
      <c r="R486" s="3">
        <f>IFERROR(VLOOKUP(TablaMarzo[[#This Row],[BARRIO]],SECTOR!$A:$B,2,0),"")</f>
      </c>
      <c r="S486" s="89"/>
      <c r="T486" s="90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6"/>
      <c r="AZ486" s="120">
        <f>COUNTIF(U486:AY486,"A")</f>
      </c>
      <c r="BA486" s="121">
        <f>COUNTIF(U486:AY486,"F")</f>
      </c>
      <c r="BB486" s="119">
        <f>COUNTIF(U486:AY486,"E")</f>
      </c>
    </row>
    <row r="487" spans="1:54" x14ac:dyDescent="0.2">
      <c r="A487" s="84"/>
      <c r="B487" s="85"/>
      <c r="C487" s="85"/>
      <c r="D487" s="85"/>
      <c r="E487" s="86"/>
      <c r="F487" s="16">
        <f>IF(E487="","",DATEDIF(E487,$I$7,"Y"))</f>
      </c>
      <c r="G487" s="85"/>
      <c r="H487" s="85"/>
      <c r="I487" s="87"/>
      <c r="J487" s="85"/>
      <c r="K487" s="85"/>
      <c r="L487" s="10"/>
      <c r="M487" s="10"/>
      <c r="N487" s="10"/>
      <c r="O487" s="10"/>
      <c r="P487" s="85"/>
      <c r="Q487" s="88"/>
      <c r="R487" s="3">
        <f>IFERROR(VLOOKUP(TablaMarzo[[#This Row],[BARRIO]],SECTOR!$A:$B,2,0),"")</f>
      </c>
      <c r="S487" s="89"/>
      <c r="T487" s="90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6"/>
      <c r="AZ487" s="120">
        <f>COUNTIF(U487:AY487,"A")</f>
      </c>
      <c r="BA487" s="121">
        <f>COUNTIF(U487:AY487,"F")</f>
      </c>
      <c r="BB487" s="119">
        <f>COUNTIF(U487:AY487,"E")</f>
      </c>
    </row>
    <row r="488" spans="1:54" x14ac:dyDescent="0.2">
      <c r="A488" s="84"/>
      <c r="B488" s="85"/>
      <c r="C488" s="85"/>
      <c r="D488" s="85"/>
      <c r="E488" s="86"/>
      <c r="F488" s="16">
        <f>IF(E488="","",DATEDIF(E488,$I$7,"Y"))</f>
      </c>
      <c r="G488" s="85"/>
      <c r="H488" s="85"/>
      <c r="I488" s="87"/>
      <c r="J488" s="85"/>
      <c r="K488" s="85"/>
      <c r="L488" s="10"/>
      <c r="M488" s="10"/>
      <c r="N488" s="10"/>
      <c r="O488" s="10"/>
      <c r="P488" s="85"/>
      <c r="Q488" s="88"/>
      <c r="R488" s="3">
        <f>IFERROR(VLOOKUP(TablaMarzo[[#This Row],[BARRIO]],SECTOR!$A:$B,2,0),"")</f>
      </c>
      <c r="S488" s="89"/>
      <c r="T488" s="90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6"/>
      <c r="AZ488" s="120">
        <f>COUNTIF(U488:AY488,"A")</f>
      </c>
      <c r="BA488" s="121">
        <f>COUNTIF(U488:AY488,"F")</f>
      </c>
      <c r="BB488" s="119">
        <f>COUNTIF(U488:AY488,"E")</f>
      </c>
    </row>
    <row r="489" spans="1:54" x14ac:dyDescent="0.2">
      <c r="A489" s="84"/>
      <c r="B489" s="85"/>
      <c r="C489" s="85"/>
      <c r="D489" s="85"/>
      <c r="E489" s="86"/>
      <c r="F489" s="16">
        <f>IF(E489="","",DATEDIF(E489,$I$7,"Y"))</f>
      </c>
      <c r="G489" s="85"/>
      <c r="H489" s="85"/>
      <c r="I489" s="87"/>
      <c r="J489" s="85"/>
      <c r="K489" s="85"/>
      <c r="L489" s="10"/>
      <c r="M489" s="10"/>
      <c r="N489" s="10"/>
      <c r="O489" s="10"/>
      <c r="P489" s="85"/>
      <c r="Q489" s="88"/>
      <c r="R489" s="3">
        <f>IFERROR(VLOOKUP(TablaMarzo[[#This Row],[BARRIO]],SECTOR!$A:$B,2,0),"")</f>
      </c>
      <c r="S489" s="89"/>
      <c r="T489" s="90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6"/>
      <c r="AZ489" s="120">
        <f>COUNTIF(U489:AY489,"A")</f>
      </c>
      <c r="BA489" s="121">
        <f>COUNTIF(U489:AY489,"F")</f>
      </c>
      <c r="BB489" s="119">
        <f>COUNTIF(U489:AY489,"E")</f>
      </c>
    </row>
    <row r="490" spans="1:54" x14ac:dyDescent="0.2">
      <c r="A490" s="84"/>
      <c r="B490" s="85"/>
      <c r="C490" s="85"/>
      <c r="D490" s="85"/>
      <c r="E490" s="86"/>
      <c r="F490" s="16">
        <f>IF(E490="","",DATEDIF(E490,$I$7,"Y"))</f>
      </c>
      <c r="G490" s="85"/>
      <c r="H490" s="85"/>
      <c r="I490" s="87"/>
      <c r="J490" s="85"/>
      <c r="K490" s="85"/>
      <c r="L490" s="10"/>
      <c r="M490" s="10"/>
      <c r="N490" s="10"/>
      <c r="O490" s="10"/>
      <c r="P490" s="85"/>
      <c r="Q490" s="88"/>
      <c r="R490" s="3">
        <f>IFERROR(VLOOKUP(TablaMarzo[[#This Row],[BARRIO]],SECTOR!$A:$B,2,0),"")</f>
      </c>
      <c r="S490" s="89"/>
      <c r="T490" s="90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6"/>
      <c r="AZ490" s="120">
        <f>COUNTIF(U490:AY490,"A")</f>
      </c>
      <c r="BA490" s="121">
        <f>COUNTIF(U490:AY490,"F")</f>
      </c>
      <c r="BB490" s="119">
        <f>COUNTIF(U490:AY490,"E")</f>
      </c>
    </row>
    <row r="491" spans="1:54" x14ac:dyDescent="0.2">
      <c r="A491" s="84"/>
      <c r="B491" s="85"/>
      <c r="C491" s="85"/>
      <c r="D491" s="85"/>
      <c r="E491" s="86"/>
      <c r="F491" s="16">
        <f>IF(E491="","",DATEDIF(E491,$I$7,"Y"))</f>
      </c>
      <c r="G491" s="85"/>
      <c r="H491" s="85"/>
      <c r="I491" s="87"/>
      <c r="J491" s="85"/>
      <c r="K491" s="85"/>
      <c r="L491" s="10"/>
      <c r="M491" s="10"/>
      <c r="N491" s="10"/>
      <c r="O491" s="10"/>
      <c r="P491" s="85"/>
      <c r="Q491" s="88"/>
      <c r="R491" s="3">
        <f>IFERROR(VLOOKUP(TablaMarzo[[#This Row],[BARRIO]],SECTOR!$A:$B,2,0),"")</f>
      </c>
      <c r="S491" s="89"/>
      <c r="T491" s="90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6"/>
      <c r="AZ491" s="120">
        <f>COUNTIF(U491:AY491,"A")</f>
      </c>
      <c r="BA491" s="121">
        <f>COUNTIF(U491:AY491,"F")</f>
      </c>
      <c r="BB491" s="119">
        <f>COUNTIF(U491:AY491,"E")</f>
      </c>
    </row>
    <row r="492" spans="1:54" x14ac:dyDescent="0.2">
      <c r="A492" s="84"/>
      <c r="B492" s="85"/>
      <c r="C492" s="85"/>
      <c r="D492" s="85"/>
      <c r="E492" s="86"/>
      <c r="F492" s="16">
        <f>IF(E492="","",DATEDIF(E492,$I$7,"Y"))</f>
      </c>
      <c r="G492" s="85"/>
      <c r="H492" s="85"/>
      <c r="I492" s="87"/>
      <c r="J492" s="85"/>
      <c r="K492" s="85"/>
      <c r="L492" s="10"/>
      <c r="M492" s="10"/>
      <c r="N492" s="10"/>
      <c r="O492" s="10"/>
      <c r="P492" s="85"/>
      <c r="Q492" s="88"/>
      <c r="R492" s="3">
        <f>IFERROR(VLOOKUP(TablaMarzo[[#This Row],[BARRIO]],SECTOR!$A:$B,2,0),"")</f>
      </c>
      <c r="S492" s="89"/>
      <c r="T492" s="90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6"/>
      <c r="AZ492" s="120">
        <f>COUNTIF(U492:AY492,"A")</f>
      </c>
      <c r="BA492" s="121">
        <f>COUNTIF(U492:AY492,"F")</f>
      </c>
      <c r="BB492" s="119">
        <f>COUNTIF(U492:AY492,"E")</f>
      </c>
    </row>
    <row r="493" spans="1:54" x14ac:dyDescent="0.2">
      <c r="A493" s="84"/>
      <c r="B493" s="85"/>
      <c r="C493" s="85"/>
      <c r="D493" s="85"/>
      <c r="E493" s="86"/>
      <c r="F493" s="16">
        <f>IF(E493="","",DATEDIF(E493,$I$7,"Y"))</f>
      </c>
      <c r="G493" s="85"/>
      <c r="H493" s="85"/>
      <c r="I493" s="87"/>
      <c r="J493" s="85"/>
      <c r="K493" s="85"/>
      <c r="L493" s="10"/>
      <c r="M493" s="10"/>
      <c r="N493" s="10"/>
      <c r="O493" s="10"/>
      <c r="P493" s="85"/>
      <c r="Q493" s="88"/>
      <c r="R493" s="3">
        <f>IFERROR(VLOOKUP(TablaMarzo[[#This Row],[BARRIO]],SECTOR!$A:$B,2,0),"")</f>
      </c>
      <c r="S493" s="89"/>
      <c r="T493" s="90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6"/>
      <c r="AZ493" s="120">
        <f>COUNTIF(U493:AY493,"A")</f>
      </c>
      <c r="BA493" s="121">
        <f>COUNTIF(U493:AY493,"F")</f>
      </c>
      <c r="BB493" s="119">
        <f>COUNTIF(U493:AY493,"E")</f>
      </c>
    </row>
    <row r="494" spans="1:54" x14ac:dyDescent="0.2">
      <c r="A494" s="84"/>
      <c r="B494" s="85"/>
      <c r="C494" s="85"/>
      <c r="D494" s="85"/>
      <c r="E494" s="86"/>
      <c r="F494" s="16">
        <f>IF(E494="","",DATEDIF(E494,$I$7,"Y"))</f>
      </c>
      <c r="G494" s="85"/>
      <c r="H494" s="85"/>
      <c r="I494" s="87"/>
      <c r="J494" s="85"/>
      <c r="K494" s="85"/>
      <c r="L494" s="10"/>
      <c r="M494" s="10"/>
      <c r="N494" s="10"/>
      <c r="O494" s="10"/>
      <c r="P494" s="85"/>
      <c r="Q494" s="88"/>
      <c r="R494" s="3">
        <f>IFERROR(VLOOKUP(TablaMarzo[[#This Row],[BARRIO]],SECTOR!$A:$B,2,0),"")</f>
      </c>
      <c r="S494" s="89"/>
      <c r="T494" s="90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6"/>
      <c r="AZ494" s="120">
        <f>COUNTIF(U494:AY494,"A")</f>
      </c>
      <c r="BA494" s="121">
        <f>COUNTIF(U494:AY494,"F")</f>
      </c>
      <c r="BB494" s="119">
        <f>COUNTIF(U494:AY494,"E")</f>
      </c>
    </row>
    <row r="495" spans="1:54" x14ac:dyDescent="0.2">
      <c r="A495" s="84"/>
      <c r="B495" s="85"/>
      <c r="C495" s="85"/>
      <c r="D495" s="85"/>
      <c r="E495" s="86"/>
      <c r="F495" s="16">
        <f>IF(E495="","",DATEDIF(E495,$I$7,"Y"))</f>
      </c>
      <c r="G495" s="85"/>
      <c r="H495" s="85"/>
      <c r="I495" s="87"/>
      <c r="J495" s="85"/>
      <c r="K495" s="85"/>
      <c r="L495" s="10"/>
      <c r="M495" s="10"/>
      <c r="N495" s="10"/>
      <c r="O495" s="10"/>
      <c r="P495" s="85"/>
      <c r="Q495" s="88"/>
      <c r="R495" s="3">
        <f>IFERROR(VLOOKUP(TablaMarzo[[#This Row],[BARRIO]],SECTOR!$A:$B,2,0),"")</f>
      </c>
      <c r="S495" s="89"/>
      <c r="T495" s="90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6"/>
      <c r="AZ495" s="120">
        <f>COUNTIF(U495:AY495,"A")</f>
      </c>
      <c r="BA495" s="121">
        <f>COUNTIF(U495:AY495,"F")</f>
      </c>
      <c r="BB495" s="119">
        <f>COUNTIF(U495:AY495,"E")</f>
      </c>
    </row>
    <row r="496" spans="1:54" x14ac:dyDescent="0.2">
      <c r="A496" s="84"/>
      <c r="B496" s="85"/>
      <c r="C496" s="85"/>
      <c r="D496" s="85"/>
      <c r="E496" s="86"/>
      <c r="F496" s="16">
        <f>IF(E496="","",DATEDIF(E496,$I$7,"Y"))</f>
      </c>
      <c r="G496" s="85"/>
      <c r="H496" s="85"/>
      <c r="I496" s="87"/>
      <c r="J496" s="85"/>
      <c r="K496" s="85"/>
      <c r="L496" s="10"/>
      <c r="M496" s="10"/>
      <c r="N496" s="10"/>
      <c r="O496" s="10"/>
      <c r="P496" s="85"/>
      <c r="Q496" s="88"/>
      <c r="R496" s="3">
        <f>IFERROR(VLOOKUP(TablaMarzo[[#This Row],[BARRIO]],SECTOR!$A:$B,2,0),"")</f>
      </c>
      <c r="S496" s="89"/>
      <c r="T496" s="90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6"/>
      <c r="AZ496" s="120">
        <f>COUNTIF(U496:AY496,"A")</f>
      </c>
      <c r="BA496" s="121">
        <f>COUNTIF(U496:AY496,"F")</f>
      </c>
      <c r="BB496" s="119">
        <f>COUNTIF(U496:AY496,"E")</f>
      </c>
    </row>
    <row r="497" spans="1:54" x14ac:dyDescent="0.2">
      <c r="A497" s="84"/>
      <c r="B497" s="85"/>
      <c r="C497" s="85"/>
      <c r="D497" s="85"/>
      <c r="E497" s="86"/>
      <c r="F497" s="16">
        <f>IF(E497="","",DATEDIF(E497,$I$7,"Y"))</f>
      </c>
      <c r="G497" s="85"/>
      <c r="H497" s="85"/>
      <c r="I497" s="87"/>
      <c r="J497" s="85"/>
      <c r="K497" s="85"/>
      <c r="L497" s="10"/>
      <c r="M497" s="10"/>
      <c r="N497" s="10"/>
      <c r="O497" s="10"/>
      <c r="P497" s="85"/>
      <c r="Q497" s="88"/>
      <c r="R497" s="3">
        <f>IFERROR(VLOOKUP(TablaMarzo[[#This Row],[BARRIO]],SECTOR!$A:$B,2,0),"")</f>
      </c>
      <c r="S497" s="89"/>
      <c r="T497" s="90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6"/>
      <c r="AZ497" s="120">
        <f>COUNTIF(U497:AY497,"A")</f>
      </c>
      <c r="BA497" s="121">
        <f>COUNTIF(U497:AY497,"F")</f>
      </c>
      <c r="BB497" s="119">
        <f>COUNTIF(U497:AY497,"E")</f>
      </c>
    </row>
    <row r="498" spans="1:54" x14ac:dyDescent="0.2">
      <c r="A498" s="84"/>
      <c r="B498" s="85"/>
      <c r="C498" s="85"/>
      <c r="D498" s="85"/>
      <c r="E498" s="86"/>
      <c r="F498" s="16">
        <f>IF(E498="","",DATEDIF(E498,$I$7,"Y"))</f>
      </c>
      <c r="G498" s="85"/>
      <c r="H498" s="85"/>
      <c r="I498" s="87"/>
      <c r="J498" s="85"/>
      <c r="K498" s="85"/>
      <c r="L498" s="10"/>
      <c r="M498" s="10"/>
      <c r="N498" s="10"/>
      <c r="O498" s="10"/>
      <c r="P498" s="85"/>
      <c r="Q498" s="88"/>
      <c r="R498" s="3">
        <f>IFERROR(VLOOKUP(TablaMarzo[[#This Row],[BARRIO]],SECTOR!$A:$B,2,0),"")</f>
      </c>
      <c r="S498" s="89"/>
      <c r="T498" s="90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6"/>
      <c r="AZ498" s="120">
        <f>COUNTIF(U498:AY498,"A")</f>
      </c>
      <c r="BA498" s="121">
        <f>COUNTIF(U498:AY498,"F")</f>
      </c>
      <c r="BB498" s="119">
        <f>COUNTIF(U498:AY498,"E")</f>
      </c>
    </row>
    <row r="499" spans="1:54" x14ac:dyDescent="0.2">
      <c r="A499" s="84"/>
      <c r="B499" s="85"/>
      <c r="C499" s="85"/>
      <c r="D499" s="85"/>
      <c r="E499" s="86"/>
      <c r="F499" s="16">
        <f>IF(E499="","",DATEDIF(E499,$I$7,"Y"))</f>
      </c>
      <c r="G499" s="85"/>
      <c r="H499" s="85"/>
      <c r="I499" s="87"/>
      <c r="J499" s="85"/>
      <c r="K499" s="85"/>
      <c r="L499" s="10"/>
      <c r="M499" s="10"/>
      <c r="N499" s="10"/>
      <c r="O499" s="10"/>
      <c r="P499" s="85"/>
      <c r="Q499" s="88"/>
      <c r="R499" s="3">
        <f>IFERROR(VLOOKUP(TablaMarzo[[#This Row],[BARRIO]],SECTOR!$A:$B,2,0),"")</f>
      </c>
      <c r="S499" s="89"/>
      <c r="T499" s="90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6"/>
      <c r="AZ499" s="120">
        <f>COUNTIF(U499:AY499,"A")</f>
      </c>
      <c r="BA499" s="121">
        <f>COUNTIF(U499:AY499,"F")</f>
      </c>
      <c r="BB499" s="119">
        <f>COUNTIF(U499:AY499,"E")</f>
      </c>
    </row>
    <row r="500" spans="1:54" x14ac:dyDescent="0.2">
      <c r="A500" s="84"/>
      <c r="B500" s="85"/>
      <c r="C500" s="85"/>
      <c r="D500" s="85"/>
      <c r="E500" s="86"/>
      <c r="F500" s="16">
        <f>IF(E500="","",DATEDIF(E500,$I$7,"Y"))</f>
      </c>
      <c r="G500" s="85"/>
      <c r="H500" s="85"/>
      <c r="I500" s="87"/>
      <c r="J500" s="85"/>
      <c r="K500" s="85"/>
      <c r="L500" s="10"/>
      <c r="M500" s="10"/>
      <c r="N500" s="10"/>
      <c r="O500" s="10"/>
      <c r="P500" s="85"/>
      <c r="Q500" s="88"/>
      <c r="R500" s="3">
        <f>IFERROR(VLOOKUP(TablaMarzo[[#This Row],[BARRIO]],SECTOR!$A:$B,2,0),"")</f>
      </c>
      <c r="S500" s="89"/>
      <c r="T500" s="90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6"/>
      <c r="AZ500" s="120">
        <f>COUNTIF(U500:AY500,"A")</f>
      </c>
      <c r="BA500" s="121">
        <f>COUNTIF(U500:AY500,"F")</f>
      </c>
      <c r="BB500" s="119">
        <f>COUNTIF(U500:AY500,"E")</f>
      </c>
    </row>
    <row r="501" spans="1:54" x14ac:dyDescent="0.2">
      <c r="A501" s="84"/>
      <c r="B501" s="85"/>
      <c r="C501" s="85"/>
      <c r="D501" s="85"/>
      <c r="E501" s="86"/>
      <c r="F501" s="16">
        <f>IF(E501="","",DATEDIF(E501,$I$7,"Y"))</f>
      </c>
      <c r="G501" s="85"/>
      <c r="H501" s="85"/>
      <c r="I501" s="87"/>
      <c r="J501" s="85"/>
      <c r="K501" s="85"/>
      <c r="L501" s="10"/>
      <c r="M501" s="10"/>
      <c r="N501" s="10"/>
      <c r="O501" s="10"/>
      <c r="P501" s="85"/>
      <c r="Q501" s="88"/>
      <c r="R501" s="3">
        <f>IFERROR(VLOOKUP(TablaMarzo[[#This Row],[BARRIO]],SECTOR!$A:$B,2,0),"")</f>
      </c>
      <c r="S501" s="89"/>
      <c r="T501" s="90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6"/>
      <c r="AZ501" s="120">
        <f>COUNTIF(U501:AY501,"A")</f>
      </c>
      <c r="BA501" s="121">
        <f>COUNTIF(U501:AY501,"F")</f>
      </c>
      <c r="BB501" s="119">
        <f>COUNTIF(U501:AY501,"E")</f>
      </c>
    </row>
    <row r="502" spans="1:54" x14ac:dyDescent="0.2">
      <c r="A502" s="84"/>
      <c r="B502" s="85"/>
      <c r="C502" s="85"/>
      <c r="D502" s="85"/>
      <c r="E502" s="86"/>
      <c r="F502" s="16">
        <f>IF(E502="","",DATEDIF(E502,$I$7,"Y"))</f>
      </c>
      <c r="G502" s="85"/>
      <c r="H502" s="85"/>
      <c r="I502" s="87"/>
      <c r="J502" s="85"/>
      <c r="K502" s="85"/>
      <c r="L502" s="10"/>
      <c r="M502" s="10"/>
      <c r="N502" s="10"/>
      <c r="O502" s="10"/>
      <c r="P502" s="85"/>
      <c r="Q502" s="88"/>
      <c r="R502" s="3">
        <f>IFERROR(VLOOKUP(TablaMarzo[[#This Row],[BARRIO]],SECTOR!$A:$B,2,0),"")</f>
      </c>
      <c r="S502" s="89"/>
      <c r="T502" s="90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6"/>
      <c r="AZ502" s="120">
        <f>COUNTIF(U502:AY502,"A")</f>
      </c>
      <c r="BA502" s="121">
        <f>COUNTIF(U502:AY502,"F")</f>
      </c>
      <c r="BB502" s="119">
        <f>COUNTIF(U502:AY502,"E")</f>
      </c>
    </row>
    <row r="503" spans="1:54" x14ac:dyDescent="0.2">
      <c r="A503" s="84"/>
      <c r="B503" s="85"/>
      <c r="C503" s="85"/>
      <c r="D503" s="85"/>
      <c r="E503" s="86"/>
      <c r="F503" s="16">
        <f>IF(E503="","",DATEDIF(E503,$I$7,"Y"))</f>
      </c>
      <c r="G503" s="85"/>
      <c r="H503" s="85"/>
      <c r="I503" s="87"/>
      <c r="J503" s="85"/>
      <c r="K503" s="85"/>
      <c r="L503" s="10"/>
      <c r="M503" s="10"/>
      <c r="N503" s="10"/>
      <c r="O503" s="10"/>
      <c r="P503" s="85"/>
      <c r="Q503" s="88"/>
      <c r="R503" s="3">
        <f>IFERROR(VLOOKUP(TablaMarzo[[#This Row],[BARRIO]],SECTOR!$A:$B,2,0),"")</f>
      </c>
      <c r="S503" s="89"/>
      <c r="T503" s="90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6"/>
      <c r="AZ503" s="120">
        <f>COUNTIF(U503:AY503,"A")</f>
      </c>
      <c r="BA503" s="121">
        <f>COUNTIF(U503:AY503,"F")</f>
      </c>
      <c r="BB503" s="119">
        <f>COUNTIF(U503:AY503,"E")</f>
      </c>
    </row>
    <row r="504" spans="1:54" x14ac:dyDescent="0.2">
      <c r="A504" s="100"/>
      <c r="B504" s="101"/>
      <c r="C504" s="101"/>
      <c r="D504" s="101"/>
      <c r="E504" s="102"/>
      <c r="F504" s="31">
        <f>IF(E504="","",DATEDIF(E504,$I$7,"Y"))</f>
      </c>
      <c r="G504" s="101"/>
      <c r="H504" s="101"/>
      <c r="I504" s="103"/>
      <c r="J504" s="101"/>
      <c r="K504" s="101"/>
      <c r="L504" s="10"/>
      <c r="M504" s="10"/>
      <c r="N504" s="10"/>
      <c r="O504" s="10"/>
      <c r="P504" s="101"/>
      <c r="Q504" s="91"/>
      <c r="R504" s="14">
        <f>IFERROR(VLOOKUP(TablaMarzo[[#This Row],[BARRIO]],SECTOR!$A:$B,2,0),"")</f>
      </c>
      <c r="S504" s="104"/>
      <c r="T504" s="10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7"/>
      <c r="AZ504" s="120">
        <f>COUNTIF(U504:AY504,"A")</f>
      </c>
      <c r="BA504" s="121">
        <f>COUNTIF(U504:AY504,"F")</f>
      </c>
      <c r="BB504" s="118">
        <f>COUNTIF(U504:AY504,"E")</f>
      </c>
    </row>
  </sheetData>
  <sheetProtection sheet="1" objects="1" scenarios="1" autoFilter="0"/>
  <mergeCells count="137">
    <mergeCell ref="B2:B5"/>
    <mergeCell ref="C2:I2"/>
    <mergeCell ref="C3:G3"/>
    <mergeCell ref="C4:G4"/>
    <mergeCell ref="C5:G5"/>
    <mergeCell ref="B7:C7"/>
    <mergeCell ref="D7:G7"/>
    <mergeCell ref="W7:AE7"/>
    <mergeCell ref="AG7:AH7"/>
    <mergeCell ref="AI7:AM7"/>
    <mergeCell ref="AO7:AQ7"/>
    <mergeCell ref="B8:C8"/>
    <mergeCell ref="D8:G8"/>
    <mergeCell ref="S8:T8"/>
    <mergeCell ref="W8:AA8"/>
    <mergeCell ref="AB8:AC8"/>
    <mergeCell ref="AD8:AH8"/>
    <mergeCell ref="AK8:AR8"/>
    <mergeCell ref="AS8:BB8"/>
    <mergeCell ref="B9:C9"/>
    <mergeCell ref="D9:G9"/>
    <mergeCell ref="W9:Y9"/>
    <mergeCell ref="Z9:AA9"/>
    <mergeCell ref="AD9:AF9"/>
    <mergeCell ref="AG9:AH9"/>
    <mergeCell ref="AK9:AL9"/>
    <mergeCell ref="AM9:AN9"/>
    <mergeCell ref="AO9:AP9"/>
    <mergeCell ref="AQ9:AR9"/>
    <mergeCell ref="AS9:BB9"/>
    <mergeCell ref="B10:C10"/>
    <mergeCell ref="D10:G10"/>
    <mergeCell ref="W10:Y10"/>
    <mergeCell ref="Z10:AA10"/>
    <mergeCell ref="AD10:AF10"/>
    <mergeCell ref="AG10:AH10"/>
    <mergeCell ref="AK10:AL10"/>
    <mergeCell ref="AM10:AN10"/>
    <mergeCell ref="AO10:AP10"/>
    <mergeCell ref="AQ10:AR10"/>
    <mergeCell ref="AS10:BB10"/>
    <mergeCell ref="W11:Y11"/>
    <mergeCell ref="Z11:AA11"/>
    <mergeCell ref="AD11:AF11"/>
    <mergeCell ref="AG11:AH11"/>
    <mergeCell ref="AK11:AL11"/>
    <mergeCell ref="AM11:AN11"/>
    <mergeCell ref="AO11:AP11"/>
    <mergeCell ref="AQ11:AR11"/>
    <mergeCell ref="AS11:BB13"/>
    <mergeCell ref="AQ12:AR12"/>
    <mergeCell ref="AQ13:AR13"/>
    <mergeCell ref="B12:B18"/>
    <mergeCell ref="C12:I12"/>
    <mergeCell ref="W12:Y12"/>
    <mergeCell ref="Z12:AA12"/>
    <mergeCell ref="AD12:AF12"/>
    <mergeCell ref="AG12:AH12"/>
    <mergeCell ref="AK12:AL12"/>
    <mergeCell ref="AM12:AN12"/>
    <mergeCell ref="AO12:AP12"/>
    <mergeCell ref="F13:G13"/>
    <mergeCell ref="O13:Q13"/>
    <mergeCell ref="W13:Y13"/>
    <mergeCell ref="Z13:AA13"/>
    <mergeCell ref="AD13:AF13"/>
    <mergeCell ref="AG13:AH13"/>
    <mergeCell ref="AK13:AL13"/>
    <mergeCell ref="AM13:AN13"/>
    <mergeCell ref="AO13:AP13"/>
    <mergeCell ref="C14:C15"/>
    <mergeCell ref="D14:D15"/>
    <mergeCell ref="F14:G15"/>
    <mergeCell ref="H14:H15"/>
    <mergeCell ref="I14:I15"/>
    <mergeCell ref="K14:K15"/>
    <mergeCell ref="L14:L15"/>
    <mergeCell ref="AX15:BA16"/>
    <mergeCell ref="C16:I16"/>
    <mergeCell ref="K16:K17"/>
    <mergeCell ref="L16:L17"/>
    <mergeCell ref="O16:P16"/>
    <mergeCell ref="W16:Y16"/>
    <mergeCell ref="AM14:AN14"/>
    <mergeCell ref="AO14:AP14"/>
    <mergeCell ref="AQ14:AR14"/>
    <mergeCell ref="AV14:AW14"/>
    <mergeCell ref="O15:P15"/>
    <mergeCell ref="W15:Y15"/>
    <mergeCell ref="Z15:AA15"/>
    <mergeCell ref="AD15:AF15"/>
    <mergeCell ref="AG15:AH15"/>
    <mergeCell ref="AK15:AL15"/>
    <mergeCell ref="O14:P14"/>
    <mergeCell ref="W14:Y14"/>
    <mergeCell ref="Z14:AA14"/>
    <mergeCell ref="AD14:AF14"/>
    <mergeCell ref="AG14:AH14"/>
    <mergeCell ref="AK14:AL14"/>
    <mergeCell ref="Z16:AA16"/>
    <mergeCell ref="AD16:AF16"/>
    <mergeCell ref="AG16:AH16"/>
    <mergeCell ref="AK16:AL16"/>
    <mergeCell ref="AM16:AN16"/>
    <mergeCell ref="AV16:AW16"/>
    <mergeCell ref="AM15:AN15"/>
    <mergeCell ref="AO15:AP15"/>
    <mergeCell ref="AQ15:AR15"/>
    <mergeCell ref="AV15:AW15"/>
    <mergeCell ref="AD17:AF17"/>
    <mergeCell ref="AG17:AH17"/>
    <mergeCell ref="AN17:AP17"/>
    <mergeCell ref="AV17:AW17"/>
    <mergeCell ref="AX17:AZ17"/>
    <mergeCell ref="C18:D18"/>
    <mergeCell ref="E18:G18"/>
    <mergeCell ref="H18:I18"/>
    <mergeCell ref="O18:P18"/>
    <mergeCell ref="W18:Y18"/>
    <mergeCell ref="C17:D17"/>
    <mergeCell ref="E17:G17"/>
    <mergeCell ref="H17:I17"/>
    <mergeCell ref="O17:P17"/>
    <mergeCell ref="W17:Y17"/>
    <mergeCell ref="Z17:AA17"/>
    <mergeCell ref="U21:AY22"/>
    <mergeCell ref="AZ21:BB22"/>
    <mergeCell ref="Z18:AA18"/>
    <mergeCell ref="AN18:AP18"/>
    <mergeCell ref="AV18:AW18"/>
    <mergeCell ref="AX18:AZ18"/>
    <mergeCell ref="K19:L19"/>
    <mergeCell ref="O19:P19"/>
    <mergeCell ref="W19:Y19"/>
    <mergeCell ref="Z19:AA19"/>
    <mergeCell ref="AV19:AW19"/>
    <mergeCell ref="AX19:AZ19"/>
  </mergeCells>
  <dataValidations count="12">
    <dataValidation type="custom" allowBlank="1" showInputMessage="1" showErrorMessage="1" errorTitle="SÓLO MAYÚSCULA" sqref="S24:S504">
      <formula1>EXACT(S24, UPPER(S24))</formula1>
    </dataValidation>
    <dataValidation type="custom" allowBlank="1" showInputMessage="1" showErrorMessage="1" errorTitle="SÓLO MAÚSCULA" sqref="P24:P504">
      <formula1>EXACT(P24, UPPER(P24))</formula1>
    </dataValidation>
    <dataValidation type="custom" allowBlank="1" showInputMessage="1" showErrorMessage="1" errorTitle="ERROR" error="SÓLO MAYÚSCULAS" sqref="B24:D504 J24:J504">
      <formula1>EXACT(B24, UPPER(B24))</formula1>
    </dataValidation>
    <dataValidation type="list" allowBlank="1" showInputMessage="1" showErrorMessage="1" sqref="N24:N504">
      <formula1>"SI, NO"</formula1>
    </dataValidation>
    <dataValidation type="list" allowBlank="1" showInputMessage="1" showErrorMessage="1" sqref="G24:G504">
      <formula1>"R.C, T.I, C.C, C.E, PPT, PEP, NES"</formula1>
    </dataValidation>
    <dataValidation type="list" allowBlank="1" showInputMessage="1" showErrorMessage="1" sqref="I24:I504">
      <formula1>"HOMBRE, MUJER"</formula1>
    </dataValidation>
    <dataValidation type="list" allowBlank="1" showInputMessage="1" showErrorMessage="1" sqref="L24:L504">
      <formula1>"OLFATIVA Y TACTO, MENTAL, MOVILIDAD, MULTIPLE, ORAL, PSICOSOCIAL, VISUAL, VOZ Y HABLA, NO SABE NOMBRARLA, N/A"</formula1>
    </dataValidation>
    <dataValidation type="list" allowBlank="1" showInputMessage="1" showErrorMessage="1" sqref="M24:M504">
      <formula1>"HETEROSEXUAL, LESBIANA, ASEXUAL, BISEXUAL, GAY, INTERSEXUAL, NO BINARIO, PANSEXUAL, QUEER, TRANSEXUAL O TRANSGÉNERO, OTRO"</formula1>
    </dataValidation>
    <dataValidation type="list" allowBlank="1" showInputMessage="1" showErrorMessage="1" sqref="O24:O504">
      <formula1>"AFROCOLOMBIANO, INDÍGENA, MESTIZO, MULATO, NO SABE NO RESPONDE, OTRO, PALENQUERO, RAIZAL, ROM GITANO"</formula1>
    </dataValidation>
    <dataValidation type="list" allowBlank="1" showInputMessage="1" showErrorMessage="1" sqref="O23">
      <formula1>"AFRO, INDIGENA, MESTIZA"</formula1>
    </dataValidation>
    <dataValidation type="list" allowBlank="1" showErrorMessage="1" sqref="AI7">
      <formula1>$BH$11:$BH$23</formula1>
    </dataValidation>
    <dataValidation type="list" allowBlank="1" showInputMessage="1" showErrorMessage="1" sqref="Q24:Q504">
      <formula1>SECTOR!$A$2:$A$83</formula1>
    </dataValidation>
  </dataValidations>
  <pageMargins left="0.7" right="0.7" top="0.75" bottom="0.75" header="0.3" footer="0.3"/>
  <pageSetup orientation="portrait"/>
  <ignoredErrors>
    <ignoredError sqref="O23" listDataValidation="1"/>
  </ignoredErrors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2:BB504"/>
  <sheetViews>
    <sheetView showGridLines="0" zoomScaleNormal="100" workbookViewId="0">
      <selection activeCell="A24" sqref="A24"/>
    </sheetView>
  </sheetViews>
  <sheetFormatPr defaultColWidth="9.14453125" defaultRowHeight="15" x14ac:dyDescent="0.2"/>
  <cols>
    <col min="1" max="1" width="6.1875" style="34" customWidth="1"/>
    <col min="2" max="2" width="21.7890625" style="34" customWidth="1"/>
    <col min="3" max="3" width="21.65625" style="34" customWidth="1"/>
    <col min="4" max="4" width="21.7890625" style="34" customWidth="1"/>
    <col min="5" max="5" width="19.50390625" style="34" customWidth="1"/>
    <col min="6" max="6" width="11.1640625" style="34" customWidth="1"/>
    <col min="7" max="7" width="11.56640625" style="34" customWidth="1"/>
    <col min="8" max="8" width="18.4296875" style="34" customWidth="1"/>
    <col min="9" max="9" width="22.59765625" style="34" customWidth="1"/>
    <col min="10" max="10" width="35.109375" style="34" customWidth="1"/>
    <col min="11" max="11" width="11.43359375" style="34" customWidth="1"/>
    <col min="12" max="12" width="16.8125" style="34" customWidth="1"/>
    <col min="13" max="14" width="10.22265625" style="34" customWidth="1"/>
    <col min="15" max="15" width="23.9453125" style="34" bestFit="1" customWidth="1"/>
    <col min="16" max="16" width="23.40625" style="34" customWidth="1"/>
    <col min="17" max="17" width="18.0234375" style="34" customWidth="1"/>
    <col min="18" max="18" width="16.6796875" style="34" customWidth="1"/>
    <col min="19" max="19" width="18.6953125" style="34" bestFit="1" customWidth="1"/>
    <col min="20" max="20" width="17.62109375" style="34" customWidth="1"/>
    <col min="21" max="35" width="5.91796875" style="34" customWidth="1"/>
    <col min="36" max="36" width="6.05078125" style="34" customWidth="1"/>
    <col min="37" max="54" width="5.91796875" style="34" customWidth="1"/>
    <col min="55" max="55" width="9.14453125" style="34"/>
    <col min="56" max="56" width="13.5859375" style="34" bestFit="1" customWidth="1"/>
    <col min="57" max="59" width="10.76171875" style="34" bestFit="1" customWidth="1"/>
    <col min="60" max="16384" width="9.14453125" style="34"/>
  </cols>
  <sheetData>
    <row r="2" spans="1:54" x14ac:dyDescent="0.2">
      <c r="B2" s="244"/>
      <c r="C2" s="247" t="s">
        <v>0</v>
      </c>
      <c r="D2" s="248"/>
      <c r="E2" s="248"/>
      <c r="F2" s="248"/>
      <c r="G2" s="248"/>
      <c r="H2" s="248"/>
      <c r="I2" s="249"/>
    </row>
    <row r="3" spans="1:54" x14ac:dyDescent="0.2">
      <c r="B3" s="245"/>
      <c r="C3" s="250" t="s">
        <v>1</v>
      </c>
      <c r="D3" s="251"/>
      <c r="E3" s="251"/>
      <c r="F3" s="251"/>
      <c r="G3" s="252"/>
      <c r="H3" s="35" t="s">
        <v>2</v>
      </c>
      <c r="I3" s="35" t="s">
        <v>3</v>
      </c>
    </row>
    <row r="4" spans="1:54" x14ac:dyDescent="0.2">
      <c r="B4" s="245"/>
      <c r="C4" s="250" t="s">
        <v>4</v>
      </c>
      <c r="D4" s="251"/>
      <c r="E4" s="251"/>
      <c r="F4" s="251"/>
      <c r="G4" s="252"/>
      <c r="H4" s="35" t="s">
        <v>5</v>
      </c>
      <c r="I4" s="36" t="s">
        <v>6</v>
      </c>
    </row>
    <row r="5" spans="1:54" ht="60" customHeight="1" x14ac:dyDescent="0.2">
      <c r="B5" s="246"/>
      <c r="C5" s="253" t="s">
        <v>7</v>
      </c>
      <c r="D5" s="254"/>
      <c r="E5" s="254"/>
      <c r="F5" s="254"/>
      <c r="G5" s="255"/>
      <c r="H5" s="35" t="s">
        <v>8</v>
      </c>
      <c r="I5" s="37">
        <v>46073</v>
      </c>
    </row>
    <row r="7" spans="1:54" ht="22.5" customHeight="1" x14ac:dyDescent="0.2">
      <c r="A7" s="13"/>
      <c r="B7" s="256" t="s">
        <v>9</v>
      </c>
      <c r="C7" s="257"/>
      <c r="D7" s="230"/>
      <c r="E7" s="231"/>
      <c r="F7" s="231"/>
      <c r="G7" s="232"/>
      <c r="H7" s="38"/>
      <c r="I7" s="39"/>
      <c r="J7" s="40"/>
      <c r="K7" s="40"/>
      <c r="L7" s="12"/>
      <c r="M7" s="12"/>
      <c r="N7" s="12"/>
      <c r="O7" s="12"/>
      <c r="P7" s="12"/>
      <c r="Q7" s="12"/>
      <c r="R7" s="12"/>
      <c r="S7" s="12"/>
      <c r="T7" s="41"/>
      <c r="U7" s="42"/>
      <c r="V7" s="42"/>
      <c r="W7" s="258"/>
      <c r="X7" s="258"/>
      <c r="Y7" s="258"/>
      <c r="Z7" s="258"/>
      <c r="AA7" s="258"/>
      <c r="AB7" s="258"/>
      <c r="AC7" s="258"/>
      <c r="AD7" s="258"/>
      <c r="AE7" s="258"/>
      <c r="AF7" s="13"/>
      <c r="AG7" s="234"/>
      <c r="AH7" s="152"/>
      <c r="AI7" s="233"/>
      <c r="AJ7" s="152"/>
      <c r="AK7" s="152"/>
      <c r="AL7" s="152"/>
      <c r="AM7" s="152"/>
      <c r="AN7" s="13"/>
      <c r="AO7" s="234"/>
      <c r="AP7" s="152"/>
      <c r="AQ7" s="152"/>
      <c r="AR7" s="44"/>
      <c r="AS7" s="45"/>
      <c r="AT7" s="45"/>
      <c r="AU7" s="45"/>
      <c r="AV7" s="45"/>
      <c r="AW7" s="45"/>
      <c r="AX7" s="45"/>
      <c r="AY7" s="12"/>
      <c r="AZ7" s="13"/>
      <c r="BA7" s="13"/>
      <c r="BB7" s="13"/>
    </row>
    <row r="8" spans="1:54" ht="21.75" customHeight="1" x14ac:dyDescent="0.2">
      <c r="A8" s="13"/>
      <c r="B8" s="235" t="s">
        <v>10</v>
      </c>
      <c r="C8" s="236"/>
      <c r="D8" s="223"/>
      <c r="E8" s="224"/>
      <c r="F8" s="224"/>
      <c r="G8" s="225"/>
      <c r="H8" s="11"/>
      <c r="I8" s="11"/>
      <c r="J8" s="11"/>
      <c r="K8" s="11"/>
      <c r="L8" s="12"/>
      <c r="M8" s="12"/>
      <c r="N8" s="12"/>
      <c r="O8" s="12"/>
      <c r="P8" s="12"/>
      <c r="Q8" s="12"/>
      <c r="R8" s="12"/>
      <c r="S8" s="237" t="s">
        <v>11</v>
      </c>
      <c r="T8" s="238"/>
      <c r="U8" s="13"/>
      <c r="V8" s="13"/>
      <c r="W8" s="239" t="s">
        <v>12</v>
      </c>
      <c r="X8" s="239"/>
      <c r="Y8" s="239"/>
      <c r="Z8" s="239"/>
      <c r="AA8" s="239"/>
      <c r="AB8" s="240"/>
      <c r="AC8" s="152"/>
      <c r="AD8" s="241" t="s">
        <v>13</v>
      </c>
      <c r="AE8" s="241"/>
      <c r="AF8" s="241"/>
      <c r="AG8" s="241"/>
      <c r="AH8" s="241"/>
      <c r="AI8" s="12"/>
      <c r="AJ8" s="12"/>
      <c r="AK8" s="242" t="s">
        <v>14</v>
      </c>
      <c r="AL8" s="243"/>
      <c r="AM8" s="243"/>
      <c r="AN8" s="243"/>
      <c r="AO8" s="243"/>
      <c r="AP8" s="243"/>
      <c r="AQ8" s="243"/>
      <c r="AR8" s="243"/>
      <c r="AS8" s="183"/>
      <c r="AT8" s="183"/>
      <c r="AU8" s="183"/>
      <c r="AV8" s="183"/>
      <c r="AW8" s="183"/>
      <c r="AX8" s="183"/>
      <c r="AY8" s="183"/>
      <c r="AZ8" s="183"/>
      <c r="BA8" s="183"/>
      <c r="BB8" s="183"/>
    </row>
    <row r="9" spans="1:54" ht="20.25" customHeight="1" x14ac:dyDescent="0.2">
      <c r="A9" s="13"/>
      <c r="B9" s="228" t="s">
        <v>15</v>
      </c>
      <c r="C9" s="229"/>
      <c r="D9" s="230"/>
      <c r="E9" s="231"/>
      <c r="F9" s="231"/>
      <c r="G9" s="232"/>
      <c r="H9" s="13"/>
      <c r="I9" s="13"/>
      <c r="J9" s="12"/>
      <c r="K9" s="12"/>
      <c r="L9" s="12"/>
      <c r="M9" s="12"/>
      <c r="N9" s="12"/>
      <c r="O9" s="12"/>
      <c r="P9" s="12"/>
      <c r="Q9" s="12"/>
      <c r="R9" s="12"/>
      <c r="S9" s="46" t="s">
        <v>16</v>
      </c>
      <c r="T9" s="114">
        <f>COUNTIFS(TablaAbril[TIPO DISCAPACIDAD], S9)</f>
      </c>
      <c r="U9" s="13"/>
      <c r="V9" s="13"/>
      <c r="W9" s="164" t="s">
        <v>17</v>
      </c>
      <c r="X9" s="164"/>
      <c r="Y9" s="164"/>
      <c r="Z9" s="147">
        <f>COUNTIFS(TablaAbril[ORI. SEXUAL], W9)</f>
      </c>
      <c r="AA9" s="148"/>
      <c r="AB9" s="13"/>
      <c r="AC9" s="13"/>
      <c r="AD9" s="164" t="s">
        <v>18</v>
      </c>
      <c r="AE9" s="164"/>
      <c r="AF9" s="164"/>
      <c r="AG9" s="165">
        <f>COUNTIFS(TablaAbril[[ETNIA ]], AD9)</f>
      </c>
      <c r="AH9" s="165"/>
      <c r="AI9" s="12"/>
      <c r="AJ9" s="12"/>
      <c r="AK9" s="226">
        <v>1</v>
      </c>
      <c r="AL9" s="226"/>
      <c r="AM9" s="202">
        <f>COUNTIFS(TablaAbril[[ COMUNA]], AK9)</f>
      </c>
      <c r="AN9" s="202"/>
      <c r="AO9" s="227">
        <v>3</v>
      </c>
      <c r="AP9" s="227"/>
      <c r="AQ9" s="218">
        <f>COUNTIFS(TablaAbril[[ COMUNA]], AO9)</f>
      </c>
      <c r="AR9" s="218"/>
      <c r="AS9" s="183"/>
      <c r="AT9" s="183"/>
      <c r="AU9" s="183"/>
      <c r="AV9" s="183"/>
      <c r="AW9" s="183"/>
      <c r="AX9" s="183"/>
      <c r="AY9" s="183"/>
      <c r="AZ9" s="183"/>
      <c r="BA9" s="183"/>
      <c r="BB9" s="183"/>
    </row>
    <row r="10" spans="1:54" ht="21.75" customHeight="1" x14ac:dyDescent="0.2">
      <c r="A10" s="13"/>
      <c r="B10" s="221" t="s">
        <v>19</v>
      </c>
      <c r="C10" s="222"/>
      <c r="D10" s="223"/>
      <c r="E10" s="224"/>
      <c r="F10" s="224"/>
      <c r="G10" s="225"/>
      <c r="H10" s="13"/>
      <c r="I10" s="13"/>
      <c r="J10" s="12"/>
      <c r="K10" s="12"/>
      <c r="L10" s="12"/>
      <c r="M10" s="12"/>
      <c r="N10" s="12"/>
      <c r="O10" s="12"/>
      <c r="P10" s="12"/>
      <c r="Q10" s="12"/>
      <c r="R10" s="12"/>
      <c r="S10" s="47" t="s">
        <v>20</v>
      </c>
      <c r="T10" s="115">
        <f>COUNTIFS(TablaAbril[TIPO DISCAPACIDAD], S10)</f>
      </c>
      <c r="U10" s="13"/>
      <c r="V10" s="13"/>
      <c r="W10" s="164" t="s">
        <v>21</v>
      </c>
      <c r="X10" s="164"/>
      <c r="Y10" s="164"/>
      <c r="Z10" s="147">
        <f>COUNTIFS(TablaAbril[ORI. SEXUAL], W10)</f>
      </c>
      <c r="AA10" s="148"/>
      <c r="AB10" s="13"/>
      <c r="AC10" s="13"/>
      <c r="AD10" s="164" t="s">
        <v>22</v>
      </c>
      <c r="AE10" s="164"/>
      <c r="AF10" s="164"/>
      <c r="AG10" s="165">
        <f>COUNTIFS(TablaAbril[[ETNIA ]], AD10)</f>
      </c>
      <c r="AH10" s="165"/>
      <c r="AI10" s="12"/>
      <c r="AJ10" s="12"/>
      <c r="AK10" s="226">
        <v>2</v>
      </c>
      <c r="AL10" s="226"/>
      <c r="AM10" s="202">
        <f>COUNTIFS(TablaAbril[[ COMUNA]], AK10)</f>
      </c>
      <c r="AN10" s="202"/>
      <c r="AO10" s="227">
        <v>4</v>
      </c>
      <c r="AP10" s="227"/>
      <c r="AQ10" s="218">
        <f>COUNTIFS(TablaAbril[[ COMUNA]], AO10)</f>
      </c>
      <c r="AR10" s="218"/>
      <c r="AS10" s="183"/>
      <c r="AT10" s="183"/>
      <c r="AU10" s="183"/>
      <c r="AV10" s="183"/>
      <c r="AW10" s="183"/>
      <c r="AX10" s="183"/>
      <c r="AY10" s="183"/>
      <c r="AZ10" s="183"/>
      <c r="BA10" s="183"/>
      <c r="BB10" s="183"/>
    </row>
    <row r="11" spans="1:54" ht="26.25" customHeight="1" x14ac:dyDescent="0.2">
      <c r="A11" s="13"/>
      <c r="B11" s="13"/>
      <c r="C11" s="33"/>
      <c r="D11" s="33"/>
      <c r="E11" s="33"/>
      <c r="F11" s="33"/>
      <c r="G11" s="33"/>
      <c r="H11" s="33"/>
      <c r="I11" s="33"/>
      <c r="J11" s="33"/>
      <c r="K11" s="33"/>
      <c r="L11" s="12"/>
      <c r="M11" s="12"/>
      <c r="N11" s="12"/>
      <c r="O11" s="12"/>
      <c r="P11" s="12"/>
      <c r="Q11" s="12"/>
      <c r="R11" s="12"/>
      <c r="S11" s="47" t="s">
        <v>23</v>
      </c>
      <c r="T11" s="115">
        <f>COUNTIFS(TablaAbril[TIPO DISCAPACIDAD], S11)</f>
      </c>
      <c r="U11" s="13"/>
      <c r="V11" s="13"/>
      <c r="W11" s="164" t="s">
        <v>24</v>
      </c>
      <c r="X11" s="164"/>
      <c r="Y11" s="164"/>
      <c r="Z11" s="147">
        <f>COUNTIFS(TablaAbril[ORI. SEXUAL], W11)</f>
      </c>
      <c r="AA11" s="148"/>
      <c r="AB11" s="13"/>
      <c r="AC11" s="13"/>
      <c r="AD11" s="164" t="s">
        <v>25</v>
      </c>
      <c r="AE11" s="164"/>
      <c r="AF11" s="164"/>
      <c r="AG11" s="165">
        <f>COUNTIFS(TablaAbril[[ETNIA ]], AD11)</f>
      </c>
      <c r="AH11" s="165"/>
      <c r="AI11" s="13"/>
      <c r="AJ11" s="13"/>
      <c r="AK11" s="201" t="s">
        <v>26</v>
      </c>
      <c r="AL11" s="201"/>
      <c r="AM11" s="202">
        <f>COUNTIFS(TablaAbril[[ COMUNA]], AK11)</f>
      </c>
      <c r="AN11" s="202"/>
      <c r="AO11" s="219" t="s">
        <v>27</v>
      </c>
      <c r="AP11" s="219"/>
      <c r="AQ11" s="218">
        <f>COUNTIFS(TablaAbril[[ COMUNA]], AO11)</f>
      </c>
      <c r="AR11" s="218"/>
      <c r="AS11" s="220"/>
      <c r="AT11" s="220"/>
      <c r="AU11" s="220"/>
      <c r="AV11" s="220"/>
      <c r="AW11" s="220"/>
      <c r="AX11" s="220"/>
      <c r="AY11" s="220"/>
      <c r="AZ11" s="220"/>
      <c r="BA11" s="220"/>
      <c r="BB11" s="220"/>
    </row>
    <row r="12" spans="1:54" ht="26.25" customHeight="1" thickBot="1" x14ac:dyDescent="0.25">
      <c r="A12" s="13"/>
      <c r="B12" s="195" t="s">
        <v>28</v>
      </c>
      <c r="C12" s="198" t="s">
        <v>29</v>
      </c>
      <c r="D12" s="199"/>
      <c r="E12" s="199"/>
      <c r="F12" s="199"/>
      <c r="G12" s="199"/>
      <c r="H12" s="199"/>
      <c r="I12" s="200"/>
      <c r="L12" s="12"/>
      <c r="M12" s="12"/>
      <c r="N12" s="12"/>
      <c r="O12" s="12"/>
      <c r="P12" s="12"/>
      <c r="Q12" s="12"/>
      <c r="R12" s="12"/>
      <c r="S12" s="48" t="s">
        <v>30</v>
      </c>
      <c r="T12" s="115">
        <f>COUNTIFS(TablaAbril[TIPO DISCAPACIDAD], S12)</f>
      </c>
      <c r="U12" s="13"/>
      <c r="V12" s="13"/>
      <c r="W12" s="164" t="s">
        <v>31</v>
      </c>
      <c r="X12" s="164"/>
      <c r="Y12" s="164"/>
      <c r="Z12" s="147">
        <f>COUNTIFS(TablaAbril[ORI. SEXUAL], W12)</f>
      </c>
      <c r="AA12" s="148"/>
      <c r="AB12" s="13"/>
      <c r="AC12" s="13"/>
      <c r="AD12" s="164" t="s">
        <v>32</v>
      </c>
      <c r="AE12" s="164"/>
      <c r="AF12" s="164"/>
      <c r="AG12" s="165">
        <f>COUNTIFS(TablaAbril[[ETNIA ]], AD12)</f>
      </c>
      <c r="AH12" s="165"/>
      <c r="AI12" s="49"/>
      <c r="AJ12" s="49"/>
      <c r="AK12" s="201" t="s">
        <v>33</v>
      </c>
      <c r="AL12" s="201"/>
      <c r="AM12" s="202">
        <f>COUNTIFS(TablaAbril[[ COMUNA]], AK12)</f>
      </c>
      <c r="AN12" s="202"/>
      <c r="AO12" s="180"/>
      <c r="AP12" s="180"/>
      <c r="AQ12" s="183"/>
      <c r="AR12" s="183"/>
      <c r="AS12" s="220"/>
      <c r="AT12" s="220"/>
      <c r="AU12" s="220"/>
      <c r="AV12" s="220"/>
      <c r="AW12" s="220"/>
      <c r="AX12" s="220"/>
      <c r="AY12" s="220"/>
      <c r="AZ12" s="220"/>
      <c r="BA12" s="220"/>
      <c r="BB12" s="220"/>
    </row>
    <row r="13" spans="1:54" ht="29.25" customHeight="1" thickBot="1" x14ac:dyDescent="0.25">
      <c r="B13" s="196"/>
      <c r="C13" s="50" t="s">
        <v>34</v>
      </c>
      <c r="D13" s="51" t="s">
        <v>35</v>
      </c>
      <c r="E13" s="51" t="s">
        <v>36</v>
      </c>
      <c r="F13" s="203" t="s">
        <v>37</v>
      </c>
      <c r="G13" s="204"/>
      <c r="H13" s="52" t="s">
        <v>38</v>
      </c>
      <c r="I13" s="53" t="s">
        <v>39</v>
      </c>
      <c r="K13" s="54"/>
      <c r="L13" s="55"/>
      <c r="M13" s="12"/>
      <c r="N13" s="12"/>
      <c r="O13" s="205" t="s">
        <v>40</v>
      </c>
      <c r="P13" s="206"/>
      <c r="Q13" s="207"/>
      <c r="R13" s="56"/>
      <c r="S13" s="57" t="s">
        <v>41</v>
      </c>
      <c r="T13" s="115">
        <f>COUNTIFS(TablaAbril[TIPO DISCAPACIDAD], S13)</f>
      </c>
      <c r="U13" s="56"/>
      <c r="V13" s="56"/>
      <c r="W13" s="160" t="s">
        <v>42</v>
      </c>
      <c r="X13" s="160"/>
      <c r="Y13" s="160"/>
      <c r="Z13" s="147">
        <f>COUNTIFS(TablaAbril[ORI. SEXUAL], W13)</f>
      </c>
      <c r="AA13" s="148"/>
      <c r="AB13" s="58"/>
      <c r="AC13" s="59"/>
      <c r="AD13" s="208" t="s">
        <v>43</v>
      </c>
      <c r="AE13" s="208"/>
      <c r="AF13" s="208"/>
      <c r="AG13" s="165">
        <f>COUNTIFS(TablaAbril[[ETNIA ]], AD13)</f>
      </c>
      <c r="AH13" s="165"/>
      <c r="AI13" s="56"/>
      <c r="AJ13" s="56"/>
      <c r="AK13" s="209"/>
      <c r="AL13" s="209"/>
      <c r="AM13" s="182"/>
      <c r="AN13" s="182"/>
      <c r="AO13" s="180"/>
      <c r="AP13" s="180"/>
      <c r="AQ13" s="183"/>
      <c r="AR13" s="183"/>
      <c r="AS13" s="220"/>
      <c r="AT13" s="220"/>
      <c r="AU13" s="220"/>
      <c r="AV13" s="220"/>
      <c r="AW13" s="220"/>
      <c r="AX13" s="220"/>
      <c r="AY13" s="220"/>
      <c r="AZ13" s="220"/>
      <c r="BA13" s="220"/>
      <c r="BB13" s="220"/>
    </row>
    <row r="14" spans="1:54" ht="19.5" customHeight="1" thickBot="1" x14ac:dyDescent="0.25">
      <c r="A14" s="13"/>
      <c r="B14" s="196"/>
      <c r="C14" s="210"/>
      <c r="D14" s="210"/>
      <c r="E14" s="8"/>
      <c r="F14" s="212"/>
      <c r="G14" s="213"/>
      <c r="H14" s="210"/>
      <c r="I14" s="210"/>
      <c r="K14" s="216" t="s">
        <v>44</v>
      </c>
      <c r="L14" s="184">
        <f>COUNTIFS(TablaAbril[SEXO], K14)</f>
      </c>
      <c r="M14" s="12"/>
      <c r="N14" s="12"/>
      <c r="O14" s="158" t="s">
        <v>45</v>
      </c>
      <c r="P14" s="159"/>
      <c r="Q14" s="116">
        <f>COUNTIFS(TablaAbril[EDAD], "&lt;6")</f>
      </c>
      <c r="R14" s="56"/>
      <c r="S14" s="47" t="s">
        <v>46</v>
      </c>
      <c r="T14" s="115">
        <f>COUNTIFS(TablaAbril[TIPO DISCAPACIDAD], S14)</f>
      </c>
      <c r="U14" s="60"/>
      <c r="V14" s="56"/>
      <c r="W14" s="160" t="s">
        <v>47</v>
      </c>
      <c r="X14" s="160"/>
      <c r="Y14" s="160"/>
      <c r="Z14" s="147">
        <f>COUNTIFS(TablaAbril[ORI. SEXUAL], W14)</f>
      </c>
      <c r="AA14" s="148"/>
      <c r="AB14" s="13"/>
      <c r="AC14" s="13"/>
      <c r="AD14" s="164" t="s">
        <v>48</v>
      </c>
      <c r="AE14" s="164"/>
      <c r="AF14" s="164"/>
      <c r="AG14" s="165">
        <f>COUNTIFS(TablaAbril[[ETNIA ]], AD14)</f>
      </c>
      <c r="AH14" s="165"/>
      <c r="AI14" s="56"/>
      <c r="AJ14" s="56"/>
      <c r="AK14" s="194"/>
      <c r="AL14" s="194"/>
      <c r="AM14" s="182"/>
      <c r="AN14" s="182"/>
      <c r="AO14" s="180"/>
      <c r="AP14" s="180"/>
      <c r="AQ14" s="183"/>
      <c r="AR14" s="183"/>
      <c r="AV14" s="151"/>
      <c r="AW14" s="152"/>
      <c r="BB14" s="13"/>
    </row>
    <row r="15" spans="1:54" ht="19.5" customHeight="1" thickBot="1" x14ac:dyDescent="0.25">
      <c r="A15" s="13"/>
      <c r="B15" s="196"/>
      <c r="C15" s="211"/>
      <c r="D15" s="211"/>
      <c r="E15" s="9"/>
      <c r="F15" s="214"/>
      <c r="G15" s="215"/>
      <c r="H15" s="211"/>
      <c r="I15" s="211"/>
      <c r="K15" s="217"/>
      <c r="L15" s="185"/>
      <c r="M15" s="12"/>
      <c r="N15" s="12"/>
      <c r="O15" s="192" t="s">
        <v>49</v>
      </c>
      <c r="P15" s="193"/>
      <c r="Q15" s="116">
        <f>COUNTIFS(TablaAbril[EDAD], "&gt;5", TablaAbril[EDAD], "&lt;11")</f>
      </c>
      <c r="R15" s="56"/>
      <c r="S15" s="57" t="s">
        <v>50</v>
      </c>
      <c r="T15" s="115">
        <f>COUNTIFS(TablaAbril[TIPO DISCAPACIDAD], S15)</f>
      </c>
      <c r="U15" s="60"/>
      <c r="V15" s="56"/>
      <c r="W15" s="160" t="s">
        <v>51</v>
      </c>
      <c r="X15" s="160"/>
      <c r="Y15" s="160"/>
      <c r="Z15" s="147">
        <f>COUNTIFS(TablaAbril[ORI. SEXUAL], W15)</f>
      </c>
      <c r="AA15" s="148"/>
      <c r="AB15" s="58"/>
      <c r="AC15" s="59"/>
      <c r="AD15" s="179" t="s">
        <v>52</v>
      </c>
      <c r="AE15" s="179"/>
      <c r="AF15" s="179"/>
      <c r="AG15" s="165">
        <f>COUNTIFS(TablaAbril[[ETNIA ]], AD15)</f>
      </c>
      <c r="AH15" s="165"/>
      <c r="AI15" s="56"/>
      <c r="AJ15" s="56"/>
      <c r="AK15" s="180"/>
      <c r="AL15" s="181"/>
      <c r="AM15" s="182"/>
      <c r="AN15" s="182"/>
      <c r="AO15" s="180"/>
      <c r="AP15" s="180"/>
      <c r="AQ15" s="183"/>
      <c r="AR15" s="183"/>
      <c r="AV15" s="151"/>
      <c r="AW15" s="152"/>
      <c r="AX15" s="186" t="s">
        <v>53</v>
      </c>
      <c r="AY15" s="186"/>
      <c r="AZ15" s="186"/>
      <c r="BA15" s="186"/>
      <c r="BB15" s="13"/>
    </row>
    <row r="16" spans="1:54" ht="19.5" customHeight="1" thickBot="1" x14ac:dyDescent="0.25">
      <c r="A16" s="13"/>
      <c r="B16" s="196"/>
      <c r="C16" s="187" t="s">
        <v>54</v>
      </c>
      <c r="D16" s="188"/>
      <c r="E16" s="188"/>
      <c r="F16" s="188"/>
      <c r="G16" s="188"/>
      <c r="H16" s="188"/>
      <c r="I16" s="189"/>
      <c r="K16" s="190" t="s">
        <v>55</v>
      </c>
      <c r="L16" s="184">
        <f>COUNTIFS(TablaAbril[SEXO], K16)</f>
      </c>
      <c r="M16" s="12"/>
      <c r="N16" s="12"/>
      <c r="O16" s="158" t="s">
        <v>56</v>
      </c>
      <c r="P16" s="159"/>
      <c r="Q16" s="116">
        <f>COUNTIFS(TablaAbril[EDAD], "&gt;10", TablaAbril[EDAD], "&lt;15")</f>
      </c>
      <c r="R16" s="56"/>
      <c r="S16" s="47" t="s">
        <v>57</v>
      </c>
      <c r="T16" s="115">
        <f>COUNTIFS(TablaAbril[TIPO DISCAPACIDAD], S16)</f>
      </c>
      <c r="U16" s="60"/>
      <c r="V16" s="56"/>
      <c r="W16" s="160" t="s">
        <v>58</v>
      </c>
      <c r="X16" s="160"/>
      <c r="Y16" s="160"/>
      <c r="Z16" s="147">
        <f>COUNTIFS(TablaAbril[ORI. SEXUAL], W16)</f>
      </c>
      <c r="AA16" s="148"/>
      <c r="AB16" s="58"/>
      <c r="AC16" s="59"/>
      <c r="AD16" s="179" t="s">
        <v>59</v>
      </c>
      <c r="AE16" s="179"/>
      <c r="AF16" s="179"/>
      <c r="AG16" s="165">
        <f>COUNTIFS(TablaAbril[[ETNIA ]], AD16)</f>
      </c>
      <c r="AH16" s="165"/>
      <c r="AI16" s="56"/>
      <c r="AJ16" s="56"/>
      <c r="AK16" s="180"/>
      <c r="AL16" s="180"/>
      <c r="AM16" s="181"/>
      <c r="AN16" s="181"/>
      <c r="AO16" s="56"/>
      <c r="AP16" s="56"/>
      <c r="AQ16" s="33"/>
      <c r="AV16" s="151"/>
      <c r="AW16" s="152"/>
      <c r="AX16" s="186"/>
      <c r="AY16" s="186"/>
      <c r="AZ16" s="186"/>
      <c r="BA16" s="186"/>
      <c r="BB16" s="13"/>
    </row>
    <row r="17" spans="1:54" ht="19.5" customHeight="1" thickBot="1" x14ac:dyDescent="0.25">
      <c r="A17" s="13"/>
      <c r="B17" s="196"/>
      <c r="C17" s="175" t="s">
        <v>60</v>
      </c>
      <c r="D17" s="176"/>
      <c r="E17" s="175" t="s">
        <v>61</v>
      </c>
      <c r="F17" s="177"/>
      <c r="G17" s="176"/>
      <c r="H17" s="175" t="s">
        <v>62</v>
      </c>
      <c r="I17" s="176"/>
      <c r="K17" s="191"/>
      <c r="L17" s="185"/>
      <c r="M17" s="12"/>
      <c r="N17" s="12"/>
      <c r="O17" s="158" t="s">
        <v>63</v>
      </c>
      <c r="P17" s="159"/>
      <c r="Q17" s="116">
        <f>COUNTIFS(TablaAbril[EDAD], "&gt;14", TablaAbril[EDAD], "&lt;20")</f>
      </c>
      <c r="R17" s="56"/>
      <c r="S17" s="57" t="s">
        <v>64</v>
      </c>
      <c r="T17" s="115">
        <f>COUNTIFS(TablaAbril[TIPO DISCAPACIDAD], S17)</f>
      </c>
      <c r="U17" s="61"/>
      <c r="V17" s="60"/>
      <c r="W17" s="178" t="s">
        <v>65</v>
      </c>
      <c r="X17" s="178"/>
      <c r="Y17" s="178"/>
      <c r="Z17" s="147">
        <f>COUNTIFS(TablaAbril[ORI. SEXUAL], W17)</f>
      </c>
      <c r="AA17" s="148"/>
      <c r="AB17" s="13"/>
      <c r="AC17" s="13"/>
      <c r="AD17" s="164" t="s">
        <v>66</v>
      </c>
      <c r="AE17" s="164"/>
      <c r="AF17" s="164"/>
      <c r="AG17" s="165">
        <f>COUNTIFS(TablaAbril[[ETNIA ]], AD17)</f>
      </c>
      <c r="AH17" s="165"/>
      <c r="AI17" s="56"/>
      <c r="AJ17" s="56"/>
      <c r="AK17" s="56"/>
      <c r="AL17" s="56"/>
      <c r="AM17" s="56"/>
      <c r="AN17" s="149"/>
      <c r="AO17" s="150"/>
      <c r="AP17" s="150"/>
      <c r="AQ17" s="33"/>
      <c r="AV17" s="151"/>
      <c r="AW17" s="152"/>
      <c r="AX17" s="166" t="s">
        <v>67</v>
      </c>
      <c r="AY17" s="167"/>
      <c r="AZ17" s="168"/>
      <c r="BA17" s="62" t="s">
        <v>68</v>
      </c>
      <c r="BB17" s="13"/>
    </row>
    <row r="18" spans="1:54" ht="19.5" customHeight="1" thickBot="1" x14ac:dyDescent="0.25">
      <c r="A18" s="13"/>
      <c r="B18" s="197"/>
      <c r="C18" s="169"/>
      <c r="D18" s="170"/>
      <c r="E18" s="169"/>
      <c r="F18" s="171"/>
      <c r="G18" s="170"/>
      <c r="H18" s="169"/>
      <c r="I18" s="170"/>
      <c r="L18" s="12"/>
      <c r="M18" s="12"/>
      <c r="N18" s="12"/>
      <c r="O18" s="158" t="s">
        <v>69</v>
      </c>
      <c r="P18" s="159"/>
      <c r="Q18" s="116">
        <f>COUNTIFS(TablaAbril[EDAD], "&gt;19", TablaAbril[EDAD], "&lt;60")</f>
      </c>
      <c r="R18" s="56"/>
      <c r="S18" s="47" t="s">
        <v>70</v>
      </c>
      <c r="T18" s="115">
        <f>COUNTIFS(TablaAbril[TIPO DISCAPACIDAD], S18)</f>
      </c>
      <c r="U18" s="60"/>
      <c r="V18" s="56"/>
      <c r="W18" s="172" t="s">
        <v>71</v>
      </c>
      <c r="X18" s="173"/>
      <c r="Y18" s="174"/>
      <c r="Z18" s="147">
        <f>COUNTIFS(TablaAbril[ORI. SEXUAL], W18)</f>
      </c>
      <c r="AA18" s="148"/>
      <c r="AB18" s="13"/>
      <c r="AC18" s="13"/>
      <c r="AD18" s="13"/>
      <c r="AE18" s="13"/>
      <c r="AF18" s="13"/>
      <c r="AG18" s="13"/>
      <c r="AH18" s="60"/>
      <c r="AI18" s="56"/>
      <c r="AJ18" s="56"/>
      <c r="AK18" s="56"/>
      <c r="AL18" s="56"/>
      <c r="AM18" s="56"/>
      <c r="AN18" s="149"/>
      <c r="AO18" s="150"/>
      <c r="AP18" s="150"/>
      <c r="AQ18" s="33"/>
      <c r="AV18" s="151"/>
      <c r="AW18" s="152"/>
      <c r="AX18" s="153" t="s">
        <v>72</v>
      </c>
      <c r="AY18" s="154"/>
      <c r="AZ18" s="155"/>
      <c r="BA18" s="63" t="s">
        <v>73</v>
      </c>
      <c r="BB18" s="13"/>
    </row>
    <row r="19" spans="1:54" ht="19.5" customHeight="1" thickBot="1" x14ac:dyDescent="0.25">
      <c r="A19" s="13"/>
      <c r="B19" s="64"/>
      <c r="C19" s="43"/>
      <c r="D19" s="43"/>
      <c r="E19" s="43"/>
      <c r="F19" s="65"/>
      <c r="G19" s="66"/>
      <c r="H19" s="66"/>
      <c r="I19" s="66"/>
      <c r="J19" s="66"/>
      <c r="K19" s="156" t="s">
        <v>74</v>
      </c>
      <c r="L19" s="157"/>
      <c r="M19" s="12"/>
      <c r="N19" s="12"/>
      <c r="O19" s="158" t="s">
        <v>75</v>
      </c>
      <c r="P19" s="159"/>
      <c r="Q19" s="116">
        <f>COUNTIFS(TablaAbril[EDAD], "&gt;59")</f>
      </c>
      <c r="R19" s="56"/>
      <c r="U19" s="60"/>
      <c r="V19" s="56"/>
      <c r="W19" s="160" t="s">
        <v>66</v>
      </c>
      <c r="X19" s="160"/>
      <c r="Y19" s="160"/>
      <c r="Z19" s="147">
        <f>COUNTIFS(TablaAbril[ORI. SEXUAL], W19)</f>
      </c>
      <c r="AA19" s="148"/>
      <c r="AB19" s="13"/>
      <c r="AC19" s="13"/>
      <c r="AD19" s="13"/>
      <c r="AE19" s="13"/>
      <c r="AF19" s="13"/>
      <c r="AG19" s="13"/>
      <c r="AH19" s="67"/>
      <c r="AI19" s="68"/>
      <c r="AJ19" s="68" t="s">
        <v>76</v>
      </c>
      <c r="AK19" s="68"/>
      <c r="AL19" s="68"/>
      <c r="AM19" s="68"/>
      <c r="AN19" s="68"/>
      <c r="AO19" s="68"/>
      <c r="AP19" s="68"/>
      <c r="AQ19" s="33"/>
      <c r="AV19" s="151"/>
      <c r="AW19" s="152"/>
      <c r="AX19" s="161" t="s">
        <v>77</v>
      </c>
      <c r="AY19" s="162"/>
      <c r="AZ19" s="163"/>
      <c r="BA19" s="69" t="s">
        <v>78</v>
      </c>
      <c r="BB19" s="13"/>
    </row>
    <row r="20" spans="1:54" ht="20.25" customHeight="1" thickBot="1" x14ac:dyDescent="0.25">
      <c r="A20" s="13"/>
      <c r="B20" s="33"/>
      <c r="C20" s="33"/>
      <c r="D20" s="33"/>
      <c r="E20" s="33"/>
      <c r="F20" s="65"/>
      <c r="G20" s="66"/>
      <c r="H20" s="66"/>
      <c r="I20" s="66"/>
      <c r="J20" s="66"/>
      <c r="K20" s="70" t="s">
        <v>79</v>
      </c>
      <c r="L20" s="117">
        <f>COUNTIF(TablaAbril[VICTIMA CONF. ARMADO], K20)</f>
      </c>
      <c r="M20" s="12"/>
      <c r="N20" s="12"/>
      <c r="O20" s="12"/>
      <c r="P20" s="12"/>
      <c r="Q20" s="12"/>
      <c r="R20" s="12"/>
      <c r="S20" s="12"/>
      <c r="T20" s="3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68"/>
      <c r="AI20" s="68"/>
      <c r="AJ20" s="68"/>
      <c r="AK20" s="68"/>
      <c r="AL20" s="68"/>
      <c r="AM20" s="68"/>
      <c r="AN20" s="68"/>
      <c r="AO20" s="68"/>
      <c r="AP20" s="68"/>
      <c r="AQ20" s="33"/>
      <c r="AR20" s="33"/>
      <c r="AS20" s="33"/>
      <c r="AT20" s="33"/>
      <c r="AU20" s="33"/>
      <c r="AV20" s="33"/>
      <c r="AW20" s="33"/>
      <c r="AX20" s="33"/>
      <c r="AY20" s="33"/>
      <c r="AZ20" s="13"/>
      <c r="BA20" s="13"/>
      <c r="BB20" s="13"/>
    </row>
    <row r="21" spans="1:54" ht="18.75" customHeight="1" thickBot="1" x14ac:dyDescent="0.25">
      <c r="A21" s="13"/>
      <c r="B21" s="13"/>
      <c r="C21" s="33"/>
      <c r="D21" s="33"/>
      <c r="E21" s="33"/>
      <c r="F21" s="33"/>
      <c r="G21" s="33"/>
      <c r="H21" s="33"/>
      <c r="I21" s="33"/>
      <c r="J21" s="33"/>
      <c r="K21" s="71" t="s">
        <v>80</v>
      </c>
      <c r="L21" s="117">
        <f>COUNTIF(TablaAbril[VICTIMA CONF. ARMADO], K21)</f>
      </c>
      <c r="M21" s="12"/>
      <c r="N21" s="12"/>
      <c r="O21" s="12"/>
      <c r="P21" s="12"/>
      <c r="Q21" s="12"/>
      <c r="R21" s="12"/>
      <c r="S21" s="12"/>
      <c r="T21" s="33"/>
      <c r="U21" s="135" t="s">
        <v>136</v>
      </c>
      <c r="V21" s="136"/>
      <c r="W21" s="136"/>
      <c r="X21" s="136"/>
      <c r="Y21" s="136"/>
      <c r="Z21" s="136"/>
      <c r="AA21" s="136"/>
      <c r="AB21" s="136"/>
      <c r="AC21" s="136"/>
      <c r="AD21" s="136"/>
      <c r="AE21" s="136"/>
      <c r="AF21" s="136"/>
      <c r="AG21" s="136"/>
      <c r="AH21" s="136"/>
      <c r="AI21" s="136"/>
      <c r="AJ21" s="136"/>
      <c r="AK21" s="136"/>
      <c r="AL21" s="136"/>
      <c r="AM21" s="136"/>
      <c r="AN21" s="136"/>
      <c r="AO21" s="136"/>
      <c r="AP21" s="136"/>
      <c r="AQ21" s="136"/>
      <c r="AR21" s="136"/>
      <c r="AS21" s="136"/>
      <c r="AT21" s="136"/>
      <c r="AU21" s="136"/>
      <c r="AV21" s="136"/>
      <c r="AW21" s="136"/>
      <c r="AX21" s="136"/>
      <c r="AY21" s="137"/>
      <c r="AZ21" s="141" t="s">
        <v>81</v>
      </c>
      <c r="BA21" s="142"/>
      <c r="BB21" s="143"/>
    </row>
    <row r="22" spans="1:54" ht="15" customHeight="1" thickBot="1" x14ac:dyDescent="0.25">
      <c r="A22" s="13"/>
      <c r="B22" s="13"/>
      <c r="C22" s="33"/>
      <c r="D22" s="33"/>
      <c r="E22" s="33"/>
      <c r="F22" s="33"/>
      <c r="G22" s="33"/>
      <c r="H22" s="33"/>
      <c r="I22" s="33"/>
      <c r="J22" s="33"/>
      <c r="K22" s="33"/>
      <c r="L22" s="72"/>
      <c r="M22" s="72"/>
      <c r="N22" s="72"/>
      <c r="O22" s="72"/>
      <c r="P22" s="72"/>
      <c r="Q22" s="12"/>
      <c r="R22" s="12"/>
      <c r="S22" s="12"/>
      <c r="T22" s="73"/>
      <c r="U22" s="138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  <c r="AF22" s="139"/>
      <c r="AG22" s="139"/>
      <c r="AH22" s="139"/>
      <c r="AI22" s="139"/>
      <c r="AJ22" s="139"/>
      <c r="AK22" s="139"/>
      <c r="AL22" s="139"/>
      <c r="AM22" s="139"/>
      <c r="AN22" s="139"/>
      <c r="AO22" s="139"/>
      <c r="AP22" s="139"/>
      <c r="AQ22" s="139"/>
      <c r="AR22" s="139"/>
      <c r="AS22" s="139"/>
      <c r="AT22" s="139"/>
      <c r="AU22" s="139"/>
      <c r="AV22" s="139"/>
      <c r="AW22" s="139"/>
      <c r="AX22" s="139"/>
      <c r="AY22" s="140"/>
      <c r="AZ22" s="144"/>
      <c r="BA22" s="145"/>
      <c r="BB22" s="146"/>
    </row>
    <row r="23" spans="1:54" ht="42" customHeight="1" x14ac:dyDescent="0.2">
      <c r="A23" s="74" t="s">
        <v>82</v>
      </c>
      <c r="B23" s="108" t="s">
        <v>83</v>
      </c>
      <c r="C23" s="108" t="s">
        <v>84</v>
      </c>
      <c r="D23" s="108" t="s">
        <v>85</v>
      </c>
      <c r="E23" s="108" t="s">
        <v>86</v>
      </c>
      <c r="F23" s="109" t="s">
        <v>87</v>
      </c>
      <c r="G23" s="110" t="s">
        <v>88</v>
      </c>
      <c r="H23" s="109" t="s">
        <v>89</v>
      </c>
      <c r="I23" s="111" t="s">
        <v>90</v>
      </c>
      <c r="J23" s="112" t="s">
        <v>91</v>
      </c>
      <c r="K23" s="75" t="s">
        <v>92</v>
      </c>
      <c r="L23" s="76" t="s">
        <v>93</v>
      </c>
      <c r="M23" s="77" t="s">
        <v>94</v>
      </c>
      <c r="N23" s="78" t="s">
        <v>95</v>
      </c>
      <c r="O23" s="79" t="s">
        <v>96</v>
      </c>
      <c r="P23" s="113" t="s">
        <v>97</v>
      </c>
      <c r="Q23" s="80" t="s">
        <v>98</v>
      </c>
      <c r="R23" s="80" t="s">
        <v>99</v>
      </c>
      <c r="S23" s="80" t="s">
        <v>100</v>
      </c>
      <c r="T23" s="81" t="s">
        <v>101</v>
      </c>
      <c r="U23" s="28" t="s">
        <v>102</v>
      </c>
      <c r="V23" s="28" t="s">
        <v>103</v>
      </c>
      <c r="W23" s="27" t="s">
        <v>104</v>
      </c>
      <c r="X23" s="122" t="s">
        <v>105</v>
      </c>
      <c r="Y23" s="26" t="s">
        <v>106</v>
      </c>
      <c r="Z23" s="26" t="s">
        <v>107</v>
      </c>
      <c r="AA23" s="28" t="s">
        <v>108</v>
      </c>
      <c r="AB23" s="28" t="s">
        <v>109</v>
      </c>
      <c r="AC23" s="28" t="s">
        <v>110</v>
      </c>
      <c r="AD23" s="26" t="s">
        <v>111</v>
      </c>
      <c r="AE23" s="122" t="s">
        <v>112</v>
      </c>
      <c r="AF23" s="26" t="s">
        <v>113</v>
      </c>
      <c r="AG23" s="122" t="s">
        <v>114</v>
      </c>
      <c r="AH23" s="26" t="s">
        <v>115</v>
      </c>
      <c r="AI23" s="28" t="s">
        <v>116</v>
      </c>
      <c r="AJ23" s="28" t="s">
        <v>117</v>
      </c>
      <c r="AK23" s="28" t="s">
        <v>118</v>
      </c>
      <c r="AL23" s="122" t="s">
        <v>119</v>
      </c>
      <c r="AM23" s="26" t="s">
        <v>120</v>
      </c>
      <c r="AN23" s="122" t="s">
        <v>121</v>
      </c>
      <c r="AO23" s="122" t="s">
        <v>122</v>
      </c>
      <c r="AP23" s="28" t="s">
        <v>123</v>
      </c>
      <c r="AQ23" s="125" t="s">
        <v>124</v>
      </c>
      <c r="AR23" s="29" t="s">
        <v>125</v>
      </c>
      <c r="AS23" s="123" t="s">
        <v>126</v>
      </c>
      <c r="AT23" s="26" t="s">
        <v>127</v>
      </c>
      <c r="AU23" s="122" t="s">
        <v>128</v>
      </c>
      <c r="AV23" s="122" t="s">
        <v>129</v>
      </c>
      <c r="AW23" s="28" t="s">
        <v>130</v>
      </c>
      <c r="AX23" s="124" t="s">
        <v>131</v>
      </c>
      <c r="AY23" s="122" t="s">
        <v>132</v>
      </c>
      <c r="AZ23" s="82" t="s">
        <v>68</v>
      </c>
      <c r="BA23" s="82" t="s">
        <v>73</v>
      </c>
      <c r="BB23" s="83" t="s">
        <v>78</v>
      </c>
    </row>
    <row r="24" spans="1:54" ht="15.75" customHeight="1" x14ac:dyDescent="0.2">
      <c r="A24" s="84"/>
      <c r="B24" s="85"/>
      <c r="C24" s="85"/>
      <c r="D24" s="85"/>
      <c r="E24" s="86"/>
      <c r="F24" s="16">
        <f>IF(E24="","",DATEDIF(E24,$I$7,"Y"))</f>
      </c>
      <c r="G24" s="85"/>
      <c r="H24" s="85"/>
      <c r="I24" s="87"/>
      <c r="J24" s="85"/>
      <c r="K24" s="85"/>
      <c r="L24" s="2"/>
      <c r="M24" s="2"/>
      <c r="N24" s="2"/>
      <c r="O24" s="2"/>
      <c r="P24" s="85"/>
      <c r="Q24" s="88"/>
      <c r="R24" s="3">
        <f>IFERROR(VLOOKUP(TablaAbril[[#This Row],[BARRIO]],SECTOR!$A:$B,2,0),"")</f>
      </c>
      <c r="S24" s="89"/>
      <c r="T24" s="90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17">
        <f>COUNTIF(U24:AY24,"A")</f>
      </c>
      <c r="BA24" s="17">
        <f>COUNTIF(U24:AY24,"F")</f>
      </c>
      <c r="BB24" s="17">
        <f>COUNTIF(U24:AY24,"E")</f>
      </c>
    </row>
    <row r="25" spans="1:54" ht="15.75" customHeight="1" x14ac:dyDescent="0.2">
      <c r="A25" s="84"/>
      <c r="B25" s="85"/>
      <c r="C25" s="85"/>
      <c r="D25" s="85"/>
      <c r="E25" s="86"/>
      <c r="F25" s="16">
        <f>IF(E25="","",DATEDIF(E25,$I$7,"Y"))</f>
      </c>
      <c r="G25" s="85"/>
      <c r="H25" s="85"/>
      <c r="I25" s="87"/>
      <c r="J25" s="85"/>
      <c r="K25" s="85"/>
      <c r="L25" s="2"/>
      <c r="M25" s="2"/>
      <c r="N25" s="1"/>
      <c r="O25" s="1"/>
      <c r="P25" s="85"/>
      <c r="Q25" s="88"/>
      <c r="R25" s="3">
        <f>IFERROR(VLOOKUP(TablaAbril[[#This Row],[BARRIO]],SECTOR!$A:$B,2,0),"")</f>
      </c>
      <c r="S25" s="89"/>
      <c r="T25" s="90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17">
        <f>COUNTIF(U25:AY25,"A")</f>
      </c>
      <c r="BA25" s="17">
        <f>COUNTIF(U25:AY25,"F")</f>
      </c>
      <c r="BB25" s="17">
        <f>COUNTIF(U25:AY25,"E")</f>
      </c>
    </row>
    <row r="26" spans="1:54" ht="15.75" customHeight="1" x14ac:dyDescent="0.2">
      <c r="A26" s="84"/>
      <c r="B26" s="85"/>
      <c r="C26" s="85"/>
      <c r="D26" s="85"/>
      <c r="E26" s="86"/>
      <c r="F26" s="16">
        <f>IF(E26="","",DATEDIF(E26,$I$7,"Y"))</f>
      </c>
      <c r="G26" s="85"/>
      <c r="H26" s="85"/>
      <c r="I26" s="87"/>
      <c r="J26" s="85"/>
      <c r="K26" s="85"/>
      <c r="L26" s="2"/>
      <c r="M26" s="2"/>
      <c r="N26" s="1"/>
      <c r="O26" s="1"/>
      <c r="P26" s="85"/>
      <c r="Q26" s="88"/>
      <c r="R26" s="3">
        <f>IFERROR(VLOOKUP(TablaAbril[[#This Row],[BARRIO]],SECTOR!$A:$B,2,0),"")</f>
      </c>
      <c r="S26" s="89"/>
      <c r="T26" s="90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17">
        <f>COUNTIF(U26:AY26,"A")</f>
      </c>
      <c r="BA26" s="17">
        <f>COUNTIF(U26:AY26,"F")</f>
      </c>
      <c r="BB26" s="17">
        <f>COUNTIF(U26:AY26,"E")</f>
      </c>
    </row>
    <row r="27" spans="1:54" ht="15.75" customHeight="1" x14ac:dyDescent="0.2">
      <c r="A27" s="84"/>
      <c r="B27" s="85"/>
      <c r="C27" s="85"/>
      <c r="D27" s="85"/>
      <c r="E27" s="86"/>
      <c r="F27" s="16">
        <f>IF(E27="","",DATEDIF(E27,$I$7,"Y"))</f>
      </c>
      <c r="G27" s="85"/>
      <c r="H27" s="85"/>
      <c r="I27" s="87"/>
      <c r="J27" s="85"/>
      <c r="K27" s="85"/>
      <c r="L27" s="2"/>
      <c r="M27" s="2"/>
      <c r="N27" s="1"/>
      <c r="O27" s="1"/>
      <c r="P27" s="85"/>
      <c r="Q27" s="88"/>
      <c r="R27" s="3">
        <f>IFERROR(VLOOKUP(TablaAbril[[#This Row],[BARRIO]],SECTOR!$A:$B,2,0),"")</f>
      </c>
      <c r="S27" s="89"/>
      <c r="T27" s="90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17">
        <f>COUNTIF(U27:AY27,"A")</f>
      </c>
      <c r="BA27" s="17">
        <f>COUNTIF(U27:AY27,"F")</f>
      </c>
      <c r="BB27" s="17">
        <f>COUNTIF(U27:AY27,"E")</f>
      </c>
    </row>
    <row r="28" spans="1:54" ht="15.75" customHeight="1" x14ac:dyDescent="0.2">
      <c r="A28" s="84"/>
      <c r="B28" s="85"/>
      <c r="C28" s="85"/>
      <c r="D28" s="85"/>
      <c r="E28" s="86"/>
      <c r="F28" s="16">
        <f>IF(E28="","",DATEDIF(E28,$I$7,"Y"))</f>
      </c>
      <c r="G28" s="85"/>
      <c r="H28" s="85"/>
      <c r="I28" s="87"/>
      <c r="J28" s="85"/>
      <c r="K28" s="85"/>
      <c r="L28" s="2"/>
      <c r="M28" s="2"/>
      <c r="N28" s="1"/>
      <c r="O28" s="1"/>
      <c r="P28" s="85"/>
      <c r="Q28" s="88"/>
      <c r="R28" s="3">
        <f>IFERROR(VLOOKUP(TablaAbril[[#This Row],[BARRIO]],SECTOR!$A:$B,2,0),"")</f>
      </c>
      <c r="S28" s="89"/>
      <c r="T28" s="90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17">
        <f>COUNTIF(U28:AY28,"A")</f>
      </c>
      <c r="BA28" s="17">
        <f>COUNTIF(U28:AY28,"F")</f>
      </c>
      <c r="BB28" s="17">
        <f>COUNTIF(U28:AY28,"E")</f>
      </c>
    </row>
    <row r="29" spans="1:54" ht="15.75" customHeight="1" x14ac:dyDescent="0.2">
      <c r="A29" s="84"/>
      <c r="B29" s="85"/>
      <c r="C29" s="85"/>
      <c r="D29" s="85"/>
      <c r="E29" s="86"/>
      <c r="F29" s="16">
        <f>IF(E29="","",DATEDIF(E29,$I$7,"Y"))</f>
      </c>
      <c r="G29" s="85"/>
      <c r="H29" s="85"/>
      <c r="I29" s="87"/>
      <c r="J29" s="85"/>
      <c r="K29" s="85"/>
      <c r="L29" s="2"/>
      <c r="M29" s="2"/>
      <c r="N29" s="1"/>
      <c r="O29" s="1"/>
      <c r="P29" s="85"/>
      <c r="Q29" s="88"/>
      <c r="R29" s="3">
        <f>IFERROR(VLOOKUP(TablaAbril[[#This Row],[BARRIO]],SECTOR!$A:$B,2,0),"")</f>
      </c>
      <c r="S29" s="89"/>
      <c r="T29" s="90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17">
        <f>COUNTIF(U29:AY29,"A")</f>
      </c>
      <c r="BA29" s="17">
        <f>COUNTIF(U29:AY29,"F")</f>
      </c>
      <c r="BB29" s="17">
        <f>COUNTIF(U29:AY29,"E")</f>
      </c>
    </row>
    <row r="30" spans="1:54" ht="15.75" customHeight="1" x14ac:dyDescent="0.2">
      <c r="A30" s="84"/>
      <c r="B30" s="85"/>
      <c r="C30" s="85"/>
      <c r="D30" s="85"/>
      <c r="E30" s="86"/>
      <c r="F30" s="16">
        <f>IF(E30="","",DATEDIF(E30,$I$7,"Y"))</f>
      </c>
      <c r="G30" s="85"/>
      <c r="H30" s="85"/>
      <c r="I30" s="87"/>
      <c r="J30" s="85"/>
      <c r="K30" s="85"/>
      <c r="L30" s="2"/>
      <c r="M30" s="2"/>
      <c r="N30" s="1"/>
      <c r="O30" s="1"/>
      <c r="P30" s="85"/>
      <c r="Q30" s="88"/>
      <c r="R30" s="3">
        <f>IFERROR(VLOOKUP(TablaAbril[[#This Row],[BARRIO]],SECTOR!$A:$B,2,0),"")</f>
      </c>
      <c r="S30" s="89"/>
      <c r="T30" s="90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17">
        <f>COUNTIF(U30:AY30,"A")</f>
      </c>
      <c r="BA30" s="17">
        <f>COUNTIF(U30:AY30,"F")</f>
      </c>
      <c r="BB30" s="17">
        <f>COUNTIF(U30:AY30,"E")</f>
      </c>
    </row>
    <row r="31" spans="1:54" ht="15.75" customHeight="1" x14ac:dyDescent="0.2">
      <c r="A31" s="84"/>
      <c r="B31" s="85"/>
      <c r="C31" s="85"/>
      <c r="D31" s="85"/>
      <c r="E31" s="86"/>
      <c r="F31" s="16">
        <f>IF(E31="","",DATEDIF(E31,$I$7,"Y"))</f>
      </c>
      <c r="G31" s="85"/>
      <c r="H31" s="85"/>
      <c r="I31" s="87"/>
      <c r="J31" s="85"/>
      <c r="K31" s="85"/>
      <c r="L31" s="2"/>
      <c r="M31" s="2"/>
      <c r="N31" s="1"/>
      <c r="O31" s="1"/>
      <c r="P31" s="85"/>
      <c r="Q31" s="88"/>
      <c r="R31" s="3">
        <f>IFERROR(VLOOKUP(TablaAbril[[#This Row],[BARRIO]],SECTOR!$A:$B,2,0),"")</f>
      </c>
      <c r="S31" s="89"/>
      <c r="T31" s="90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17">
        <f>COUNTIF(U31:AY31,"A")</f>
      </c>
      <c r="BA31" s="17">
        <f>COUNTIF(U31:AY31,"F")</f>
      </c>
      <c r="BB31" s="17">
        <f>COUNTIF(U31:AY31,"E")</f>
      </c>
    </row>
    <row r="32" spans="1:54" ht="15.75" customHeight="1" x14ac:dyDescent="0.2">
      <c r="A32" s="84"/>
      <c r="B32" s="85"/>
      <c r="C32" s="85"/>
      <c r="D32" s="85"/>
      <c r="E32" s="86"/>
      <c r="F32" s="16">
        <f>IF(E32="","",DATEDIF(E32,$I$7,"Y"))</f>
      </c>
      <c r="G32" s="85"/>
      <c r="H32" s="85"/>
      <c r="I32" s="87"/>
      <c r="J32" s="85"/>
      <c r="K32" s="85"/>
      <c r="L32" s="2"/>
      <c r="M32" s="2"/>
      <c r="N32" s="1"/>
      <c r="O32" s="1"/>
      <c r="P32" s="85"/>
      <c r="Q32" s="88"/>
      <c r="R32" s="3">
        <f>IFERROR(VLOOKUP(TablaAbril[[#This Row],[BARRIO]],SECTOR!$A:$B,2,0),"")</f>
      </c>
      <c r="S32" s="89"/>
      <c r="T32" s="90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17">
        <f>COUNTIF(U32:AY32,"A")</f>
      </c>
      <c r="BA32" s="17">
        <f>COUNTIF(U32:AY32,"F")</f>
      </c>
      <c r="BB32" s="17">
        <f>COUNTIF(U32:AY32,"E")</f>
      </c>
    </row>
    <row r="33" spans="1:54" ht="15.75" customHeight="1" x14ac:dyDescent="0.2">
      <c r="A33" s="84"/>
      <c r="B33" s="85"/>
      <c r="C33" s="85"/>
      <c r="D33" s="85"/>
      <c r="E33" s="86"/>
      <c r="F33" s="16">
        <f>IF(E33="","",DATEDIF(E33,$I$7,"Y"))</f>
      </c>
      <c r="G33" s="85"/>
      <c r="H33" s="85"/>
      <c r="I33" s="87"/>
      <c r="J33" s="85"/>
      <c r="K33" s="85"/>
      <c r="L33" s="2"/>
      <c r="M33" s="2"/>
      <c r="N33" s="1"/>
      <c r="O33" s="1"/>
      <c r="P33" s="85"/>
      <c r="Q33" s="88"/>
      <c r="R33" s="3">
        <f>IFERROR(VLOOKUP(TablaAbril[[#This Row],[BARRIO]],SECTOR!$A:$B,2,0),"")</f>
      </c>
      <c r="S33" s="89"/>
      <c r="T33" s="90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17">
        <f>COUNTIF(U33:AY33,"A")</f>
      </c>
      <c r="BA33" s="17">
        <f>COUNTIF(U33:AY33,"F")</f>
      </c>
      <c r="BB33" s="17">
        <f>COUNTIF(U33:AY33,"E")</f>
      </c>
    </row>
    <row r="34" spans="1:54" ht="15.75" customHeight="1" x14ac:dyDescent="0.2">
      <c r="A34" s="84"/>
      <c r="B34" s="85"/>
      <c r="C34" s="85"/>
      <c r="D34" s="85"/>
      <c r="E34" s="86"/>
      <c r="F34" s="16">
        <f>IF(E34="","",DATEDIF(E34,$I$7,"Y"))</f>
      </c>
      <c r="G34" s="85"/>
      <c r="H34" s="85"/>
      <c r="I34" s="87"/>
      <c r="J34" s="85"/>
      <c r="K34" s="85"/>
      <c r="L34" s="2"/>
      <c r="M34" s="2"/>
      <c r="N34" s="1"/>
      <c r="O34" s="1"/>
      <c r="P34" s="85"/>
      <c r="Q34" s="88"/>
      <c r="R34" s="3">
        <f>IFERROR(VLOOKUP(TablaAbril[[#This Row],[BARRIO]],SECTOR!$A:$B,2,0),"")</f>
      </c>
      <c r="S34" s="89"/>
      <c r="T34" s="90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17">
        <f>COUNTIF(U34:AY34,"A")</f>
      </c>
      <c r="BA34" s="17">
        <f>COUNTIF(U34:AY34,"F")</f>
      </c>
      <c r="BB34" s="17">
        <f>COUNTIF(U34:AY34,"E")</f>
      </c>
    </row>
    <row r="35" spans="1:54" ht="15.75" customHeight="1" x14ac:dyDescent="0.2">
      <c r="A35" s="84"/>
      <c r="B35" s="85"/>
      <c r="C35" s="85"/>
      <c r="D35" s="85"/>
      <c r="E35" s="86"/>
      <c r="F35" s="16">
        <f>IF(E35="","",DATEDIF(E35,$I$7,"Y"))</f>
      </c>
      <c r="G35" s="85"/>
      <c r="H35" s="85"/>
      <c r="I35" s="87"/>
      <c r="J35" s="85"/>
      <c r="K35" s="85"/>
      <c r="L35" s="2"/>
      <c r="M35" s="2"/>
      <c r="N35" s="1"/>
      <c r="O35" s="1"/>
      <c r="P35" s="85"/>
      <c r="Q35" s="88"/>
      <c r="R35" s="3">
        <f>IFERROR(VLOOKUP(TablaAbril[[#This Row],[BARRIO]],SECTOR!$A:$B,2,0),"")</f>
      </c>
      <c r="S35" s="89"/>
      <c r="T35" s="90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17">
        <f>COUNTIF(U35:AY35,"A")</f>
      </c>
      <c r="BA35" s="17">
        <f>COUNTIF(U35:AY35,"F")</f>
      </c>
      <c r="BB35" s="17">
        <f>COUNTIF(U35:AY35,"E")</f>
      </c>
    </row>
    <row r="36" spans="1:54" ht="15.75" customHeight="1" x14ac:dyDescent="0.2">
      <c r="A36" s="84"/>
      <c r="B36" s="85"/>
      <c r="C36" s="85"/>
      <c r="D36" s="85"/>
      <c r="E36" s="86"/>
      <c r="F36" s="16">
        <f>IF(E36="","",DATEDIF(E36,$I$7,"Y"))</f>
      </c>
      <c r="G36" s="85"/>
      <c r="H36" s="85"/>
      <c r="I36" s="87"/>
      <c r="J36" s="85"/>
      <c r="K36" s="85"/>
      <c r="L36" s="2"/>
      <c r="M36" s="2"/>
      <c r="N36" s="1"/>
      <c r="O36" s="1"/>
      <c r="P36" s="85"/>
      <c r="Q36" s="88"/>
      <c r="R36" s="3">
        <f>IFERROR(VLOOKUP(TablaAbril[[#This Row],[BARRIO]],SECTOR!$A:$B,2,0),"")</f>
      </c>
      <c r="S36" s="89"/>
      <c r="T36" s="90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17">
        <f>COUNTIF(U36:AY36,"A")</f>
      </c>
      <c r="BA36" s="17">
        <f>COUNTIF(U36:AY36,"F")</f>
      </c>
      <c r="BB36" s="17">
        <f>COUNTIF(U36:AY36,"E")</f>
      </c>
    </row>
    <row r="37" spans="1:54" ht="15.75" customHeight="1" x14ac:dyDescent="0.2">
      <c r="A37" s="84"/>
      <c r="B37" s="85"/>
      <c r="C37" s="85"/>
      <c r="D37" s="85"/>
      <c r="E37" s="86"/>
      <c r="F37" s="16">
        <f>IF(E37="","",DATEDIF(E37,$I$7,"Y"))</f>
      </c>
      <c r="G37" s="85"/>
      <c r="H37" s="85"/>
      <c r="I37" s="87"/>
      <c r="J37" s="85"/>
      <c r="K37" s="85"/>
      <c r="L37" s="2"/>
      <c r="M37" s="2"/>
      <c r="N37" s="1"/>
      <c r="O37" s="1"/>
      <c r="P37" s="85"/>
      <c r="Q37" s="88"/>
      <c r="R37" s="3">
        <f>IFERROR(VLOOKUP(TablaAbril[[#This Row],[BARRIO]],SECTOR!$A:$B,2,0),"")</f>
      </c>
      <c r="S37" s="89"/>
      <c r="T37" s="90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17">
        <f>COUNTIF(U37:AY37,"A")</f>
      </c>
      <c r="BA37" s="17">
        <f>COUNTIF(U37:AY37,"F")</f>
      </c>
      <c r="BB37" s="17">
        <f>COUNTIF(U37:AY37,"E")</f>
      </c>
    </row>
    <row r="38" spans="1:54" ht="15.75" customHeight="1" x14ac:dyDescent="0.2">
      <c r="A38" s="84"/>
      <c r="B38" s="85"/>
      <c r="C38" s="85"/>
      <c r="D38" s="85"/>
      <c r="E38" s="86"/>
      <c r="F38" s="16">
        <f>IF(E38="","",DATEDIF(E38,$I$7,"Y"))</f>
      </c>
      <c r="G38" s="85"/>
      <c r="H38" s="85"/>
      <c r="I38" s="87"/>
      <c r="J38" s="85"/>
      <c r="K38" s="85"/>
      <c r="L38" s="2"/>
      <c r="M38" s="2"/>
      <c r="N38" s="1"/>
      <c r="O38" s="1"/>
      <c r="P38" s="85"/>
      <c r="Q38" s="88"/>
      <c r="R38" s="3">
        <f>IFERROR(VLOOKUP(TablaAbril[[#This Row],[BARRIO]],SECTOR!$A:$B,2,0),"")</f>
      </c>
      <c r="S38" s="89"/>
      <c r="T38" s="90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17">
        <f>COUNTIF(U38:AY38,"A")</f>
      </c>
      <c r="BA38" s="17">
        <f>COUNTIF(U38:AY38,"F")</f>
      </c>
      <c r="BB38" s="17">
        <f>COUNTIF(U38:AY38,"E")</f>
      </c>
    </row>
    <row r="39" spans="1:54" ht="15.75" customHeight="1" x14ac:dyDescent="0.2">
      <c r="A39" s="84"/>
      <c r="B39" s="85"/>
      <c r="C39" s="85"/>
      <c r="D39" s="85"/>
      <c r="E39" s="86"/>
      <c r="F39" s="16">
        <f>IF(E39="","",DATEDIF(E39,$I$7,"Y"))</f>
      </c>
      <c r="G39" s="85"/>
      <c r="H39" s="85"/>
      <c r="I39" s="87"/>
      <c r="J39" s="85"/>
      <c r="K39" s="85"/>
      <c r="L39" s="2"/>
      <c r="M39" s="2"/>
      <c r="N39" s="1"/>
      <c r="O39" s="1"/>
      <c r="P39" s="85"/>
      <c r="Q39" s="88"/>
      <c r="R39" s="3">
        <f>IFERROR(VLOOKUP(TablaAbril[[#This Row],[BARRIO]],SECTOR!$A:$B,2,0),"")</f>
      </c>
      <c r="S39" s="89"/>
      <c r="T39" s="90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17">
        <f>COUNTIF(U39:AY39,"A")</f>
      </c>
      <c r="BA39" s="17">
        <f>COUNTIF(U39:AY39,"F")</f>
      </c>
      <c r="BB39" s="17">
        <f>COUNTIF(U39:AY39,"E")</f>
      </c>
    </row>
    <row r="40" spans="1:54" ht="15.75" customHeight="1" x14ac:dyDescent="0.2">
      <c r="A40" s="84"/>
      <c r="B40" s="85"/>
      <c r="C40" s="85"/>
      <c r="D40" s="85"/>
      <c r="E40" s="86"/>
      <c r="F40" s="16">
        <f>IF(E40="","",DATEDIF(E40,$I$7,"Y"))</f>
      </c>
      <c r="G40" s="85"/>
      <c r="H40" s="85"/>
      <c r="I40" s="87"/>
      <c r="J40" s="85"/>
      <c r="K40" s="85"/>
      <c r="L40" s="2"/>
      <c r="M40" s="2"/>
      <c r="N40" s="1"/>
      <c r="O40" s="1"/>
      <c r="P40" s="85"/>
      <c r="Q40" s="88"/>
      <c r="R40" s="3">
        <f>IFERROR(VLOOKUP(TablaAbril[[#This Row],[BARRIO]],SECTOR!$A:$B,2,0),"")</f>
      </c>
      <c r="S40" s="89"/>
      <c r="T40" s="90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17">
        <f>COUNTIF(U40:AY40,"A")</f>
      </c>
      <c r="BA40" s="17">
        <f>COUNTIF(U40:AY40,"F")</f>
      </c>
      <c r="BB40" s="17">
        <f>COUNTIF(U40:AY40,"E")</f>
      </c>
    </row>
    <row r="41" spans="1:54" ht="15.75" customHeight="1" x14ac:dyDescent="0.2">
      <c r="A41" s="84"/>
      <c r="B41" s="85"/>
      <c r="C41" s="85"/>
      <c r="D41" s="85"/>
      <c r="E41" s="86"/>
      <c r="F41" s="16">
        <f>IF(E41="","",DATEDIF(E41,$I$7,"Y"))</f>
      </c>
      <c r="G41" s="85"/>
      <c r="H41" s="85"/>
      <c r="I41" s="87"/>
      <c r="J41" s="85"/>
      <c r="K41" s="85"/>
      <c r="L41" s="2"/>
      <c r="M41" s="2"/>
      <c r="N41" s="1"/>
      <c r="O41" s="1"/>
      <c r="P41" s="85"/>
      <c r="Q41" s="88"/>
      <c r="R41" s="3">
        <f>IFERROR(VLOOKUP(TablaAbril[[#This Row],[BARRIO]],SECTOR!$A:$B,2,0),"")</f>
      </c>
      <c r="S41" s="89"/>
      <c r="T41" s="90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17">
        <f>COUNTIF(U41:AY41,"A")</f>
      </c>
      <c r="BA41" s="17">
        <f>COUNTIF(U41:AY41,"F")</f>
      </c>
      <c r="BB41" s="17">
        <f>COUNTIF(U41:AY41,"E")</f>
      </c>
    </row>
    <row r="42" spans="1:54" ht="15.75" customHeight="1" x14ac:dyDescent="0.2">
      <c r="A42" s="84"/>
      <c r="B42" s="85"/>
      <c r="C42" s="85"/>
      <c r="D42" s="85"/>
      <c r="E42" s="86"/>
      <c r="F42" s="16">
        <f>IF(E42="","",DATEDIF(E42,$I$7,"Y"))</f>
      </c>
      <c r="G42" s="85"/>
      <c r="H42" s="85"/>
      <c r="I42" s="87"/>
      <c r="J42" s="85"/>
      <c r="K42" s="85"/>
      <c r="L42" s="2"/>
      <c r="M42" s="2"/>
      <c r="N42" s="1"/>
      <c r="O42" s="1"/>
      <c r="P42" s="85"/>
      <c r="Q42" s="88"/>
      <c r="R42" s="3">
        <f>IFERROR(VLOOKUP(TablaAbril[[#This Row],[BARRIO]],SECTOR!$A:$B,2,0),"")</f>
      </c>
      <c r="S42" s="89"/>
      <c r="T42" s="90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17">
        <f>COUNTIF(U42:AY42,"A")</f>
      </c>
      <c r="BA42" s="17">
        <f>COUNTIF(U42:AY42,"F")</f>
      </c>
      <c r="BB42" s="17">
        <f>COUNTIF(U42:AY42,"E")</f>
      </c>
    </row>
    <row r="43" spans="1:54" ht="15.75" customHeight="1" x14ac:dyDescent="0.2">
      <c r="A43" s="84"/>
      <c r="B43" s="85"/>
      <c r="C43" s="85"/>
      <c r="D43" s="85"/>
      <c r="E43" s="86"/>
      <c r="F43" s="16">
        <f>IF(E43="","",DATEDIF(E43,$I$7,"Y"))</f>
      </c>
      <c r="G43" s="85"/>
      <c r="H43" s="85"/>
      <c r="I43" s="87"/>
      <c r="J43" s="85"/>
      <c r="K43" s="85"/>
      <c r="L43" s="2"/>
      <c r="M43" s="2"/>
      <c r="N43" s="1"/>
      <c r="O43" s="1"/>
      <c r="P43" s="85"/>
      <c r="Q43" s="88"/>
      <c r="R43" s="3">
        <f>IFERROR(VLOOKUP(TablaAbril[[#This Row],[BARRIO]],SECTOR!$A:$B,2,0),"")</f>
      </c>
      <c r="S43" s="89"/>
      <c r="T43" s="90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17">
        <f>COUNTIF(U43:AY43,"A")</f>
      </c>
      <c r="BA43" s="17">
        <f>COUNTIF(U43:AY43,"F")</f>
      </c>
      <c r="BB43" s="17">
        <f>COUNTIF(U43:AY43,"E")</f>
      </c>
    </row>
    <row r="44" spans="1:54" ht="15.75" customHeight="1" x14ac:dyDescent="0.2">
      <c r="A44" s="84"/>
      <c r="B44" s="85"/>
      <c r="C44" s="85"/>
      <c r="D44" s="85"/>
      <c r="E44" s="86"/>
      <c r="F44" s="16">
        <f>IF(E44="","",DATEDIF(E44,$I$7,"Y"))</f>
      </c>
      <c r="G44" s="85"/>
      <c r="H44" s="85"/>
      <c r="I44" s="87"/>
      <c r="J44" s="85"/>
      <c r="K44" s="85"/>
      <c r="L44" s="2"/>
      <c r="M44" s="2"/>
      <c r="N44" s="1"/>
      <c r="O44" s="1"/>
      <c r="P44" s="85"/>
      <c r="Q44" s="88"/>
      <c r="R44" s="3">
        <f>IFERROR(VLOOKUP(TablaAbril[[#This Row],[BARRIO]],SECTOR!$A:$B,2,0),"")</f>
      </c>
      <c r="S44" s="89"/>
      <c r="T44" s="90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17">
        <f>COUNTIF(U44:AY44,"A")</f>
      </c>
      <c r="BA44" s="17">
        <f>COUNTIF(U44:AY44,"F")</f>
      </c>
      <c r="BB44" s="17">
        <f>COUNTIF(U44:AY44,"E")</f>
      </c>
    </row>
    <row r="45" spans="1:54" ht="15.75" customHeight="1" x14ac:dyDescent="0.2">
      <c r="A45" s="84"/>
      <c r="B45" s="85"/>
      <c r="C45" s="85"/>
      <c r="D45" s="85"/>
      <c r="E45" s="86"/>
      <c r="F45" s="16">
        <f>IF(E45="","",DATEDIF(E45,$I$7,"Y"))</f>
      </c>
      <c r="G45" s="85"/>
      <c r="H45" s="85"/>
      <c r="I45" s="87"/>
      <c r="J45" s="85"/>
      <c r="K45" s="85"/>
      <c r="L45" s="2"/>
      <c r="M45" s="2"/>
      <c r="N45" s="1"/>
      <c r="O45" s="1"/>
      <c r="P45" s="85"/>
      <c r="Q45" s="88"/>
      <c r="R45" s="3">
        <f>IFERROR(VLOOKUP(TablaAbril[[#This Row],[BARRIO]],SECTOR!$A:$B,2,0),"")</f>
      </c>
      <c r="S45" s="89"/>
      <c r="T45" s="90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17">
        <f>COUNTIF(U45:AY45,"A")</f>
      </c>
      <c r="BA45" s="17">
        <f>COUNTIF(U45:AY45,"F")</f>
      </c>
      <c r="BB45" s="17">
        <f>COUNTIF(U45:AY45,"E")</f>
      </c>
    </row>
    <row r="46" spans="1:54" ht="15.75" customHeight="1" x14ac:dyDescent="0.2">
      <c r="A46" s="84"/>
      <c r="B46" s="85"/>
      <c r="C46" s="85"/>
      <c r="D46" s="85"/>
      <c r="E46" s="86"/>
      <c r="F46" s="16">
        <f>IF(E46="","",DATEDIF(E46,$I$7,"Y"))</f>
      </c>
      <c r="G46" s="85"/>
      <c r="H46" s="85"/>
      <c r="I46" s="87"/>
      <c r="J46" s="85"/>
      <c r="K46" s="85"/>
      <c r="L46" s="2"/>
      <c r="M46" s="2"/>
      <c r="N46" s="1"/>
      <c r="O46" s="1"/>
      <c r="P46" s="85"/>
      <c r="Q46" s="88"/>
      <c r="R46" s="3">
        <f>IFERROR(VLOOKUP(TablaAbril[[#This Row],[BARRIO]],SECTOR!$A:$B,2,0),"")</f>
      </c>
      <c r="S46" s="89"/>
      <c r="T46" s="90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17">
        <f>COUNTIF(U46:AY46,"A")</f>
      </c>
      <c r="BA46" s="17">
        <f>COUNTIF(U46:AY46,"F")</f>
      </c>
      <c r="BB46" s="17">
        <f>COUNTIF(U46:AY46,"E")</f>
      </c>
    </row>
    <row r="47" spans="1:54" ht="15.75" customHeight="1" x14ac:dyDescent="0.2">
      <c r="A47" s="84"/>
      <c r="B47" s="85"/>
      <c r="C47" s="85"/>
      <c r="D47" s="85"/>
      <c r="E47" s="86"/>
      <c r="F47" s="16">
        <f>IF(E47="","",DATEDIF(E47,$I$7,"Y"))</f>
      </c>
      <c r="G47" s="85"/>
      <c r="H47" s="85"/>
      <c r="I47" s="87"/>
      <c r="J47" s="85"/>
      <c r="K47" s="85"/>
      <c r="L47" s="2"/>
      <c r="M47" s="2"/>
      <c r="N47" s="1"/>
      <c r="O47" s="1"/>
      <c r="P47" s="85"/>
      <c r="Q47" s="88"/>
      <c r="R47" s="3">
        <f>IFERROR(VLOOKUP(TablaAbril[[#This Row],[BARRIO]],SECTOR!$A:$B,2,0),"")</f>
      </c>
      <c r="S47" s="89"/>
      <c r="T47" s="90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17">
        <f>COUNTIF(U47:AY47,"A")</f>
      </c>
      <c r="BA47" s="17">
        <f>COUNTIF(U47:AY47,"F")</f>
      </c>
      <c r="BB47" s="17">
        <f>COUNTIF(U47:AY47,"E")</f>
      </c>
    </row>
    <row r="48" spans="1:54" ht="15.75" customHeight="1" x14ac:dyDescent="0.2">
      <c r="A48" s="84"/>
      <c r="B48" s="85"/>
      <c r="C48" s="85"/>
      <c r="D48" s="85"/>
      <c r="E48" s="86"/>
      <c r="F48" s="16">
        <f>IF(E48="","",DATEDIF(E48,$I$7,"Y"))</f>
      </c>
      <c r="G48" s="85"/>
      <c r="H48" s="85"/>
      <c r="I48" s="87"/>
      <c r="J48" s="85"/>
      <c r="K48" s="85"/>
      <c r="L48" s="2"/>
      <c r="M48" s="2"/>
      <c r="N48" s="1"/>
      <c r="O48" s="1"/>
      <c r="P48" s="85"/>
      <c r="Q48" s="88"/>
      <c r="R48" s="3">
        <f>IFERROR(VLOOKUP(TablaAbril[[#This Row],[BARRIO]],SECTOR!$A:$B,2,0),"")</f>
      </c>
      <c r="S48" s="89"/>
      <c r="T48" s="90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17">
        <f>COUNTIF(U48:AY48,"A")</f>
      </c>
      <c r="BA48" s="17">
        <f>COUNTIF(U48:AY48,"F")</f>
      </c>
      <c r="BB48" s="17">
        <f>COUNTIF(U48:AY48,"E")</f>
      </c>
    </row>
    <row r="49" spans="1:54" ht="15.75" customHeight="1" x14ac:dyDescent="0.2">
      <c r="A49" s="84"/>
      <c r="B49" s="85"/>
      <c r="C49" s="85"/>
      <c r="D49" s="85"/>
      <c r="E49" s="86"/>
      <c r="F49" s="16">
        <f>IF(E49="","",DATEDIF(E49,$I$7,"Y"))</f>
      </c>
      <c r="G49" s="85"/>
      <c r="H49" s="85"/>
      <c r="I49" s="87"/>
      <c r="J49" s="85"/>
      <c r="K49" s="85"/>
      <c r="L49" s="2"/>
      <c r="M49" s="2"/>
      <c r="N49" s="1"/>
      <c r="O49" s="1"/>
      <c r="P49" s="85"/>
      <c r="Q49" s="88"/>
      <c r="R49" s="3">
        <f>IFERROR(VLOOKUP(TablaAbril[[#This Row],[BARRIO]],SECTOR!$A:$B,2,0),"")</f>
      </c>
      <c r="S49" s="89"/>
      <c r="T49" s="90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17">
        <f>COUNTIF(U49:AY49,"A")</f>
      </c>
      <c r="BA49" s="17">
        <f>COUNTIF(U49:AY49,"F")</f>
      </c>
      <c r="BB49" s="17">
        <f>COUNTIF(U49:AY49,"E")</f>
      </c>
    </row>
    <row r="50" spans="1:54" ht="15.75" customHeight="1" x14ac:dyDescent="0.2">
      <c r="A50" s="84"/>
      <c r="B50" s="85"/>
      <c r="C50" s="85"/>
      <c r="D50" s="85"/>
      <c r="E50" s="86"/>
      <c r="F50" s="16">
        <f>IF(E50="","",DATEDIF(E50,$I$7,"Y"))</f>
      </c>
      <c r="G50" s="85"/>
      <c r="H50" s="85"/>
      <c r="I50" s="87"/>
      <c r="J50" s="85"/>
      <c r="K50" s="85"/>
      <c r="L50" s="2"/>
      <c r="M50" s="2"/>
      <c r="N50" s="1"/>
      <c r="O50" s="1"/>
      <c r="P50" s="85"/>
      <c r="Q50" s="88"/>
      <c r="R50" s="3">
        <f>IFERROR(VLOOKUP(TablaAbril[[#This Row],[BARRIO]],SECTOR!$A:$B,2,0),"")</f>
      </c>
      <c r="S50" s="89"/>
      <c r="T50" s="90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17">
        <f>COUNTIF(U50:AY50,"A")</f>
      </c>
      <c r="BA50" s="17">
        <f>COUNTIF(U50:AY50,"F")</f>
      </c>
      <c r="BB50" s="17">
        <f>COUNTIF(U50:AY50,"E")</f>
      </c>
    </row>
    <row r="51" spans="1:54" ht="15.75" customHeight="1" x14ac:dyDescent="0.2">
      <c r="A51" s="84"/>
      <c r="B51" s="85"/>
      <c r="C51" s="85"/>
      <c r="D51" s="85"/>
      <c r="E51" s="86"/>
      <c r="F51" s="16">
        <f>IF(E51="","",DATEDIF(E51,$I$7,"Y"))</f>
      </c>
      <c r="G51" s="85"/>
      <c r="H51" s="85"/>
      <c r="I51" s="87"/>
      <c r="J51" s="85"/>
      <c r="K51" s="85"/>
      <c r="L51" s="2"/>
      <c r="M51" s="2"/>
      <c r="N51" s="1"/>
      <c r="O51" s="1"/>
      <c r="P51" s="85"/>
      <c r="Q51" s="88"/>
      <c r="R51" s="3">
        <f>IFERROR(VLOOKUP(TablaAbril[[#This Row],[BARRIO]],SECTOR!$A:$B,2,0),"")</f>
      </c>
      <c r="S51" s="89"/>
      <c r="T51" s="90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17">
        <f>COUNTIF(U51:AY51,"A")</f>
      </c>
      <c r="BA51" s="17">
        <f>COUNTIF(U51:AY51,"F")</f>
      </c>
      <c r="BB51" s="17">
        <f>COUNTIF(U51:AY51,"E")</f>
      </c>
    </row>
    <row r="52" spans="1:54" ht="15.75" customHeight="1" x14ac:dyDescent="0.2">
      <c r="A52" s="84"/>
      <c r="B52" s="85"/>
      <c r="C52" s="85"/>
      <c r="D52" s="85"/>
      <c r="E52" s="86"/>
      <c r="F52" s="16">
        <f>IF(E52="","",DATEDIF(E52,$I$7,"Y"))</f>
      </c>
      <c r="G52" s="85"/>
      <c r="H52" s="85"/>
      <c r="I52" s="87"/>
      <c r="J52" s="85"/>
      <c r="K52" s="85"/>
      <c r="L52" s="2"/>
      <c r="M52" s="2"/>
      <c r="N52" s="1"/>
      <c r="O52" s="1"/>
      <c r="P52" s="85"/>
      <c r="Q52" s="88"/>
      <c r="R52" s="3">
        <f>IFERROR(VLOOKUP(TablaAbril[[#This Row],[BARRIO]],SECTOR!$A:$B,2,0),"")</f>
      </c>
      <c r="S52" s="89"/>
      <c r="T52" s="90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17">
        <f>COUNTIF(U52:AY52,"A")</f>
      </c>
      <c r="BA52" s="17">
        <f>COUNTIF(U52:AY52,"F")</f>
      </c>
      <c r="BB52" s="17">
        <f>COUNTIF(U52:AY52,"E")</f>
      </c>
    </row>
    <row r="53" spans="1:54" ht="15.75" customHeight="1" x14ac:dyDescent="0.2">
      <c r="A53" s="84"/>
      <c r="B53" s="85"/>
      <c r="C53" s="85"/>
      <c r="D53" s="85"/>
      <c r="E53" s="86"/>
      <c r="F53" s="16">
        <f>IF(E53="","",DATEDIF(E53,$I$7,"Y"))</f>
      </c>
      <c r="G53" s="85"/>
      <c r="H53" s="85"/>
      <c r="I53" s="87"/>
      <c r="J53" s="85"/>
      <c r="K53" s="85"/>
      <c r="L53" s="2"/>
      <c r="M53" s="2"/>
      <c r="N53" s="1"/>
      <c r="O53" s="1"/>
      <c r="P53" s="85"/>
      <c r="Q53" s="88"/>
      <c r="R53" s="3">
        <f>IFERROR(VLOOKUP(TablaAbril[[#This Row],[BARRIO]],SECTOR!$A:$B,2,0),"")</f>
      </c>
      <c r="S53" s="89"/>
      <c r="T53" s="90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17">
        <f>COUNTIF(U53:AY53,"A")</f>
      </c>
      <c r="BA53" s="17">
        <f>COUNTIF(U53:AY53,"F")</f>
      </c>
      <c r="BB53" s="17">
        <f>COUNTIF(U53:AY53,"E")</f>
      </c>
    </row>
    <row r="54" spans="1:54" ht="15.75" customHeight="1" x14ac:dyDescent="0.2">
      <c r="A54" s="84"/>
      <c r="B54" s="85"/>
      <c r="C54" s="85"/>
      <c r="D54" s="85"/>
      <c r="E54" s="86"/>
      <c r="F54" s="16">
        <f>IF(E54="","",DATEDIF(E54,$I$7,"Y"))</f>
      </c>
      <c r="G54" s="85"/>
      <c r="H54" s="85"/>
      <c r="I54" s="87"/>
      <c r="J54" s="85"/>
      <c r="K54" s="85"/>
      <c r="L54" s="2"/>
      <c r="M54" s="2"/>
      <c r="N54" s="1"/>
      <c r="O54" s="1"/>
      <c r="P54" s="85"/>
      <c r="Q54" s="88"/>
      <c r="R54" s="3">
        <f>IFERROR(VLOOKUP(TablaAbril[[#This Row],[BARRIO]],SECTOR!$A:$B,2,0),"")</f>
      </c>
      <c r="S54" s="89"/>
      <c r="T54" s="90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17">
        <f>COUNTIF(U54:AY54,"A")</f>
      </c>
      <c r="BA54" s="17">
        <f>COUNTIF(U54:AY54,"F")</f>
      </c>
      <c r="BB54" s="17">
        <f>COUNTIF(U54:AY54,"E")</f>
      </c>
    </row>
    <row r="55" spans="1:54" ht="15.75" customHeight="1" x14ac:dyDescent="0.2">
      <c r="A55" s="84"/>
      <c r="B55" s="85"/>
      <c r="C55" s="85"/>
      <c r="D55" s="85"/>
      <c r="E55" s="86"/>
      <c r="F55" s="16">
        <f>IF(E55="","",DATEDIF(E55,$I$7,"Y"))</f>
      </c>
      <c r="G55" s="85"/>
      <c r="H55" s="85"/>
      <c r="I55" s="87"/>
      <c r="J55" s="85"/>
      <c r="K55" s="85"/>
      <c r="L55" s="2"/>
      <c r="M55" s="2"/>
      <c r="N55" s="1"/>
      <c r="O55" s="1"/>
      <c r="P55" s="85"/>
      <c r="Q55" s="88"/>
      <c r="R55" s="3">
        <f>IFERROR(VLOOKUP(TablaAbril[[#This Row],[BARRIO]],SECTOR!$A:$B,2,0),"")</f>
      </c>
      <c r="S55" s="89"/>
      <c r="T55" s="90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17">
        <f>COUNTIF(U55:AY55,"A")</f>
      </c>
      <c r="BA55" s="17">
        <f>COUNTIF(U55:AY55,"F")</f>
      </c>
      <c r="BB55" s="17">
        <f>COUNTIF(U55:AY55,"E")</f>
      </c>
    </row>
    <row r="56" spans="1:54" ht="15.75" customHeight="1" x14ac:dyDescent="0.2">
      <c r="A56" s="84"/>
      <c r="B56" s="85"/>
      <c r="C56" s="85"/>
      <c r="D56" s="85"/>
      <c r="E56" s="86"/>
      <c r="F56" s="16">
        <f>IF(E56="","",DATEDIF(E56,$I$7,"Y"))</f>
      </c>
      <c r="G56" s="85"/>
      <c r="H56" s="85"/>
      <c r="I56" s="87"/>
      <c r="J56" s="85"/>
      <c r="K56" s="85"/>
      <c r="L56" s="2"/>
      <c r="M56" s="2"/>
      <c r="N56" s="1"/>
      <c r="O56" s="1"/>
      <c r="P56" s="85"/>
      <c r="Q56" s="88"/>
      <c r="R56" s="3">
        <f>IFERROR(VLOOKUP(TablaAbril[[#This Row],[BARRIO]],SECTOR!$A:$B,2,0),"")</f>
      </c>
      <c r="S56" s="89"/>
      <c r="T56" s="90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17">
        <f>COUNTIF(U56:AY56,"A")</f>
      </c>
      <c r="BA56" s="17">
        <f>COUNTIF(U56:AY56,"F")</f>
      </c>
      <c r="BB56" s="17">
        <f>COUNTIF(U56:AY56,"E")</f>
      </c>
    </row>
    <row r="57" spans="1:54" ht="15.75" customHeight="1" x14ac:dyDescent="0.2">
      <c r="A57" s="84"/>
      <c r="B57" s="85"/>
      <c r="C57" s="85"/>
      <c r="D57" s="85"/>
      <c r="E57" s="86"/>
      <c r="F57" s="16">
        <f>IF(E57="","",DATEDIF(E57,$I$7,"Y"))</f>
      </c>
      <c r="G57" s="85"/>
      <c r="H57" s="85"/>
      <c r="I57" s="87"/>
      <c r="J57" s="85"/>
      <c r="K57" s="85"/>
      <c r="L57" s="2"/>
      <c r="M57" s="2"/>
      <c r="N57" s="1"/>
      <c r="O57" s="1"/>
      <c r="P57" s="85"/>
      <c r="Q57" s="88"/>
      <c r="R57" s="3">
        <f>IFERROR(VLOOKUP(TablaAbril[[#This Row],[BARRIO]],SECTOR!$A:$B,2,0),"")</f>
      </c>
      <c r="S57" s="89"/>
      <c r="T57" s="90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17">
        <f>COUNTIF(U57:AY57,"A")</f>
      </c>
      <c r="BA57" s="17">
        <f>COUNTIF(U57:AY57,"F")</f>
      </c>
      <c r="BB57" s="17">
        <f>COUNTIF(U57:AY57,"E")</f>
      </c>
    </row>
    <row r="58" spans="1:54" ht="15.75" customHeight="1" x14ac:dyDescent="0.2">
      <c r="A58" s="84"/>
      <c r="B58" s="85"/>
      <c r="C58" s="85"/>
      <c r="D58" s="85"/>
      <c r="E58" s="86"/>
      <c r="F58" s="16">
        <f>IF(E58="","",DATEDIF(E58,$I$7,"Y"))</f>
      </c>
      <c r="G58" s="85"/>
      <c r="H58" s="85"/>
      <c r="I58" s="87"/>
      <c r="J58" s="85"/>
      <c r="K58" s="85"/>
      <c r="L58" s="2"/>
      <c r="M58" s="2"/>
      <c r="N58" s="1"/>
      <c r="O58" s="1"/>
      <c r="P58" s="85"/>
      <c r="Q58" s="88"/>
      <c r="R58" s="3">
        <f>IFERROR(VLOOKUP(TablaAbril[[#This Row],[BARRIO]],SECTOR!$A:$B,2,0),"")</f>
      </c>
      <c r="S58" s="89"/>
      <c r="T58" s="90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17">
        <f>COUNTIF(U58:AY58,"A")</f>
      </c>
      <c r="BA58" s="17">
        <f>COUNTIF(U58:AY58,"F")</f>
      </c>
      <c r="BB58" s="17">
        <f>COUNTIF(U58:AY58,"E")</f>
      </c>
    </row>
    <row r="59" spans="1:54" ht="15.75" customHeight="1" x14ac:dyDescent="0.2">
      <c r="A59" s="84"/>
      <c r="B59" s="85"/>
      <c r="C59" s="85"/>
      <c r="D59" s="85"/>
      <c r="E59" s="86"/>
      <c r="F59" s="16">
        <f>IF(E59="","",DATEDIF(E59,$I$7,"Y"))</f>
      </c>
      <c r="G59" s="85"/>
      <c r="H59" s="85"/>
      <c r="I59" s="87"/>
      <c r="J59" s="85"/>
      <c r="K59" s="85"/>
      <c r="L59" s="2"/>
      <c r="M59" s="2"/>
      <c r="N59" s="1"/>
      <c r="O59" s="1"/>
      <c r="P59" s="85"/>
      <c r="Q59" s="88"/>
      <c r="R59" s="3">
        <f>IFERROR(VLOOKUP(TablaAbril[[#This Row],[BARRIO]],SECTOR!$A:$B,2,0),"")</f>
      </c>
      <c r="S59" s="89"/>
      <c r="T59" s="90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17">
        <f>COUNTIF(U59:AY59,"A")</f>
      </c>
      <c r="BA59" s="17">
        <f>COUNTIF(U59:AY59,"F")</f>
      </c>
      <c r="BB59" s="17">
        <f>COUNTIF(U59:AY59,"E")</f>
      </c>
    </row>
    <row r="60" spans="1:54" ht="15.75" customHeight="1" x14ac:dyDescent="0.2">
      <c r="A60" s="84"/>
      <c r="B60" s="85"/>
      <c r="C60" s="85"/>
      <c r="D60" s="85"/>
      <c r="E60" s="86"/>
      <c r="F60" s="16">
        <f>IF(E60="","",DATEDIF(E60,$I$7,"Y"))</f>
      </c>
      <c r="G60" s="85"/>
      <c r="H60" s="85"/>
      <c r="I60" s="87"/>
      <c r="J60" s="85"/>
      <c r="K60" s="85"/>
      <c r="L60" s="2"/>
      <c r="M60" s="2"/>
      <c r="N60" s="1"/>
      <c r="O60" s="1"/>
      <c r="P60" s="85"/>
      <c r="Q60" s="88"/>
      <c r="R60" s="3">
        <f>IFERROR(VLOOKUP(TablaAbril[[#This Row],[BARRIO]],SECTOR!$A:$B,2,0),"")</f>
      </c>
      <c r="S60" s="89"/>
      <c r="T60" s="90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17">
        <f>COUNTIF(U60:AY60,"A")</f>
      </c>
      <c r="BA60" s="17">
        <f>COUNTIF(U60:AY60,"F")</f>
      </c>
      <c r="BB60" s="17">
        <f>COUNTIF(U60:AY60,"E")</f>
      </c>
    </row>
    <row r="61" spans="1:54" ht="15.75" customHeight="1" x14ac:dyDescent="0.2">
      <c r="A61" s="84"/>
      <c r="B61" s="85"/>
      <c r="C61" s="85"/>
      <c r="D61" s="85"/>
      <c r="E61" s="86"/>
      <c r="F61" s="16">
        <f>IF(E61="","",DATEDIF(E61,$I$7,"Y"))</f>
      </c>
      <c r="G61" s="85"/>
      <c r="H61" s="85"/>
      <c r="I61" s="87"/>
      <c r="J61" s="85"/>
      <c r="K61" s="85"/>
      <c r="L61" s="2"/>
      <c r="M61" s="2"/>
      <c r="N61" s="1"/>
      <c r="O61" s="1"/>
      <c r="P61" s="85"/>
      <c r="Q61" s="88"/>
      <c r="R61" s="3">
        <f>IFERROR(VLOOKUP(TablaAbril[[#This Row],[BARRIO]],SECTOR!$A:$B,2,0),"")</f>
      </c>
      <c r="S61" s="89"/>
      <c r="T61" s="90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17">
        <f>COUNTIF(U61:AY61,"A")</f>
      </c>
      <c r="BA61" s="17">
        <f>COUNTIF(U61:AY61,"F")</f>
      </c>
      <c r="BB61" s="17">
        <f>COUNTIF(U61:AY61,"E")</f>
      </c>
    </row>
    <row r="62" spans="1:54" ht="15.75" customHeight="1" x14ac:dyDescent="0.2">
      <c r="A62" s="84"/>
      <c r="B62" s="85"/>
      <c r="C62" s="85"/>
      <c r="D62" s="85"/>
      <c r="E62" s="86"/>
      <c r="F62" s="16">
        <f>IF(E62="","",DATEDIF(E62,$I$7,"Y"))</f>
      </c>
      <c r="G62" s="85"/>
      <c r="H62" s="85"/>
      <c r="I62" s="87"/>
      <c r="J62" s="85"/>
      <c r="K62" s="85"/>
      <c r="L62" s="2"/>
      <c r="M62" s="2"/>
      <c r="N62" s="1"/>
      <c r="O62" s="1"/>
      <c r="P62" s="85"/>
      <c r="Q62" s="88"/>
      <c r="R62" s="3">
        <f>IFERROR(VLOOKUP(TablaAbril[[#This Row],[BARRIO]],SECTOR!$A:$B,2,0),"")</f>
      </c>
      <c r="S62" s="89"/>
      <c r="T62" s="90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17">
        <f>COUNTIF(U62:AY62,"A")</f>
      </c>
      <c r="BA62" s="17">
        <f>COUNTIF(U62:AY62,"F")</f>
      </c>
      <c r="BB62" s="17">
        <f>COUNTIF(U62:AY62,"E")</f>
      </c>
    </row>
    <row r="63" spans="1:54" ht="15.75" customHeight="1" x14ac:dyDescent="0.2">
      <c r="A63" s="84"/>
      <c r="B63" s="85"/>
      <c r="C63" s="85"/>
      <c r="D63" s="85"/>
      <c r="E63" s="86"/>
      <c r="F63" s="16">
        <f>IF(E63="","",DATEDIF(E63,$I$7,"Y"))</f>
      </c>
      <c r="G63" s="85"/>
      <c r="H63" s="85"/>
      <c r="I63" s="87"/>
      <c r="J63" s="85"/>
      <c r="K63" s="85"/>
      <c r="L63" s="2"/>
      <c r="M63" s="2"/>
      <c r="N63" s="1"/>
      <c r="O63" s="1"/>
      <c r="P63" s="85"/>
      <c r="Q63" s="88"/>
      <c r="R63" s="3">
        <f>IFERROR(VLOOKUP(TablaAbril[[#This Row],[BARRIO]],SECTOR!$A:$B,2,0),"")</f>
      </c>
      <c r="S63" s="89"/>
      <c r="T63" s="90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17">
        <f>COUNTIF(U63:AY63,"A")</f>
      </c>
      <c r="BA63" s="17">
        <f>COUNTIF(U63:AY63,"F")</f>
      </c>
      <c r="BB63" s="17">
        <f>COUNTIF(U63:AY63,"E")</f>
      </c>
    </row>
    <row r="64" spans="1:54" ht="15.75" customHeight="1" x14ac:dyDescent="0.2">
      <c r="A64" s="84"/>
      <c r="B64" s="85"/>
      <c r="C64" s="85"/>
      <c r="D64" s="85"/>
      <c r="E64" s="86"/>
      <c r="F64" s="16">
        <f>IF(E64="","",DATEDIF(E64,$I$7,"Y"))</f>
      </c>
      <c r="G64" s="85"/>
      <c r="H64" s="85"/>
      <c r="I64" s="87"/>
      <c r="J64" s="85"/>
      <c r="K64" s="85"/>
      <c r="L64" s="2"/>
      <c r="M64" s="2"/>
      <c r="N64" s="1"/>
      <c r="O64" s="1"/>
      <c r="P64" s="85"/>
      <c r="Q64" s="88"/>
      <c r="R64" s="3">
        <f>IFERROR(VLOOKUP(TablaAbril[[#This Row],[BARRIO]],SECTOR!$A:$B,2,0),"")</f>
      </c>
      <c r="S64" s="89"/>
      <c r="T64" s="90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17">
        <f>COUNTIF(U64:AY64,"A")</f>
      </c>
      <c r="BA64" s="17">
        <f>COUNTIF(U64:AY64,"F")</f>
      </c>
      <c r="BB64" s="17">
        <f>COUNTIF(U64:AY64,"E")</f>
      </c>
    </row>
    <row r="65" spans="1:54" ht="15.75" customHeight="1" x14ac:dyDescent="0.2">
      <c r="A65" s="84"/>
      <c r="B65" s="85"/>
      <c r="C65" s="85"/>
      <c r="D65" s="85"/>
      <c r="E65" s="86"/>
      <c r="F65" s="16">
        <f>IF(E65="","",DATEDIF(E65,$I$7,"Y"))</f>
      </c>
      <c r="G65" s="85"/>
      <c r="H65" s="85"/>
      <c r="I65" s="87"/>
      <c r="J65" s="85"/>
      <c r="K65" s="85"/>
      <c r="L65" s="2"/>
      <c r="M65" s="2"/>
      <c r="N65" s="1"/>
      <c r="O65" s="1"/>
      <c r="P65" s="85"/>
      <c r="Q65" s="88"/>
      <c r="R65" s="3">
        <f>IFERROR(VLOOKUP(TablaAbril[[#This Row],[BARRIO]],SECTOR!$A:$B,2,0),"")</f>
      </c>
      <c r="S65" s="89"/>
      <c r="T65" s="90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17">
        <f>COUNTIF(U65:AY65,"A")</f>
      </c>
      <c r="BA65" s="17">
        <f>COUNTIF(U65:AY65,"F")</f>
      </c>
      <c r="BB65" s="17">
        <f>COUNTIF(U65:AY65,"E")</f>
      </c>
    </row>
    <row r="66" spans="1:54" ht="15.75" customHeight="1" x14ac:dyDescent="0.2">
      <c r="A66" s="84"/>
      <c r="B66" s="85"/>
      <c r="C66" s="85"/>
      <c r="D66" s="85"/>
      <c r="E66" s="86"/>
      <c r="F66" s="16">
        <f>IF(E66="","",DATEDIF(E66,$I$7,"Y"))</f>
      </c>
      <c r="G66" s="85"/>
      <c r="H66" s="85"/>
      <c r="I66" s="87"/>
      <c r="J66" s="85"/>
      <c r="K66" s="85"/>
      <c r="L66" s="2"/>
      <c r="M66" s="2"/>
      <c r="N66" s="1"/>
      <c r="O66" s="1"/>
      <c r="P66" s="85"/>
      <c r="Q66" s="88"/>
      <c r="R66" s="3">
        <f>IFERROR(VLOOKUP(TablaAbril[[#This Row],[BARRIO]],SECTOR!$A:$B,2,0),"")</f>
      </c>
      <c r="S66" s="89"/>
      <c r="T66" s="90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17">
        <f>COUNTIF(U66:AY66,"A")</f>
      </c>
      <c r="BA66" s="17">
        <f>COUNTIF(U66:AY66,"F")</f>
      </c>
      <c r="BB66" s="17">
        <f>COUNTIF(U66:AY66,"E")</f>
      </c>
    </row>
    <row r="67" spans="1:54" ht="15.75" customHeight="1" x14ac:dyDescent="0.2">
      <c r="A67" s="84"/>
      <c r="B67" s="91"/>
      <c r="C67" s="91"/>
      <c r="D67" s="91"/>
      <c r="E67" s="92"/>
      <c r="F67" s="16">
        <f>IF(E67="","",DATEDIF(E67,$I$7,"Y"))</f>
      </c>
      <c r="G67" s="91"/>
      <c r="H67" s="91"/>
      <c r="I67" s="93"/>
      <c r="J67" s="91"/>
      <c r="K67" s="91"/>
      <c r="L67" s="2"/>
      <c r="M67" s="2"/>
      <c r="N67" s="1"/>
      <c r="O67" s="1"/>
      <c r="P67" s="85"/>
      <c r="Q67" s="88"/>
      <c r="R67" s="3">
        <f>IFERROR(VLOOKUP(TablaAbril[[#This Row],[BARRIO]],SECTOR!$A:$B,2,0),"")</f>
      </c>
      <c r="S67" s="89"/>
      <c r="T67" s="90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17">
        <f>COUNTIF(U67:AY67,"A")</f>
      </c>
      <c r="BA67" s="17">
        <f>COUNTIF(U67:AY67,"F")</f>
      </c>
      <c r="BB67" s="17">
        <f>COUNTIF(U67:AY67,"E")</f>
      </c>
    </row>
    <row r="68" spans="1:54" ht="15.75" customHeight="1" x14ac:dyDescent="0.2">
      <c r="A68" s="84"/>
      <c r="B68" s="94"/>
      <c r="C68" s="94"/>
      <c r="D68" s="94"/>
      <c r="E68" s="95"/>
      <c r="F68" s="16">
        <f>IF(E68="","",DATEDIF(E68,$I$7,"Y"))</f>
      </c>
      <c r="G68" s="94"/>
      <c r="H68" s="94"/>
      <c r="I68" s="96"/>
      <c r="J68" s="94"/>
      <c r="K68" s="94"/>
      <c r="L68" s="2"/>
      <c r="M68" s="2"/>
      <c r="N68" s="1"/>
      <c r="O68" s="1"/>
      <c r="P68" s="85"/>
      <c r="Q68" s="88"/>
      <c r="R68" s="3">
        <f>IFERROR(VLOOKUP(TablaAbril[[#This Row],[BARRIO]],SECTOR!$A:$B,2,0),"")</f>
      </c>
      <c r="S68" s="89"/>
      <c r="T68" s="90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17">
        <f>COUNTIF(U68:AY68,"A")</f>
      </c>
      <c r="BA68" s="17">
        <f>COUNTIF(U68:AY68,"F")</f>
      </c>
      <c r="BB68" s="17">
        <f>COUNTIF(U68:AY68,"E")</f>
      </c>
    </row>
    <row r="69" spans="1:54" ht="15.75" customHeight="1" x14ac:dyDescent="0.2">
      <c r="A69" s="84"/>
      <c r="B69" s="97"/>
      <c r="C69" s="97"/>
      <c r="D69" s="97"/>
      <c r="E69" s="98"/>
      <c r="F69" s="16">
        <f>IF(E69="","",DATEDIF(E69,$I$7,"Y"))</f>
      </c>
      <c r="G69" s="97"/>
      <c r="H69" s="97"/>
      <c r="I69" s="99"/>
      <c r="J69" s="97"/>
      <c r="K69" s="97"/>
      <c r="L69" s="2"/>
      <c r="M69" s="2"/>
      <c r="N69" s="1"/>
      <c r="O69" s="1"/>
      <c r="P69" s="85"/>
      <c r="Q69" s="88"/>
      <c r="R69" s="3">
        <f>IFERROR(VLOOKUP(TablaAbril[[#This Row],[BARRIO]],SECTOR!$A:$B,2,0),"")</f>
      </c>
      <c r="S69" s="89"/>
      <c r="T69" s="90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5"/>
      <c r="AZ69" s="18">
        <f>COUNTIF(U69:AY69,"A")</f>
      </c>
      <c r="BA69" s="17">
        <f>COUNTIF(U69:AY69,"F")</f>
      </c>
      <c r="BB69" s="17">
        <f>COUNTIF(U69:AY69,"E")</f>
      </c>
    </row>
    <row r="70" spans="1:54" ht="15.75" customHeight="1" x14ac:dyDescent="0.2">
      <c r="A70" s="84"/>
      <c r="B70" s="97"/>
      <c r="C70" s="97"/>
      <c r="D70" s="97"/>
      <c r="E70" s="98"/>
      <c r="F70" s="16">
        <f>IF(E70="","",DATEDIF(E70,$I$7,"Y"))</f>
      </c>
      <c r="G70" s="97"/>
      <c r="H70" s="97"/>
      <c r="I70" s="99"/>
      <c r="J70" s="97"/>
      <c r="K70" s="97"/>
      <c r="L70" s="2"/>
      <c r="M70" s="2"/>
      <c r="N70" s="1"/>
      <c r="O70" s="1"/>
      <c r="P70" s="85"/>
      <c r="Q70" s="88"/>
      <c r="R70" s="3">
        <f>IFERROR(VLOOKUP(TablaAbril[[#This Row],[BARRIO]],SECTOR!$A:$B,2,0),"")</f>
      </c>
      <c r="S70" s="89"/>
      <c r="T70" s="90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6"/>
      <c r="AZ70" s="19">
        <f>COUNTIF(U70:AY70,"A")</f>
      </c>
      <c r="BA70" s="17">
        <f>COUNTIF(U70:AY70,"F")</f>
      </c>
      <c r="BB70" s="17">
        <f>COUNTIF(U70:AY70,"E")</f>
      </c>
    </row>
    <row r="71" spans="1:54" ht="15.75" customHeight="1" x14ac:dyDescent="0.2">
      <c r="A71" s="84"/>
      <c r="B71" s="97"/>
      <c r="C71" s="97"/>
      <c r="D71" s="97"/>
      <c r="E71" s="98"/>
      <c r="F71" s="16">
        <f>IF(E71="","",DATEDIF(E71,$I$7,"Y"))</f>
      </c>
      <c r="G71" s="97"/>
      <c r="H71" s="97"/>
      <c r="I71" s="99"/>
      <c r="J71" s="97"/>
      <c r="K71" s="97"/>
      <c r="L71" s="2"/>
      <c r="M71" s="2"/>
      <c r="N71" s="1"/>
      <c r="O71" s="1"/>
      <c r="P71" s="85"/>
      <c r="Q71" s="88"/>
      <c r="R71" s="3">
        <f>IFERROR(VLOOKUP(TablaAbril[[#This Row],[BARRIO]],SECTOR!$A:$B,2,0),"")</f>
      </c>
      <c r="S71" s="89"/>
      <c r="T71" s="90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6"/>
      <c r="AZ71" s="19">
        <f>COUNTIF(U71:AY71,"A")</f>
      </c>
      <c r="BA71" s="17">
        <f>COUNTIF(U71:AY71,"F")</f>
      </c>
      <c r="BB71" s="17">
        <f>COUNTIF(U71:AY71,"E")</f>
      </c>
    </row>
    <row r="72" spans="1:54" ht="15.75" customHeight="1" x14ac:dyDescent="0.2">
      <c r="A72" s="84"/>
      <c r="B72" s="97"/>
      <c r="C72" s="97"/>
      <c r="D72" s="97"/>
      <c r="E72" s="98"/>
      <c r="F72" s="16">
        <f>IF(E72="","",DATEDIF(E72,$I$7,"Y"))</f>
      </c>
      <c r="G72" s="97"/>
      <c r="H72" s="97"/>
      <c r="I72" s="99"/>
      <c r="J72" s="97"/>
      <c r="K72" s="97"/>
      <c r="L72" s="2"/>
      <c r="M72" s="2"/>
      <c r="N72" s="1"/>
      <c r="O72" s="1"/>
      <c r="P72" s="85"/>
      <c r="Q72" s="88"/>
      <c r="R72" s="3">
        <f>IFERROR(VLOOKUP(TablaAbril[[#This Row],[BARRIO]],SECTOR!$A:$B,2,0),"")</f>
      </c>
      <c r="S72" s="89"/>
      <c r="T72" s="90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6"/>
      <c r="AZ72" s="19">
        <f>COUNTIF(U72:AY72,"A")</f>
      </c>
      <c r="BA72" s="17">
        <f>COUNTIF(U72:AY72,"F")</f>
      </c>
      <c r="BB72" s="17">
        <f>COUNTIF(U72:AY72,"E")</f>
      </c>
    </row>
    <row r="73" spans="1:54" ht="15.75" customHeight="1" x14ac:dyDescent="0.2">
      <c r="A73" s="84"/>
      <c r="B73" s="97"/>
      <c r="C73" s="97"/>
      <c r="D73" s="97"/>
      <c r="E73" s="98"/>
      <c r="F73" s="16">
        <f>IF(E73="","",DATEDIF(E73,$I$7,"Y"))</f>
      </c>
      <c r="G73" s="97"/>
      <c r="H73" s="97"/>
      <c r="I73" s="99"/>
      <c r="J73" s="97"/>
      <c r="K73" s="97"/>
      <c r="L73" s="2"/>
      <c r="M73" s="2"/>
      <c r="N73" s="1"/>
      <c r="O73" s="1"/>
      <c r="P73" s="85"/>
      <c r="Q73" s="88"/>
      <c r="R73" s="3">
        <f>IFERROR(VLOOKUP(TablaAbril[[#This Row],[BARRIO]],SECTOR!$A:$B,2,0),"")</f>
      </c>
      <c r="S73" s="89"/>
      <c r="T73" s="90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6"/>
      <c r="AZ73" s="19">
        <f>COUNTIF(U73:AY73,"A")</f>
      </c>
      <c r="BA73" s="17">
        <f>COUNTIF(U73:AY73,"F")</f>
      </c>
      <c r="BB73" s="17">
        <f>COUNTIF(U73:AY73,"E")</f>
      </c>
    </row>
    <row r="74" spans="1:54" ht="15.75" customHeight="1" x14ac:dyDescent="0.2">
      <c r="A74" s="84"/>
      <c r="B74" s="97"/>
      <c r="C74" s="97"/>
      <c r="D74" s="97"/>
      <c r="E74" s="98"/>
      <c r="F74" s="16">
        <f>IF(E74="","",DATEDIF(E74,$I$7,"Y"))</f>
      </c>
      <c r="G74" s="97"/>
      <c r="H74" s="97"/>
      <c r="I74" s="99"/>
      <c r="J74" s="97"/>
      <c r="K74" s="97"/>
      <c r="L74" s="2"/>
      <c r="M74" s="2"/>
      <c r="N74" s="1"/>
      <c r="O74" s="1"/>
      <c r="P74" s="85"/>
      <c r="Q74" s="88"/>
      <c r="R74" s="3">
        <f>IFERROR(VLOOKUP(TablaAbril[[#This Row],[BARRIO]],SECTOR!$A:$B,2,0),"")</f>
      </c>
      <c r="S74" s="89"/>
      <c r="T74" s="90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6"/>
      <c r="AZ74" s="19">
        <f>COUNTIF(U74:AY74,"A")</f>
      </c>
      <c r="BA74" s="17">
        <f>COUNTIF(U74:AY74,"F")</f>
      </c>
      <c r="BB74" s="17">
        <f>COUNTIF(U74:AY74,"E")</f>
      </c>
    </row>
    <row r="75" spans="1:54" ht="15.75" customHeight="1" x14ac:dyDescent="0.2">
      <c r="A75" s="84"/>
      <c r="B75" s="97"/>
      <c r="C75" s="97"/>
      <c r="D75" s="97"/>
      <c r="E75" s="98"/>
      <c r="F75" s="16">
        <f>IF(E75="","",DATEDIF(E75,$I$7,"Y"))</f>
      </c>
      <c r="G75" s="97"/>
      <c r="H75" s="97"/>
      <c r="I75" s="99"/>
      <c r="J75" s="97"/>
      <c r="K75" s="97"/>
      <c r="L75" s="2"/>
      <c r="M75" s="2"/>
      <c r="N75" s="1"/>
      <c r="O75" s="1"/>
      <c r="P75" s="85"/>
      <c r="Q75" s="88"/>
      <c r="R75" s="3">
        <f>IFERROR(VLOOKUP(TablaAbril[[#This Row],[BARRIO]],SECTOR!$A:$B,2,0),"")</f>
      </c>
      <c r="S75" s="89"/>
      <c r="T75" s="90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6"/>
      <c r="AZ75" s="19">
        <f>COUNTIF(U75:AY75,"A")</f>
      </c>
      <c r="BA75" s="17">
        <f>COUNTIF(U75:AY75,"F")</f>
      </c>
      <c r="BB75" s="17">
        <f>COUNTIF(U75:AY75,"E")</f>
      </c>
    </row>
    <row r="76" spans="1:54" ht="15.75" customHeight="1" x14ac:dyDescent="0.2">
      <c r="A76" s="84"/>
      <c r="B76" s="97"/>
      <c r="C76" s="97"/>
      <c r="D76" s="97"/>
      <c r="E76" s="98"/>
      <c r="F76" s="16">
        <f>IF(E76="","",DATEDIF(E76,$I$7,"Y"))</f>
      </c>
      <c r="G76" s="97"/>
      <c r="H76" s="97"/>
      <c r="I76" s="99"/>
      <c r="J76" s="97"/>
      <c r="K76" s="97"/>
      <c r="L76" s="2"/>
      <c r="M76" s="2"/>
      <c r="N76" s="1"/>
      <c r="O76" s="1"/>
      <c r="P76" s="85"/>
      <c r="Q76" s="88"/>
      <c r="R76" s="3">
        <f>IFERROR(VLOOKUP(TablaAbril[[#This Row],[BARRIO]],SECTOR!$A:$B,2,0),"")</f>
      </c>
      <c r="S76" s="89"/>
      <c r="T76" s="90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6"/>
      <c r="AZ76" s="19">
        <f>COUNTIF(U76:AY76,"A")</f>
      </c>
      <c r="BA76" s="17">
        <f>COUNTIF(U76:AY76,"F")</f>
      </c>
      <c r="BB76" s="17">
        <f>COUNTIF(U76:AY76,"E")</f>
      </c>
    </row>
    <row r="77" spans="1:54" ht="15.75" customHeight="1" x14ac:dyDescent="0.2">
      <c r="A77" s="84"/>
      <c r="B77" s="97"/>
      <c r="C77" s="97"/>
      <c r="D77" s="97"/>
      <c r="E77" s="98"/>
      <c r="F77" s="16">
        <f>IF(E77="","",DATEDIF(E77,$I$7,"Y"))</f>
      </c>
      <c r="G77" s="97"/>
      <c r="H77" s="97"/>
      <c r="I77" s="99"/>
      <c r="J77" s="97"/>
      <c r="K77" s="97"/>
      <c r="L77" s="2"/>
      <c r="M77" s="2"/>
      <c r="N77" s="1"/>
      <c r="O77" s="1"/>
      <c r="P77" s="85"/>
      <c r="Q77" s="88"/>
      <c r="R77" s="3">
        <f>IFERROR(VLOOKUP(TablaAbril[[#This Row],[BARRIO]],SECTOR!$A:$B,2,0),"")</f>
      </c>
      <c r="S77" s="89"/>
      <c r="T77" s="90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6"/>
      <c r="AZ77" s="19">
        <f>COUNTIF(U77:AY77,"A")</f>
      </c>
      <c r="BA77" s="17">
        <f>COUNTIF(U77:AY77,"F")</f>
      </c>
      <c r="BB77" s="17">
        <f>COUNTIF(U77:AY77,"E")</f>
      </c>
    </row>
    <row r="78" spans="1:54" ht="15.75" customHeight="1" x14ac:dyDescent="0.2">
      <c r="A78" s="84"/>
      <c r="B78" s="97"/>
      <c r="C78" s="97"/>
      <c r="D78" s="97"/>
      <c r="E78" s="98"/>
      <c r="F78" s="16">
        <f>IF(E78="","",DATEDIF(E78,$I$7,"Y"))</f>
      </c>
      <c r="G78" s="97"/>
      <c r="H78" s="97"/>
      <c r="I78" s="99"/>
      <c r="J78" s="97"/>
      <c r="K78" s="97"/>
      <c r="L78" s="2"/>
      <c r="M78" s="2"/>
      <c r="N78" s="1"/>
      <c r="O78" s="1"/>
      <c r="P78" s="85"/>
      <c r="Q78" s="88"/>
      <c r="R78" s="3">
        <f>IFERROR(VLOOKUP(TablaAbril[[#This Row],[BARRIO]],SECTOR!$A:$B,2,0),"")</f>
      </c>
      <c r="S78" s="89"/>
      <c r="T78" s="90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6"/>
      <c r="AZ78" s="19">
        <f>COUNTIF(U78:AY78,"A")</f>
      </c>
      <c r="BA78" s="17">
        <f>COUNTIF(U78:AY78,"F")</f>
      </c>
      <c r="BB78" s="17">
        <f>COUNTIF(U78:AY78,"E")</f>
      </c>
    </row>
    <row r="79" spans="1:54" ht="15.75" customHeight="1" x14ac:dyDescent="0.2">
      <c r="A79" s="84"/>
      <c r="B79" s="85"/>
      <c r="C79" s="85"/>
      <c r="D79" s="85"/>
      <c r="E79" s="86"/>
      <c r="F79" s="16">
        <f>IF(E79="","",DATEDIF(E79,$I$7,"Y"))</f>
      </c>
      <c r="G79" s="85"/>
      <c r="H79" s="85"/>
      <c r="I79" s="87"/>
      <c r="J79" s="85"/>
      <c r="K79" s="85"/>
      <c r="L79" s="2"/>
      <c r="M79" s="2"/>
      <c r="N79" s="1"/>
      <c r="O79" s="1"/>
      <c r="P79" s="85"/>
      <c r="Q79" s="88"/>
      <c r="R79" s="3">
        <f>IFERROR(VLOOKUP(TablaAbril[[#This Row],[BARRIO]],SECTOR!$A:$B,2,0),"")</f>
      </c>
      <c r="S79" s="89"/>
      <c r="T79" s="90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6"/>
      <c r="AZ79" s="19">
        <f>COUNTIF(U79:AY79,"A")</f>
      </c>
      <c r="BA79" s="17">
        <f>COUNTIF(U79:AY79,"F")</f>
      </c>
      <c r="BB79" s="17">
        <f>COUNTIF(U79:AY79,"E")</f>
      </c>
    </row>
    <row r="80" spans="1:54" ht="15.75" customHeight="1" x14ac:dyDescent="0.2">
      <c r="A80" s="84"/>
      <c r="B80" s="85"/>
      <c r="C80" s="85"/>
      <c r="D80" s="85"/>
      <c r="E80" s="86"/>
      <c r="F80" s="16">
        <f>IF(E80="","",DATEDIF(E80,$I$7,"Y"))</f>
      </c>
      <c r="G80" s="85"/>
      <c r="H80" s="85"/>
      <c r="I80" s="87"/>
      <c r="J80" s="85"/>
      <c r="K80" s="85"/>
      <c r="L80" s="2"/>
      <c r="M80" s="2"/>
      <c r="N80" s="1"/>
      <c r="O80" s="1"/>
      <c r="P80" s="85"/>
      <c r="Q80" s="88"/>
      <c r="R80" s="3">
        <f>IFERROR(VLOOKUP(TablaAbril[[#This Row],[BARRIO]],SECTOR!$A:$B,2,0),"")</f>
      </c>
      <c r="S80" s="89"/>
      <c r="T80" s="90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6"/>
      <c r="AZ80" s="19">
        <f>COUNTIF(U80:AY80,"A")</f>
      </c>
      <c r="BA80" s="17">
        <f>COUNTIF(U80:AY80,"F")</f>
      </c>
      <c r="BB80" s="17">
        <f>COUNTIF(U80:AY80,"E")</f>
      </c>
    </row>
    <row r="81" spans="1:54" ht="15.75" customHeight="1" x14ac:dyDescent="0.2">
      <c r="A81" s="84"/>
      <c r="B81" s="85"/>
      <c r="C81" s="85"/>
      <c r="D81" s="85"/>
      <c r="E81" s="86"/>
      <c r="F81" s="16">
        <f>IF(E81="","",DATEDIF(E81,$I$7,"Y"))</f>
      </c>
      <c r="G81" s="85"/>
      <c r="H81" s="85"/>
      <c r="I81" s="87"/>
      <c r="J81" s="85"/>
      <c r="K81" s="85"/>
      <c r="L81" s="2"/>
      <c r="M81" s="2"/>
      <c r="N81" s="1"/>
      <c r="O81" s="1"/>
      <c r="P81" s="85"/>
      <c r="Q81" s="88"/>
      <c r="R81" s="3">
        <f>IFERROR(VLOOKUP(TablaAbril[[#This Row],[BARRIO]],SECTOR!$A:$B,2,0),"")</f>
      </c>
      <c r="S81" s="89"/>
      <c r="T81" s="90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6"/>
      <c r="AZ81" s="19">
        <f>COUNTIF(U81:AY81,"A")</f>
      </c>
      <c r="BA81" s="17">
        <f>COUNTIF(U81:AY81,"F")</f>
      </c>
      <c r="BB81" s="17">
        <f>COUNTIF(U81:AY81,"E")</f>
      </c>
    </row>
    <row r="82" spans="1:54" ht="15.75" customHeight="1" x14ac:dyDescent="0.2">
      <c r="A82" s="84"/>
      <c r="B82" s="85"/>
      <c r="C82" s="85"/>
      <c r="D82" s="85"/>
      <c r="E82" s="86"/>
      <c r="F82" s="16">
        <f>IF(E82="","",DATEDIF(E82,$I$7,"Y"))</f>
      </c>
      <c r="G82" s="85"/>
      <c r="H82" s="85"/>
      <c r="I82" s="87"/>
      <c r="J82" s="85"/>
      <c r="K82" s="85"/>
      <c r="L82" s="2"/>
      <c r="M82" s="2"/>
      <c r="N82" s="1"/>
      <c r="O82" s="1"/>
      <c r="P82" s="85"/>
      <c r="Q82" s="88"/>
      <c r="R82" s="3">
        <f>IFERROR(VLOOKUP(TablaAbril[[#This Row],[BARRIO]],SECTOR!$A:$B,2,0),"")</f>
      </c>
      <c r="S82" s="89"/>
      <c r="T82" s="90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6"/>
      <c r="AZ82" s="19">
        <f>COUNTIF(U82:AY82,"A")</f>
      </c>
      <c r="BA82" s="17">
        <f>COUNTIF(U82:AY82,"F")</f>
      </c>
      <c r="BB82" s="17">
        <f>COUNTIF(U82:AY82,"E")</f>
      </c>
    </row>
    <row r="83" spans="1:54" ht="15.75" customHeight="1" x14ac:dyDescent="0.2">
      <c r="A83" s="84"/>
      <c r="B83" s="85"/>
      <c r="C83" s="85"/>
      <c r="D83" s="85"/>
      <c r="E83" s="86"/>
      <c r="F83" s="16">
        <f>IF(E83="","",DATEDIF(E83,$I$7,"Y"))</f>
      </c>
      <c r="G83" s="85"/>
      <c r="H83" s="85"/>
      <c r="I83" s="87"/>
      <c r="J83" s="85"/>
      <c r="K83" s="85"/>
      <c r="L83" s="2"/>
      <c r="M83" s="2"/>
      <c r="N83" s="1"/>
      <c r="O83" s="1"/>
      <c r="P83" s="85"/>
      <c r="Q83" s="88"/>
      <c r="R83" s="3">
        <f>IFERROR(VLOOKUP(TablaAbril[[#This Row],[BARRIO]],SECTOR!$A:$B,2,0),"")</f>
      </c>
      <c r="S83" s="89"/>
      <c r="T83" s="90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6"/>
      <c r="AZ83" s="19">
        <f>COUNTIF(U83:AY83,"A")</f>
      </c>
      <c r="BA83" s="17">
        <f>COUNTIF(U83:AY83,"F")</f>
      </c>
      <c r="BB83" s="17">
        <f>COUNTIF(U83:AY83,"E")</f>
      </c>
    </row>
    <row r="84" spans="1:54" ht="15.75" customHeight="1" x14ac:dyDescent="0.2">
      <c r="A84" s="84"/>
      <c r="B84" s="85"/>
      <c r="C84" s="85"/>
      <c r="D84" s="85"/>
      <c r="E84" s="86"/>
      <c r="F84" s="16">
        <f>IF(E84="","",DATEDIF(E84,$I$7,"Y"))</f>
      </c>
      <c r="G84" s="85"/>
      <c r="H84" s="85"/>
      <c r="I84" s="87"/>
      <c r="J84" s="85"/>
      <c r="K84" s="85"/>
      <c r="L84" s="2"/>
      <c r="M84" s="2"/>
      <c r="N84" s="1"/>
      <c r="O84" s="1"/>
      <c r="P84" s="85"/>
      <c r="Q84" s="88"/>
      <c r="R84" s="3">
        <f>IFERROR(VLOOKUP(TablaAbril[[#This Row],[BARRIO]],SECTOR!$A:$B,2,0),"")</f>
      </c>
      <c r="S84" s="89"/>
      <c r="T84" s="90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6"/>
      <c r="AZ84" s="19">
        <f>COUNTIF(U84:AY84,"A")</f>
      </c>
      <c r="BA84" s="17">
        <f>COUNTIF(U84:AY84,"F")</f>
      </c>
      <c r="BB84" s="17">
        <f>COUNTIF(U84:AY84,"E")</f>
      </c>
    </row>
    <row r="85" spans="1:54" ht="15.75" customHeight="1" x14ac:dyDescent="0.2">
      <c r="A85" s="84"/>
      <c r="B85" s="85"/>
      <c r="C85" s="85"/>
      <c r="D85" s="85"/>
      <c r="E85" s="86"/>
      <c r="F85" s="16">
        <f>IF(E85="","",DATEDIF(E85,$I$7,"Y"))</f>
      </c>
      <c r="G85" s="85"/>
      <c r="H85" s="85"/>
      <c r="I85" s="87"/>
      <c r="J85" s="85"/>
      <c r="K85" s="85"/>
      <c r="L85" s="2"/>
      <c r="M85" s="2"/>
      <c r="N85" s="1"/>
      <c r="O85" s="1"/>
      <c r="P85" s="85"/>
      <c r="Q85" s="88"/>
      <c r="R85" s="3">
        <f>IFERROR(VLOOKUP(TablaAbril[[#This Row],[BARRIO]],SECTOR!$A:$B,2,0),"")</f>
      </c>
      <c r="S85" s="89"/>
      <c r="T85" s="90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6"/>
      <c r="AZ85" s="19">
        <f>COUNTIF(U85:AY85,"A")</f>
      </c>
      <c r="BA85" s="17">
        <f>COUNTIF(U85:AY85,"F")</f>
      </c>
      <c r="BB85" s="17">
        <f>COUNTIF(U85:AY85,"E")</f>
      </c>
    </row>
    <row r="86" spans="1:54" ht="15.75" customHeight="1" x14ac:dyDescent="0.2">
      <c r="A86" s="84"/>
      <c r="B86" s="85"/>
      <c r="C86" s="85"/>
      <c r="D86" s="85"/>
      <c r="E86" s="86"/>
      <c r="F86" s="16">
        <f>IF(E86="","",DATEDIF(E86,$I$7,"Y"))</f>
      </c>
      <c r="G86" s="85"/>
      <c r="H86" s="85"/>
      <c r="I86" s="87"/>
      <c r="J86" s="85"/>
      <c r="K86" s="85"/>
      <c r="L86" s="2"/>
      <c r="M86" s="2"/>
      <c r="N86" s="1"/>
      <c r="O86" s="1"/>
      <c r="P86" s="85"/>
      <c r="Q86" s="88"/>
      <c r="R86" s="3">
        <f>IFERROR(VLOOKUP(TablaAbril[[#This Row],[BARRIO]],SECTOR!$A:$B,2,0),"")</f>
      </c>
      <c r="S86" s="89"/>
      <c r="T86" s="90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6"/>
      <c r="AZ86" s="19">
        <f>COUNTIF(U86:AY86,"A")</f>
      </c>
      <c r="BA86" s="17">
        <f>COUNTIF(U86:AY86,"F")</f>
      </c>
      <c r="BB86" s="17">
        <f>COUNTIF(U86:AY86,"E")</f>
      </c>
    </row>
    <row r="87" spans="1:54" ht="15.75" customHeight="1" x14ac:dyDescent="0.2">
      <c r="A87" s="84"/>
      <c r="B87" s="85"/>
      <c r="C87" s="85"/>
      <c r="D87" s="85"/>
      <c r="E87" s="86"/>
      <c r="F87" s="16">
        <f>IF(E87="","",DATEDIF(E87,$I$7,"Y"))</f>
      </c>
      <c r="G87" s="85"/>
      <c r="H87" s="85"/>
      <c r="I87" s="87"/>
      <c r="J87" s="85"/>
      <c r="K87" s="85"/>
      <c r="L87" s="2"/>
      <c r="M87" s="2"/>
      <c r="N87" s="1"/>
      <c r="O87" s="1"/>
      <c r="P87" s="85"/>
      <c r="Q87" s="88"/>
      <c r="R87" s="3">
        <f>IFERROR(VLOOKUP(TablaAbril[[#This Row],[BARRIO]],SECTOR!$A:$B,2,0),"")</f>
      </c>
      <c r="S87" s="89"/>
      <c r="T87" s="90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6"/>
      <c r="AZ87" s="19">
        <f>COUNTIF(U87:AY87,"A")</f>
      </c>
      <c r="BA87" s="17">
        <f>COUNTIF(U87:AY87,"F")</f>
      </c>
      <c r="BB87" s="17">
        <f>COUNTIF(U87:AY87,"E")</f>
      </c>
    </row>
    <row r="88" spans="1:54" ht="15.75" customHeight="1" x14ac:dyDescent="0.2">
      <c r="A88" s="84"/>
      <c r="B88" s="85"/>
      <c r="C88" s="85"/>
      <c r="D88" s="85"/>
      <c r="E88" s="86"/>
      <c r="F88" s="16">
        <f>IF(E88="","",DATEDIF(E88,$I$7,"Y"))</f>
      </c>
      <c r="G88" s="85"/>
      <c r="H88" s="85"/>
      <c r="I88" s="87"/>
      <c r="J88" s="85"/>
      <c r="K88" s="85"/>
      <c r="L88" s="2"/>
      <c r="M88" s="2"/>
      <c r="N88" s="1"/>
      <c r="O88" s="1"/>
      <c r="P88" s="85"/>
      <c r="Q88" s="88"/>
      <c r="R88" s="3">
        <f>IFERROR(VLOOKUP(TablaAbril[[#This Row],[BARRIO]],SECTOR!$A:$B,2,0),"")</f>
      </c>
      <c r="S88" s="89"/>
      <c r="T88" s="90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6"/>
      <c r="AZ88" s="19">
        <f>COUNTIF(U88:AY88,"A")</f>
      </c>
      <c r="BA88" s="17">
        <f>COUNTIF(U88:AY88,"F")</f>
      </c>
      <c r="BB88" s="17">
        <f>COUNTIF(U88:AY88,"E")</f>
      </c>
    </row>
    <row r="89" spans="1:54" ht="15.75" customHeight="1" x14ac:dyDescent="0.2">
      <c r="A89" s="84"/>
      <c r="B89" s="85"/>
      <c r="C89" s="85"/>
      <c r="D89" s="85"/>
      <c r="E89" s="86"/>
      <c r="F89" s="16">
        <f>IF(E89="","",DATEDIF(E89,$I$7,"Y"))</f>
      </c>
      <c r="G89" s="85"/>
      <c r="H89" s="85"/>
      <c r="I89" s="87"/>
      <c r="J89" s="85"/>
      <c r="K89" s="85"/>
      <c r="L89" s="2"/>
      <c r="M89" s="2"/>
      <c r="N89" s="1"/>
      <c r="O89" s="1"/>
      <c r="P89" s="85"/>
      <c r="Q89" s="88"/>
      <c r="R89" s="3">
        <f>IFERROR(VLOOKUP(TablaAbril[[#This Row],[BARRIO]],SECTOR!$A:$B,2,0),"")</f>
      </c>
      <c r="S89" s="89"/>
      <c r="T89" s="90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6"/>
      <c r="AZ89" s="19">
        <f>COUNTIF(U89:AY89,"A")</f>
      </c>
      <c r="BA89" s="17">
        <f>COUNTIF(U89:AY89,"F")</f>
      </c>
      <c r="BB89" s="17">
        <f>COUNTIF(U89:AY89,"E")</f>
      </c>
    </row>
    <row r="90" spans="1:54" ht="15.75" customHeight="1" x14ac:dyDescent="0.2">
      <c r="A90" s="84"/>
      <c r="B90" s="85"/>
      <c r="C90" s="85"/>
      <c r="D90" s="85"/>
      <c r="E90" s="86"/>
      <c r="F90" s="16">
        <f>IF(E90="","",DATEDIF(E90,$I$7,"Y"))</f>
      </c>
      <c r="G90" s="85"/>
      <c r="H90" s="85"/>
      <c r="I90" s="87"/>
      <c r="J90" s="85"/>
      <c r="K90" s="85"/>
      <c r="L90" s="2"/>
      <c r="M90" s="2"/>
      <c r="N90" s="1"/>
      <c r="O90" s="1"/>
      <c r="P90" s="85"/>
      <c r="Q90" s="88"/>
      <c r="R90" s="3">
        <f>IFERROR(VLOOKUP(TablaAbril[[#This Row],[BARRIO]],SECTOR!$A:$B,2,0),"")</f>
      </c>
      <c r="S90" s="89"/>
      <c r="T90" s="90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6"/>
      <c r="AZ90" s="19">
        <f>COUNTIF(U90:AY90,"A")</f>
      </c>
      <c r="BA90" s="17">
        <f>COUNTIF(U90:AY90,"F")</f>
      </c>
      <c r="BB90" s="17">
        <f>COUNTIF(U90:AY90,"E")</f>
      </c>
    </row>
    <row r="91" spans="1:54" ht="15.75" customHeight="1" x14ac:dyDescent="0.2">
      <c r="A91" s="84"/>
      <c r="B91" s="85"/>
      <c r="C91" s="85"/>
      <c r="D91" s="85"/>
      <c r="E91" s="86"/>
      <c r="F91" s="16">
        <f>IF(E91="","",DATEDIF(E91,$I$7,"Y"))</f>
      </c>
      <c r="G91" s="85"/>
      <c r="H91" s="85"/>
      <c r="I91" s="87"/>
      <c r="J91" s="85"/>
      <c r="K91" s="85"/>
      <c r="L91" s="2"/>
      <c r="M91" s="2"/>
      <c r="N91" s="1"/>
      <c r="O91" s="1"/>
      <c r="P91" s="85"/>
      <c r="Q91" s="88"/>
      <c r="R91" s="3">
        <f>IFERROR(VLOOKUP(TablaAbril[[#This Row],[BARRIO]],SECTOR!$A:$B,2,0),"")</f>
      </c>
      <c r="S91" s="89"/>
      <c r="T91" s="90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6"/>
      <c r="AZ91" s="19">
        <f>COUNTIF(U91:AY91,"A")</f>
      </c>
      <c r="BA91" s="17">
        <f>COUNTIF(U91:AY91,"F")</f>
      </c>
      <c r="BB91" s="17">
        <f>COUNTIF(U91:AY91,"E")</f>
      </c>
    </row>
    <row r="92" spans="1:54" ht="15.75" customHeight="1" x14ac:dyDescent="0.2">
      <c r="A92" s="84"/>
      <c r="B92" s="85"/>
      <c r="C92" s="85"/>
      <c r="D92" s="85"/>
      <c r="E92" s="86"/>
      <c r="F92" s="16">
        <f>IF(E92="","",DATEDIF(E92,$I$7,"Y"))</f>
      </c>
      <c r="G92" s="85"/>
      <c r="H92" s="85"/>
      <c r="I92" s="87"/>
      <c r="J92" s="85"/>
      <c r="K92" s="85"/>
      <c r="L92" s="2"/>
      <c r="M92" s="2"/>
      <c r="N92" s="1"/>
      <c r="O92" s="1"/>
      <c r="P92" s="85"/>
      <c r="Q92" s="88"/>
      <c r="R92" s="3">
        <f>IFERROR(VLOOKUP(TablaAbril[[#This Row],[BARRIO]],SECTOR!$A:$B,2,0),"")</f>
      </c>
      <c r="S92" s="89"/>
      <c r="T92" s="90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6"/>
      <c r="AZ92" s="19">
        <f>COUNTIF(U92:AY92,"A")</f>
      </c>
      <c r="BA92" s="17">
        <f>COUNTIF(U92:AY92,"F")</f>
      </c>
      <c r="BB92" s="17">
        <f>COUNTIF(U92:AY92,"E")</f>
      </c>
    </row>
    <row r="93" spans="1:54" ht="15.75" customHeight="1" x14ac:dyDescent="0.2">
      <c r="A93" s="84"/>
      <c r="B93" s="85"/>
      <c r="C93" s="85"/>
      <c r="D93" s="85"/>
      <c r="E93" s="86"/>
      <c r="F93" s="16">
        <f>IF(E93="","",DATEDIF(E93,$I$7,"Y"))</f>
      </c>
      <c r="G93" s="85"/>
      <c r="H93" s="85"/>
      <c r="I93" s="87"/>
      <c r="J93" s="85"/>
      <c r="K93" s="85"/>
      <c r="L93" s="2"/>
      <c r="M93" s="2"/>
      <c r="N93" s="1"/>
      <c r="O93" s="1"/>
      <c r="P93" s="85"/>
      <c r="Q93" s="88"/>
      <c r="R93" s="3">
        <f>IFERROR(VLOOKUP(TablaAbril[[#This Row],[BARRIO]],SECTOR!$A:$B,2,0),"")</f>
      </c>
      <c r="S93" s="89"/>
      <c r="T93" s="90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6"/>
      <c r="AZ93" s="19">
        <f>COUNTIF(U93:AY93,"A")</f>
      </c>
      <c r="BA93" s="17">
        <f>COUNTIF(U93:AY93,"F")</f>
      </c>
      <c r="BB93" s="17">
        <f>COUNTIF(U93:AY93,"E")</f>
      </c>
    </row>
    <row r="94" spans="1:54" ht="15.75" customHeight="1" x14ac:dyDescent="0.2">
      <c r="A94" s="84"/>
      <c r="B94" s="85"/>
      <c r="C94" s="85"/>
      <c r="D94" s="85"/>
      <c r="E94" s="86"/>
      <c r="F94" s="16">
        <f>IF(E94="","",DATEDIF(E94,$I$7,"Y"))</f>
      </c>
      <c r="G94" s="85"/>
      <c r="H94" s="85"/>
      <c r="I94" s="87"/>
      <c r="J94" s="85"/>
      <c r="K94" s="85"/>
      <c r="L94" s="2"/>
      <c r="M94" s="2"/>
      <c r="N94" s="1"/>
      <c r="O94" s="1"/>
      <c r="P94" s="85"/>
      <c r="Q94" s="88"/>
      <c r="R94" s="3">
        <f>IFERROR(VLOOKUP(TablaAbril[[#This Row],[BARRIO]],SECTOR!$A:$B,2,0),"")</f>
      </c>
      <c r="S94" s="89"/>
      <c r="T94" s="90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6"/>
      <c r="AZ94" s="19">
        <f>COUNTIF(U94:AY94,"A")</f>
      </c>
      <c r="BA94" s="17">
        <f>COUNTIF(U94:AY94,"F")</f>
      </c>
      <c r="BB94" s="17">
        <f>COUNTIF(U94:AY94,"E")</f>
      </c>
    </row>
    <row r="95" spans="1:54" ht="15.75" customHeight="1" x14ac:dyDescent="0.2">
      <c r="A95" s="84"/>
      <c r="B95" s="85"/>
      <c r="C95" s="85"/>
      <c r="D95" s="85"/>
      <c r="E95" s="86"/>
      <c r="F95" s="16">
        <f>IF(E95="","",DATEDIF(E95,$I$7,"Y"))</f>
      </c>
      <c r="G95" s="85"/>
      <c r="H95" s="85"/>
      <c r="I95" s="87"/>
      <c r="J95" s="85"/>
      <c r="K95" s="85"/>
      <c r="L95" s="2"/>
      <c r="M95" s="2"/>
      <c r="N95" s="1"/>
      <c r="O95" s="1"/>
      <c r="P95" s="85"/>
      <c r="Q95" s="88"/>
      <c r="R95" s="3">
        <f>IFERROR(VLOOKUP(TablaAbril[[#This Row],[BARRIO]],SECTOR!$A:$B,2,0),"")</f>
      </c>
      <c r="S95" s="89"/>
      <c r="T95" s="90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6"/>
      <c r="AZ95" s="19">
        <f>COUNTIF(U95:AY95,"A")</f>
      </c>
      <c r="BA95" s="17">
        <f>COUNTIF(U95:AY95,"F")</f>
      </c>
      <c r="BB95" s="17">
        <f>COUNTIF(U95:AY95,"E")</f>
      </c>
    </row>
    <row r="96" spans="1:54" ht="15.75" customHeight="1" x14ac:dyDescent="0.2">
      <c r="A96" s="84"/>
      <c r="B96" s="85"/>
      <c r="C96" s="85"/>
      <c r="D96" s="85"/>
      <c r="E96" s="86"/>
      <c r="F96" s="16">
        <f>IF(E96="","",DATEDIF(E96,$I$7,"Y"))</f>
      </c>
      <c r="G96" s="85"/>
      <c r="H96" s="85"/>
      <c r="I96" s="87"/>
      <c r="J96" s="85"/>
      <c r="K96" s="85"/>
      <c r="L96" s="2"/>
      <c r="M96" s="2"/>
      <c r="N96" s="1"/>
      <c r="O96" s="1"/>
      <c r="P96" s="85"/>
      <c r="Q96" s="88"/>
      <c r="R96" s="3">
        <f>IFERROR(VLOOKUP(TablaAbril[[#This Row],[BARRIO]],SECTOR!$A:$B,2,0),"")</f>
      </c>
      <c r="S96" s="89"/>
      <c r="T96" s="90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7"/>
      <c r="AZ96" s="30">
        <f>COUNTIF(U96:AY96,"A")</f>
      </c>
      <c r="BA96" s="17">
        <f>COUNTIF(U96:AY96,"F")</f>
      </c>
      <c r="BB96" s="17">
        <f>COUNTIF(U96:AY96,"E")</f>
      </c>
    </row>
    <row r="97" spans="1:54" ht="15.75" customHeight="1" x14ac:dyDescent="0.2">
      <c r="A97" s="84"/>
      <c r="B97" s="85"/>
      <c r="C97" s="85"/>
      <c r="D97" s="85"/>
      <c r="E97" s="86"/>
      <c r="F97" s="16">
        <f>IF(E97="","",DATEDIF(E97,$I$7,"Y"))</f>
      </c>
      <c r="G97" s="85"/>
      <c r="H97" s="85"/>
      <c r="I97" s="87"/>
      <c r="J97" s="85"/>
      <c r="K97" s="85"/>
      <c r="L97" s="2"/>
      <c r="M97" s="2"/>
      <c r="N97" s="1"/>
      <c r="O97" s="1"/>
      <c r="P97" s="85"/>
      <c r="Q97" s="88"/>
      <c r="R97" s="3">
        <f>IFERROR(VLOOKUP(TablaAbril[[#This Row],[BARRIO]],SECTOR!$A:$B,2,0),"")</f>
      </c>
      <c r="S97" s="89"/>
      <c r="T97" s="90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6"/>
      <c r="AZ97" s="30">
        <f>COUNTIF(U97:AY97,"A")</f>
      </c>
      <c r="BA97" s="17">
        <f>COUNTIF(U97:AY97,"F")</f>
      </c>
      <c r="BB97" s="17">
        <f>COUNTIF(U97:AY97,"E")</f>
      </c>
    </row>
    <row r="98" spans="1:54" ht="15.75" customHeight="1" x14ac:dyDescent="0.2">
      <c r="A98" s="84"/>
      <c r="B98" s="85"/>
      <c r="C98" s="85"/>
      <c r="D98" s="85"/>
      <c r="E98" s="86"/>
      <c r="F98" s="16">
        <f>IF(E98="","",DATEDIF(E98,$I$7,"Y"))</f>
      </c>
      <c r="G98" s="85"/>
      <c r="H98" s="85"/>
      <c r="I98" s="87"/>
      <c r="J98" s="85"/>
      <c r="K98" s="85"/>
      <c r="L98" s="2"/>
      <c r="M98" s="2"/>
      <c r="N98" s="1"/>
      <c r="O98" s="1"/>
      <c r="P98" s="85"/>
      <c r="Q98" s="88"/>
      <c r="R98" s="3">
        <f>IFERROR(VLOOKUP(TablaAbril[[#This Row],[BARRIO]],SECTOR!$A:$B,2,0),"")</f>
      </c>
      <c r="S98" s="89"/>
      <c r="T98" s="90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6"/>
      <c r="AZ98" s="30">
        <f>COUNTIF(U98:AY98,"A")</f>
      </c>
      <c r="BA98" s="17">
        <f>COUNTIF(U98:AY98,"F")</f>
      </c>
      <c r="BB98" s="17">
        <f>COUNTIF(U98:AY98,"E")</f>
      </c>
    </row>
    <row r="99" spans="1:54" ht="15.75" customHeight="1" x14ac:dyDescent="0.2">
      <c r="A99" s="84"/>
      <c r="B99" s="85"/>
      <c r="C99" s="85"/>
      <c r="D99" s="85"/>
      <c r="E99" s="86"/>
      <c r="F99" s="16">
        <f>IF(E99="","",DATEDIF(E99,$I$7,"Y"))</f>
      </c>
      <c r="G99" s="85"/>
      <c r="H99" s="85"/>
      <c r="I99" s="87"/>
      <c r="J99" s="85"/>
      <c r="K99" s="85"/>
      <c r="L99" s="2"/>
      <c r="M99" s="2"/>
      <c r="N99" s="1"/>
      <c r="O99" s="1"/>
      <c r="P99" s="85"/>
      <c r="Q99" s="88"/>
      <c r="R99" s="3">
        <f>IFERROR(VLOOKUP(TablaAbril[[#This Row],[BARRIO]],SECTOR!$A:$B,2,0),"")</f>
      </c>
      <c r="S99" s="89"/>
      <c r="T99" s="90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6"/>
      <c r="AZ99" s="30">
        <f>COUNTIF(U99:AY99,"A")</f>
      </c>
      <c r="BA99" s="17">
        <f>COUNTIF(U99:AY99,"F")</f>
      </c>
      <c r="BB99" s="17">
        <f>COUNTIF(U99:AY99,"E")</f>
      </c>
    </row>
    <row r="100" spans="1:54" ht="15.75" customHeight="1" x14ac:dyDescent="0.2">
      <c r="A100" s="84"/>
      <c r="B100" s="85"/>
      <c r="C100" s="85"/>
      <c r="D100" s="85"/>
      <c r="E100" s="86"/>
      <c r="F100" s="16">
        <f>IF(E100="","",DATEDIF(E100,$I$7,"Y"))</f>
      </c>
      <c r="G100" s="85"/>
      <c r="H100" s="85"/>
      <c r="I100" s="87"/>
      <c r="J100" s="85"/>
      <c r="K100" s="85"/>
      <c r="L100" s="2"/>
      <c r="M100" s="2"/>
      <c r="N100" s="1"/>
      <c r="O100" s="1"/>
      <c r="P100" s="85"/>
      <c r="Q100" s="88"/>
      <c r="R100" s="3">
        <f>IFERROR(VLOOKUP(TablaAbril[[#This Row],[BARRIO]],SECTOR!$A:$B,2,0),"")</f>
      </c>
      <c r="S100" s="89"/>
      <c r="T100" s="90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6"/>
      <c r="AZ100" s="30">
        <f>COUNTIF(U100:AY100,"A")</f>
      </c>
      <c r="BA100" s="17">
        <f>COUNTIF(U100:AY100,"F")</f>
      </c>
      <c r="BB100" s="17">
        <f>COUNTIF(U100:AY100,"E")</f>
      </c>
    </row>
    <row r="101" spans="1:54" ht="15.75" customHeight="1" x14ac:dyDescent="0.2">
      <c r="A101" s="84"/>
      <c r="B101" s="85"/>
      <c r="C101" s="85"/>
      <c r="D101" s="85"/>
      <c r="E101" s="86"/>
      <c r="F101" s="16">
        <f>IF(E101="","",DATEDIF(E101,$I$7,"Y"))</f>
      </c>
      <c r="G101" s="85"/>
      <c r="H101" s="85"/>
      <c r="I101" s="87"/>
      <c r="J101" s="85"/>
      <c r="K101" s="85"/>
      <c r="L101" s="2"/>
      <c r="M101" s="2"/>
      <c r="N101" s="1"/>
      <c r="O101" s="1"/>
      <c r="P101" s="85"/>
      <c r="Q101" s="88"/>
      <c r="R101" s="3">
        <f>IFERROR(VLOOKUP(TablaAbril[[#This Row],[BARRIO]],SECTOR!$A:$B,2,0),"")</f>
      </c>
      <c r="S101" s="89"/>
      <c r="T101" s="90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6"/>
      <c r="AZ101" s="30">
        <f>COUNTIF(U101:AY101,"A")</f>
      </c>
      <c r="BA101" s="17">
        <f>COUNTIF(U101:AY101,"F")</f>
      </c>
      <c r="BB101" s="17">
        <f>COUNTIF(U101:AY101,"E")</f>
      </c>
    </row>
    <row r="102" spans="1:54" ht="15.75" customHeight="1" x14ac:dyDescent="0.2">
      <c r="A102" s="84"/>
      <c r="B102" s="85"/>
      <c r="C102" s="85"/>
      <c r="D102" s="85"/>
      <c r="E102" s="86"/>
      <c r="F102" s="16">
        <f>IF(E102="","",DATEDIF(E102,$I$7,"Y"))</f>
      </c>
      <c r="G102" s="85"/>
      <c r="H102" s="85"/>
      <c r="I102" s="87"/>
      <c r="J102" s="85"/>
      <c r="K102" s="85"/>
      <c r="L102" s="2"/>
      <c r="M102" s="2"/>
      <c r="N102" s="1"/>
      <c r="O102" s="1"/>
      <c r="P102" s="85"/>
      <c r="Q102" s="88"/>
      <c r="R102" s="3">
        <f>IFERROR(VLOOKUP(TablaAbril[[#This Row],[BARRIO]],SECTOR!$A:$B,2,0),"")</f>
      </c>
      <c r="S102" s="89"/>
      <c r="T102" s="90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6"/>
      <c r="AZ102" s="30">
        <f>COUNTIF(U102:AY102,"A")</f>
      </c>
      <c r="BA102" s="17">
        <f>COUNTIF(U102:AY102,"F")</f>
      </c>
      <c r="BB102" s="17">
        <f>COUNTIF(U102:AY102,"E")</f>
      </c>
    </row>
    <row r="103" spans="1:54" ht="15.75" customHeight="1" x14ac:dyDescent="0.2">
      <c r="A103" s="84"/>
      <c r="B103" s="85"/>
      <c r="C103" s="85"/>
      <c r="D103" s="85"/>
      <c r="E103" s="86"/>
      <c r="F103" s="16">
        <f>IF(E103="","",DATEDIF(E103,$I$7,"Y"))</f>
      </c>
      <c r="G103" s="85"/>
      <c r="H103" s="85"/>
      <c r="I103" s="87"/>
      <c r="J103" s="85"/>
      <c r="K103" s="85"/>
      <c r="L103" s="2"/>
      <c r="M103" s="2"/>
      <c r="N103" s="1"/>
      <c r="O103" s="1"/>
      <c r="P103" s="85"/>
      <c r="Q103" s="88"/>
      <c r="R103" s="3">
        <f>IFERROR(VLOOKUP(TablaAbril[[#This Row],[BARRIO]],SECTOR!$A:$B,2,0),"")</f>
      </c>
      <c r="S103" s="89"/>
      <c r="T103" s="90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6"/>
      <c r="AZ103" s="30">
        <f>COUNTIF(U103:AY103,"A")</f>
      </c>
      <c r="BA103" s="17">
        <f>COUNTIF(U103:AY103,"F")</f>
      </c>
      <c r="BB103" s="17">
        <f>COUNTIF(U103:AY103,"E")</f>
      </c>
    </row>
    <row r="104" spans="1:54" ht="15.75" customHeight="1" x14ac:dyDescent="0.2">
      <c r="A104" s="84"/>
      <c r="B104" s="85"/>
      <c r="C104" s="85"/>
      <c r="D104" s="85"/>
      <c r="E104" s="86"/>
      <c r="F104" s="16">
        <f>IF(E104="","",DATEDIF(E104,$I$7,"Y"))</f>
      </c>
      <c r="G104" s="85"/>
      <c r="H104" s="85"/>
      <c r="I104" s="87"/>
      <c r="J104" s="85"/>
      <c r="K104" s="85"/>
      <c r="L104" s="2"/>
      <c r="M104" s="2"/>
      <c r="N104" s="1"/>
      <c r="O104" s="1"/>
      <c r="P104" s="85"/>
      <c r="Q104" s="88"/>
      <c r="R104" s="3">
        <f>IFERROR(VLOOKUP(TablaAbril[[#This Row],[BARRIO]],SECTOR!$A:$B,2,0),"")</f>
      </c>
      <c r="S104" s="89"/>
      <c r="T104" s="90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6"/>
      <c r="AZ104" s="30">
        <f>COUNTIF(U104:AY104,"A")</f>
      </c>
      <c r="BA104" s="17">
        <f>COUNTIF(U104:AY104,"F")</f>
      </c>
      <c r="BB104" s="17">
        <f>COUNTIF(U104:AY104,"E")</f>
      </c>
    </row>
    <row r="105" spans="1:54" ht="15.75" customHeight="1" x14ac:dyDescent="0.2">
      <c r="A105" s="84"/>
      <c r="B105" s="85"/>
      <c r="C105" s="85"/>
      <c r="D105" s="85"/>
      <c r="E105" s="86"/>
      <c r="F105" s="16">
        <f>IF(E105="","",DATEDIF(E105,$I$7,"Y"))</f>
      </c>
      <c r="G105" s="85"/>
      <c r="H105" s="85"/>
      <c r="I105" s="87"/>
      <c r="J105" s="85"/>
      <c r="K105" s="85"/>
      <c r="L105" s="2"/>
      <c r="M105" s="2"/>
      <c r="N105" s="1"/>
      <c r="O105" s="1"/>
      <c r="P105" s="85"/>
      <c r="Q105" s="88"/>
      <c r="R105" s="3">
        <f>IFERROR(VLOOKUP(TablaAbril[[#This Row],[BARRIO]],SECTOR!$A:$B,2,0),"")</f>
      </c>
      <c r="S105" s="89"/>
      <c r="T105" s="90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6"/>
      <c r="AZ105" s="30">
        <f>COUNTIF(U105:AY105,"A")</f>
      </c>
      <c r="BA105" s="17">
        <f>COUNTIF(U105:AY105,"F")</f>
      </c>
      <c r="BB105" s="17">
        <f>COUNTIF(U105:AY105,"E")</f>
      </c>
    </row>
    <row r="106" spans="1:54" ht="15.75" customHeight="1" x14ac:dyDescent="0.2">
      <c r="A106" s="84"/>
      <c r="B106" s="85"/>
      <c r="C106" s="85"/>
      <c r="D106" s="85"/>
      <c r="E106" s="86"/>
      <c r="F106" s="16">
        <f>IF(E106="","",DATEDIF(E106,$I$7,"Y"))</f>
      </c>
      <c r="G106" s="85"/>
      <c r="H106" s="85"/>
      <c r="I106" s="87"/>
      <c r="J106" s="85"/>
      <c r="K106" s="85"/>
      <c r="L106" s="2"/>
      <c r="M106" s="2"/>
      <c r="N106" s="1"/>
      <c r="O106" s="1"/>
      <c r="P106" s="85"/>
      <c r="Q106" s="88"/>
      <c r="R106" s="3">
        <f>IFERROR(VLOOKUP(TablaAbril[[#This Row],[BARRIO]],SECTOR!$A:$B,2,0),"")</f>
      </c>
      <c r="S106" s="89"/>
      <c r="T106" s="90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6"/>
      <c r="AZ106" s="30">
        <f>COUNTIF(U106:AY106,"A")</f>
      </c>
      <c r="BA106" s="17">
        <f>COUNTIF(U106:AY106,"F")</f>
      </c>
      <c r="BB106" s="17">
        <f>COUNTIF(U106:AY106,"E")</f>
      </c>
    </row>
    <row r="107" spans="1:54" ht="15.75" customHeight="1" x14ac:dyDescent="0.2">
      <c r="A107" s="84"/>
      <c r="B107" s="85"/>
      <c r="C107" s="85"/>
      <c r="D107" s="85"/>
      <c r="E107" s="86"/>
      <c r="F107" s="16">
        <f>IF(E107="","",DATEDIF(E107,$I$7,"Y"))</f>
      </c>
      <c r="G107" s="85"/>
      <c r="H107" s="85"/>
      <c r="I107" s="87"/>
      <c r="J107" s="85"/>
      <c r="K107" s="85"/>
      <c r="L107" s="2"/>
      <c r="M107" s="2"/>
      <c r="N107" s="1"/>
      <c r="O107" s="1"/>
      <c r="P107" s="85"/>
      <c r="Q107" s="88"/>
      <c r="R107" s="3">
        <f>IFERROR(VLOOKUP(TablaAbril[[#This Row],[BARRIO]],SECTOR!$A:$B,2,0),"")</f>
      </c>
      <c r="S107" s="89"/>
      <c r="T107" s="90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6"/>
      <c r="AZ107" s="30">
        <f>COUNTIF(U107:AY107,"A")</f>
      </c>
      <c r="BA107" s="17">
        <f>COUNTIF(U107:AY107,"F")</f>
      </c>
      <c r="BB107" s="17">
        <f>COUNTIF(U107:AY107,"E")</f>
      </c>
    </row>
    <row r="108" spans="1:54" ht="15.75" customHeight="1" x14ac:dyDescent="0.2">
      <c r="A108" s="84"/>
      <c r="B108" s="85"/>
      <c r="C108" s="85"/>
      <c r="D108" s="85"/>
      <c r="E108" s="86"/>
      <c r="F108" s="16">
        <f>IF(E108="","",DATEDIF(E108,$I$7,"Y"))</f>
      </c>
      <c r="G108" s="85"/>
      <c r="H108" s="85"/>
      <c r="I108" s="87"/>
      <c r="J108" s="85"/>
      <c r="K108" s="85"/>
      <c r="L108" s="2"/>
      <c r="M108" s="2"/>
      <c r="N108" s="1"/>
      <c r="O108" s="1"/>
      <c r="P108" s="85"/>
      <c r="Q108" s="88"/>
      <c r="R108" s="3">
        <f>IFERROR(VLOOKUP(TablaAbril[[#This Row],[BARRIO]],SECTOR!$A:$B,2,0),"")</f>
      </c>
      <c r="S108" s="89"/>
      <c r="T108" s="90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6"/>
      <c r="AZ108" s="30">
        <f>COUNTIF(U108:AY108,"A")</f>
      </c>
      <c r="BA108" s="17">
        <f>COUNTIF(U108:AY108,"F")</f>
      </c>
      <c r="BB108" s="17">
        <f>COUNTIF(U108:AY108,"E")</f>
      </c>
    </row>
    <row r="109" spans="1:54" ht="15.75" customHeight="1" x14ac:dyDescent="0.2">
      <c r="A109" s="84"/>
      <c r="B109" s="85"/>
      <c r="C109" s="85"/>
      <c r="D109" s="85"/>
      <c r="E109" s="86"/>
      <c r="F109" s="16">
        <f>IF(E109="","",DATEDIF(E109,$I$7,"Y"))</f>
      </c>
      <c r="G109" s="85"/>
      <c r="H109" s="85"/>
      <c r="I109" s="87"/>
      <c r="J109" s="85"/>
      <c r="K109" s="85"/>
      <c r="L109" s="2"/>
      <c r="M109" s="2"/>
      <c r="N109" s="1"/>
      <c r="O109" s="1"/>
      <c r="P109" s="85"/>
      <c r="Q109" s="88"/>
      <c r="R109" s="3">
        <f>IFERROR(VLOOKUP(TablaAbril[[#This Row],[BARRIO]],SECTOR!$A:$B,2,0),"")</f>
      </c>
      <c r="S109" s="89"/>
      <c r="T109" s="90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6"/>
      <c r="AZ109" s="30">
        <f>COUNTIF(U109:AY109,"A")</f>
      </c>
      <c r="BA109" s="17">
        <f>COUNTIF(U109:AY109,"F")</f>
      </c>
      <c r="BB109" s="17">
        <f>COUNTIF(U109:AY109,"E")</f>
      </c>
    </row>
    <row r="110" spans="1:54" ht="15.75" customHeight="1" x14ac:dyDescent="0.2">
      <c r="A110" s="84"/>
      <c r="B110" s="85"/>
      <c r="C110" s="85"/>
      <c r="D110" s="85"/>
      <c r="E110" s="86"/>
      <c r="F110" s="16">
        <f>IF(E110="","",DATEDIF(E110,$I$7,"Y"))</f>
      </c>
      <c r="G110" s="85"/>
      <c r="H110" s="85"/>
      <c r="I110" s="87"/>
      <c r="J110" s="85"/>
      <c r="K110" s="85"/>
      <c r="L110" s="2"/>
      <c r="M110" s="2"/>
      <c r="N110" s="1"/>
      <c r="O110" s="1"/>
      <c r="P110" s="85"/>
      <c r="Q110" s="88"/>
      <c r="R110" s="3">
        <f>IFERROR(VLOOKUP(TablaAbril[[#This Row],[BARRIO]],SECTOR!$A:$B,2,0),"")</f>
      </c>
      <c r="S110" s="89"/>
      <c r="T110" s="90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6"/>
      <c r="AZ110" s="30">
        <f>COUNTIF(U110:AY110,"A")</f>
      </c>
      <c r="BA110" s="17">
        <f>COUNTIF(U110:AY110,"F")</f>
      </c>
      <c r="BB110" s="17">
        <f>COUNTIF(U110:AY110,"E")</f>
      </c>
    </row>
    <row r="111" spans="1:54" ht="15.75" customHeight="1" x14ac:dyDescent="0.2">
      <c r="A111" s="84"/>
      <c r="B111" s="85"/>
      <c r="C111" s="85"/>
      <c r="D111" s="85"/>
      <c r="E111" s="86"/>
      <c r="F111" s="16">
        <f>IF(E111="","",DATEDIF(E111,$I$7,"Y"))</f>
      </c>
      <c r="G111" s="85"/>
      <c r="H111" s="85"/>
      <c r="I111" s="87"/>
      <c r="J111" s="85"/>
      <c r="K111" s="85"/>
      <c r="L111" s="2"/>
      <c r="M111" s="2"/>
      <c r="N111" s="1"/>
      <c r="O111" s="1"/>
      <c r="P111" s="85"/>
      <c r="Q111" s="88"/>
      <c r="R111" s="3">
        <f>IFERROR(VLOOKUP(TablaAbril[[#This Row],[BARRIO]],SECTOR!$A:$B,2,0),"")</f>
      </c>
      <c r="S111" s="89"/>
      <c r="T111" s="90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6"/>
      <c r="AZ111" s="30">
        <f>COUNTIF(U111:AY111,"A")</f>
      </c>
      <c r="BA111" s="17">
        <f>COUNTIF(U111:AY111,"F")</f>
      </c>
      <c r="BB111" s="17">
        <f>COUNTIF(U111:AY111,"E")</f>
      </c>
    </row>
    <row r="112" spans="1:54" ht="15.75" customHeight="1" x14ac:dyDescent="0.2">
      <c r="A112" s="84"/>
      <c r="B112" s="85"/>
      <c r="C112" s="85"/>
      <c r="D112" s="85"/>
      <c r="E112" s="86"/>
      <c r="F112" s="16">
        <f>IF(E112="","",DATEDIF(E112,$I$7,"Y"))</f>
      </c>
      <c r="G112" s="85"/>
      <c r="H112" s="85"/>
      <c r="I112" s="87"/>
      <c r="J112" s="85"/>
      <c r="K112" s="85"/>
      <c r="L112" s="2"/>
      <c r="M112" s="2"/>
      <c r="N112" s="1"/>
      <c r="O112" s="1"/>
      <c r="P112" s="85"/>
      <c r="Q112" s="88"/>
      <c r="R112" s="3">
        <f>IFERROR(VLOOKUP(TablaAbril[[#This Row],[BARRIO]],SECTOR!$A:$B,2,0),"")</f>
      </c>
      <c r="S112" s="89"/>
      <c r="T112" s="90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6"/>
      <c r="AZ112" s="30">
        <f>COUNTIF(U112:AY112,"A")</f>
      </c>
      <c r="BA112" s="17">
        <f>COUNTIF(U112:AY112,"F")</f>
      </c>
      <c r="BB112" s="17">
        <f>COUNTIF(U112:AY112,"E")</f>
      </c>
    </row>
    <row r="113" spans="1:54" ht="15.75" customHeight="1" x14ac:dyDescent="0.2">
      <c r="A113" s="84"/>
      <c r="B113" s="85"/>
      <c r="C113" s="85"/>
      <c r="D113" s="85"/>
      <c r="E113" s="86"/>
      <c r="F113" s="16">
        <f>IF(E113="","",DATEDIF(E113,$I$7,"Y"))</f>
      </c>
      <c r="G113" s="85"/>
      <c r="H113" s="85"/>
      <c r="I113" s="87"/>
      <c r="J113" s="85"/>
      <c r="K113" s="85"/>
      <c r="L113" s="2"/>
      <c r="M113" s="2"/>
      <c r="N113" s="1"/>
      <c r="O113" s="1"/>
      <c r="P113" s="85"/>
      <c r="Q113" s="88"/>
      <c r="R113" s="3">
        <f>IFERROR(VLOOKUP(TablaAbril[[#This Row],[BARRIO]],SECTOR!$A:$B,2,0),"")</f>
      </c>
      <c r="S113" s="89"/>
      <c r="T113" s="90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6"/>
      <c r="AZ113" s="30">
        <f>COUNTIF(U113:AY113,"A")</f>
      </c>
      <c r="BA113" s="17">
        <f>COUNTIF(U113:AY113,"F")</f>
      </c>
      <c r="BB113" s="17">
        <f>COUNTIF(U113:AY113,"E")</f>
      </c>
    </row>
    <row r="114" spans="1:54" ht="15.75" customHeight="1" x14ac:dyDescent="0.2">
      <c r="A114" s="84"/>
      <c r="B114" s="85"/>
      <c r="C114" s="85"/>
      <c r="D114" s="85"/>
      <c r="E114" s="86"/>
      <c r="F114" s="16">
        <f>IF(E114="","",DATEDIF(E114,$I$7,"Y"))</f>
      </c>
      <c r="G114" s="85"/>
      <c r="H114" s="85"/>
      <c r="I114" s="87"/>
      <c r="J114" s="85"/>
      <c r="K114" s="85"/>
      <c r="L114" s="2"/>
      <c r="M114" s="2"/>
      <c r="N114" s="1"/>
      <c r="O114" s="1"/>
      <c r="P114" s="85"/>
      <c r="Q114" s="88"/>
      <c r="R114" s="3">
        <f>IFERROR(VLOOKUP(TablaAbril[[#This Row],[BARRIO]],SECTOR!$A:$B,2,0),"")</f>
      </c>
      <c r="S114" s="89"/>
      <c r="T114" s="90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6"/>
      <c r="AZ114" s="30">
        <f>COUNTIF(U114:AY114,"A")</f>
      </c>
      <c r="BA114" s="17">
        <f>COUNTIF(U114:AY114,"F")</f>
      </c>
      <c r="BB114" s="17">
        <f>COUNTIF(U114:AY114,"E")</f>
      </c>
    </row>
    <row r="115" spans="1:54" ht="15.75" customHeight="1" x14ac:dyDescent="0.2">
      <c r="A115" s="84"/>
      <c r="B115" s="85"/>
      <c r="C115" s="85"/>
      <c r="D115" s="85"/>
      <c r="E115" s="86"/>
      <c r="F115" s="16">
        <f>IF(E115="","",DATEDIF(E115,$I$7,"Y"))</f>
      </c>
      <c r="G115" s="85"/>
      <c r="H115" s="85"/>
      <c r="I115" s="87"/>
      <c r="J115" s="85"/>
      <c r="K115" s="85"/>
      <c r="L115" s="2"/>
      <c r="M115" s="2"/>
      <c r="N115" s="1"/>
      <c r="O115" s="1"/>
      <c r="P115" s="85"/>
      <c r="Q115" s="88"/>
      <c r="R115" s="3">
        <f>IFERROR(VLOOKUP(TablaAbril[[#This Row],[BARRIO]],SECTOR!$A:$B,2,0),"")</f>
      </c>
      <c r="S115" s="89"/>
      <c r="T115" s="90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6"/>
      <c r="AZ115" s="30">
        <f>COUNTIF(U115:AY115,"A")</f>
      </c>
      <c r="BA115" s="17">
        <f>COUNTIF(U115:AY115,"F")</f>
      </c>
      <c r="BB115" s="17">
        <f>COUNTIF(U115:AY115,"E")</f>
      </c>
    </row>
    <row r="116" spans="1:54" ht="15.75" customHeight="1" x14ac:dyDescent="0.2">
      <c r="A116" s="84"/>
      <c r="B116" s="85"/>
      <c r="C116" s="85"/>
      <c r="D116" s="85"/>
      <c r="E116" s="86"/>
      <c r="F116" s="16">
        <f>IF(E116="","",DATEDIF(E116,$I$7,"Y"))</f>
      </c>
      <c r="G116" s="85"/>
      <c r="H116" s="85"/>
      <c r="I116" s="87"/>
      <c r="J116" s="85"/>
      <c r="K116" s="85"/>
      <c r="L116" s="2"/>
      <c r="M116" s="2"/>
      <c r="N116" s="1"/>
      <c r="O116" s="1"/>
      <c r="P116" s="85"/>
      <c r="Q116" s="88"/>
      <c r="R116" s="3">
        <f>IFERROR(VLOOKUP(TablaAbril[[#This Row],[BARRIO]],SECTOR!$A:$B,2,0),"")</f>
      </c>
      <c r="S116" s="89"/>
      <c r="T116" s="90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6"/>
      <c r="AZ116" s="30">
        <f>COUNTIF(U116:AY116,"A")</f>
      </c>
      <c r="BA116" s="17">
        <f>COUNTIF(U116:AY116,"F")</f>
      </c>
      <c r="BB116" s="17">
        <f>COUNTIF(U116:AY116,"E")</f>
      </c>
    </row>
    <row r="117" spans="1:54" ht="15.75" customHeight="1" x14ac:dyDescent="0.2">
      <c r="A117" s="84"/>
      <c r="B117" s="85"/>
      <c r="C117" s="85"/>
      <c r="D117" s="85"/>
      <c r="E117" s="86"/>
      <c r="F117" s="16">
        <f>IF(E117="","",DATEDIF(E117,$I$7,"Y"))</f>
      </c>
      <c r="G117" s="85"/>
      <c r="H117" s="85"/>
      <c r="I117" s="87"/>
      <c r="J117" s="85"/>
      <c r="K117" s="85"/>
      <c r="L117" s="2"/>
      <c r="M117" s="2"/>
      <c r="N117" s="1"/>
      <c r="O117" s="1"/>
      <c r="P117" s="85"/>
      <c r="Q117" s="88"/>
      <c r="R117" s="3">
        <f>IFERROR(VLOOKUP(TablaAbril[[#This Row],[BARRIO]],SECTOR!$A:$B,2,0),"")</f>
      </c>
      <c r="S117" s="89"/>
      <c r="T117" s="90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6"/>
      <c r="AZ117" s="30">
        <f>COUNTIF(U117:AY117,"A")</f>
      </c>
      <c r="BA117" s="17">
        <f>COUNTIF(U117:AY117,"F")</f>
      </c>
      <c r="BB117" s="17">
        <f>COUNTIF(U117:AY117,"E")</f>
      </c>
    </row>
    <row r="118" spans="1:54" ht="15.75" customHeight="1" x14ac:dyDescent="0.2">
      <c r="A118" s="84"/>
      <c r="B118" s="85"/>
      <c r="C118" s="85"/>
      <c r="D118" s="85"/>
      <c r="E118" s="86"/>
      <c r="F118" s="16">
        <f>IF(E118="","",DATEDIF(E118,$I$7,"Y"))</f>
      </c>
      <c r="G118" s="85"/>
      <c r="H118" s="85"/>
      <c r="I118" s="87"/>
      <c r="J118" s="85"/>
      <c r="K118" s="85"/>
      <c r="L118" s="2"/>
      <c r="M118" s="2"/>
      <c r="N118" s="1"/>
      <c r="O118" s="1"/>
      <c r="P118" s="85"/>
      <c r="Q118" s="88"/>
      <c r="R118" s="3">
        <f>IFERROR(VLOOKUP(TablaAbril[[#This Row],[BARRIO]],SECTOR!$A:$B,2,0),"")</f>
      </c>
      <c r="S118" s="89"/>
      <c r="T118" s="90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6"/>
      <c r="AZ118" s="30">
        <f>COUNTIF(U118:AY118,"A")</f>
      </c>
      <c r="BA118" s="17">
        <f>COUNTIF(U118:AY118,"F")</f>
      </c>
      <c r="BB118" s="17">
        <f>COUNTIF(U118:AY118,"E")</f>
      </c>
    </row>
    <row r="119" spans="1:54" ht="15.75" customHeight="1" x14ac:dyDescent="0.2">
      <c r="A119" s="84"/>
      <c r="B119" s="85"/>
      <c r="C119" s="85"/>
      <c r="D119" s="85"/>
      <c r="E119" s="86"/>
      <c r="F119" s="16">
        <f>IF(E119="","",DATEDIF(E119,$I$7,"Y"))</f>
      </c>
      <c r="G119" s="85"/>
      <c r="H119" s="85"/>
      <c r="I119" s="87"/>
      <c r="J119" s="85"/>
      <c r="K119" s="85"/>
      <c r="L119" s="2"/>
      <c r="M119" s="2"/>
      <c r="N119" s="1"/>
      <c r="O119" s="1"/>
      <c r="P119" s="85"/>
      <c r="Q119" s="88"/>
      <c r="R119" s="3">
        <f>IFERROR(VLOOKUP(TablaAbril[[#This Row],[BARRIO]],SECTOR!$A:$B,2,0),"")</f>
      </c>
      <c r="S119" s="89"/>
      <c r="T119" s="90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6"/>
      <c r="AZ119" s="30">
        <f>COUNTIF(U119:AY119,"A")</f>
      </c>
      <c r="BA119" s="17">
        <f>COUNTIF(U119:AY119,"F")</f>
      </c>
      <c r="BB119" s="17">
        <f>COUNTIF(U119:AY119,"E")</f>
      </c>
    </row>
    <row r="120" spans="1:54" ht="15.75" customHeight="1" x14ac:dyDescent="0.2">
      <c r="A120" s="84"/>
      <c r="B120" s="85"/>
      <c r="C120" s="85"/>
      <c r="D120" s="85"/>
      <c r="E120" s="86"/>
      <c r="F120" s="16">
        <f>IF(E120="","",DATEDIF(E120,$I$7,"Y"))</f>
      </c>
      <c r="G120" s="85"/>
      <c r="H120" s="85"/>
      <c r="I120" s="87"/>
      <c r="J120" s="85"/>
      <c r="K120" s="85"/>
      <c r="L120" s="2"/>
      <c r="M120" s="2"/>
      <c r="N120" s="1"/>
      <c r="O120" s="1"/>
      <c r="P120" s="85"/>
      <c r="Q120" s="88"/>
      <c r="R120" s="3">
        <f>IFERROR(VLOOKUP(TablaAbril[[#This Row],[BARRIO]],SECTOR!$A:$B,2,0),"")</f>
      </c>
      <c r="S120" s="89"/>
      <c r="T120" s="90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6"/>
      <c r="AZ120" s="30">
        <f>COUNTIF(U120:AY120,"A")</f>
      </c>
      <c r="BA120" s="17">
        <f>COUNTIF(U120:AY120,"F")</f>
      </c>
      <c r="BB120" s="17">
        <f>COUNTIF(U120:AY120,"E")</f>
      </c>
    </row>
    <row r="121" spans="1:54" ht="15.75" customHeight="1" x14ac:dyDescent="0.2">
      <c r="A121" s="84"/>
      <c r="B121" s="85"/>
      <c r="C121" s="85"/>
      <c r="D121" s="85"/>
      <c r="E121" s="86"/>
      <c r="F121" s="16">
        <f>IF(E121="","",DATEDIF(E121,$I$7,"Y"))</f>
      </c>
      <c r="G121" s="85"/>
      <c r="H121" s="85"/>
      <c r="I121" s="87"/>
      <c r="J121" s="85"/>
      <c r="K121" s="85"/>
      <c r="L121" s="2"/>
      <c r="M121" s="2"/>
      <c r="N121" s="1"/>
      <c r="O121" s="1"/>
      <c r="P121" s="85"/>
      <c r="Q121" s="88"/>
      <c r="R121" s="3">
        <f>IFERROR(VLOOKUP(TablaAbril[[#This Row],[BARRIO]],SECTOR!$A:$B,2,0),"")</f>
      </c>
      <c r="S121" s="89"/>
      <c r="T121" s="90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6"/>
      <c r="AZ121" s="30">
        <f>COUNTIF(U121:AY121,"A")</f>
      </c>
      <c r="BA121" s="17">
        <f>COUNTIF(U121:AY121,"F")</f>
      </c>
      <c r="BB121" s="17">
        <f>COUNTIF(U121:AY121,"E")</f>
      </c>
    </row>
    <row r="122" spans="1:54" ht="15.75" customHeight="1" x14ac:dyDescent="0.2">
      <c r="A122" s="84"/>
      <c r="B122" s="85"/>
      <c r="C122" s="85"/>
      <c r="D122" s="85"/>
      <c r="E122" s="86"/>
      <c r="F122" s="16">
        <f>IF(E122="","",DATEDIF(E122,$I$7,"Y"))</f>
      </c>
      <c r="G122" s="85"/>
      <c r="H122" s="85"/>
      <c r="I122" s="87"/>
      <c r="J122" s="85"/>
      <c r="K122" s="85"/>
      <c r="L122" s="2"/>
      <c r="M122" s="2"/>
      <c r="N122" s="1"/>
      <c r="O122" s="1"/>
      <c r="P122" s="85"/>
      <c r="Q122" s="88"/>
      <c r="R122" s="3">
        <f>IFERROR(VLOOKUP(TablaAbril[[#This Row],[BARRIO]],SECTOR!$A:$B,2,0),"")</f>
      </c>
      <c r="S122" s="89"/>
      <c r="T122" s="90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30">
        <f>COUNTIF(U122:AY122,"A")</f>
      </c>
      <c r="BA122" s="17">
        <f>COUNTIF(U122:AY122,"F")</f>
      </c>
      <c r="BB122" s="17">
        <f>COUNTIF(U122:AY122,"E")</f>
      </c>
    </row>
    <row r="123" spans="1:54" x14ac:dyDescent="0.2">
      <c r="A123" s="100"/>
      <c r="B123" s="101"/>
      <c r="C123" s="101"/>
      <c r="D123" s="101"/>
      <c r="E123" s="102"/>
      <c r="F123" s="16">
        <f>IF(E123="","",DATEDIF(E123,$I$7,"Y"))</f>
      </c>
      <c r="G123" s="101"/>
      <c r="H123" s="101"/>
      <c r="I123" s="103"/>
      <c r="J123" s="101"/>
      <c r="K123" s="101"/>
      <c r="L123" s="10"/>
      <c r="M123" s="10"/>
      <c r="N123" s="10"/>
      <c r="O123" s="10"/>
      <c r="P123" s="101"/>
      <c r="Q123" s="88"/>
      <c r="R123" s="3">
        <f>IFERROR(VLOOKUP(TablaAbril[[#This Row],[BARRIO]],SECTOR!$A:$B,2,0),"")</f>
      </c>
      <c r="S123" s="104"/>
      <c r="T123" s="10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7"/>
      <c r="AZ123" s="30">
        <f>COUNTIF(U123:AY123,"A")</f>
      </c>
      <c r="BA123" s="32">
        <f>COUNTIF(U123:AY123,"F")</f>
      </c>
      <c r="BB123" s="118">
        <f>COUNTIF(U123:AY123,"E")</f>
      </c>
    </row>
    <row r="124" spans="1:54" x14ac:dyDescent="0.2">
      <c r="A124" s="100"/>
      <c r="B124" s="101"/>
      <c r="C124" s="101"/>
      <c r="D124" s="101"/>
      <c r="E124" s="102"/>
      <c r="F124" s="16">
        <f>IF(E124="","",DATEDIF(E124,$I$7,"Y"))</f>
      </c>
      <c r="G124" s="101"/>
      <c r="H124" s="101"/>
      <c r="I124" s="103"/>
      <c r="J124" s="101"/>
      <c r="K124" s="101"/>
      <c r="L124" s="10"/>
      <c r="M124" s="10"/>
      <c r="N124" s="10"/>
      <c r="O124" s="10"/>
      <c r="P124" s="101"/>
      <c r="Q124" s="88"/>
      <c r="R124" s="3">
        <f>IFERROR(VLOOKUP(TablaAbril[[#This Row],[BARRIO]],SECTOR!$A:$B,2,0),"")</f>
      </c>
      <c r="S124" s="104"/>
      <c r="T124" s="10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7"/>
      <c r="AZ124" s="30">
        <f>COUNTIF(U124:AY124,"A")</f>
      </c>
      <c r="BA124" s="32">
        <f>COUNTIF(U124:AY124,"F")</f>
      </c>
      <c r="BB124" s="118">
        <f>COUNTIF(U124:AY124,"E")</f>
      </c>
    </row>
    <row r="125" spans="1:54" x14ac:dyDescent="0.2">
      <c r="A125" s="100"/>
      <c r="B125" s="106"/>
      <c r="C125" s="101"/>
      <c r="D125" s="101"/>
      <c r="E125" s="102"/>
      <c r="F125" s="16">
        <f>IF(E125="","",DATEDIF(E125,$I$7,"Y"))</f>
      </c>
      <c r="G125" s="101"/>
      <c r="H125" s="101"/>
      <c r="I125" s="103"/>
      <c r="J125" s="101"/>
      <c r="K125" s="101"/>
      <c r="L125" s="10"/>
      <c r="M125" s="10"/>
      <c r="N125" s="10"/>
      <c r="O125" s="10"/>
      <c r="P125" s="101"/>
      <c r="Q125" s="88"/>
      <c r="R125" s="3">
        <f>IFERROR(VLOOKUP(TablaAbril[[#This Row],[BARRIO]],SECTOR!$A:$B,2,0),"")</f>
      </c>
      <c r="S125" s="104"/>
      <c r="T125" s="10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7"/>
      <c r="AZ125" s="30">
        <f>COUNTIF(U125:AY125,"A")</f>
      </c>
      <c r="BA125" s="32">
        <f>COUNTIF(U125:AY125,"F")</f>
      </c>
      <c r="BB125" s="118">
        <f>COUNTIF(U125:AY125,"E")</f>
      </c>
    </row>
    <row r="126" spans="1:54" x14ac:dyDescent="0.2">
      <c r="A126" s="84"/>
      <c r="B126" s="107"/>
      <c r="C126" s="85"/>
      <c r="D126" s="85"/>
      <c r="E126" s="86"/>
      <c r="F126" s="16">
        <f>IF(E126="","",DATEDIF(E126,$I$7,"Y"))</f>
      </c>
      <c r="G126" s="85"/>
      <c r="H126" s="85"/>
      <c r="I126" s="87"/>
      <c r="J126" s="85"/>
      <c r="K126" s="85"/>
      <c r="L126" s="10"/>
      <c r="M126" s="10"/>
      <c r="N126" s="10"/>
      <c r="O126" s="10"/>
      <c r="P126" s="85"/>
      <c r="Q126" s="88"/>
      <c r="R126" s="3">
        <f>IFERROR(VLOOKUP(TablaAbril[[#This Row],[BARRIO]],SECTOR!$A:$B,2,0),"")</f>
      </c>
      <c r="S126" s="89"/>
      <c r="T126" s="90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6"/>
      <c r="AZ126" s="30">
        <f>COUNTIF(U126:AY126,"A")</f>
      </c>
      <c r="BA126" s="32">
        <f>COUNTIF(U126:AY126,"F")</f>
      </c>
      <c r="BB126" s="119">
        <f>COUNTIF(U126:AY126,"E")</f>
      </c>
    </row>
    <row r="127" spans="1:54" x14ac:dyDescent="0.2">
      <c r="A127" s="84"/>
      <c r="B127" s="107"/>
      <c r="C127" s="85"/>
      <c r="D127" s="85"/>
      <c r="E127" s="86"/>
      <c r="F127" s="16">
        <f>IF(E127="","",DATEDIF(E127,$I$7,"Y"))</f>
      </c>
      <c r="G127" s="85"/>
      <c r="H127" s="85"/>
      <c r="I127" s="87"/>
      <c r="J127" s="85"/>
      <c r="K127" s="85"/>
      <c r="L127" s="10"/>
      <c r="M127" s="10"/>
      <c r="N127" s="10"/>
      <c r="O127" s="10"/>
      <c r="P127" s="85"/>
      <c r="Q127" s="88"/>
      <c r="R127" s="3">
        <f>IFERROR(VLOOKUP(TablaAbril[[#This Row],[BARRIO]],SECTOR!$A:$B,2,0),"")</f>
      </c>
      <c r="S127" s="89"/>
      <c r="T127" s="90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6"/>
      <c r="AZ127" s="120">
        <f>COUNTIF(U127:AY127,"A")</f>
      </c>
      <c r="BA127" s="121">
        <f>COUNTIF(U127:AY127,"F")</f>
      </c>
      <c r="BB127" s="119">
        <f>COUNTIF(U127:AY127,"E")</f>
      </c>
    </row>
    <row r="128" spans="1:54" x14ac:dyDescent="0.2">
      <c r="A128" s="84"/>
      <c r="B128" s="107"/>
      <c r="C128" s="85"/>
      <c r="D128" s="85"/>
      <c r="E128" s="86"/>
      <c r="F128" s="16">
        <f>IF(E128="","",DATEDIF(E128,$I$7,"Y"))</f>
      </c>
      <c r="G128" s="85"/>
      <c r="H128" s="85"/>
      <c r="I128" s="87"/>
      <c r="J128" s="85"/>
      <c r="K128" s="85"/>
      <c r="L128" s="10"/>
      <c r="M128" s="10"/>
      <c r="N128" s="10"/>
      <c r="O128" s="10"/>
      <c r="P128" s="85"/>
      <c r="Q128" s="88"/>
      <c r="R128" s="3">
        <f>IFERROR(VLOOKUP(TablaAbril[[#This Row],[BARRIO]],SECTOR!$A:$B,2,0),"")</f>
      </c>
      <c r="S128" s="89"/>
      <c r="T128" s="90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6"/>
      <c r="AZ128" s="120">
        <f>COUNTIF(U128:AY128,"A")</f>
      </c>
      <c r="BA128" s="121">
        <f>COUNTIF(U128:AY128,"F")</f>
      </c>
      <c r="BB128" s="119">
        <f>COUNTIF(U128:AY128,"E")</f>
      </c>
    </row>
    <row r="129" spans="1:54" x14ac:dyDescent="0.2">
      <c r="A129" s="84"/>
      <c r="B129" s="107"/>
      <c r="C129" s="85"/>
      <c r="D129" s="85"/>
      <c r="E129" s="86"/>
      <c r="F129" s="16">
        <f>IF(E129="","",DATEDIF(E129,$I$7,"Y"))</f>
      </c>
      <c r="G129" s="85"/>
      <c r="H129" s="85"/>
      <c r="I129" s="87"/>
      <c r="J129" s="85"/>
      <c r="K129" s="85"/>
      <c r="L129" s="10"/>
      <c r="M129" s="10"/>
      <c r="N129" s="10"/>
      <c r="O129" s="10"/>
      <c r="P129" s="85"/>
      <c r="Q129" s="88"/>
      <c r="R129" s="3">
        <f>IFERROR(VLOOKUP(TablaAbril[[#This Row],[BARRIO]],SECTOR!$A:$B,2,0),"")</f>
      </c>
      <c r="S129" s="89"/>
      <c r="T129" s="90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6"/>
      <c r="AZ129" s="120">
        <f>COUNTIF(U129:AY129,"A")</f>
      </c>
      <c r="BA129" s="121">
        <f>COUNTIF(U129:AY129,"F")</f>
      </c>
      <c r="BB129" s="119">
        <f>COUNTIF(U129:AY129,"E")</f>
      </c>
    </row>
    <row r="130" spans="1:54" x14ac:dyDescent="0.2">
      <c r="A130" s="84"/>
      <c r="B130" s="107"/>
      <c r="C130" s="85"/>
      <c r="D130" s="85"/>
      <c r="E130" s="86"/>
      <c r="F130" s="16">
        <f>IF(E130="","",DATEDIF(E130,$I$7,"Y"))</f>
      </c>
      <c r="G130" s="85"/>
      <c r="H130" s="85"/>
      <c r="I130" s="87"/>
      <c r="J130" s="85"/>
      <c r="K130" s="85"/>
      <c r="L130" s="10"/>
      <c r="M130" s="10"/>
      <c r="N130" s="10"/>
      <c r="O130" s="10"/>
      <c r="P130" s="85"/>
      <c r="Q130" s="88"/>
      <c r="R130" s="3">
        <f>IFERROR(VLOOKUP(TablaAbril[[#This Row],[BARRIO]],SECTOR!$A:$B,2,0),"")</f>
      </c>
      <c r="S130" s="89"/>
      <c r="T130" s="90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6"/>
      <c r="AZ130" s="120">
        <f>COUNTIF(U130:AY130,"A")</f>
      </c>
      <c r="BA130" s="121">
        <f>COUNTIF(U130:AY130,"F")</f>
      </c>
      <c r="BB130" s="119">
        <f>COUNTIF(U130:AY130,"E")</f>
      </c>
    </row>
    <row r="131" spans="1:54" x14ac:dyDescent="0.2">
      <c r="A131" s="84"/>
      <c r="B131" s="107"/>
      <c r="C131" s="85"/>
      <c r="D131" s="85"/>
      <c r="E131" s="86"/>
      <c r="F131" s="16">
        <f>IF(E131="","",DATEDIF(E131,$I$7,"Y"))</f>
      </c>
      <c r="G131" s="85"/>
      <c r="H131" s="85"/>
      <c r="I131" s="87"/>
      <c r="J131" s="85"/>
      <c r="K131" s="85"/>
      <c r="L131" s="10"/>
      <c r="M131" s="10"/>
      <c r="N131" s="10"/>
      <c r="O131" s="10"/>
      <c r="P131" s="85"/>
      <c r="Q131" s="88"/>
      <c r="R131" s="3">
        <f>IFERROR(VLOOKUP(TablaAbril[[#This Row],[BARRIO]],SECTOR!$A:$B,2,0),"")</f>
      </c>
      <c r="S131" s="89"/>
      <c r="T131" s="90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6"/>
      <c r="AZ131" s="120">
        <f>COUNTIF(U131:AY131,"A")</f>
      </c>
      <c r="BA131" s="121">
        <f>COUNTIF(U131:AY131,"F")</f>
      </c>
      <c r="BB131" s="119">
        <f>COUNTIF(U131:AY131,"E")</f>
      </c>
    </row>
    <row r="132" spans="1:54" x14ac:dyDescent="0.2">
      <c r="A132" s="84"/>
      <c r="B132" s="107"/>
      <c r="C132" s="85"/>
      <c r="D132" s="85"/>
      <c r="E132" s="86"/>
      <c r="F132" s="16">
        <f>IF(E132="","",DATEDIF(E132,$I$7,"Y"))</f>
      </c>
      <c r="G132" s="85"/>
      <c r="H132" s="85"/>
      <c r="I132" s="87"/>
      <c r="J132" s="85"/>
      <c r="K132" s="85"/>
      <c r="L132" s="10"/>
      <c r="M132" s="10"/>
      <c r="N132" s="10"/>
      <c r="O132" s="10"/>
      <c r="P132" s="85"/>
      <c r="Q132" s="88"/>
      <c r="R132" s="3">
        <f>IFERROR(VLOOKUP(TablaAbril[[#This Row],[BARRIO]],SECTOR!$A:$B,2,0),"")</f>
      </c>
      <c r="S132" s="89"/>
      <c r="T132" s="90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6"/>
      <c r="AZ132" s="120">
        <f>COUNTIF(U132:AY132,"A")</f>
      </c>
      <c r="BA132" s="121">
        <f>COUNTIF(U132:AY132,"F")</f>
      </c>
      <c r="BB132" s="119">
        <f>COUNTIF(U132:AY132,"E")</f>
      </c>
    </row>
    <row r="133" spans="1:54" x14ac:dyDescent="0.2">
      <c r="A133" s="84"/>
      <c r="B133" s="107"/>
      <c r="C133" s="85"/>
      <c r="D133" s="85"/>
      <c r="E133" s="86"/>
      <c r="F133" s="16">
        <f>IF(E133="","",DATEDIF(E133,$I$7,"Y"))</f>
      </c>
      <c r="G133" s="85"/>
      <c r="H133" s="85"/>
      <c r="I133" s="87"/>
      <c r="J133" s="85"/>
      <c r="K133" s="85"/>
      <c r="L133" s="10"/>
      <c r="M133" s="10"/>
      <c r="N133" s="10"/>
      <c r="O133" s="10"/>
      <c r="P133" s="85"/>
      <c r="Q133" s="88"/>
      <c r="R133" s="3">
        <f>IFERROR(VLOOKUP(TablaAbril[[#This Row],[BARRIO]],SECTOR!$A:$B,2,0),"")</f>
      </c>
      <c r="S133" s="89"/>
      <c r="T133" s="90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6"/>
      <c r="AZ133" s="120">
        <f>COUNTIF(U133:AY133,"A")</f>
      </c>
      <c r="BA133" s="121">
        <f>COUNTIF(U133:AY133,"F")</f>
      </c>
      <c r="BB133" s="119">
        <f>COUNTIF(U133:AY133,"E")</f>
      </c>
    </row>
    <row r="134" spans="1:54" x14ac:dyDescent="0.2">
      <c r="A134" s="84"/>
      <c r="B134" s="107"/>
      <c r="C134" s="85"/>
      <c r="D134" s="85"/>
      <c r="E134" s="86"/>
      <c r="F134" s="16">
        <f>IF(E134="","",DATEDIF(E134,$I$7,"Y"))</f>
      </c>
      <c r="G134" s="85"/>
      <c r="H134" s="85"/>
      <c r="I134" s="87"/>
      <c r="J134" s="85"/>
      <c r="K134" s="85"/>
      <c r="L134" s="10"/>
      <c r="M134" s="10"/>
      <c r="N134" s="10"/>
      <c r="O134" s="10"/>
      <c r="P134" s="85"/>
      <c r="Q134" s="88"/>
      <c r="R134" s="3">
        <f>IFERROR(VLOOKUP(TablaAbril[[#This Row],[BARRIO]],SECTOR!$A:$B,2,0),"")</f>
      </c>
      <c r="S134" s="89"/>
      <c r="T134" s="90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6"/>
      <c r="AZ134" s="120">
        <f>COUNTIF(U134:AY134,"A")</f>
      </c>
      <c r="BA134" s="121">
        <f>COUNTIF(U134:AY134,"F")</f>
      </c>
      <c r="BB134" s="119">
        <f>COUNTIF(U134:AY134,"E")</f>
      </c>
    </row>
    <row r="135" spans="1:54" x14ac:dyDescent="0.2">
      <c r="A135" s="84"/>
      <c r="B135" s="107"/>
      <c r="C135" s="85"/>
      <c r="D135" s="85"/>
      <c r="E135" s="86"/>
      <c r="F135" s="16">
        <f>IF(E135="","",DATEDIF(E135,$I$7,"Y"))</f>
      </c>
      <c r="G135" s="85"/>
      <c r="H135" s="85"/>
      <c r="I135" s="87"/>
      <c r="J135" s="85"/>
      <c r="K135" s="85"/>
      <c r="L135" s="10"/>
      <c r="M135" s="10"/>
      <c r="N135" s="10"/>
      <c r="O135" s="10"/>
      <c r="P135" s="85"/>
      <c r="Q135" s="88"/>
      <c r="R135" s="3">
        <f>IFERROR(VLOOKUP(TablaAbril[[#This Row],[BARRIO]],SECTOR!$A:$B,2,0),"")</f>
      </c>
      <c r="S135" s="89"/>
      <c r="T135" s="90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6"/>
      <c r="AZ135" s="120">
        <f>COUNTIF(U135:AY135,"A")</f>
      </c>
      <c r="BA135" s="121">
        <f>COUNTIF(U135:AY135,"F")</f>
      </c>
      <c r="BB135" s="119">
        <f>COUNTIF(U135:AY135,"E")</f>
      </c>
    </row>
    <row r="136" spans="1:54" x14ac:dyDescent="0.2">
      <c r="A136" s="84"/>
      <c r="B136" s="107"/>
      <c r="C136" s="85"/>
      <c r="D136" s="85"/>
      <c r="E136" s="86"/>
      <c r="F136" s="16">
        <f>IF(E136="","",DATEDIF(E136,$I$7,"Y"))</f>
      </c>
      <c r="G136" s="85"/>
      <c r="H136" s="85"/>
      <c r="I136" s="87"/>
      <c r="J136" s="85"/>
      <c r="K136" s="85"/>
      <c r="L136" s="10"/>
      <c r="M136" s="10"/>
      <c r="N136" s="10"/>
      <c r="O136" s="10"/>
      <c r="P136" s="85"/>
      <c r="Q136" s="88"/>
      <c r="R136" s="3">
        <f>IFERROR(VLOOKUP(TablaAbril[[#This Row],[BARRIO]],SECTOR!$A:$B,2,0),"")</f>
      </c>
      <c r="S136" s="89"/>
      <c r="T136" s="90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6"/>
      <c r="AZ136" s="120">
        <f>COUNTIF(U136:AY136,"A")</f>
      </c>
      <c r="BA136" s="121">
        <f>COUNTIF(U136:AY136,"F")</f>
      </c>
      <c r="BB136" s="119">
        <f>COUNTIF(U136:AY136,"E")</f>
      </c>
    </row>
    <row r="137" spans="1:54" x14ac:dyDescent="0.2">
      <c r="A137" s="84"/>
      <c r="B137" s="107"/>
      <c r="C137" s="85"/>
      <c r="D137" s="85"/>
      <c r="E137" s="86"/>
      <c r="F137" s="16">
        <f>IF(E137="","",DATEDIF(E137,$I$7,"Y"))</f>
      </c>
      <c r="G137" s="85"/>
      <c r="H137" s="85"/>
      <c r="I137" s="87"/>
      <c r="J137" s="85"/>
      <c r="K137" s="85"/>
      <c r="L137" s="10"/>
      <c r="M137" s="10"/>
      <c r="N137" s="10"/>
      <c r="O137" s="10"/>
      <c r="P137" s="85"/>
      <c r="Q137" s="88"/>
      <c r="R137" s="3">
        <f>IFERROR(VLOOKUP(TablaAbril[[#This Row],[BARRIO]],SECTOR!$A:$B,2,0),"")</f>
      </c>
      <c r="S137" s="89"/>
      <c r="T137" s="90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6"/>
      <c r="AZ137" s="120">
        <f>COUNTIF(U137:AY137,"A")</f>
      </c>
      <c r="BA137" s="121">
        <f>COUNTIF(U137:AY137,"F")</f>
      </c>
      <c r="BB137" s="119">
        <f>COUNTIF(U137:AY137,"E")</f>
      </c>
    </row>
    <row r="138" spans="1:54" x14ac:dyDescent="0.2">
      <c r="A138" s="84"/>
      <c r="B138" s="107"/>
      <c r="C138" s="85"/>
      <c r="D138" s="85"/>
      <c r="E138" s="86"/>
      <c r="F138" s="16">
        <f>IF(E138="","",DATEDIF(E138,$I$7,"Y"))</f>
      </c>
      <c r="G138" s="85"/>
      <c r="H138" s="85"/>
      <c r="I138" s="87"/>
      <c r="J138" s="85"/>
      <c r="K138" s="85"/>
      <c r="L138" s="10"/>
      <c r="M138" s="10"/>
      <c r="N138" s="10"/>
      <c r="O138" s="10"/>
      <c r="P138" s="85"/>
      <c r="Q138" s="88"/>
      <c r="R138" s="3">
        <f>IFERROR(VLOOKUP(TablaAbril[[#This Row],[BARRIO]],SECTOR!$A:$B,2,0),"")</f>
      </c>
      <c r="S138" s="89"/>
      <c r="T138" s="90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6"/>
      <c r="AZ138" s="120">
        <f>COUNTIF(U138:AY138,"A")</f>
      </c>
      <c r="BA138" s="121">
        <f>COUNTIF(U138:AY138,"F")</f>
      </c>
      <c r="BB138" s="119">
        <f>COUNTIF(U138:AY138,"E")</f>
      </c>
    </row>
    <row r="139" spans="1:54" x14ac:dyDescent="0.2">
      <c r="A139" s="84"/>
      <c r="B139" s="107"/>
      <c r="C139" s="85"/>
      <c r="D139" s="85"/>
      <c r="E139" s="86"/>
      <c r="F139" s="16">
        <f>IF(E139="","",DATEDIF(E139,$I$7,"Y"))</f>
      </c>
      <c r="G139" s="85"/>
      <c r="H139" s="85"/>
      <c r="I139" s="87"/>
      <c r="J139" s="85"/>
      <c r="K139" s="85"/>
      <c r="L139" s="10"/>
      <c r="M139" s="10"/>
      <c r="N139" s="10"/>
      <c r="O139" s="10"/>
      <c r="P139" s="85"/>
      <c r="Q139" s="88"/>
      <c r="R139" s="3">
        <f>IFERROR(VLOOKUP(TablaAbril[[#This Row],[BARRIO]],SECTOR!$A:$B,2,0),"")</f>
      </c>
      <c r="S139" s="89"/>
      <c r="T139" s="90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6"/>
      <c r="AZ139" s="120">
        <f>COUNTIF(U139:AY139,"A")</f>
      </c>
      <c r="BA139" s="121">
        <f>COUNTIF(U139:AY139,"F")</f>
      </c>
      <c r="BB139" s="119">
        <f>COUNTIF(U139:AY139,"E")</f>
      </c>
    </row>
    <row r="140" spans="1:54" x14ac:dyDescent="0.2">
      <c r="A140" s="84"/>
      <c r="B140" s="107"/>
      <c r="C140" s="85"/>
      <c r="D140" s="85"/>
      <c r="E140" s="86"/>
      <c r="F140" s="16">
        <f>IF(E140="","",DATEDIF(E140,$I$7,"Y"))</f>
      </c>
      <c r="G140" s="85"/>
      <c r="H140" s="85"/>
      <c r="I140" s="87"/>
      <c r="J140" s="85"/>
      <c r="K140" s="85"/>
      <c r="L140" s="10"/>
      <c r="M140" s="10"/>
      <c r="N140" s="10"/>
      <c r="O140" s="10"/>
      <c r="P140" s="85"/>
      <c r="Q140" s="88"/>
      <c r="R140" s="3">
        <f>IFERROR(VLOOKUP(TablaAbril[[#This Row],[BARRIO]],SECTOR!$A:$B,2,0),"")</f>
      </c>
      <c r="S140" s="89"/>
      <c r="T140" s="90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6"/>
      <c r="AZ140" s="120">
        <f>COUNTIF(U140:AY140,"A")</f>
      </c>
      <c r="BA140" s="121">
        <f>COUNTIF(U140:AY140,"F")</f>
      </c>
      <c r="BB140" s="119">
        <f>COUNTIF(U140:AY140,"E")</f>
      </c>
    </row>
    <row r="141" spans="1:54" x14ac:dyDescent="0.2">
      <c r="A141" s="84"/>
      <c r="B141" s="107"/>
      <c r="C141" s="85"/>
      <c r="D141" s="85"/>
      <c r="E141" s="86"/>
      <c r="F141" s="16">
        <f>IF(E141="","",DATEDIF(E141,$I$7,"Y"))</f>
      </c>
      <c r="G141" s="85"/>
      <c r="H141" s="85"/>
      <c r="I141" s="87"/>
      <c r="J141" s="85"/>
      <c r="K141" s="85"/>
      <c r="L141" s="10"/>
      <c r="M141" s="10"/>
      <c r="N141" s="10"/>
      <c r="O141" s="10"/>
      <c r="P141" s="85"/>
      <c r="Q141" s="88"/>
      <c r="R141" s="3">
        <f>IFERROR(VLOOKUP(TablaAbril[[#This Row],[BARRIO]],SECTOR!$A:$B,2,0),"")</f>
      </c>
      <c r="S141" s="89"/>
      <c r="T141" s="90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6"/>
      <c r="AZ141" s="120">
        <f>COUNTIF(U141:AY141,"A")</f>
      </c>
      <c r="BA141" s="121">
        <f>COUNTIF(U141:AY141,"F")</f>
      </c>
      <c r="BB141" s="119">
        <f>COUNTIF(U141:AY141,"E")</f>
      </c>
    </row>
    <row r="142" spans="1:54" x14ac:dyDescent="0.2">
      <c r="A142" s="84"/>
      <c r="B142" s="107"/>
      <c r="C142" s="85"/>
      <c r="D142" s="85"/>
      <c r="E142" s="86"/>
      <c r="F142" s="16">
        <f>IF(E142="","",DATEDIF(E142,$I$7,"Y"))</f>
      </c>
      <c r="G142" s="85"/>
      <c r="H142" s="85"/>
      <c r="I142" s="87"/>
      <c r="J142" s="85"/>
      <c r="K142" s="85"/>
      <c r="L142" s="10"/>
      <c r="M142" s="10"/>
      <c r="N142" s="10"/>
      <c r="O142" s="10"/>
      <c r="P142" s="85"/>
      <c r="Q142" s="88"/>
      <c r="R142" s="3">
        <f>IFERROR(VLOOKUP(TablaAbril[[#This Row],[BARRIO]],SECTOR!$A:$B,2,0),"")</f>
      </c>
      <c r="S142" s="89"/>
      <c r="T142" s="90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6"/>
      <c r="AZ142" s="120">
        <f>COUNTIF(U142:AY142,"A")</f>
      </c>
      <c r="BA142" s="121">
        <f>COUNTIF(U142:AY142,"F")</f>
      </c>
      <c r="BB142" s="119">
        <f>COUNTIF(U142:AY142,"E")</f>
      </c>
    </row>
    <row r="143" spans="1:54" x14ac:dyDescent="0.2">
      <c r="A143" s="84"/>
      <c r="B143" s="107"/>
      <c r="C143" s="85"/>
      <c r="D143" s="85"/>
      <c r="E143" s="86"/>
      <c r="F143" s="16">
        <f>IF(E143="","",DATEDIF(E143,$I$7,"Y"))</f>
      </c>
      <c r="G143" s="85"/>
      <c r="H143" s="85"/>
      <c r="I143" s="87"/>
      <c r="J143" s="85"/>
      <c r="K143" s="85"/>
      <c r="L143" s="10"/>
      <c r="M143" s="10"/>
      <c r="N143" s="10"/>
      <c r="O143" s="10"/>
      <c r="P143" s="85"/>
      <c r="Q143" s="88"/>
      <c r="R143" s="3">
        <f>IFERROR(VLOOKUP(TablaAbril[[#This Row],[BARRIO]],SECTOR!$A:$B,2,0),"")</f>
      </c>
      <c r="S143" s="89"/>
      <c r="T143" s="90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6"/>
      <c r="AZ143" s="120">
        <f>COUNTIF(U143:AY143,"A")</f>
      </c>
      <c r="BA143" s="121">
        <f>COUNTIF(U143:AY143,"F")</f>
      </c>
      <c r="BB143" s="119">
        <f>COUNTIF(U143:AY143,"E")</f>
      </c>
    </row>
    <row r="144" spans="1:54" x14ac:dyDescent="0.2">
      <c r="A144" s="84"/>
      <c r="B144" s="107"/>
      <c r="C144" s="85"/>
      <c r="D144" s="85"/>
      <c r="E144" s="86"/>
      <c r="F144" s="16">
        <f>IF(E144="","",DATEDIF(E144,$I$7,"Y"))</f>
      </c>
      <c r="G144" s="85"/>
      <c r="H144" s="85"/>
      <c r="I144" s="87"/>
      <c r="J144" s="85"/>
      <c r="K144" s="85"/>
      <c r="L144" s="10"/>
      <c r="M144" s="10"/>
      <c r="N144" s="10"/>
      <c r="O144" s="10"/>
      <c r="P144" s="85"/>
      <c r="Q144" s="88"/>
      <c r="R144" s="3">
        <f>IFERROR(VLOOKUP(TablaAbril[[#This Row],[BARRIO]],SECTOR!$A:$B,2,0),"")</f>
      </c>
      <c r="S144" s="89"/>
      <c r="T144" s="90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6"/>
      <c r="AZ144" s="120">
        <f>COUNTIF(U144:AY144,"A")</f>
      </c>
      <c r="BA144" s="121">
        <f>COUNTIF(U144:AY144,"F")</f>
      </c>
      <c r="BB144" s="119">
        <f>COUNTIF(U144:AY144,"E")</f>
      </c>
    </row>
    <row r="145" spans="1:54" x14ac:dyDescent="0.2">
      <c r="A145" s="84"/>
      <c r="B145" s="107"/>
      <c r="C145" s="85"/>
      <c r="D145" s="85"/>
      <c r="E145" s="86"/>
      <c r="F145" s="16">
        <f>IF(E145="","",DATEDIF(E145,$I$7,"Y"))</f>
      </c>
      <c r="G145" s="85"/>
      <c r="H145" s="85"/>
      <c r="I145" s="87"/>
      <c r="J145" s="85"/>
      <c r="K145" s="85"/>
      <c r="L145" s="10"/>
      <c r="M145" s="10"/>
      <c r="N145" s="10"/>
      <c r="O145" s="10"/>
      <c r="P145" s="85"/>
      <c r="Q145" s="88"/>
      <c r="R145" s="3">
        <f>IFERROR(VLOOKUP(TablaAbril[[#This Row],[BARRIO]],SECTOR!$A:$B,2,0),"")</f>
      </c>
      <c r="S145" s="89"/>
      <c r="T145" s="90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6"/>
      <c r="AZ145" s="120">
        <f>COUNTIF(U145:AY145,"A")</f>
      </c>
      <c r="BA145" s="121">
        <f>COUNTIF(U145:AY145,"F")</f>
      </c>
      <c r="BB145" s="119">
        <f>COUNTIF(U145:AY145,"E")</f>
      </c>
    </row>
    <row r="146" spans="1:54" x14ac:dyDescent="0.2">
      <c r="A146" s="84"/>
      <c r="B146" s="107"/>
      <c r="C146" s="85"/>
      <c r="D146" s="85"/>
      <c r="E146" s="86"/>
      <c r="F146" s="16">
        <f>IF(E146="","",DATEDIF(E146,$I$7,"Y"))</f>
      </c>
      <c r="G146" s="85"/>
      <c r="H146" s="85"/>
      <c r="I146" s="87"/>
      <c r="J146" s="85"/>
      <c r="K146" s="85"/>
      <c r="L146" s="10"/>
      <c r="M146" s="10"/>
      <c r="N146" s="10"/>
      <c r="O146" s="10"/>
      <c r="P146" s="85"/>
      <c r="Q146" s="88"/>
      <c r="R146" s="3">
        <f>IFERROR(VLOOKUP(TablaAbril[[#This Row],[BARRIO]],SECTOR!$A:$B,2,0),"")</f>
      </c>
      <c r="S146" s="89"/>
      <c r="T146" s="90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6"/>
      <c r="AZ146" s="120">
        <f>COUNTIF(U146:AY146,"A")</f>
      </c>
      <c r="BA146" s="121">
        <f>COUNTIF(U146:AY146,"F")</f>
      </c>
      <c r="BB146" s="119">
        <f>COUNTIF(U146:AY146,"E")</f>
      </c>
    </row>
    <row r="147" spans="1:54" x14ac:dyDescent="0.2">
      <c r="A147" s="84"/>
      <c r="B147" s="107"/>
      <c r="C147" s="85"/>
      <c r="D147" s="85"/>
      <c r="E147" s="86"/>
      <c r="F147" s="16">
        <f>IF(E147="","",DATEDIF(E147,$I$7,"Y"))</f>
      </c>
      <c r="G147" s="85"/>
      <c r="H147" s="85"/>
      <c r="I147" s="87"/>
      <c r="J147" s="85"/>
      <c r="K147" s="85"/>
      <c r="L147" s="10"/>
      <c r="M147" s="10"/>
      <c r="N147" s="10"/>
      <c r="O147" s="10"/>
      <c r="P147" s="85"/>
      <c r="Q147" s="88"/>
      <c r="R147" s="3">
        <f>IFERROR(VLOOKUP(TablaAbril[[#This Row],[BARRIO]],SECTOR!$A:$B,2,0),"")</f>
      </c>
      <c r="S147" s="89"/>
      <c r="T147" s="90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6"/>
      <c r="AZ147" s="120">
        <f>COUNTIF(U147:AY147,"A")</f>
      </c>
      <c r="BA147" s="121">
        <f>COUNTIF(U147:AY147,"F")</f>
      </c>
      <c r="BB147" s="119">
        <f>COUNTIF(U147:AY147,"E")</f>
      </c>
    </row>
    <row r="148" spans="1:54" x14ac:dyDescent="0.2">
      <c r="A148" s="84"/>
      <c r="B148" s="107"/>
      <c r="C148" s="85"/>
      <c r="D148" s="85"/>
      <c r="E148" s="86"/>
      <c r="F148" s="16">
        <f>IF(E148="","",DATEDIF(E148,$I$7,"Y"))</f>
      </c>
      <c r="G148" s="85"/>
      <c r="H148" s="85"/>
      <c r="I148" s="87"/>
      <c r="J148" s="85"/>
      <c r="K148" s="85"/>
      <c r="L148" s="10"/>
      <c r="M148" s="10"/>
      <c r="N148" s="10"/>
      <c r="O148" s="10"/>
      <c r="P148" s="85"/>
      <c r="Q148" s="88"/>
      <c r="R148" s="3">
        <f>IFERROR(VLOOKUP(TablaAbril[[#This Row],[BARRIO]],SECTOR!$A:$B,2,0),"")</f>
      </c>
      <c r="S148" s="89"/>
      <c r="T148" s="90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6"/>
      <c r="AZ148" s="120">
        <f>COUNTIF(U148:AY148,"A")</f>
      </c>
      <c r="BA148" s="121">
        <f>COUNTIF(U148:AY148,"F")</f>
      </c>
      <c r="BB148" s="119">
        <f>COUNTIF(U148:AY148,"E")</f>
      </c>
    </row>
    <row r="149" spans="1:54" x14ac:dyDescent="0.2">
      <c r="A149" s="84"/>
      <c r="B149" s="107"/>
      <c r="C149" s="85"/>
      <c r="D149" s="85"/>
      <c r="E149" s="86"/>
      <c r="F149" s="16">
        <f>IF(E149="","",DATEDIF(E149,$I$7,"Y"))</f>
      </c>
      <c r="G149" s="85"/>
      <c r="H149" s="85"/>
      <c r="I149" s="87"/>
      <c r="J149" s="85"/>
      <c r="K149" s="85"/>
      <c r="L149" s="10"/>
      <c r="M149" s="10"/>
      <c r="N149" s="10"/>
      <c r="O149" s="10"/>
      <c r="P149" s="85"/>
      <c r="Q149" s="88"/>
      <c r="R149" s="3">
        <f>IFERROR(VLOOKUP(TablaAbril[[#This Row],[BARRIO]],SECTOR!$A:$B,2,0),"")</f>
      </c>
      <c r="S149" s="89"/>
      <c r="T149" s="90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6"/>
      <c r="AZ149" s="120">
        <f>COUNTIF(U149:AY149,"A")</f>
      </c>
      <c r="BA149" s="121">
        <f>COUNTIF(U149:AY149,"F")</f>
      </c>
      <c r="BB149" s="119">
        <f>COUNTIF(U149:AY149,"E")</f>
      </c>
    </row>
    <row r="150" spans="1:54" x14ac:dyDescent="0.2">
      <c r="A150" s="84"/>
      <c r="B150" s="107"/>
      <c r="C150" s="85"/>
      <c r="D150" s="85"/>
      <c r="E150" s="86"/>
      <c r="F150" s="16">
        <f>IF(E150="","",DATEDIF(E150,$I$7,"Y"))</f>
      </c>
      <c r="G150" s="85"/>
      <c r="H150" s="85"/>
      <c r="I150" s="87"/>
      <c r="J150" s="85"/>
      <c r="K150" s="85"/>
      <c r="L150" s="10"/>
      <c r="M150" s="10"/>
      <c r="N150" s="10"/>
      <c r="O150" s="10"/>
      <c r="P150" s="85"/>
      <c r="Q150" s="88"/>
      <c r="R150" s="3">
        <f>IFERROR(VLOOKUP(TablaAbril[[#This Row],[BARRIO]],SECTOR!$A:$B,2,0),"")</f>
      </c>
      <c r="S150" s="89"/>
      <c r="T150" s="90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6"/>
      <c r="AZ150" s="120">
        <f>COUNTIF(U150:AY150,"A")</f>
      </c>
      <c r="BA150" s="121">
        <f>COUNTIF(U150:AY150,"F")</f>
      </c>
      <c r="BB150" s="119">
        <f>COUNTIF(U150:AY150,"E")</f>
      </c>
    </row>
    <row r="151" spans="1:54" x14ac:dyDescent="0.2">
      <c r="A151" s="84"/>
      <c r="B151" s="107"/>
      <c r="C151" s="85"/>
      <c r="D151" s="85"/>
      <c r="E151" s="86"/>
      <c r="F151" s="16">
        <f>IF(E151="","",DATEDIF(E151,$I$7,"Y"))</f>
      </c>
      <c r="G151" s="85"/>
      <c r="H151" s="85"/>
      <c r="I151" s="87"/>
      <c r="J151" s="85"/>
      <c r="K151" s="85"/>
      <c r="L151" s="10"/>
      <c r="M151" s="10"/>
      <c r="N151" s="10"/>
      <c r="O151" s="10"/>
      <c r="P151" s="85"/>
      <c r="Q151" s="88"/>
      <c r="R151" s="3">
        <f>IFERROR(VLOOKUP(TablaAbril[[#This Row],[BARRIO]],SECTOR!$A:$B,2,0),"")</f>
      </c>
      <c r="S151" s="89"/>
      <c r="T151" s="90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6"/>
      <c r="AZ151" s="120">
        <f>COUNTIF(U151:AY151,"A")</f>
      </c>
      <c r="BA151" s="121">
        <f>COUNTIF(U151:AY151,"F")</f>
      </c>
      <c r="BB151" s="119">
        <f>COUNTIF(U151:AY151,"E")</f>
      </c>
    </row>
    <row r="152" spans="1:54" x14ac:dyDescent="0.2">
      <c r="A152" s="84"/>
      <c r="B152" s="107"/>
      <c r="C152" s="85"/>
      <c r="D152" s="85"/>
      <c r="E152" s="86"/>
      <c r="F152" s="16">
        <f>IF(E152="","",DATEDIF(E152,$I$7,"Y"))</f>
      </c>
      <c r="G152" s="85"/>
      <c r="H152" s="85"/>
      <c r="I152" s="87"/>
      <c r="J152" s="85"/>
      <c r="K152" s="85"/>
      <c r="L152" s="10"/>
      <c r="M152" s="10"/>
      <c r="N152" s="10"/>
      <c r="O152" s="10"/>
      <c r="P152" s="85"/>
      <c r="Q152" s="88"/>
      <c r="R152" s="3">
        <f>IFERROR(VLOOKUP(TablaAbril[[#This Row],[BARRIO]],SECTOR!$A:$B,2,0),"")</f>
      </c>
      <c r="S152" s="89"/>
      <c r="T152" s="90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6"/>
      <c r="AZ152" s="120">
        <f>COUNTIF(U152:AY152,"A")</f>
      </c>
      <c r="BA152" s="121">
        <f>COUNTIF(U152:AY152,"F")</f>
      </c>
      <c r="BB152" s="119">
        <f>COUNTIF(U152:AY152,"E")</f>
      </c>
    </row>
    <row r="153" spans="1:54" x14ac:dyDescent="0.2">
      <c r="A153" s="84"/>
      <c r="B153" s="107"/>
      <c r="C153" s="85"/>
      <c r="D153" s="85"/>
      <c r="E153" s="86"/>
      <c r="F153" s="16">
        <f>IF(E153="","",DATEDIF(E153,$I$7,"Y"))</f>
      </c>
      <c r="G153" s="85"/>
      <c r="H153" s="85"/>
      <c r="I153" s="87"/>
      <c r="J153" s="85"/>
      <c r="K153" s="85"/>
      <c r="L153" s="10"/>
      <c r="M153" s="10"/>
      <c r="N153" s="10"/>
      <c r="O153" s="10"/>
      <c r="P153" s="85"/>
      <c r="Q153" s="88"/>
      <c r="R153" s="3">
        <f>IFERROR(VLOOKUP(TablaAbril[[#This Row],[BARRIO]],SECTOR!$A:$B,2,0),"")</f>
      </c>
      <c r="S153" s="89"/>
      <c r="T153" s="90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6"/>
      <c r="AZ153" s="120">
        <f>COUNTIF(U153:AY153,"A")</f>
      </c>
      <c r="BA153" s="121">
        <f>COUNTIF(U153:AY153,"F")</f>
      </c>
      <c r="BB153" s="119">
        <f>COUNTIF(U153:AY153,"E")</f>
      </c>
    </row>
    <row r="154" spans="1:54" x14ac:dyDescent="0.2">
      <c r="A154" s="84"/>
      <c r="B154" s="107"/>
      <c r="C154" s="85"/>
      <c r="D154" s="85"/>
      <c r="E154" s="86"/>
      <c r="F154" s="16">
        <f>IF(E154="","",DATEDIF(E154,$I$7,"Y"))</f>
      </c>
      <c r="G154" s="85"/>
      <c r="H154" s="85"/>
      <c r="I154" s="87"/>
      <c r="J154" s="85"/>
      <c r="K154" s="85"/>
      <c r="L154" s="10"/>
      <c r="M154" s="10"/>
      <c r="N154" s="10"/>
      <c r="O154" s="10"/>
      <c r="P154" s="85"/>
      <c r="Q154" s="88"/>
      <c r="R154" s="3">
        <f>IFERROR(VLOOKUP(TablaAbril[[#This Row],[BARRIO]],SECTOR!$A:$B,2,0),"")</f>
      </c>
      <c r="S154" s="89"/>
      <c r="T154" s="90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6"/>
      <c r="AZ154" s="120">
        <f>COUNTIF(U154:AY154,"A")</f>
      </c>
      <c r="BA154" s="121">
        <f>COUNTIF(U154:AY154,"F")</f>
      </c>
      <c r="BB154" s="119">
        <f>COUNTIF(U154:AY154,"E")</f>
      </c>
    </row>
    <row r="155" spans="1:54" x14ac:dyDescent="0.2">
      <c r="A155" s="84"/>
      <c r="B155" s="107"/>
      <c r="C155" s="85"/>
      <c r="D155" s="85"/>
      <c r="E155" s="86"/>
      <c r="F155" s="16">
        <f>IF(E155="","",DATEDIF(E155,$I$7,"Y"))</f>
      </c>
      <c r="G155" s="85"/>
      <c r="H155" s="85"/>
      <c r="I155" s="87"/>
      <c r="J155" s="85"/>
      <c r="K155" s="85"/>
      <c r="L155" s="10"/>
      <c r="M155" s="10"/>
      <c r="N155" s="10"/>
      <c r="O155" s="10"/>
      <c r="P155" s="85"/>
      <c r="Q155" s="88"/>
      <c r="R155" s="3">
        <f>IFERROR(VLOOKUP(TablaAbril[[#This Row],[BARRIO]],SECTOR!$A:$B,2,0),"")</f>
      </c>
      <c r="S155" s="89"/>
      <c r="T155" s="90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6"/>
      <c r="AZ155" s="120">
        <f>COUNTIF(U155:AY155,"A")</f>
      </c>
      <c r="BA155" s="121">
        <f>COUNTIF(U155:AY155,"F")</f>
      </c>
      <c r="BB155" s="119">
        <f>COUNTIF(U155:AY155,"E")</f>
      </c>
    </row>
    <row r="156" spans="1:54" x14ac:dyDescent="0.2">
      <c r="A156" s="84"/>
      <c r="B156" s="107"/>
      <c r="C156" s="85"/>
      <c r="D156" s="85"/>
      <c r="E156" s="86"/>
      <c r="F156" s="16">
        <f>IF(E156="","",DATEDIF(E156,$I$7,"Y"))</f>
      </c>
      <c r="G156" s="85"/>
      <c r="H156" s="85"/>
      <c r="I156" s="87"/>
      <c r="J156" s="85"/>
      <c r="K156" s="85"/>
      <c r="L156" s="10"/>
      <c r="M156" s="10"/>
      <c r="N156" s="10"/>
      <c r="O156" s="10"/>
      <c r="P156" s="85"/>
      <c r="Q156" s="88"/>
      <c r="R156" s="3">
        <f>IFERROR(VLOOKUP(TablaAbril[[#This Row],[BARRIO]],SECTOR!$A:$B,2,0),"")</f>
      </c>
      <c r="S156" s="89"/>
      <c r="T156" s="90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6"/>
      <c r="AZ156" s="120">
        <f>COUNTIF(U156:AY156,"A")</f>
      </c>
      <c r="BA156" s="121">
        <f>COUNTIF(U156:AY156,"F")</f>
      </c>
      <c r="BB156" s="119">
        <f>COUNTIF(U156:AY156,"E")</f>
      </c>
    </row>
    <row r="157" spans="1:54" x14ac:dyDescent="0.2">
      <c r="A157" s="84"/>
      <c r="B157" s="107"/>
      <c r="C157" s="85"/>
      <c r="D157" s="85"/>
      <c r="E157" s="86"/>
      <c r="F157" s="16">
        <f>IF(E157="","",DATEDIF(E157,$I$7,"Y"))</f>
      </c>
      <c r="G157" s="85"/>
      <c r="H157" s="85"/>
      <c r="I157" s="87"/>
      <c r="J157" s="85"/>
      <c r="K157" s="85"/>
      <c r="L157" s="10"/>
      <c r="M157" s="10"/>
      <c r="N157" s="10"/>
      <c r="O157" s="10"/>
      <c r="P157" s="85"/>
      <c r="Q157" s="88"/>
      <c r="R157" s="3">
        <f>IFERROR(VLOOKUP(TablaAbril[[#This Row],[BARRIO]],SECTOR!$A:$B,2,0),"")</f>
      </c>
      <c r="S157" s="89"/>
      <c r="T157" s="90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6"/>
      <c r="AZ157" s="120">
        <f>COUNTIF(U157:AY157,"A")</f>
      </c>
      <c r="BA157" s="121">
        <f>COUNTIF(U157:AY157,"F")</f>
      </c>
      <c r="BB157" s="119">
        <f>COUNTIF(U157:AY157,"E")</f>
      </c>
    </row>
    <row r="158" spans="1:54" x14ac:dyDescent="0.2">
      <c r="A158" s="84"/>
      <c r="B158" s="107"/>
      <c r="C158" s="85"/>
      <c r="D158" s="85"/>
      <c r="E158" s="86"/>
      <c r="F158" s="16">
        <f>IF(E158="","",DATEDIF(E158,$I$7,"Y"))</f>
      </c>
      <c r="G158" s="85"/>
      <c r="H158" s="85"/>
      <c r="I158" s="87"/>
      <c r="J158" s="85"/>
      <c r="K158" s="85"/>
      <c r="L158" s="10"/>
      <c r="M158" s="10"/>
      <c r="N158" s="10"/>
      <c r="O158" s="10"/>
      <c r="P158" s="85"/>
      <c r="Q158" s="88"/>
      <c r="R158" s="3">
        <f>IFERROR(VLOOKUP(TablaAbril[[#This Row],[BARRIO]],SECTOR!$A:$B,2,0),"")</f>
      </c>
      <c r="S158" s="89"/>
      <c r="T158" s="90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6"/>
      <c r="AZ158" s="120">
        <f>COUNTIF(U158:AY158,"A")</f>
      </c>
      <c r="BA158" s="121">
        <f>COUNTIF(U158:AY158,"F")</f>
      </c>
      <c r="BB158" s="119">
        <f>COUNTIF(U158:AY158,"E")</f>
      </c>
    </row>
    <row r="159" spans="1:54" x14ac:dyDescent="0.2">
      <c r="A159" s="84"/>
      <c r="B159" s="107"/>
      <c r="C159" s="85"/>
      <c r="D159" s="85"/>
      <c r="E159" s="86"/>
      <c r="F159" s="16">
        <f>IF(E159="","",DATEDIF(E159,$I$7,"Y"))</f>
      </c>
      <c r="G159" s="85"/>
      <c r="H159" s="85"/>
      <c r="I159" s="87"/>
      <c r="J159" s="85"/>
      <c r="K159" s="85"/>
      <c r="L159" s="10"/>
      <c r="M159" s="10"/>
      <c r="N159" s="10"/>
      <c r="O159" s="10"/>
      <c r="P159" s="85"/>
      <c r="Q159" s="88"/>
      <c r="R159" s="3">
        <f>IFERROR(VLOOKUP(TablaAbril[[#This Row],[BARRIO]],SECTOR!$A:$B,2,0),"")</f>
      </c>
      <c r="S159" s="89"/>
      <c r="T159" s="90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6"/>
      <c r="AZ159" s="120">
        <f>COUNTIF(U159:AY159,"A")</f>
      </c>
      <c r="BA159" s="121">
        <f>COUNTIF(U159:AY159,"F")</f>
      </c>
      <c r="BB159" s="119">
        <f>COUNTIF(U159:AY159,"E")</f>
      </c>
    </row>
    <row r="160" spans="1:54" x14ac:dyDescent="0.2">
      <c r="A160" s="84"/>
      <c r="B160" s="107"/>
      <c r="C160" s="85"/>
      <c r="D160" s="85"/>
      <c r="E160" s="86"/>
      <c r="F160" s="16">
        <f>IF(E160="","",DATEDIF(E160,$I$7,"Y"))</f>
      </c>
      <c r="G160" s="85"/>
      <c r="H160" s="85"/>
      <c r="I160" s="87"/>
      <c r="J160" s="85"/>
      <c r="K160" s="85"/>
      <c r="L160" s="10"/>
      <c r="M160" s="10"/>
      <c r="N160" s="10"/>
      <c r="O160" s="10"/>
      <c r="P160" s="85"/>
      <c r="Q160" s="88"/>
      <c r="R160" s="3">
        <f>IFERROR(VLOOKUP(TablaAbril[[#This Row],[BARRIO]],SECTOR!$A:$B,2,0),"")</f>
      </c>
      <c r="S160" s="89"/>
      <c r="T160" s="90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6"/>
      <c r="AZ160" s="120">
        <f>COUNTIF(U160:AY160,"A")</f>
      </c>
      <c r="BA160" s="121">
        <f>COUNTIF(U160:AY160,"F")</f>
      </c>
      <c r="BB160" s="119">
        <f>COUNTIF(U160:AY160,"E")</f>
      </c>
    </row>
    <row r="161" spans="1:54" x14ac:dyDescent="0.2">
      <c r="A161" s="84"/>
      <c r="B161" s="107"/>
      <c r="C161" s="85"/>
      <c r="D161" s="85"/>
      <c r="E161" s="86"/>
      <c r="F161" s="16">
        <f>IF(E161="","",DATEDIF(E161,$I$7,"Y"))</f>
      </c>
      <c r="G161" s="85"/>
      <c r="H161" s="85"/>
      <c r="I161" s="87"/>
      <c r="J161" s="85"/>
      <c r="K161" s="85"/>
      <c r="L161" s="10"/>
      <c r="M161" s="10"/>
      <c r="N161" s="10"/>
      <c r="O161" s="10"/>
      <c r="P161" s="85"/>
      <c r="Q161" s="88"/>
      <c r="R161" s="3">
        <f>IFERROR(VLOOKUP(TablaAbril[[#This Row],[BARRIO]],SECTOR!$A:$B,2,0),"")</f>
      </c>
      <c r="S161" s="89"/>
      <c r="T161" s="90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6"/>
      <c r="AZ161" s="120">
        <f>COUNTIF(U161:AY161,"A")</f>
      </c>
      <c r="BA161" s="121">
        <f>COUNTIF(U161:AY161,"F")</f>
      </c>
      <c r="BB161" s="119">
        <f>COUNTIF(U161:AY161,"E")</f>
      </c>
    </row>
    <row r="162" spans="1:54" x14ac:dyDescent="0.2">
      <c r="A162" s="84"/>
      <c r="B162" s="107"/>
      <c r="C162" s="85"/>
      <c r="D162" s="85"/>
      <c r="E162" s="86"/>
      <c r="F162" s="16">
        <f>IF(E162="","",DATEDIF(E162,$I$7,"Y"))</f>
      </c>
      <c r="G162" s="85"/>
      <c r="H162" s="85"/>
      <c r="I162" s="87"/>
      <c r="J162" s="85"/>
      <c r="K162" s="85"/>
      <c r="L162" s="10"/>
      <c r="M162" s="10"/>
      <c r="N162" s="10"/>
      <c r="O162" s="10"/>
      <c r="P162" s="85"/>
      <c r="Q162" s="88"/>
      <c r="R162" s="3">
        <f>IFERROR(VLOOKUP(TablaAbril[[#This Row],[BARRIO]],SECTOR!$A:$B,2,0),"")</f>
      </c>
      <c r="S162" s="89"/>
      <c r="T162" s="90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6"/>
      <c r="AZ162" s="120">
        <f>COUNTIF(U162:AY162,"A")</f>
      </c>
      <c r="BA162" s="121">
        <f>COUNTIF(U162:AY162,"F")</f>
      </c>
      <c r="BB162" s="119">
        <f>COUNTIF(U162:AY162,"E")</f>
      </c>
    </row>
    <row r="163" spans="1:54" x14ac:dyDescent="0.2">
      <c r="A163" s="84"/>
      <c r="B163" s="107"/>
      <c r="C163" s="85"/>
      <c r="D163" s="85"/>
      <c r="E163" s="86"/>
      <c r="F163" s="16">
        <f>IF(E163="","",DATEDIF(E163,$I$7,"Y"))</f>
      </c>
      <c r="G163" s="85"/>
      <c r="H163" s="85"/>
      <c r="I163" s="87"/>
      <c r="J163" s="85"/>
      <c r="K163" s="85"/>
      <c r="L163" s="10"/>
      <c r="M163" s="10"/>
      <c r="N163" s="10"/>
      <c r="O163" s="10"/>
      <c r="P163" s="85"/>
      <c r="Q163" s="88"/>
      <c r="R163" s="3">
        <f>IFERROR(VLOOKUP(TablaAbril[[#This Row],[BARRIO]],SECTOR!$A:$B,2,0),"")</f>
      </c>
      <c r="S163" s="89"/>
      <c r="T163" s="90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6"/>
      <c r="AZ163" s="120">
        <f>COUNTIF(U163:AY163,"A")</f>
      </c>
      <c r="BA163" s="121">
        <f>COUNTIF(U163:AY163,"F")</f>
      </c>
      <c r="BB163" s="119">
        <f>COUNTIF(U163:AY163,"E")</f>
      </c>
    </row>
    <row r="164" spans="1:54" x14ac:dyDescent="0.2">
      <c r="A164" s="84"/>
      <c r="B164" s="107"/>
      <c r="C164" s="85"/>
      <c r="D164" s="85"/>
      <c r="E164" s="86"/>
      <c r="F164" s="16">
        <f>IF(E164="","",DATEDIF(E164,$I$7,"Y"))</f>
      </c>
      <c r="G164" s="85"/>
      <c r="H164" s="85"/>
      <c r="I164" s="87"/>
      <c r="J164" s="85"/>
      <c r="K164" s="85"/>
      <c r="L164" s="10"/>
      <c r="M164" s="10"/>
      <c r="N164" s="10"/>
      <c r="O164" s="10"/>
      <c r="P164" s="85"/>
      <c r="Q164" s="88"/>
      <c r="R164" s="3">
        <f>IFERROR(VLOOKUP(TablaAbril[[#This Row],[BARRIO]],SECTOR!$A:$B,2,0),"")</f>
      </c>
      <c r="S164" s="89"/>
      <c r="T164" s="90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6"/>
      <c r="AZ164" s="120">
        <f>COUNTIF(U164:AY164,"A")</f>
      </c>
      <c r="BA164" s="121">
        <f>COUNTIF(U164:AY164,"F")</f>
      </c>
      <c r="BB164" s="119">
        <f>COUNTIF(U164:AY164,"E")</f>
      </c>
    </row>
    <row r="165" spans="1:54" x14ac:dyDescent="0.2">
      <c r="A165" s="84"/>
      <c r="B165" s="107"/>
      <c r="C165" s="85"/>
      <c r="D165" s="85"/>
      <c r="E165" s="86"/>
      <c r="F165" s="16">
        <f>IF(E165="","",DATEDIF(E165,$I$7,"Y"))</f>
      </c>
      <c r="G165" s="85"/>
      <c r="H165" s="85"/>
      <c r="I165" s="87"/>
      <c r="J165" s="85"/>
      <c r="K165" s="85"/>
      <c r="L165" s="10"/>
      <c r="M165" s="10"/>
      <c r="N165" s="10"/>
      <c r="O165" s="10"/>
      <c r="P165" s="85"/>
      <c r="Q165" s="88"/>
      <c r="R165" s="3">
        <f>IFERROR(VLOOKUP(TablaAbril[[#This Row],[BARRIO]],SECTOR!$A:$B,2,0),"")</f>
      </c>
      <c r="S165" s="89"/>
      <c r="T165" s="90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6"/>
      <c r="AZ165" s="120">
        <f>COUNTIF(U165:AY165,"A")</f>
      </c>
      <c r="BA165" s="121">
        <f>COUNTIF(U165:AY165,"F")</f>
      </c>
      <c r="BB165" s="119">
        <f>COUNTIF(U165:AY165,"E")</f>
      </c>
    </row>
    <row r="166" spans="1:54" x14ac:dyDescent="0.2">
      <c r="A166" s="84"/>
      <c r="B166" s="107"/>
      <c r="C166" s="85"/>
      <c r="D166" s="85"/>
      <c r="E166" s="86"/>
      <c r="F166" s="16">
        <f>IF(E166="","",DATEDIF(E166,$I$7,"Y"))</f>
      </c>
      <c r="G166" s="85"/>
      <c r="H166" s="85"/>
      <c r="I166" s="87"/>
      <c r="J166" s="85"/>
      <c r="K166" s="85"/>
      <c r="L166" s="10"/>
      <c r="M166" s="10"/>
      <c r="N166" s="10"/>
      <c r="O166" s="10"/>
      <c r="P166" s="85"/>
      <c r="Q166" s="88"/>
      <c r="R166" s="3">
        <f>IFERROR(VLOOKUP(TablaAbril[[#This Row],[BARRIO]],SECTOR!$A:$B,2,0),"")</f>
      </c>
      <c r="S166" s="89"/>
      <c r="T166" s="90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6"/>
      <c r="AZ166" s="120">
        <f>COUNTIF(U166:AY166,"A")</f>
      </c>
      <c r="BA166" s="121">
        <f>COUNTIF(U166:AY166,"F")</f>
      </c>
      <c r="BB166" s="119">
        <f>COUNTIF(U166:AY166,"E")</f>
      </c>
    </row>
    <row r="167" spans="1:54" x14ac:dyDescent="0.2">
      <c r="A167" s="84"/>
      <c r="B167" s="107"/>
      <c r="C167" s="85"/>
      <c r="D167" s="85"/>
      <c r="E167" s="86"/>
      <c r="F167" s="16">
        <f>IF(E167="","",DATEDIF(E167,$I$7,"Y"))</f>
      </c>
      <c r="G167" s="85"/>
      <c r="H167" s="85"/>
      <c r="I167" s="87"/>
      <c r="J167" s="85"/>
      <c r="K167" s="85"/>
      <c r="L167" s="10"/>
      <c r="M167" s="10"/>
      <c r="N167" s="10"/>
      <c r="O167" s="10"/>
      <c r="P167" s="85"/>
      <c r="Q167" s="88"/>
      <c r="R167" s="3">
        <f>IFERROR(VLOOKUP(TablaAbril[[#This Row],[BARRIO]],SECTOR!$A:$B,2,0),"")</f>
      </c>
      <c r="S167" s="89"/>
      <c r="T167" s="90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6"/>
      <c r="AZ167" s="120">
        <f>COUNTIF(U167:AY167,"A")</f>
      </c>
      <c r="BA167" s="121">
        <f>COUNTIF(U167:AY167,"F")</f>
      </c>
      <c r="BB167" s="119">
        <f>COUNTIF(U167:AY167,"E")</f>
      </c>
    </row>
    <row r="168" spans="1:54" x14ac:dyDescent="0.2">
      <c r="A168" s="84"/>
      <c r="B168" s="107"/>
      <c r="C168" s="85"/>
      <c r="D168" s="85"/>
      <c r="E168" s="86"/>
      <c r="F168" s="16">
        <f>IF(E168="","",DATEDIF(E168,$I$7,"Y"))</f>
      </c>
      <c r="G168" s="85"/>
      <c r="H168" s="85"/>
      <c r="I168" s="87"/>
      <c r="J168" s="85"/>
      <c r="K168" s="85"/>
      <c r="L168" s="2"/>
      <c r="M168" s="2"/>
      <c r="N168" s="10"/>
      <c r="O168" s="2"/>
      <c r="P168" s="85"/>
      <c r="Q168" s="88"/>
      <c r="R168" s="3">
        <f>IFERROR(VLOOKUP(TablaAbril[[#This Row],[BARRIO]],SECTOR!$A:$B,2,0),"")</f>
      </c>
      <c r="S168" s="89"/>
      <c r="T168" s="90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6"/>
      <c r="AZ168" s="120">
        <f>COUNTIF(U168:AY168,"A")</f>
      </c>
      <c r="BA168" s="121">
        <f>COUNTIF(U168:AY168,"F")</f>
      </c>
      <c r="BB168" s="119">
        <f>COUNTIF(U168:AY168,"E")</f>
      </c>
    </row>
    <row r="169" spans="1:54" x14ac:dyDescent="0.2">
      <c r="A169" s="84"/>
      <c r="B169" s="85"/>
      <c r="C169" s="85"/>
      <c r="D169" s="85"/>
      <c r="E169" s="86"/>
      <c r="F169" s="16">
        <f>IF(E169="","",DATEDIF(E169,$I$7,"Y"))</f>
      </c>
      <c r="G169" s="85"/>
      <c r="H169" s="85"/>
      <c r="I169" s="87"/>
      <c r="J169" s="85"/>
      <c r="K169" s="85"/>
      <c r="L169" s="10"/>
      <c r="M169" s="10"/>
      <c r="N169" s="10"/>
      <c r="O169" s="10"/>
      <c r="P169" s="85"/>
      <c r="Q169" s="88"/>
      <c r="R169" s="3">
        <f>IFERROR(VLOOKUP(TablaAbril[[#This Row],[BARRIO]],SECTOR!$A:$B,2,0),"")</f>
      </c>
      <c r="S169" s="89"/>
      <c r="T169" s="90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6"/>
      <c r="AZ169" s="30">
        <f>COUNTIF(U169:AY169,"A")</f>
      </c>
      <c r="BA169" s="32">
        <f>COUNTIF(U169:AY169,"F")</f>
      </c>
      <c r="BB169" s="119">
        <f>COUNTIF(U169:AY169,"E")</f>
      </c>
    </row>
    <row r="170" spans="1:54" x14ac:dyDescent="0.2">
      <c r="A170" s="84"/>
      <c r="B170" s="85"/>
      <c r="C170" s="85"/>
      <c r="D170" s="85"/>
      <c r="E170" s="86"/>
      <c r="F170" s="16">
        <f>IF(E170="","",DATEDIF(E170,$I$7,"Y"))</f>
      </c>
      <c r="G170" s="85"/>
      <c r="H170" s="85"/>
      <c r="I170" s="87"/>
      <c r="J170" s="85"/>
      <c r="K170" s="85"/>
      <c r="L170" s="10"/>
      <c r="M170" s="10"/>
      <c r="N170" s="10"/>
      <c r="O170" s="10"/>
      <c r="P170" s="85"/>
      <c r="Q170" s="88"/>
      <c r="R170" s="3">
        <f>IFERROR(VLOOKUP(TablaAbril[[#This Row],[BARRIO]],SECTOR!$A:$B,2,0),"")</f>
      </c>
      <c r="S170" s="89"/>
      <c r="T170" s="90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6"/>
      <c r="AZ170" s="120">
        <f>COUNTIF(U170:AY170,"A")</f>
      </c>
      <c r="BA170" s="121">
        <f>COUNTIF(U170:AY170,"F")</f>
      </c>
      <c r="BB170" s="119">
        <f>COUNTIF(U170:AY170,"E")</f>
      </c>
    </row>
    <row r="171" spans="1:54" x14ac:dyDescent="0.2">
      <c r="A171" s="84"/>
      <c r="B171" s="85"/>
      <c r="C171" s="85"/>
      <c r="D171" s="85"/>
      <c r="E171" s="86"/>
      <c r="F171" s="16">
        <f>IF(E171="","",DATEDIF(E171,$I$7,"Y"))</f>
      </c>
      <c r="G171" s="85"/>
      <c r="H171" s="85"/>
      <c r="I171" s="87"/>
      <c r="J171" s="85"/>
      <c r="K171" s="85"/>
      <c r="L171" s="10"/>
      <c r="M171" s="10"/>
      <c r="N171" s="10"/>
      <c r="O171" s="10"/>
      <c r="P171" s="85"/>
      <c r="Q171" s="88"/>
      <c r="R171" s="3">
        <f>IFERROR(VLOOKUP(TablaAbril[[#This Row],[BARRIO]],SECTOR!$A:$B,2,0),"")</f>
      </c>
      <c r="S171" s="89"/>
      <c r="T171" s="90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6"/>
      <c r="AZ171" s="120">
        <f>COUNTIF(U171:AY171,"A")</f>
      </c>
      <c r="BA171" s="121">
        <f>COUNTIF(U171:AY171,"F")</f>
      </c>
      <c r="BB171" s="119">
        <f>COUNTIF(U171:AY171,"E")</f>
      </c>
    </row>
    <row r="172" spans="1:54" x14ac:dyDescent="0.2">
      <c r="A172" s="84"/>
      <c r="B172" s="85"/>
      <c r="C172" s="85"/>
      <c r="D172" s="85"/>
      <c r="E172" s="86"/>
      <c r="F172" s="16">
        <f>IF(E172="","",DATEDIF(E172,$I$7,"Y"))</f>
      </c>
      <c r="G172" s="85"/>
      <c r="H172" s="85"/>
      <c r="I172" s="87"/>
      <c r="J172" s="85"/>
      <c r="K172" s="85"/>
      <c r="L172" s="10"/>
      <c r="M172" s="10"/>
      <c r="N172" s="10"/>
      <c r="O172" s="10"/>
      <c r="P172" s="85"/>
      <c r="Q172" s="88"/>
      <c r="R172" s="3">
        <f>IFERROR(VLOOKUP(TablaAbril[[#This Row],[BARRIO]],SECTOR!$A:$B,2,0),"")</f>
      </c>
      <c r="S172" s="89"/>
      <c r="T172" s="90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6"/>
      <c r="AZ172" s="120">
        <f>COUNTIF(U172:AY172,"A")</f>
      </c>
      <c r="BA172" s="121">
        <f>COUNTIF(U172:AY172,"F")</f>
      </c>
      <c r="BB172" s="119">
        <f>COUNTIF(U172:AY172,"E")</f>
      </c>
    </row>
    <row r="173" spans="1:54" x14ac:dyDescent="0.2">
      <c r="A173" s="84"/>
      <c r="B173" s="85"/>
      <c r="C173" s="85"/>
      <c r="D173" s="85"/>
      <c r="E173" s="86"/>
      <c r="F173" s="16">
        <f>IF(E173="","",DATEDIF(E173,$I$7,"Y"))</f>
      </c>
      <c r="G173" s="85"/>
      <c r="H173" s="85"/>
      <c r="I173" s="87"/>
      <c r="J173" s="85"/>
      <c r="K173" s="85"/>
      <c r="L173" s="10"/>
      <c r="M173" s="10"/>
      <c r="N173" s="10"/>
      <c r="O173" s="10"/>
      <c r="P173" s="85"/>
      <c r="Q173" s="88"/>
      <c r="R173" s="3">
        <f>IFERROR(VLOOKUP(TablaAbril[[#This Row],[BARRIO]],SECTOR!$A:$B,2,0),"")</f>
      </c>
      <c r="S173" s="89"/>
      <c r="T173" s="90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6"/>
      <c r="AZ173" s="120">
        <f>COUNTIF(U173:AY173,"A")</f>
      </c>
      <c r="BA173" s="121">
        <f>COUNTIF(U173:AY173,"F")</f>
      </c>
      <c r="BB173" s="119">
        <f>COUNTIF(U173:AY173,"E")</f>
      </c>
    </row>
    <row r="174" spans="1:54" x14ac:dyDescent="0.2">
      <c r="A174" s="84"/>
      <c r="B174" s="85"/>
      <c r="C174" s="85"/>
      <c r="D174" s="85"/>
      <c r="E174" s="86"/>
      <c r="F174" s="16">
        <f>IF(E174="","",DATEDIF(E174,$I$7,"Y"))</f>
      </c>
      <c r="G174" s="85"/>
      <c r="H174" s="85"/>
      <c r="I174" s="87"/>
      <c r="J174" s="85"/>
      <c r="K174" s="85"/>
      <c r="L174" s="10"/>
      <c r="M174" s="10"/>
      <c r="N174" s="10"/>
      <c r="O174" s="10"/>
      <c r="P174" s="85"/>
      <c r="Q174" s="88"/>
      <c r="R174" s="3">
        <f>IFERROR(VLOOKUP(TablaAbril[[#This Row],[BARRIO]],SECTOR!$A:$B,2,0),"")</f>
      </c>
      <c r="S174" s="89"/>
      <c r="T174" s="90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6"/>
      <c r="AZ174" s="120">
        <f>COUNTIF(U174:AY174,"A")</f>
      </c>
      <c r="BA174" s="121">
        <f>COUNTIF(U174:AY174,"F")</f>
      </c>
      <c r="BB174" s="119">
        <f>COUNTIF(U174:AY174,"E")</f>
      </c>
    </row>
    <row r="175" spans="1:54" x14ac:dyDescent="0.2">
      <c r="A175" s="84"/>
      <c r="B175" s="85"/>
      <c r="C175" s="85"/>
      <c r="D175" s="85"/>
      <c r="E175" s="86"/>
      <c r="F175" s="16">
        <f>IF(E175="","",DATEDIF(E175,$I$7,"Y"))</f>
      </c>
      <c r="G175" s="85"/>
      <c r="H175" s="85"/>
      <c r="I175" s="87"/>
      <c r="J175" s="85"/>
      <c r="K175" s="85"/>
      <c r="L175" s="10"/>
      <c r="M175" s="10"/>
      <c r="N175" s="10"/>
      <c r="O175" s="10"/>
      <c r="P175" s="85"/>
      <c r="Q175" s="88"/>
      <c r="R175" s="3">
        <f>IFERROR(VLOOKUP(TablaAbril[[#This Row],[BARRIO]],SECTOR!$A:$B,2,0),"")</f>
      </c>
      <c r="S175" s="89"/>
      <c r="T175" s="90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6"/>
      <c r="AZ175" s="120">
        <f>COUNTIF(U175:AY175,"A")</f>
      </c>
      <c r="BA175" s="121">
        <f>COUNTIF(U175:AY175,"F")</f>
      </c>
      <c r="BB175" s="119">
        <f>COUNTIF(U175:AY175,"E")</f>
      </c>
    </row>
    <row r="176" spans="1:54" x14ac:dyDescent="0.2">
      <c r="A176" s="84"/>
      <c r="B176" s="85"/>
      <c r="C176" s="85"/>
      <c r="D176" s="85"/>
      <c r="E176" s="86"/>
      <c r="F176" s="16">
        <f>IF(E176="","",DATEDIF(E176,$I$7,"Y"))</f>
      </c>
      <c r="G176" s="85"/>
      <c r="H176" s="85"/>
      <c r="I176" s="87"/>
      <c r="J176" s="85"/>
      <c r="K176" s="85"/>
      <c r="L176" s="10"/>
      <c r="M176" s="10"/>
      <c r="N176" s="10"/>
      <c r="O176" s="10"/>
      <c r="P176" s="85"/>
      <c r="Q176" s="88"/>
      <c r="R176" s="3">
        <f>IFERROR(VLOOKUP(TablaAbril[[#This Row],[BARRIO]],SECTOR!$A:$B,2,0),"")</f>
      </c>
      <c r="S176" s="89"/>
      <c r="T176" s="90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6"/>
      <c r="AZ176" s="120">
        <f>COUNTIF(U176:AY176,"A")</f>
      </c>
      <c r="BA176" s="121">
        <f>COUNTIF(U176:AY176,"F")</f>
      </c>
      <c r="BB176" s="119">
        <f>COUNTIF(U176:AY176,"E")</f>
      </c>
    </row>
    <row r="177" spans="1:54" x14ac:dyDescent="0.2">
      <c r="A177" s="84"/>
      <c r="B177" s="85"/>
      <c r="C177" s="85"/>
      <c r="D177" s="85"/>
      <c r="E177" s="86"/>
      <c r="F177" s="16">
        <f>IF(E177="","",DATEDIF(E177,$I$7,"Y"))</f>
      </c>
      <c r="G177" s="85"/>
      <c r="H177" s="85"/>
      <c r="I177" s="87"/>
      <c r="J177" s="85"/>
      <c r="K177" s="85"/>
      <c r="L177" s="10"/>
      <c r="M177" s="10"/>
      <c r="N177" s="10"/>
      <c r="O177" s="10"/>
      <c r="P177" s="85"/>
      <c r="Q177" s="88"/>
      <c r="R177" s="3">
        <f>IFERROR(VLOOKUP(TablaAbril[[#This Row],[BARRIO]],SECTOR!$A:$B,2,0),"")</f>
      </c>
      <c r="S177" s="89"/>
      <c r="T177" s="90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6"/>
      <c r="AZ177" s="120">
        <f>COUNTIF(U177:AY177,"A")</f>
      </c>
      <c r="BA177" s="121">
        <f>COUNTIF(U177:AY177,"F")</f>
      </c>
      <c r="BB177" s="119">
        <f>COUNTIF(U177:AY177,"E")</f>
      </c>
    </row>
    <row r="178" spans="1:54" x14ac:dyDescent="0.2">
      <c r="A178" s="84"/>
      <c r="B178" s="85"/>
      <c r="C178" s="85"/>
      <c r="D178" s="85"/>
      <c r="E178" s="86"/>
      <c r="F178" s="16">
        <f>IF(E178="","",DATEDIF(E178,$I$7,"Y"))</f>
      </c>
      <c r="G178" s="85"/>
      <c r="H178" s="85"/>
      <c r="I178" s="87"/>
      <c r="J178" s="85"/>
      <c r="K178" s="85"/>
      <c r="L178" s="10"/>
      <c r="M178" s="10"/>
      <c r="N178" s="10"/>
      <c r="O178" s="10"/>
      <c r="P178" s="85"/>
      <c r="Q178" s="88"/>
      <c r="R178" s="3">
        <f>IFERROR(VLOOKUP(TablaAbril[[#This Row],[BARRIO]],SECTOR!$A:$B,2,0),"")</f>
      </c>
      <c r="S178" s="89"/>
      <c r="T178" s="90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6"/>
      <c r="AZ178" s="120">
        <f>COUNTIF(U178:AY178,"A")</f>
      </c>
      <c r="BA178" s="121">
        <f>COUNTIF(U178:AY178,"F")</f>
      </c>
      <c r="BB178" s="119">
        <f>COUNTIF(U178:AY178,"E")</f>
      </c>
    </row>
    <row r="179" spans="1:54" x14ac:dyDescent="0.2">
      <c r="A179" s="84"/>
      <c r="B179" s="85"/>
      <c r="C179" s="85"/>
      <c r="D179" s="85"/>
      <c r="E179" s="86"/>
      <c r="F179" s="16">
        <f>IF(E179="","",DATEDIF(E179,$I$7,"Y"))</f>
      </c>
      <c r="G179" s="85"/>
      <c r="H179" s="85"/>
      <c r="I179" s="87"/>
      <c r="J179" s="85"/>
      <c r="K179" s="85"/>
      <c r="L179" s="10"/>
      <c r="M179" s="10"/>
      <c r="N179" s="10"/>
      <c r="O179" s="10"/>
      <c r="P179" s="85"/>
      <c r="Q179" s="88"/>
      <c r="R179" s="3">
        <f>IFERROR(VLOOKUP(TablaAbril[[#This Row],[BARRIO]],SECTOR!$A:$B,2,0),"")</f>
      </c>
      <c r="S179" s="89"/>
      <c r="T179" s="90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6"/>
      <c r="AZ179" s="120">
        <f>COUNTIF(U179:AY179,"A")</f>
      </c>
      <c r="BA179" s="121">
        <f>COUNTIF(U179:AY179,"F")</f>
      </c>
      <c r="BB179" s="119">
        <f>COUNTIF(U179:AY179,"E")</f>
      </c>
    </row>
    <row r="180" spans="1:54" x14ac:dyDescent="0.2">
      <c r="A180" s="84"/>
      <c r="B180" s="85"/>
      <c r="C180" s="85"/>
      <c r="D180" s="85"/>
      <c r="E180" s="86"/>
      <c r="F180" s="16">
        <f>IF(E180="","",DATEDIF(E180,$I$7,"Y"))</f>
      </c>
      <c r="G180" s="85"/>
      <c r="H180" s="85"/>
      <c r="I180" s="87"/>
      <c r="J180" s="85"/>
      <c r="K180" s="85"/>
      <c r="L180" s="10"/>
      <c r="M180" s="10"/>
      <c r="N180" s="10"/>
      <c r="O180" s="10"/>
      <c r="P180" s="85"/>
      <c r="Q180" s="88"/>
      <c r="R180" s="3">
        <f>IFERROR(VLOOKUP(TablaAbril[[#This Row],[BARRIO]],SECTOR!$A:$B,2,0),"")</f>
      </c>
      <c r="S180" s="89"/>
      <c r="T180" s="90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6"/>
      <c r="AZ180" s="120">
        <f>COUNTIF(U180:AY180,"A")</f>
      </c>
      <c r="BA180" s="121">
        <f>COUNTIF(U180:AY180,"F")</f>
      </c>
      <c r="BB180" s="119">
        <f>COUNTIF(U180:AY180,"E")</f>
      </c>
    </row>
    <row r="181" spans="1:54" x14ac:dyDescent="0.2">
      <c r="A181" s="84"/>
      <c r="B181" s="85"/>
      <c r="C181" s="85"/>
      <c r="D181" s="85"/>
      <c r="E181" s="86"/>
      <c r="F181" s="16">
        <f>IF(E181="","",DATEDIF(E181,$I$7,"Y"))</f>
      </c>
      <c r="G181" s="85"/>
      <c r="H181" s="85"/>
      <c r="I181" s="87"/>
      <c r="J181" s="85"/>
      <c r="K181" s="85"/>
      <c r="L181" s="10"/>
      <c r="M181" s="10"/>
      <c r="N181" s="10"/>
      <c r="O181" s="10"/>
      <c r="P181" s="85"/>
      <c r="Q181" s="88"/>
      <c r="R181" s="3">
        <f>IFERROR(VLOOKUP(TablaAbril[[#This Row],[BARRIO]],SECTOR!$A:$B,2,0),"")</f>
      </c>
      <c r="S181" s="89"/>
      <c r="T181" s="90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6"/>
      <c r="AZ181" s="120">
        <f>COUNTIF(U181:AY181,"A")</f>
      </c>
      <c r="BA181" s="121">
        <f>COUNTIF(U181:AY181,"F")</f>
      </c>
      <c r="BB181" s="119">
        <f>COUNTIF(U181:AY181,"E")</f>
      </c>
    </row>
    <row r="182" spans="1:54" x14ac:dyDescent="0.2">
      <c r="A182" s="84"/>
      <c r="B182" s="85"/>
      <c r="C182" s="85"/>
      <c r="D182" s="85"/>
      <c r="E182" s="86"/>
      <c r="F182" s="16">
        <f>IF(E182="","",DATEDIF(E182,$I$7,"Y"))</f>
      </c>
      <c r="G182" s="85"/>
      <c r="H182" s="85"/>
      <c r="I182" s="87"/>
      <c r="J182" s="85"/>
      <c r="K182" s="85"/>
      <c r="L182" s="10"/>
      <c r="M182" s="10"/>
      <c r="N182" s="10"/>
      <c r="O182" s="10"/>
      <c r="P182" s="85"/>
      <c r="Q182" s="88"/>
      <c r="R182" s="3">
        <f>IFERROR(VLOOKUP(TablaAbril[[#This Row],[BARRIO]],SECTOR!$A:$B,2,0),"")</f>
      </c>
      <c r="S182" s="89"/>
      <c r="T182" s="90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6"/>
      <c r="AZ182" s="120">
        <f>COUNTIF(U182:AY182,"A")</f>
      </c>
      <c r="BA182" s="121">
        <f>COUNTIF(U182:AY182,"F")</f>
      </c>
      <c r="BB182" s="119">
        <f>COUNTIF(U182:AY182,"E")</f>
      </c>
    </row>
    <row r="183" spans="1:54" x14ac:dyDescent="0.2">
      <c r="A183" s="84"/>
      <c r="B183" s="85"/>
      <c r="C183" s="85"/>
      <c r="D183" s="85"/>
      <c r="E183" s="86"/>
      <c r="F183" s="16">
        <f>IF(E183="","",DATEDIF(E183,$I$7,"Y"))</f>
      </c>
      <c r="G183" s="85"/>
      <c r="H183" s="85"/>
      <c r="I183" s="87"/>
      <c r="J183" s="85"/>
      <c r="K183" s="85"/>
      <c r="L183" s="10"/>
      <c r="M183" s="10"/>
      <c r="N183" s="10"/>
      <c r="O183" s="10"/>
      <c r="P183" s="85"/>
      <c r="Q183" s="88"/>
      <c r="R183" s="3">
        <f>IFERROR(VLOOKUP(TablaAbril[[#This Row],[BARRIO]],SECTOR!$A:$B,2,0),"")</f>
      </c>
      <c r="S183" s="89"/>
      <c r="T183" s="90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6"/>
      <c r="AZ183" s="120">
        <f>COUNTIF(U183:AY183,"A")</f>
      </c>
      <c r="BA183" s="121">
        <f>COUNTIF(U183:AY183,"F")</f>
      </c>
      <c r="BB183" s="119">
        <f>COUNTIF(U183:AY183,"E")</f>
      </c>
    </row>
    <row r="184" spans="1:54" x14ac:dyDescent="0.2">
      <c r="A184" s="84"/>
      <c r="B184" s="85"/>
      <c r="C184" s="85"/>
      <c r="D184" s="85"/>
      <c r="E184" s="86"/>
      <c r="F184" s="16">
        <f>IF(E184="","",DATEDIF(E184,$I$7,"Y"))</f>
      </c>
      <c r="G184" s="85"/>
      <c r="H184" s="85"/>
      <c r="I184" s="87"/>
      <c r="J184" s="85"/>
      <c r="K184" s="85"/>
      <c r="L184" s="10"/>
      <c r="M184" s="10"/>
      <c r="N184" s="10"/>
      <c r="O184" s="10"/>
      <c r="P184" s="85"/>
      <c r="Q184" s="88"/>
      <c r="R184" s="3">
        <f>IFERROR(VLOOKUP(TablaAbril[[#This Row],[BARRIO]],SECTOR!$A:$B,2,0),"")</f>
      </c>
      <c r="S184" s="89"/>
      <c r="T184" s="90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6"/>
      <c r="AZ184" s="120">
        <f>COUNTIF(U184:AY184,"A")</f>
      </c>
      <c r="BA184" s="121">
        <f>COUNTIF(U184:AY184,"F")</f>
      </c>
      <c r="BB184" s="119">
        <f>COUNTIF(U184:AY184,"E")</f>
      </c>
    </row>
    <row r="185" spans="1:54" x14ac:dyDescent="0.2">
      <c r="A185" s="84"/>
      <c r="B185" s="85"/>
      <c r="C185" s="85"/>
      <c r="D185" s="85"/>
      <c r="E185" s="86"/>
      <c r="F185" s="16">
        <f>IF(E185="","",DATEDIF(E185,$I$7,"Y"))</f>
      </c>
      <c r="G185" s="85"/>
      <c r="H185" s="85"/>
      <c r="I185" s="87"/>
      <c r="J185" s="85"/>
      <c r="K185" s="85"/>
      <c r="L185" s="10"/>
      <c r="M185" s="10"/>
      <c r="N185" s="10"/>
      <c r="O185" s="10"/>
      <c r="P185" s="85"/>
      <c r="Q185" s="88"/>
      <c r="R185" s="3">
        <f>IFERROR(VLOOKUP(TablaAbril[[#This Row],[BARRIO]],SECTOR!$A:$B,2,0),"")</f>
      </c>
      <c r="S185" s="89"/>
      <c r="T185" s="90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6"/>
      <c r="AZ185" s="120">
        <f>COUNTIF(U185:AY185,"A")</f>
      </c>
      <c r="BA185" s="121">
        <f>COUNTIF(U185:AY185,"F")</f>
      </c>
      <c r="BB185" s="119">
        <f>COUNTIF(U185:AY185,"E")</f>
      </c>
    </row>
    <row r="186" spans="1:54" x14ac:dyDescent="0.2">
      <c r="A186" s="84"/>
      <c r="B186" s="85"/>
      <c r="C186" s="85"/>
      <c r="D186" s="85"/>
      <c r="E186" s="86"/>
      <c r="F186" s="16">
        <f>IF(E186="","",DATEDIF(E186,$I$7,"Y"))</f>
      </c>
      <c r="G186" s="85"/>
      <c r="H186" s="85"/>
      <c r="I186" s="87"/>
      <c r="J186" s="85"/>
      <c r="K186" s="85"/>
      <c r="L186" s="10"/>
      <c r="M186" s="10"/>
      <c r="N186" s="10"/>
      <c r="O186" s="10"/>
      <c r="P186" s="85"/>
      <c r="Q186" s="88"/>
      <c r="R186" s="3">
        <f>IFERROR(VLOOKUP(TablaAbril[[#This Row],[BARRIO]],SECTOR!$A:$B,2,0),"")</f>
      </c>
      <c r="S186" s="89"/>
      <c r="T186" s="90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6"/>
      <c r="AZ186" s="120">
        <f>COUNTIF(U186:AY186,"A")</f>
      </c>
      <c r="BA186" s="121">
        <f>COUNTIF(U186:AY186,"F")</f>
      </c>
      <c r="BB186" s="119">
        <f>COUNTIF(U186:AY186,"E")</f>
      </c>
    </row>
    <row r="187" spans="1:54" x14ac:dyDescent="0.2">
      <c r="A187" s="84"/>
      <c r="B187" s="85"/>
      <c r="C187" s="85"/>
      <c r="D187" s="85"/>
      <c r="E187" s="86"/>
      <c r="F187" s="16">
        <f>IF(E187="","",DATEDIF(E187,$I$7,"Y"))</f>
      </c>
      <c r="G187" s="85"/>
      <c r="H187" s="85"/>
      <c r="I187" s="87"/>
      <c r="J187" s="85"/>
      <c r="K187" s="85"/>
      <c r="L187" s="10"/>
      <c r="M187" s="10"/>
      <c r="N187" s="10"/>
      <c r="O187" s="10"/>
      <c r="P187" s="85"/>
      <c r="Q187" s="88"/>
      <c r="R187" s="3">
        <f>IFERROR(VLOOKUP(TablaAbril[[#This Row],[BARRIO]],SECTOR!$A:$B,2,0),"")</f>
      </c>
      <c r="S187" s="89"/>
      <c r="T187" s="90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6"/>
      <c r="AZ187" s="120">
        <f>COUNTIF(U187:AY187,"A")</f>
      </c>
      <c r="BA187" s="121">
        <f>COUNTIF(U187:AY187,"F")</f>
      </c>
      <c r="BB187" s="119">
        <f>COUNTIF(U187:AY187,"E")</f>
      </c>
    </row>
    <row r="188" spans="1:54" x14ac:dyDescent="0.2">
      <c r="A188" s="84"/>
      <c r="B188" s="85"/>
      <c r="C188" s="85"/>
      <c r="D188" s="85"/>
      <c r="E188" s="86"/>
      <c r="F188" s="16">
        <f>IF(E188="","",DATEDIF(E188,$I$7,"Y"))</f>
      </c>
      <c r="G188" s="85"/>
      <c r="H188" s="85"/>
      <c r="I188" s="87"/>
      <c r="J188" s="85"/>
      <c r="K188" s="85"/>
      <c r="L188" s="10"/>
      <c r="M188" s="10"/>
      <c r="N188" s="10"/>
      <c r="O188" s="10"/>
      <c r="P188" s="85"/>
      <c r="Q188" s="88"/>
      <c r="R188" s="3">
        <f>IFERROR(VLOOKUP(TablaAbril[[#This Row],[BARRIO]],SECTOR!$A:$B,2,0),"")</f>
      </c>
      <c r="S188" s="89"/>
      <c r="T188" s="90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6"/>
      <c r="AZ188" s="120">
        <f>COUNTIF(U188:AY188,"A")</f>
      </c>
      <c r="BA188" s="121">
        <f>COUNTIF(U188:AY188,"F")</f>
      </c>
      <c r="BB188" s="119">
        <f>COUNTIF(U188:AY188,"E")</f>
      </c>
    </row>
    <row r="189" spans="1:54" x14ac:dyDescent="0.2">
      <c r="A189" s="84"/>
      <c r="B189" s="85"/>
      <c r="C189" s="85"/>
      <c r="D189" s="85"/>
      <c r="E189" s="86"/>
      <c r="F189" s="16">
        <f>IF(E189="","",DATEDIF(E189,$I$7,"Y"))</f>
      </c>
      <c r="G189" s="85"/>
      <c r="H189" s="85"/>
      <c r="I189" s="87"/>
      <c r="J189" s="85"/>
      <c r="K189" s="85"/>
      <c r="L189" s="10"/>
      <c r="M189" s="10"/>
      <c r="N189" s="10"/>
      <c r="O189" s="10"/>
      <c r="P189" s="85"/>
      <c r="Q189" s="88"/>
      <c r="R189" s="3">
        <f>IFERROR(VLOOKUP(TablaAbril[[#This Row],[BARRIO]],SECTOR!$A:$B,2,0),"")</f>
      </c>
      <c r="S189" s="89"/>
      <c r="T189" s="90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6"/>
      <c r="AZ189" s="120">
        <f>COUNTIF(U189:AY189,"A")</f>
      </c>
      <c r="BA189" s="121">
        <f>COUNTIF(U189:AY189,"F")</f>
      </c>
      <c r="BB189" s="119">
        <f>COUNTIF(U189:AY189,"E")</f>
      </c>
    </row>
    <row r="190" spans="1:54" x14ac:dyDescent="0.2">
      <c r="A190" s="84"/>
      <c r="B190" s="85"/>
      <c r="C190" s="85"/>
      <c r="D190" s="85"/>
      <c r="E190" s="86"/>
      <c r="F190" s="16">
        <f>IF(E190="","",DATEDIF(E190,$I$7,"Y"))</f>
      </c>
      <c r="G190" s="85"/>
      <c r="H190" s="85"/>
      <c r="I190" s="87"/>
      <c r="J190" s="85"/>
      <c r="K190" s="85"/>
      <c r="L190" s="10"/>
      <c r="M190" s="10"/>
      <c r="N190" s="10"/>
      <c r="O190" s="10"/>
      <c r="P190" s="85"/>
      <c r="Q190" s="88"/>
      <c r="R190" s="3">
        <f>IFERROR(VLOOKUP(TablaAbril[[#This Row],[BARRIO]],SECTOR!$A:$B,2,0),"")</f>
      </c>
      <c r="S190" s="89"/>
      <c r="T190" s="90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6"/>
      <c r="AZ190" s="120">
        <f>COUNTIF(U190:AY190,"A")</f>
      </c>
      <c r="BA190" s="121">
        <f>COUNTIF(U190:AY190,"F")</f>
      </c>
      <c r="BB190" s="119">
        <f>COUNTIF(U190:AY190,"E")</f>
      </c>
    </row>
    <row r="191" spans="1:54" x14ac:dyDescent="0.2">
      <c r="A191" s="84"/>
      <c r="B191" s="85"/>
      <c r="C191" s="85"/>
      <c r="D191" s="85"/>
      <c r="E191" s="86"/>
      <c r="F191" s="16">
        <f>IF(E191="","",DATEDIF(E191,$I$7,"Y"))</f>
      </c>
      <c r="G191" s="85"/>
      <c r="H191" s="85"/>
      <c r="I191" s="87"/>
      <c r="J191" s="85"/>
      <c r="K191" s="85"/>
      <c r="L191" s="10"/>
      <c r="M191" s="10"/>
      <c r="N191" s="10"/>
      <c r="O191" s="10"/>
      <c r="P191" s="85"/>
      <c r="Q191" s="88"/>
      <c r="R191" s="3">
        <f>IFERROR(VLOOKUP(TablaAbril[[#This Row],[BARRIO]],SECTOR!$A:$B,2,0),"")</f>
      </c>
      <c r="S191" s="89"/>
      <c r="T191" s="90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6"/>
      <c r="AZ191" s="120">
        <f>COUNTIF(U191:AY191,"A")</f>
      </c>
      <c r="BA191" s="121">
        <f>COUNTIF(U191:AY191,"F")</f>
      </c>
      <c r="BB191" s="119">
        <f>COUNTIF(U191:AY191,"E")</f>
      </c>
    </row>
    <row r="192" spans="1:54" x14ac:dyDescent="0.2">
      <c r="A192" s="84"/>
      <c r="B192" s="85"/>
      <c r="C192" s="85"/>
      <c r="D192" s="85"/>
      <c r="E192" s="86"/>
      <c r="F192" s="16">
        <f>IF(E192="","",DATEDIF(E192,$I$7,"Y"))</f>
      </c>
      <c r="G192" s="85"/>
      <c r="H192" s="85"/>
      <c r="I192" s="87"/>
      <c r="J192" s="85"/>
      <c r="K192" s="85"/>
      <c r="L192" s="10"/>
      <c r="M192" s="10"/>
      <c r="N192" s="10"/>
      <c r="O192" s="10"/>
      <c r="P192" s="85"/>
      <c r="Q192" s="88"/>
      <c r="R192" s="3">
        <f>IFERROR(VLOOKUP(TablaAbril[[#This Row],[BARRIO]],SECTOR!$A:$B,2,0),"")</f>
      </c>
      <c r="S192" s="89"/>
      <c r="T192" s="90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6"/>
      <c r="AZ192" s="120">
        <f>COUNTIF(U192:AY192,"A")</f>
      </c>
      <c r="BA192" s="121">
        <f>COUNTIF(U192:AY192,"F")</f>
      </c>
      <c r="BB192" s="119">
        <f>COUNTIF(U192:AY192,"E")</f>
      </c>
    </row>
    <row r="193" spans="1:54" x14ac:dyDescent="0.2">
      <c r="A193" s="84"/>
      <c r="B193" s="85"/>
      <c r="C193" s="85"/>
      <c r="D193" s="85"/>
      <c r="E193" s="86"/>
      <c r="F193" s="16">
        <f>IF(E193="","",DATEDIF(E193,$I$7,"Y"))</f>
      </c>
      <c r="G193" s="85"/>
      <c r="H193" s="85"/>
      <c r="I193" s="87"/>
      <c r="J193" s="85"/>
      <c r="K193" s="85"/>
      <c r="L193" s="10"/>
      <c r="M193" s="10"/>
      <c r="N193" s="10"/>
      <c r="O193" s="10"/>
      <c r="P193" s="85"/>
      <c r="Q193" s="88"/>
      <c r="R193" s="3">
        <f>IFERROR(VLOOKUP(TablaAbril[[#This Row],[BARRIO]],SECTOR!$A:$B,2,0),"")</f>
      </c>
      <c r="S193" s="89"/>
      <c r="T193" s="90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6"/>
      <c r="AZ193" s="120">
        <f>COUNTIF(U193:AY193,"A")</f>
      </c>
      <c r="BA193" s="121">
        <f>COUNTIF(U193:AY193,"F")</f>
      </c>
      <c r="BB193" s="119">
        <f>COUNTIF(U193:AY193,"E")</f>
      </c>
    </row>
    <row r="194" spans="1:54" x14ac:dyDescent="0.2">
      <c r="A194" s="84"/>
      <c r="B194" s="85"/>
      <c r="C194" s="85"/>
      <c r="D194" s="85"/>
      <c r="E194" s="86"/>
      <c r="F194" s="16">
        <f>IF(E194="","",DATEDIF(E194,$I$7,"Y"))</f>
      </c>
      <c r="G194" s="85"/>
      <c r="H194" s="85"/>
      <c r="I194" s="87"/>
      <c r="J194" s="85"/>
      <c r="K194" s="85"/>
      <c r="L194" s="10"/>
      <c r="M194" s="10"/>
      <c r="N194" s="10"/>
      <c r="O194" s="10"/>
      <c r="P194" s="85"/>
      <c r="Q194" s="88"/>
      <c r="R194" s="3">
        <f>IFERROR(VLOOKUP(TablaAbril[[#This Row],[BARRIO]],SECTOR!$A:$B,2,0),"")</f>
      </c>
      <c r="S194" s="89"/>
      <c r="T194" s="90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6"/>
      <c r="AZ194" s="120">
        <f>COUNTIF(U194:AY194,"A")</f>
      </c>
      <c r="BA194" s="121">
        <f>COUNTIF(U194:AY194,"F")</f>
      </c>
      <c r="BB194" s="119">
        <f>COUNTIF(U194:AY194,"E")</f>
      </c>
    </row>
    <row r="195" spans="1:54" x14ac:dyDescent="0.2">
      <c r="A195" s="84"/>
      <c r="B195" s="85"/>
      <c r="C195" s="85"/>
      <c r="D195" s="85"/>
      <c r="E195" s="86"/>
      <c r="F195" s="16">
        <f>IF(E195="","",DATEDIF(E195,$I$7,"Y"))</f>
      </c>
      <c r="G195" s="85"/>
      <c r="H195" s="85"/>
      <c r="I195" s="87"/>
      <c r="J195" s="85"/>
      <c r="K195" s="85"/>
      <c r="L195" s="10"/>
      <c r="M195" s="10"/>
      <c r="N195" s="10"/>
      <c r="O195" s="10"/>
      <c r="P195" s="85"/>
      <c r="Q195" s="88"/>
      <c r="R195" s="3">
        <f>IFERROR(VLOOKUP(TablaAbril[[#This Row],[BARRIO]],SECTOR!$A:$B,2,0),"")</f>
      </c>
      <c r="S195" s="89"/>
      <c r="T195" s="90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6"/>
      <c r="AZ195" s="120">
        <f>COUNTIF(U195:AY195,"A")</f>
      </c>
      <c r="BA195" s="121">
        <f>COUNTIF(U195:AY195,"F")</f>
      </c>
      <c r="BB195" s="119">
        <f>COUNTIF(U195:AY195,"E")</f>
      </c>
    </row>
    <row r="196" spans="1:54" x14ac:dyDescent="0.2">
      <c r="A196" s="84"/>
      <c r="B196" s="85"/>
      <c r="C196" s="85"/>
      <c r="D196" s="85"/>
      <c r="E196" s="86"/>
      <c r="F196" s="16">
        <f>IF(E196="","",DATEDIF(E196,$I$7,"Y"))</f>
      </c>
      <c r="G196" s="85"/>
      <c r="H196" s="85"/>
      <c r="I196" s="87"/>
      <c r="J196" s="85"/>
      <c r="K196" s="85"/>
      <c r="L196" s="10"/>
      <c r="M196" s="10"/>
      <c r="N196" s="10"/>
      <c r="O196" s="10"/>
      <c r="P196" s="85"/>
      <c r="Q196" s="88"/>
      <c r="R196" s="3">
        <f>IFERROR(VLOOKUP(TablaAbril[[#This Row],[BARRIO]],SECTOR!$A:$B,2,0),"")</f>
      </c>
      <c r="S196" s="89"/>
      <c r="T196" s="90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6"/>
      <c r="AZ196" s="120">
        <f>COUNTIF(U196:AY196,"A")</f>
      </c>
      <c r="BA196" s="121">
        <f>COUNTIF(U196:AY196,"F")</f>
      </c>
      <c r="BB196" s="119">
        <f>COUNTIF(U196:AY196,"E")</f>
      </c>
    </row>
    <row r="197" spans="1:54" x14ac:dyDescent="0.2">
      <c r="A197" s="84"/>
      <c r="B197" s="85"/>
      <c r="C197" s="85"/>
      <c r="D197" s="85"/>
      <c r="E197" s="86"/>
      <c r="F197" s="16">
        <f>IF(E197="","",DATEDIF(E197,$I$7,"Y"))</f>
      </c>
      <c r="G197" s="85"/>
      <c r="H197" s="85"/>
      <c r="I197" s="87"/>
      <c r="J197" s="85"/>
      <c r="K197" s="85"/>
      <c r="L197" s="10"/>
      <c r="M197" s="10"/>
      <c r="N197" s="10"/>
      <c r="O197" s="10"/>
      <c r="P197" s="85"/>
      <c r="Q197" s="88"/>
      <c r="R197" s="3">
        <f>IFERROR(VLOOKUP(TablaAbril[[#This Row],[BARRIO]],SECTOR!$A:$B,2,0),"")</f>
      </c>
      <c r="S197" s="89"/>
      <c r="T197" s="90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6"/>
      <c r="AZ197" s="120">
        <f>COUNTIF(U197:AY197,"A")</f>
      </c>
      <c r="BA197" s="121">
        <f>COUNTIF(U197:AY197,"F")</f>
      </c>
      <c r="BB197" s="119">
        <f>COUNTIF(U197:AY197,"E")</f>
      </c>
    </row>
    <row r="198" spans="1:54" x14ac:dyDescent="0.2">
      <c r="A198" s="84"/>
      <c r="B198" s="85"/>
      <c r="C198" s="85"/>
      <c r="D198" s="85"/>
      <c r="E198" s="86"/>
      <c r="F198" s="16">
        <f>IF(E198="","",DATEDIF(E198,$I$7,"Y"))</f>
      </c>
      <c r="G198" s="85"/>
      <c r="H198" s="85"/>
      <c r="I198" s="87"/>
      <c r="J198" s="85"/>
      <c r="K198" s="85"/>
      <c r="L198" s="10"/>
      <c r="M198" s="10"/>
      <c r="N198" s="10"/>
      <c r="O198" s="10"/>
      <c r="P198" s="85"/>
      <c r="Q198" s="88"/>
      <c r="R198" s="3">
        <f>IFERROR(VLOOKUP(TablaAbril[[#This Row],[BARRIO]],SECTOR!$A:$B,2,0),"")</f>
      </c>
      <c r="S198" s="89"/>
      <c r="T198" s="90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6"/>
      <c r="AZ198" s="120">
        <f>COUNTIF(U198:AY198,"A")</f>
      </c>
      <c r="BA198" s="121">
        <f>COUNTIF(U198:AY198,"F")</f>
      </c>
      <c r="BB198" s="119">
        <f>COUNTIF(U198:AY198,"E")</f>
      </c>
    </row>
    <row r="199" spans="1:54" x14ac:dyDescent="0.2">
      <c r="A199" s="84"/>
      <c r="B199" s="85"/>
      <c r="C199" s="85"/>
      <c r="D199" s="85"/>
      <c r="E199" s="86"/>
      <c r="F199" s="16">
        <f>IF(E199="","",DATEDIF(E199,$I$7,"Y"))</f>
      </c>
      <c r="G199" s="85"/>
      <c r="H199" s="85"/>
      <c r="I199" s="87"/>
      <c r="J199" s="85"/>
      <c r="K199" s="85"/>
      <c r="L199" s="10"/>
      <c r="M199" s="10"/>
      <c r="N199" s="10"/>
      <c r="O199" s="10"/>
      <c r="P199" s="85"/>
      <c r="Q199" s="88"/>
      <c r="R199" s="3">
        <f>IFERROR(VLOOKUP(TablaAbril[[#This Row],[BARRIO]],SECTOR!$A:$B,2,0),"")</f>
      </c>
      <c r="S199" s="89"/>
      <c r="T199" s="90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6"/>
      <c r="AZ199" s="120">
        <f>COUNTIF(U199:AY199,"A")</f>
      </c>
      <c r="BA199" s="121">
        <f>COUNTIF(U199:AY199,"F")</f>
      </c>
      <c r="BB199" s="119">
        <f>COUNTIF(U199:AY199,"E")</f>
      </c>
    </row>
    <row r="200" spans="1:54" x14ac:dyDescent="0.2">
      <c r="A200" s="84"/>
      <c r="B200" s="85"/>
      <c r="C200" s="85"/>
      <c r="D200" s="85"/>
      <c r="E200" s="86"/>
      <c r="F200" s="16">
        <f>IF(E200="","",DATEDIF(E200,$I$7,"Y"))</f>
      </c>
      <c r="G200" s="85"/>
      <c r="H200" s="85"/>
      <c r="I200" s="87"/>
      <c r="J200" s="85"/>
      <c r="K200" s="85"/>
      <c r="L200" s="10"/>
      <c r="M200" s="10"/>
      <c r="N200" s="10"/>
      <c r="O200" s="10"/>
      <c r="P200" s="85"/>
      <c r="Q200" s="88"/>
      <c r="R200" s="3">
        <f>IFERROR(VLOOKUP(TablaAbril[[#This Row],[BARRIO]],SECTOR!$A:$B,2,0),"")</f>
      </c>
      <c r="S200" s="89"/>
      <c r="T200" s="90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6"/>
      <c r="AZ200" s="120">
        <f>COUNTIF(U200:AY200,"A")</f>
      </c>
      <c r="BA200" s="121">
        <f>COUNTIF(U200:AY200,"F")</f>
      </c>
      <c r="BB200" s="119">
        <f>COUNTIF(U200:AY200,"E")</f>
      </c>
    </row>
    <row r="201" spans="1:54" x14ac:dyDescent="0.2">
      <c r="A201" s="84"/>
      <c r="B201" s="85"/>
      <c r="C201" s="85"/>
      <c r="D201" s="85"/>
      <c r="E201" s="86"/>
      <c r="F201" s="16">
        <f>IF(E201="","",DATEDIF(E201,$I$7,"Y"))</f>
      </c>
      <c r="G201" s="85"/>
      <c r="H201" s="85"/>
      <c r="I201" s="87"/>
      <c r="J201" s="85"/>
      <c r="K201" s="85"/>
      <c r="L201" s="10"/>
      <c r="M201" s="10"/>
      <c r="N201" s="10"/>
      <c r="O201" s="10"/>
      <c r="P201" s="85"/>
      <c r="Q201" s="88"/>
      <c r="R201" s="3">
        <f>IFERROR(VLOOKUP(TablaAbril[[#This Row],[BARRIO]],SECTOR!$A:$B,2,0),"")</f>
      </c>
      <c r="S201" s="89"/>
      <c r="T201" s="90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6"/>
      <c r="AZ201" s="120">
        <f>COUNTIF(U201:AY201,"A")</f>
      </c>
      <c r="BA201" s="121">
        <f>COUNTIF(U201:AY201,"F")</f>
      </c>
      <c r="BB201" s="119">
        <f>COUNTIF(U201:AY201,"E")</f>
      </c>
    </row>
    <row r="202" spans="1:54" x14ac:dyDescent="0.2">
      <c r="A202" s="84"/>
      <c r="B202" s="85"/>
      <c r="C202" s="85"/>
      <c r="D202" s="85"/>
      <c r="E202" s="86"/>
      <c r="F202" s="16">
        <f>IF(E202="","",DATEDIF(E202,$I$7,"Y"))</f>
      </c>
      <c r="G202" s="85"/>
      <c r="H202" s="85"/>
      <c r="I202" s="87"/>
      <c r="J202" s="85"/>
      <c r="K202" s="85"/>
      <c r="L202" s="10"/>
      <c r="M202" s="10"/>
      <c r="N202" s="10"/>
      <c r="O202" s="10"/>
      <c r="P202" s="85"/>
      <c r="Q202" s="88"/>
      <c r="R202" s="3">
        <f>IFERROR(VLOOKUP(TablaAbril[[#This Row],[BARRIO]],SECTOR!$A:$B,2,0),"")</f>
      </c>
      <c r="S202" s="89"/>
      <c r="T202" s="90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6"/>
      <c r="AZ202" s="120">
        <f>COUNTIF(U202:AY202,"A")</f>
      </c>
      <c r="BA202" s="121">
        <f>COUNTIF(U202:AY202,"F")</f>
      </c>
      <c r="BB202" s="119">
        <f>COUNTIF(U202:AY202,"E")</f>
      </c>
    </row>
    <row r="203" spans="1:54" x14ac:dyDescent="0.2">
      <c r="A203" s="84"/>
      <c r="B203" s="85"/>
      <c r="C203" s="85"/>
      <c r="D203" s="85"/>
      <c r="E203" s="86"/>
      <c r="F203" s="16">
        <f>IF(E203="","",DATEDIF(E203,$I$7,"Y"))</f>
      </c>
      <c r="G203" s="85"/>
      <c r="H203" s="85"/>
      <c r="I203" s="87"/>
      <c r="J203" s="85"/>
      <c r="K203" s="85"/>
      <c r="L203" s="10"/>
      <c r="M203" s="10"/>
      <c r="N203" s="10"/>
      <c r="O203" s="10"/>
      <c r="P203" s="85"/>
      <c r="Q203" s="88"/>
      <c r="R203" s="3">
        <f>IFERROR(VLOOKUP(TablaAbril[[#This Row],[BARRIO]],SECTOR!$A:$B,2,0),"")</f>
      </c>
      <c r="S203" s="89"/>
      <c r="T203" s="90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6"/>
      <c r="AZ203" s="120">
        <f>COUNTIF(U203:AY203,"A")</f>
      </c>
      <c r="BA203" s="121">
        <f>COUNTIF(U203:AY203,"F")</f>
      </c>
      <c r="BB203" s="119">
        <f>COUNTIF(U203:AY203,"E")</f>
      </c>
    </row>
    <row r="204" spans="1:54" x14ac:dyDescent="0.2">
      <c r="A204" s="84"/>
      <c r="B204" s="85"/>
      <c r="C204" s="85"/>
      <c r="D204" s="85"/>
      <c r="E204" s="86"/>
      <c r="F204" s="16">
        <f>IF(E204="","",DATEDIF(E204,$I$7,"Y"))</f>
      </c>
      <c r="G204" s="85"/>
      <c r="H204" s="85"/>
      <c r="I204" s="87"/>
      <c r="J204" s="85"/>
      <c r="K204" s="85"/>
      <c r="L204" s="10"/>
      <c r="M204" s="10"/>
      <c r="N204" s="10"/>
      <c r="O204" s="10"/>
      <c r="P204" s="85"/>
      <c r="Q204" s="88"/>
      <c r="R204" s="3">
        <f>IFERROR(VLOOKUP(TablaAbril[[#This Row],[BARRIO]],SECTOR!$A:$B,2,0),"")</f>
      </c>
      <c r="S204" s="89"/>
      <c r="T204" s="90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6"/>
      <c r="AZ204" s="120">
        <f>COUNTIF(U204:AY204,"A")</f>
      </c>
      <c r="BA204" s="121">
        <f>COUNTIF(U204:AY204,"F")</f>
      </c>
      <c r="BB204" s="119">
        <f>COUNTIF(U204:AY204,"E")</f>
      </c>
    </row>
    <row r="205" spans="1:54" x14ac:dyDescent="0.2">
      <c r="A205" s="84"/>
      <c r="B205" s="85"/>
      <c r="C205" s="85"/>
      <c r="D205" s="85"/>
      <c r="E205" s="86"/>
      <c r="F205" s="16">
        <f>IF(E205="","",DATEDIF(E205,$I$7,"Y"))</f>
      </c>
      <c r="G205" s="85"/>
      <c r="H205" s="85"/>
      <c r="I205" s="87"/>
      <c r="J205" s="85"/>
      <c r="K205" s="85"/>
      <c r="L205" s="10"/>
      <c r="M205" s="10"/>
      <c r="N205" s="10"/>
      <c r="O205" s="10"/>
      <c r="P205" s="85"/>
      <c r="Q205" s="88"/>
      <c r="R205" s="3">
        <f>IFERROR(VLOOKUP(TablaAbril[[#This Row],[BARRIO]],SECTOR!$A:$B,2,0),"")</f>
      </c>
      <c r="S205" s="89"/>
      <c r="T205" s="90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6"/>
      <c r="AZ205" s="120">
        <f>COUNTIF(U205:AY205,"A")</f>
      </c>
      <c r="BA205" s="121">
        <f>COUNTIF(U205:AY205,"F")</f>
      </c>
      <c r="BB205" s="119">
        <f>COUNTIF(U205:AY205,"E")</f>
      </c>
    </row>
    <row r="206" spans="1:54" x14ac:dyDescent="0.2">
      <c r="A206" s="84"/>
      <c r="B206" s="85"/>
      <c r="C206" s="85"/>
      <c r="D206" s="85"/>
      <c r="E206" s="86"/>
      <c r="F206" s="16">
        <f>IF(E206="","",DATEDIF(E206,$I$7,"Y"))</f>
      </c>
      <c r="G206" s="85"/>
      <c r="H206" s="85"/>
      <c r="I206" s="87"/>
      <c r="J206" s="85"/>
      <c r="K206" s="85"/>
      <c r="L206" s="10"/>
      <c r="M206" s="10"/>
      <c r="N206" s="10"/>
      <c r="O206" s="10"/>
      <c r="P206" s="85"/>
      <c r="Q206" s="88"/>
      <c r="R206" s="3">
        <f>IFERROR(VLOOKUP(TablaAbril[[#This Row],[BARRIO]],SECTOR!$A:$B,2,0),"")</f>
      </c>
      <c r="S206" s="89"/>
      <c r="T206" s="90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6"/>
      <c r="AZ206" s="120">
        <f>COUNTIF(U206:AY206,"A")</f>
      </c>
      <c r="BA206" s="121">
        <f>COUNTIF(U206:AY206,"F")</f>
      </c>
      <c r="BB206" s="119">
        <f>COUNTIF(U206:AY206,"E")</f>
      </c>
    </row>
    <row r="207" spans="1:54" x14ac:dyDescent="0.2">
      <c r="A207" s="84"/>
      <c r="B207" s="85"/>
      <c r="C207" s="85"/>
      <c r="D207" s="85"/>
      <c r="E207" s="86"/>
      <c r="F207" s="16">
        <f>IF(E207="","",DATEDIF(E207,$I$7,"Y"))</f>
      </c>
      <c r="G207" s="85"/>
      <c r="H207" s="85"/>
      <c r="I207" s="87"/>
      <c r="J207" s="85"/>
      <c r="K207" s="85"/>
      <c r="L207" s="10"/>
      <c r="M207" s="10"/>
      <c r="N207" s="10"/>
      <c r="O207" s="10"/>
      <c r="P207" s="85"/>
      <c r="Q207" s="88"/>
      <c r="R207" s="3">
        <f>IFERROR(VLOOKUP(TablaAbril[[#This Row],[BARRIO]],SECTOR!$A:$B,2,0),"")</f>
      </c>
      <c r="S207" s="89"/>
      <c r="T207" s="90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6"/>
      <c r="AZ207" s="120">
        <f>COUNTIF(U207:AY207,"A")</f>
      </c>
      <c r="BA207" s="121">
        <f>COUNTIF(U207:AY207,"F")</f>
      </c>
      <c r="BB207" s="119">
        <f>COUNTIF(U207:AY207,"E")</f>
      </c>
    </row>
    <row r="208" spans="1:54" x14ac:dyDescent="0.2">
      <c r="A208" s="84"/>
      <c r="B208" s="85"/>
      <c r="C208" s="85"/>
      <c r="D208" s="85"/>
      <c r="E208" s="86"/>
      <c r="F208" s="16">
        <f>IF(E208="","",DATEDIF(E208,$I$7,"Y"))</f>
      </c>
      <c r="G208" s="85"/>
      <c r="H208" s="85"/>
      <c r="I208" s="87"/>
      <c r="J208" s="85"/>
      <c r="K208" s="85"/>
      <c r="L208" s="10"/>
      <c r="M208" s="10"/>
      <c r="N208" s="10"/>
      <c r="O208" s="10"/>
      <c r="P208" s="85"/>
      <c r="Q208" s="88"/>
      <c r="R208" s="3">
        <f>IFERROR(VLOOKUP(TablaAbril[[#This Row],[BARRIO]],SECTOR!$A:$B,2,0),"")</f>
      </c>
      <c r="S208" s="89"/>
      <c r="T208" s="90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6"/>
      <c r="AZ208" s="120">
        <f>COUNTIF(U208:AY208,"A")</f>
      </c>
      <c r="BA208" s="121">
        <f>COUNTIF(U208:AY208,"F")</f>
      </c>
      <c r="BB208" s="119">
        <f>COUNTIF(U208:AY208,"E")</f>
      </c>
    </row>
    <row r="209" spans="1:54" x14ac:dyDescent="0.2">
      <c r="A209" s="84"/>
      <c r="B209" s="85"/>
      <c r="C209" s="85"/>
      <c r="D209" s="85"/>
      <c r="E209" s="86"/>
      <c r="F209" s="16">
        <f>IF(E209="","",DATEDIF(E209,$I$7,"Y"))</f>
      </c>
      <c r="G209" s="85"/>
      <c r="H209" s="85"/>
      <c r="I209" s="87"/>
      <c r="J209" s="85"/>
      <c r="K209" s="85"/>
      <c r="L209" s="10"/>
      <c r="M209" s="10"/>
      <c r="N209" s="10"/>
      <c r="O209" s="10"/>
      <c r="P209" s="85"/>
      <c r="Q209" s="88"/>
      <c r="R209" s="3">
        <f>IFERROR(VLOOKUP(TablaAbril[[#This Row],[BARRIO]],SECTOR!$A:$B,2,0),"")</f>
      </c>
      <c r="S209" s="89"/>
      <c r="T209" s="90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6"/>
      <c r="AZ209" s="120">
        <f>COUNTIF(U209:AY209,"A")</f>
      </c>
      <c r="BA209" s="121">
        <f>COUNTIF(U209:AY209,"F")</f>
      </c>
      <c r="BB209" s="119">
        <f>COUNTIF(U209:AY209,"E")</f>
      </c>
    </row>
    <row r="210" spans="1:54" x14ac:dyDescent="0.2">
      <c r="A210" s="84"/>
      <c r="B210" s="85"/>
      <c r="C210" s="85"/>
      <c r="D210" s="85"/>
      <c r="E210" s="86"/>
      <c r="F210" s="16">
        <f>IF(E210="","",DATEDIF(E210,$I$7,"Y"))</f>
      </c>
      <c r="G210" s="85"/>
      <c r="H210" s="85"/>
      <c r="I210" s="87"/>
      <c r="J210" s="85"/>
      <c r="K210" s="85"/>
      <c r="L210" s="10"/>
      <c r="M210" s="10"/>
      <c r="N210" s="10"/>
      <c r="O210" s="10"/>
      <c r="P210" s="85"/>
      <c r="Q210" s="88"/>
      <c r="R210" s="3">
        <f>IFERROR(VLOOKUP(TablaAbril[[#This Row],[BARRIO]],SECTOR!$A:$B,2,0),"")</f>
      </c>
      <c r="S210" s="89"/>
      <c r="T210" s="90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6"/>
      <c r="AZ210" s="120">
        <f>COUNTIF(U210:AY210,"A")</f>
      </c>
      <c r="BA210" s="121">
        <f>COUNTIF(U210:AY210,"F")</f>
      </c>
      <c r="BB210" s="119">
        <f>COUNTIF(U210:AY210,"E")</f>
      </c>
    </row>
    <row r="211" spans="1:54" x14ac:dyDescent="0.2">
      <c r="A211" s="84"/>
      <c r="B211" s="85"/>
      <c r="C211" s="85"/>
      <c r="D211" s="85"/>
      <c r="E211" s="86"/>
      <c r="F211" s="16">
        <f>IF(E211="","",DATEDIF(E211,$I$7,"Y"))</f>
      </c>
      <c r="G211" s="85"/>
      <c r="H211" s="85"/>
      <c r="I211" s="87"/>
      <c r="J211" s="85"/>
      <c r="K211" s="85"/>
      <c r="L211" s="10"/>
      <c r="M211" s="10"/>
      <c r="N211" s="10"/>
      <c r="O211" s="10"/>
      <c r="P211" s="85"/>
      <c r="Q211" s="88"/>
      <c r="R211" s="3">
        <f>IFERROR(VLOOKUP(TablaAbril[[#This Row],[BARRIO]],SECTOR!$A:$B,2,0),"")</f>
      </c>
      <c r="S211" s="89"/>
      <c r="T211" s="90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6"/>
      <c r="AZ211" s="120">
        <f>COUNTIF(U211:AY211,"A")</f>
      </c>
      <c r="BA211" s="121">
        <f>COUNTIF(U211:AY211,"F")</f>
      </c>
      <c r="BB211" s="119">
        <f>COUNTIF(U211:AY211,"E")</f>
      </c>
    </row>
    <row r="212" spans="1:54" x14ac:dyDescent="0.2">
      <c r="A212" s="84"/>
      <c r="B212" s="85"/>
      <c r="C212" s="85"/>
      <c r="D212" s="85"/>
      <c r="E212" s="86"/>
      <c r="F212" s="16">
        <f>IF(E212="","",DATEDIF(E212,$I$7,"Y"))</f>
      </c>
      <c r="G212" s="85"/>
      <c r="H212" s="85"/>
      <c r="I212" s="87"/>
      <c r="J212" s="85"/>
      <c r="K212" s="85"/>
      <c r="L212" s="10"/>
      <c r="M212" s="10"/>
      <c r="N212" s="10"/>
      <c r="O212" s="10"/>
      <c r="P212" s="85"/>
      <c r="Q212" s="88"/>
      <c r="R212" s="3">
        <f>IFERROR(VLOOKUP(TablaAbril[[#This Row],[BARRIO]],SECTOR!$A:$B,2,0),"")</f>
      </c>
      <c r="S212" s="89"/>
      <c r="T212" s="90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6"/>
      <c r="AZ212" s="120">
        <f>COUNTIF(U212:AY212,"A")</f>
      </c>
      <c r="BA212" s="121">
        <f>COUNTIF(U212:AY212,"F")</f>
      </c>
      <c r="BB212" s="119">
        <f>COUNTIF(U212:AY212,"E")</f>
      </c>
    </row>
    <row r="213" spans="1:54" x14ac:dyDescent="0.2">
      <c r="A213" s="84"/>
      <c r="B213" s="85"/>
      <c r="C213" s="85"/>
      <c r="D213" s="85"/>
      <c r="E213" s="86"/>
      <c r="F213" s="16">
        <f>IF(E213="","",DATEDIF(E213,$I$7,"Y"))</f>
      </c>
      <c r="G213" s="85"/>
      <c r="H213" s="85"/>
      <c r="I213" s="87"/>
      <c r="J213" s="85"/>
      <c r="K213" s="85"/>
      <c r="L213" s="10"/>
      <c r="M213" s="10"/>
      <c r="N213" s="10"/>
      <c r="O213" s="10"/>
      <c r="P213" s="85"/>
      <c r="Q213" s="88"/>
      <c r="R213" s="3">
        <f>IFERROR(VLOOKUP(TablaAbril[[#This Row],[BARRIO]],SECTOR!$A:$B,2,0),"")</f>
      </c>
      <c r="S213" s="89"/>
      <c r="T213" s="90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6"/>
      <c r="AZ213" s="120">
        <f>COUNTIF(U213:AY213,"A")</f>
      </c>
      <c r="BA213" s="121">
        <f>COUNTIF(U213:AY213,"F")</f>
      </c>
      <c r="BB213" s="119">
        <f>COUNTIF(U213:AY213,"E")</f>
      </c>
    </row>
    <row r="214" spans="1:54" x14ac:dyDescent="0.2">
      <c r="A214" s="84"/>
      <c r="B214" s="85"/>
      <c r="C214" s="85"/>
      <c r="D214" s="85"/>
      <c r="E214" s="86"/>
      <c r="F214" s="16">
        <f>IF(E214="","",DATEDIF(E214,$I$7,"Y"))</f>
      </c>
      <c r="G214" s="85"/>
      <c r="H214" s="85"/>
      <c r="I214" s="87"/>
      <c r="J214" s="85"/>
      <c r="K214" s="85"/>
      <c r="L214" s="10"/>
      <c r="M214" s="10"/>
      <c r="N214" s="10"/>
      <c r="O214" s="10"/>
      <c r="P214" s="85"/>
      <c r="Q214" s="88"/>
      <c r="R214" s="3">
        <f>IFERROR(VLOOKUP(TablaAbril[[#This Row],[BARRIO]],SECTOR!$A:$B,2,0),"")</f>
      </c>
      <c r="S214" s="89"/>
      <c r="T214" s="90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6"/>
      <c r="AZ214" s="120">
        <f>COUNTIF(U214:AY214,"A")</f>
      </c>
      <c r="BA214" s="121">
        <f>COUNTIF(U214:AY214,"F")</f>
      </c>
      <c r="BB214" s="119">
        <f>COUNTIF(U214:AY214,"E")</f>
      </c>
    </row>
    <row r="215" spans="1:54" x14ac:dyDescent="0.2">
      <c r="A215" s="84"/>
      <c r="B215" s="85"/>
      <c r="C215" s="85"/>
      <c r="D215" s="85"/>
      <c r="E215" s="86"/>
      <c r="F215" s="16">
        <f>IF(E215="","",DATEDIF(E215,$I$7,"Y"))</f>
      </c>
      <c r="G215" s="85"/>
      <c r="H215" s="85"/>
      <c r="I215" s="87"/>
      <c r="J215" s="85"/>
      <c r="K215" s="85"/>
      <c r="L215" s="10"/>
      <c r="M215" s="10"/>
      <c r="N215" s="10"/>
      <c r="O215" s="10"/>
      <c r="P215" s="85"/>
      <c r="Q215" s="88"/>
      <c r="R215" s="3">
        <f>IFERROR(VLOOKUP(TablaAbril[[#This Row],[BARRIO]],SECTOR!$A:$B,2,0),"")</f>
      </c>
      <c r="S215" s="89"/>
      <c r="T215" s="90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6"/>
      <c r="AZ215" s="120">
        <f>COUNTIF(U215:AY215,"A")</f>
      </c>
      <c r="BA215" s="121">
        <f>COUNTIF(U215:AY215,"F")</f>
      </c>
      <c r="BB215" s="119">
        <f>COUNTIF(U215:AY215,"E")</f>
      </c>
    </row>
    <row r="216" spans="1:54" x14ac:dyDescent="0.2">
      <c r="A216" s="84"/>
      <c r="B216" s="85"/>
      <c r="C216" s="85"/>
      <c r="D216" s="85"/>
      <c r="E216" s="86"/>
      <c r="F216" s="16">
        <f>IF(E216="","",DATEDIF(E216,$I$7,"Y"))</f>
      </c>
      <c r="G216" s="85"/>
      <c r="H216" s="85"/>
      <c r="I216" s="87"/>
      <c r="J216" s="85"/>
      <c r="K216" s="85"/>
      <c r="L216" s="10"/>
      <c r="M216" s="10"/>
      <c r="N216" s="10"/>
      <c r="O216" s="10"/>
      <c r="P216" s="85"/>
      <c r="Q216" s="88"/>
      <c r="R216" s="3">
        <f>IFERROR(VLOOKUP(TablaAbril[[#This Row],[BARRIO]],SECTOR!$A:$B,2,0),"")</f>
      </c>
      <c r="S216" s="89"/>
      <c r="T216" s="90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6"/>
      <c r="AZ216" s="120">
        <f>COUNTIF(U216:AY216,"A")</f>
      </c>
      <c r="BA216" s="121">
        <f>COUNTIF(U216:AY216,"F")</f>
      </c>
      <c r="BB216" s="119">
        <f>COUNTIF(U216:AY216,"E")</f>
      </c>
    </row>
    <row r="217" spans="1:54" x14ac:dyDescent="0.2">
      <c r="A217" s="84"/>
      <c r="B217" s="85"/>
      <c r="C217" s="85"/>
      <c r="D217" s="85"/>
      <c r="E217" s="86"/>
      <c r="F217" s="16">
        <f>IF(E217="","",DATEDIF(E217,$I$7,"Y"))</f>
      </c>
      <c r="G217" s="85"/>
      <c r="H217" s="85"/>
      <c r="I217" s="87"/>
      <c r="J217" s="85"/>
      <c r="K217" s="85"/>
      <c r="L217" s="10"/>
      <c r="M217" s="10"/>
      <c r="N217" s="10"/>
      <c r="O217" s="10"/>
      <c r="P217" s="85"/>
      <c r="Q217" s="88"/>
      <c r="R217" s="3">
        <f>IFERROR(VLOOKUP(TablaAbril[[#This Row],[BARRIO]],SECTOR!$A:$B,2,0),"")</f>
      </c>
      <c r="S217" s="89"/>
      <c r="T217" s="90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6"/>
      <c r="AZ217" s="120">
        <f>COUNTIF(U217:AY217,"A")</f>
      </c>
      <c r="BA217" s="121">
        <f>COUNTIF(U217:AY217,"F")</f>
      </c>
      <c r="BB217" s="119">
        <f>COUNTIF(U217:AY217,"E")</f>
      </c>
    </row>
    <row r="218" spans="1:54" x14ac:dyDescent="0.2">
      <c r="A218" s="84"/>
      <c r="B218" s="85"/>
      <c r="C218" s="85"/>
      <c r="D218" s="85"/>
      <c r="E218" s="86"/>
      <c r="F218" s="16">
        <f>IF(E218="","",DATEDIF(E218,$I$7,"Y"))</f>
      </c>
      <c r="G218" s="85"/>
      <c r="H218" s="85"/>
      <c r="I218" s="87"/>
      <c r="J218" s="85"/>
      <c r="K218" s="85"/>
      <c r="L218" s="10"/>
      <c r="M218" s="10"/>
      <c r="N218" s="10"/>
      <c r="O218" s="10"/>
      <c r="P218" s="85"/>
      <c r="Q218" s="88"/>
      <c r="R218" s="3">
        <f>IFERROR(VLOOKUP(TablaAbril[[#This Row],[BARRIO]],SECTOR!$A:$B,2,0),"")</f>
      </c>
      <c r="S218" s="89"/>
      <c r="T218" s="90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6"/>
      <c r="AZ218" s="120">
        <f>COUNTIF(U218:AY218,"A")</f>
      </c>
      <c r="BA218" s="121">
        <f>COUNTIF(U218:AY218,"F")</f>
      </c>
      <c r="BB218" s="119">
        <f>COUNTIF(U218:AY218,"E")</f>
      </c>
    </row>
    <row r="219" spans="1:54" x14ac:dyDescent="0.2">
      <c r="A219" s="84"/>
      <c r="B219" s="85"/>
      <c r="C219" s="85"/>
      <c r="D219" s="85"/>
      <c r="E219" s="86"/>
      <c r="F219" s="16">
        <f>IF(E219="","",DATEDIF(E219,$I$7,"Y"))</f>
      </c>
      <c r="G219" s="85"/>
      <c r="H219" s="85"/>
      <c r="I219" s="87"/>
      <c r="J219" s="85"/>
      <c r="K219" s="85"/>
      <c r="L219" s="10"/>
      <c r="M219" s="10"/>
      <c r="N219" s="10"/>
      <c r="O219" s="10"/>
      <c r="P219" s="85"/>
      <c r="Q219" s="88"/>
      <c r="R219" s="3">
        <f>IFERROR(VLOOKUP(TablaAbril[[#This Row],[BARRIO]],SECTOR!$A:$B,2,0),"")</f>
      </c>
      <c r="S219" s="89"/>
      <c r="T219" s="90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6"/>
      <c r="AZ219" s="120">
        <f>COUNTIF(U219:AY219,"A")</f>
      </c>
      <c r="BA219" s="121">
        <f>COUNTIF(U219:AY219,"F")</f>
      </c>
      <c r="BB219" s="119">
        <f>COUNTIF(U219:AY219,"E")</f>
      </c>
    </row>
    <row r="220" spans="1:54" x14ac:dyDescent="0.2">
      <c r="A220" s="84"/>
      <c r="B220" s="85"/>
      <c r="C220" s="85"/>
      <c r="D220" s="85"/>
      <c r="E220" s="86"/>
      <c r="F220" s="16">
        <f>IF(E220="","",DATEDIF(E220,$I$7,"Y"))</f>
      </c>
      <c r="G220" s="85"/>
      <c r="H220" s="85"/>
      <c r="I220" s="87"/>
      <c r="J220" s="85"/>
      <c r="K220" s="85"/>
      <c r="L220" s="10"/>
      <c r="M220" s="10"/>
      <c r="N220" s="10"/>
      <c r="O220" s="10"/>
      <c r="P220" s="85"/>
      <c r="Q220" s="88"/>
      <c r="R220" s="3">
        <f>IFERROR(VLOOKUP(TablaAbril[[#This Row],[BARRIO]],SECTOR!$A:$B,2,0),"")</f>
      </c>
      <c r="S220" s="89"/>
      <c r="T220" s="90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6"/>
      <c r="AZ220" s="120">
        <f>COUNTIF(U220:AY220,"A")</f>
      </c>
      <c r="BA220" s="121">
        <f>COUNTIF(U220:AY220,"F")</f>
      </c>
      <c r="BB220" s="119">
        <f>COUNTIF(U220:AY220,"E")</f>
      </c>
    </row>
    <row r="221" spans="1:54" x14ac:dyDescent="0.2">
      <c r="A221" s="84"/>
      <c r="B221" s="85"/>
      <c r="C221" s="85"/>
      <c r="D221" s="85"/>
      <c r="E221" s="86"/>
      <c r="F221" s="16">
        <f>IF(E221="","",DATEDIF(E221,$I$7,"Y"))</f>
      </c>
      <c r="G221" s="85"/>
      <c r="H221" s="85"/>
      <c r="I221" s="87"/>
      <c r="J221" s="85"/>
      <c r="K221" s="85"/>
      <c r="L221" s="10"/>
      <c r="M221" s="10"/>
      <c r="N221" s="10"/>
      <c r="O221" s="10"/>
      <c r="P221" s="85"/>
      <c r="Q221" s="88"/>
      <c r="R221" s="3">
        <f>IFERROR(VLOOKUP(TablaAbril[[#This Row],[BARRIO]],SECTOR!$A:$B,2,0),"")</f>
      </c>
      <c r="S221" s="89"/>
      <c r="T221" s="90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6"/>
      <c r="AZ221" s="120">
        <f>COUNTIF(U221:AY221,"A")</f>
      </c>
      <c r="BA221" s="121">
        <f>COUNTIF(U221:AY221,"F")</f>
      </c>
      <c r="BB221" s="119">
        <f>COUNTIF(U221:AY221,"E")</f>
      </c>
    </row>
    <row r="222" spans="1:54" x14ac:dyDescent="0.2">
      <c r="A222" s="84"/>
      <c r="B222" s="85"/>
      <c r="C222" s="85"/>
      <c r="D222" s="85"/>
      <c r="E222" s="86"/>
      <c r="F222" s="16">
        <f>IF(E222="","",DATEDIF(E222,$I$7,"Y"))</f>
      </c>
      <c r="G222" s="85"/>
      <c r="H222" s="85"/>
      <c r="I222" s="87"/>
      <c r="J222" s="85"/>
      <c r="K222" s="85"/>
      <c r="L222" s="10"/>
      <c r="M222" s="10"/>
      <c r="N222" s="10"/>
      <c r="O222" s="10"/>
      <c r="P222" s="85"/>
      <c r="Q222" s="88"/>
      <c r="R222" s="3">
        <f>IFERROR(VLOOKUP(TablaAbril[[#This Row],[BARRIO]],SECTOR!$A:$B,2,0),"")</f>
      </c>
      <c r="S222" s="89"/>
      <c r="T222" s="90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6"/>
      <c r="AZ222" s="120">
        <f>COUNTIF(U222:AY222,"A")</f>
      </c>
      <c r="BA222" s="121">
        <f>COUNTIF(U222:AY222,"F")</f>
      </c>
      <c r="BB222" s="119">
        <f>COUNTIF(U222:AY222,"E")</f>
      </c>
    </row>
    <row r="223" spans="1:54" x14ac:dyDescent="0.2">
      <c r="A223" s="84"/>
      <c r="B223" s="85"/>
      <c r="C223" s="85"/>
      <c r="D223" s="85"/>
      <c r="E223" s="86"/>
      <c r="F223" s="16">
        <f>IF(E223="","",DATEDIF(E223,$I$7,"Y"))</f>
      </c>
      <c r="G223" s="85"/>
      <c r="H223" s="85"/>
      <c r="I223" s="87"/>
      <c r="J223" s="85"/>
      <c r="K223" s="85"/>
      <c r="L223" s="10"/>
      <c r="M223" s="10"/>
      <c r="N223" s="10"/>
      <c r="O223" s="10"/>
      <c r="P223" s="85"/>
      <c r="Q223" s="88"/>
      <c r="R223" s="3">
        <f>IFERROR(VLOOKUP(TablaAbril[[#This Row],[BARRIO]],SECTOR!$A:$B,2,0),"")</f>
      </c>
      <c r="S223" s="89"/>
      <c r="T223" s="90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6"/>
      <c r="AZ223" s="120">
        <f>COUNTIF(U223:AY223,"A")</f>
      </c>
      <c r="BA223" s="121">
        <f>COUNTIF(U223:AY223,"F")</f>
      </c>
      <c r="BB223" s="119">
        <f>COUNTIF(U223:AY223,"E")</f>
      </c>
    </row>
    <row r="224" spans="1:54" x14ac:dyDescent="0.2">
      <c r="A224" s="84"/>
      <c r="B224" s="85"/>
      <c r="C224" s="85"/>
      <c r="D224" s="85"/>
      <c r="E224" s="86"/>
      <c r="F224" s="16">
        <f>IF(E224="","",DATEDIF(E224,$I$7,"Y"))</f>
      </c>
      <c r="G224" s="85"/>
      <c r="H224" s="85"/>
      <c r="I224" s="87"/>
      <c r="J224" s="85"/>
      <c r="K224" s="85"/>
      <c r="L224" s="10"/>
      <c r="M224" s="10"/>
      <c r="N224" s="10"/>
      <c r="O224" s="10"/>
      <c r="P224" s="85"/>
      <c r="Q224" s="88"/>
      <c r="R224" s="3">
        <f>IFERROR(VLOOKUP(TablaAbril[[#This Row],[BARRIO]],SECTOR!$A:$B,2,0),"")</f>
      </c>
      <c r="S224" s="89"/>
      <c r="T224" s="90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6"/>
      <c r="AZ224" s="120">
        <f>COUNTIF(U224:AY224,"A")</f>
      </c>
      <c r="BA224" s="121">
        <f>COUNTIF(U224:AY224,"F")</f>
      </c>
      <c r="BB224" s="119">
        <f>COUNTIF(U224:AY224,"E")</f>
      </c>
    </row>
    <row r="225" spans="1:54" x14ac:dyDescent="0.2">
      <c r="A225" s="84"/>
      <c r="B225" s="85"/>
      <c r="C225" s="85"/>
      <c r="D225" s="85"/>
      <c r="E225" s="86"/>
      <c r="F225" s="16">
        <f>IF(E225="","",DATEDIF(E225,$I$7,"Y"))</f>
      </c>
      <c r="G225" s="85"/>
      <c r="H225" s="85"/>
      <c r="I225" s="87"/>
      <c r="J225" s="85"/>
      <c r="K225" s="85"/>
      <c r="L225" s="10"/>
      <c r="M225" s="10"/>
      <c r="N225" s="10"/>
      <c r="O225" s="10"/>
      <c r="P225" s="85"/>
      <c r="Q225" s="88"/>
      <c r="R225" s="3">
        <f>IFERROR(VLOOKUP(TablaAbril[[#This Row],[BARRIO]],SECTOR!$A:$B,2,0),"")</f>
      </c>
      <c r="S225" s="89"/>
      <c r="T225" s="90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6"/>
      <c r="AZ225" s="120">
        <f>COUNTIF(U225:AY225,"A")</f>
      </c>
      <c r="BA225" s="121">
        <f>COUNTIF(U225:AY225,"F")</f>
      </c>
      <c r="BB225" s="119">
        <f>COUNTIF(U225:AY225,"E")</f>
      </c>
    </row>
    <row r="226" spans="1:54" x14ac:dyDescent="0.2">
      <c r="A226" s="84"/>
      <c r="B226" s="85"/>
      <c r="C226" s="85"/>
      <c r="D226" s="85"/>
      <c r="E226" s="86"/>
      <c r="F226" s="16">
        <f>IF(E226="","",DATEDIF(E226,$I$7,"Y"))</f>
      </c>
      <c r="G226" s="85"/>
      <c r="H226" s="85"/>
      <c r="I226" s="87"/>
      <c r="J226" s="85"/>
      <c r="K226" s="85"/>
      <c r="L226" s="10"/>
      <c r="M226" s="10"/>
      <c r="N226" s="10"/>
      <c r="O226" s="10"/>
      <c r="P226" s="85"/>
      <c r="Q226" s="88"/>
      <c r="R226" s="3">
        <f>IFERROR(VLOOKUP(TablaAbril[[#This Row],[BARRIO]],SECTOR!$A:$B,2,0),"")</f>
      </c>
      <c r="S226" s="89"/>
      <c r="T226" s="90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6"/>
      <c r="AZ226" s="120">
        <f>COUNTIF(U226:AY226,"A")</f>
      </c>
      <c r="BA226" s="121">
        <f>COUNTIF(U226:AY226,"F")</f>
      </c>
      <c r="BB226" s="119">
        <f>COUNTIF(U226:AY226,"E")</f>
      </c>
    </row>
    <row r="227" spans="1:54" x14ac:dyDescent="0.2">
      <c r="A227" s="84"/>
      <c r="B227" s="85"/>
      <c r="C227" s="85"/>
      <c r="D227" s="85"/>
      <c r="E227" s="86"/>
      <c r="F227" s="16">
        <f>IF(E227="","",DATEDIF(E227,$I$7,"Y"))</f>
      </c>
      <c r="G227" s="85"/>
      <c r="H227" s="85"/>
      <c r="I227" s="87"/>
      <c r="J227" s="85"/>
      <c r="K227" s="85"/>
      <c r="L227" s="10"/>
      <c r="M227" s="10"/>
      <c r="N227" s="10"/>
      <c r="O227" s="10"/>
      <c r="P227" s="85"/>
      <c r="Q227" s="88"/>
      <c r="R227" s="3">
        <f>IFERROR(VLOOKUP(TablaAbril[[#This Row],[BARRIO]],SECTOR!$A:$B,2,0),"")</f>
      </c>
      <c r="S227" s="89"/>
      <c r="T227" s="90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6"/>
      <c r="AZ227" s="120">
        <f>COUNTIF(U227:AY227,"A")</f>
      </c>
      <c r="BA227" s="121">
        <f>COUNTIF(U227:AY227,"F")</f>
      </c>
      <c r="BB227" s="119">
        <f>COUNTIF(U227:AY227,"E")</f>
      </c>
    </row>
    <row r="228" spans="1:54" x14ac:dyDescent="0.2">
      <c r="A228" s="84"/>
      <c r="B228" s="85"/>
      <c r="C228" s="85"/>
      <c r="D228" s="85"/>
      <c r="E228" s="86"/>
      <c r="F228" s="16">
        <f>IF(E228="","",DATEDIF(E228,$I$7,"Y"))</f>
      </c>
      <c r="G228" s="85"/>
      <c r="H228" s="85"/>
      <c r="I228" s="87"/>
      <c r="J228" s="85"/>
      <c r="K228" s="85"/>
      <c r="L228" s="10"/>
      <c r="M228" s="10"/>
      <c r="N228" s="10"/>
      <c r="O228" s="10"/>
      <c r="P228" s="85"/>
      <c r="Q228" s="88"/>
      <c r="R228" s="3">
        <f>IFERROR(VLOOKUP(TablaAbril[[#This Row],[BARRIO]],SECTOR!$A:$B,2,0),"")</f>
      </c>
      <c r="S228" s="89"/>
      <c r="T228" s="90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6"/>
      <c r="AZ228" s="120">
        <f>COUNTIF(U228:AY228,"A")</f>
      </c>
      <c r="BA228" s="121">
        <f>COUNTIF(U228:AY228,"F")</f>
      </c>
      <c r="BB228" s="119">
        <f>COUNTIF(U228:AY228,"E")</f>
      </c>
    </row>
    <row r="229" spans="1:54" x14ac:dyDescent="0.2">
      <c r="A229" s="84"/>
      <c r="B229" s="85"/>
      <c r="C229" s="85"/>
      <c r="D229" s="85"/>
      <c r="E229" s="86"/>
      <c r="F229" s="16">
        <f>IF(E229="","",DATEDIF(E229,$I$7,"Y"))</f>
      </c>
      <c r="G229" s="85"/>
      <c r="H229" s="85"/>
      <c r="I229" s="87"/>
      <c r="J229" s="85"/>
      <c r="K229" s="85"/>
      <c r="L229" s="10"/>
      <c r="M229" s="10"/>
      <c r="N229" s="10"/>
      <c r="O229" s="10"/>
      <c r="P229" s="85"/>
      <c r="Q229" s="88"/>
      <c r="R229" s="3">
        <f>IFERROR(VLOOKUP(TablaAbril[[#This Row],[BARRIO]],SECTOR!$A:$B,2,0),"")</f>
      </c>
      <c r="S229" s="89"/>
      <c r="T229" s="90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6"/>
      <c r="AZ229" s="120">
        <f>COUNTIF(U229:AY229,"A")</f>
      </c>
      <c r="BA229" s="121">
        <f>COUNTIF(U229:AY229,"F")</f>
      </c>
      <c r="BB229" s="119">
        <f>COUNTIF(U229:AY229,"E")</f>
      </c>
    </row>
    <row r="230" spans="1:54" x14ac:dyDescent="0.2">
      <c r="A230" s="84"/>
      <c r="B230" s="85"/>
      <c r="C230" s="85"/>
      <c r="D230" s="85"/>
      <c r="E230" s="86"/>
      <c r="F230" s="16">
        <f>IF(E230="","",DATEDIF(E230,$I$7,"Y"))</f>
      </c>
      <c r="G230" s="85"/>
      <c r="H230" s="85"/>
      <c r="I230" s="87"/>
      <c r="J230" s="85"/>
      <c r="K230" s="85"/>
      <c r="L230" s="10"/>
      <c r="M230" s="10"/>
      <c r="N230" s="10"/>
      <c r="O230" s="10"/>
      <c r="P230" s="85"/>
      <c r="Q230" s="88"/>
      <c r="R230" s="3">
        <f>IFERROR(VLOOKUP(TablaAbril[[#This Row],[BARRIO]],SECTOR!$A:$B,2,0),"")</f>
      </c>
      <c r="S230" s="89"/>
      <c r="T230" s="90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6"/>
      <c r="AZ230" s="120">
        <f>COUNTIF(U230:AY230,"A")</f>
      </c>
      <c r="BA230" s="121">
        <f>COUNTIF(U230:AY230,"F")</f>
      </c>
      <c r="BB230" s="119">
        <f>COUNTIF(U230:AY230,"E")</f>
      </c>
    </row>
    <row r="231" spans="1:54" x14ac:dyDescent="0.2">
      <c r="A231" s="84"/>
      <c r="B231" s="85"/>
      <c r="C231" s="85"/>
      <c r="D231" s="85"/>
      <c r="E231" s="86"/>
      <c r="F231" s="16">
        <f>IF(E231="","",DATEDIF(E231,$I$7,"Y"))</f>
      </c>
      <c r="G231" s="85"/>
      <c r="H231" s="85"/>
      <c r="I231" s="87"/>
      <c r="J231" s="85"/>
      <c r="K231" s="85"/>
      <c r="L231" s="10"/>
      <c r="M231" s="10"/>
      <c r="N231" s="10"/>
      <c r="O231" s="10"/>
      <c r="P231" s="85"/>
      <c r="Q231" s="88"/>
      <c r="R231" s="3">
        <f>IFERROR(VLOOKUP(TablaAbril[[#This Row],[BARRIO]],SECTOR!$A:$B,2,0),"")</f>
      </c>
      <c r="S231" s="89"/>
      <c r="T231" s="90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6"/>
      <c r="AZ231" s="120">
        <f>COUNTIF(U231:AY231,"A")</f>
      </c>
      <c r="BA231" s="121">
        <f>COUNTIF(U231:AY231,"F")</f>
      </c>
      <c r="BB231" s="119">
        <f>COUNTIF(U231:AY231,"E")</f>
      </c>
    </row>
    <row r="232" spans="1:54" x14ac:dyDescent="0.2">
      <c r="A232" s="84"/>
      <c r="B232" s="85"/>
      <c r="C232" s="85"/>
      <c r="D232" s="85"/>
      <c r="E232" s="86"/>
      <c r="F232" s="16">
        <f>IF(E232="","",DATEDIF(E232,$I$7,"Y"))</f>
      </c>
      <c r="G232" s="85"/>
      <c r="H232" s="85"/>
      <c r="I232" s="87"/>
      <c r="J232" s="85"/>
      <c r="K232" s="85"/>
      <c r="L232" s="10"/>
      <c r="M232" s="10"/>
      <c r="N232" s="10"/>
      <c r="O232" s="10"/>
      <c r="P232" s="85"/>
      <c r="Q232" s="88"/>
      <c r="R232" s="3">
        <f>IFERROR(VLOOKUP(TablaAbril[[#This Row],[BARRIO]],SECTOR!$A:$B,2,0),"")</f>
      </c>
      <c r="S232" s="89"/>
      <c r="T232" s="90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6"/>
      <c r="AZ232" s="120">
        <f>COUNTIF(U232:AY232,"A")</f>
      </c>
      <c r="BA232" s="121">
        <f>COUNTIF(U232:AY232,"F")</f>
      </c>
      <c r="BB232" s="119">
        <f>COUNTIF(U232:AY232,"E")</f>
      </c>
    </row>
    <row r="233" spans="1:54" x14ac:dyDescent="0.2">
      <c r="A233" s="84"/>
      <c r="B233" s="85"/>
      <c r="C233" s="85"/>
      <c r="D233" s="85"/>
      <c r="E233" s="86"/>
      <c r="F233" s="16">
        <f>IF(E233="","",DATEDIF(E233,$I$7,"Y"))</f>
      </c>
      <c r="G233" s="85"/>
      <c r="H233" s="85"/>
      <c r="I233" s="87"/>
      <c r="J233" s="85"/>
      <c r="K233" s="85"/>
      <c r="L233" s="10"/>
      <c r="M233" s="10"/>
      <c r="N233" s="10"/>
      <c r="O233" s="10"/>
      <c r="P233" s="85"/>
      <c r="Q233" s="88"/>
      <c r="R233" s="3">
        <f>IFERROR(VLOOKUP(TablaAbril[[#This Row],[BARRIO]],SECTOR!$A:$B,2,0),"")</f>
      </c>
      <c r="S233" s="89"/>
      <c r="T233" s="90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6"/>
      <c r="AZ233" s="120">
        <f>COUNTIF(U233:AY233,"A")</f>
      </c>
      <c r="BA233" s="121">
        <f>COUNTIF(U233:AY233,"F")</f>
      </c>
      <c r="BB233" s="119">
        <f>COUNTIF(U233:AY233,"E")</f>
      </c>
    </row>
    <row r="234" spans="1:54" x14ac:dyDescent="0.2">
      <c r="A234" s="84"/>
      <c r="B234" s="85"/>
      <c r="C234" s="85"/>
      <c r="D234" s="85"/>
      <c r="E234" s="86"/>
      <c r="F234" s="16">
        <f>IF(E234="","",DATEDIF(E234,$I$7,"Y"))</f>
      </c>
      <c r="G234" s="85"/>
      <c r="H234" s="85"/>
      <c r="I234" s="87"/>
      <c r="J234" s="85"/>
      <c r="K234" s="85"/>
      <c r="L234" s="10"/>
      <c r="M234" s="10"/>
      <c r="N234" s="10"/>
      <c r="O234" s="10"/>
      <c r="P234" s="85"/>
      <c r="Q234" s="88"/>
      <c r="R234" s="3">
        <f>IFERROR(VLOOKUP(TablaAbril[[#This Row],[BARRIO]],SECTOR!$A:$B,2,0),"")</f>
      </c>
      <c r="S234" s="89"/>
      <c r="T234" s="90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6"/>
      <c r="AZ234" s="120">
        <f>COUNTIF(U234:AY234,"A")</f>
      </c>
      <c r="BA234" s="121">
        <f>COUNTIF(U234:AY234,"F")</f>
      </c>
      <c r="BB234" s="119">
        <f>COUNTIF(U234:AY234,"E")</f>
      </c>
    </row>
    <row r="235" spans="1:54" x14ac:dyDescent="0.2">
      <c r="A235" s="84"/>
      <c r="B235" s="85"/>
      <c r="C235" s="85"/>
      <c r="D235" s="85"/>
      <c r="E235" s="86"/>
      <c r="F235" s="16">
        <f>IF(E235="","",DATEDIF(E235,$I$7,"Y"))</f>
      </c>
      <c r="G235" s="85"/>
      <c r="H235" s="85"/>
      <c r="I235" s="87"/>
      <c r="J235" s="85"/>
      <c r="K235" s="85"/>
      <c r="L235" s="10"/>
      <c r="M235" s="10"/>
      <c r="N235" s="10"/>
      <c r="O235" s="10"/>
      <c r="P235" s="85"/>
      <c r="Q235" s="88"/>
      <c r="R235" s="3">
        <f>IFERROR(VLOOKUP(TablaAbril[[#This Row],[BARRIO]],SECTOR!$A:$B,2,0),"")</f>
      </c>
      <c r="S235" s="89"/>
      <c r="T235" s="90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6"/>
      <c r="AZ235" s="120">
        <f>COUNTIF(U235:AY235,"A")</f>
      </c>
      <c r="BA235" s="121">
        <f>COUNTIF(U235:AY235,"F")</f>
      </c>
      <c r="BB235" s="119">
        <f>COUNTIF(U235:AY235,"E")</f>
      </c>
    </row>
    <row r="236" spans="1:54" x14ac:dyDescent="0.2">
      <c r="A236" s="84"/>
      <c r="B236" s="85"/>
      <c r="C236" s="85"/>
      <c r="D236" s="85"/>
      <c r="E236" s="86"/>
      <c r="F236" s="16">
        <f>IF(E236="","",DATEDIF(E236,$I$7,"Y"))</f>
      </c>
      <c r="G236" s="85"/>
      <c r="H236" s="85"/>
      <c r="I236" s="87"/>
      <c r="J236" s="85"/>
      <c r="K236" s="85"/>
      <c r="L236" s="10"/>
      <c r="M236" s="10"/>
      <c r="N236" s="10"/>
      <c r="O236" s="10"/>
      <c r="P236" s="85"/>
      <c r="Q236" s="88"/>
      <c r="R236" s="3">
        <f>IFERROR(VLOOKUP(TablaAbril[[#This Row],[BARRIO]],SECTOR!$A:$B,2,0),"")</f>
      </c>
      <c r="S236" s="89"/>
      <c r="T236" s="90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6"/>
      <c r="AZ236" s="120">
        <f>COUNTIF(U236:AY236,"A")</f>
      </c>
      <c r="BA236" s="121">
        <f>COUNTIF(U236:AY236,"F")</f>
      </c>
      <c r="BB236" s="119">
        <f>COUNTIF(U236:AY236,"E")</f>
      </c>
    </row>
    <row r="237" spans="1:54" x14ac:dyDescent="0.2">
      <c r="A237" s="84"/>
      <c r="B237" s="85"/>
      <c r="C237" s="85"/>
      <c r="D237" s="85"/>
      <c r="E237" s="86"/>
      <c r="F237" s="16">
        <f>IF(E237="","",DATEDIF(E237,$I$7,"Y"))</f>
      </c>
      <c r="G237" s="85"/>
      <c r="H237" s="85"/>
      <c r="I237" s="87"/>
      <c r="J237" s="85"/>
      <c r="K237" s="85"/>
      <c r="L237" s="10"/>
      <c r="M237" s="10"/>
      <c r="N237" s="10"/>
      <c r="O237" s="10"/>
      <c r="P237" s="85"/>
      <c r="Q237" s="88"/>
      <c r="R237" s="3">
        <f>IFERROR(VLOOKUP(TablaAbril[[#This Row],[BARRIO]],SECTOR!$A:$B,2,0),"")</f>
      </c>
      <c r="S237" s="89"/>
      <c r="T237" s="90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6"/>
      <c r="AZ237" s="120">
        <f>COUNTIF(U237:AY237,"A")</f>
      </c>
      <c r="BA237" s="121">
        <f>COUNTIF(U237:AY237,"F")</f>
      </c>
      <c r="BB237" s="119">
        <f>COUNTIF(U237:AY237,"E")</f>
      </c>
    </row>
    <row r="238" spans="1:54" x14ac:dyDescent="0.2">
      <c r="A238" s="84"/>
      <c r="B238" s="85"/>
      <c r="C238" s="85"/>
      <c r="D238" s="85"/>
      <c r="E238" s="86"/>
      <c r="F238" s="16">
        <f>IF(E238="","",DATEDIF(E238,$I$7,"Y"))</f>
      </c>
      <c r="G238" s="85"/>
      <c r="H238" s="85"/>
      <c r="I238" s="87"/>
      <c r="J238" s="85"/>
      <c r="K238" s="85"/>
      <c r="L238" s="10"/>
      <c r="M238" s="10"/>
      <c r="N238" s="10"/>
      <c r="O238" s="10"/>
      <c r="P238" s="85"/>
      <c r="Q238" s="88"/>
      <c r="R238" s="3">
        <f>IFERROR(VLOOKUP(TablaAbril[[#This Row],[BARRIO]],SECTOR!$A:$B,2,0),"")</f>
      </c>
      <c r="S238" s="89"/>
      <c r="T238" s="90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6"/>
      <c r="AZ238" s="120">
        <f>COUNTIF(U238:AY238,"A")</f>
      </c>
      <c r="BA238" s="121">
        <f>COUNTIF(U238:AY238,"F")</f>
      </c>
      <c r="BB238" s="119">
        <f>COUNTIF(U238:AY238,"E")</f>
      </c>
    </row>
    <row r="239" spans="1:54" x14ac:dyDescent="0.2">
      <c r="A239" s="84"/>
      <c r="B239" s="85"/>
      <c r="C239" s="85"/>
      <c r="D239" s="85"/>
      <c r="E239" s="86"/>
      <c r="F239" s="16">
        <f>IF(E239="","",DATEDIF(E239,$I$7,"Y"))</f>
      </c>
      <c r="G239" s="85"/>
      <c r="H239" s="85"/>
      <c r="I239" s="87"/>
      <c r="J239" s="85"/>
      <c r="K239" s="85"/>
      <c r="L239" s="10"/>
      <c r="M239" s="10"/>
      <c r="N239" s="10"/>
      <c r="O239" s="10"/>
      <c r="P239" s="85"/>
      <c r="Q239" s="88"/>
      <c r="R239" s="3">
        <f>IFERROR(VLOOKUP(TablaAbril[[#This Row],[BARRIO]],SECTOR!$A:$B,2,0),"")</f>
      </c>
      <c r="S239" s="89"/>
      <c r="T239" s="90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6"/>
      <c r="AZ239" s="120">
        <f>COUNTIF(U239:AY239,"A")</f>
      </c>
      <c r="BA239" s="121">
        <f>COUNTIF(U239:AY239,"F")</f>
      </c>
      <c r="BB239" s="119">
        <f>COUNTIF(U239:AY239,"E")</f>
      </c>
    </row>
    <row r="240" spans="1:54" x14ac:dyDescent="0.2">
      <c r="A240" s="84"/>
      <c r="B240" s="85"/>
      <c r="C240" s="85"/>
      <c r="D240" s="85"/>
      <c r="E240" s="86"/>
      <c r="F240" s="16">
        <f>IF(E240="","",DATEDIF(E240,$I$7,"Y"))</f>
      </c>
      <c r="G240" s="85"/>
      <c r="H240" s="85"/>
      <c r="I240" s="87"/>
      <c r="J240" s="85"/>
      <c r="K240" s="85"/>
      <c r="L240" s="10"/>
      <c r="M240" s="10"/>
      <c r="N240" s="10"/>
      <c r="O240" s="10"/>
      <c r="P240" s="85"/>
      <c r="Q240" s="88"/>
      <c r="R240" s="3">
        <f>IFERROR(VLOOKUP(TablaAbril[[#This Row],[BARRIO]],SECTOR!$A:$B,2,0),"")</f>
      </c>
      <c r="S240" s="89"/>
      <c r="T240" s="90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6"/>
      <c r="AZ240" s="120">
        <f>COUNTIF(U240:AY240,"A")</f>
      </c>
      <c r="BA240" s="121">
        <f>COUNTIF(U240:AY240,"F")</f>
      </c>
      <c r="BB240" s="119">
        <f>COUNTIF(U240:AY240,"E")</f>
      </c>
    </row>
    <row r="241" spans="1:54" x14ac:dyDescent="0.2">
      <c r="A241" s="84"/>
      <c r="B241" s="85"/>
      <c r="C241" s="85"/>
      <c r="D241" s="85"/>
      <c r="E241" s="86"/>
      <c r="F241" s="16">
        <f>IF(E241="","",DATEDIF(E241,$I$7,"Y"))</f>
      </c>
      <c r="G241" s="85"/>
      <c r="H241" s="85"/>
      <c r="I241" s="87"/>
      <c r="J241" s="85"/>
      <c r="K241" s="85"/>
      <c r="L241" s="10"/>
      <c r="M241" s="10"/>
      <c r="N241" s="10"/>
      <c r="O241" s="10"/>
      <c r="P241" s="85"/>
      <c r="Q241" s="88"/>
      <c r="R241" s="3">
        <f>IFERROR(VLOOKUP(TablaAbril[[#This Row],[BARRIO]],SECTOR!$A:$B,2,0),"")</f>
      </c>
      <c r="S241" s="89"/>
      <c r="T241" s="90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6"/>
      <c r="AZ241" s="120">
        <f>COUNTIF(U241:AY241,"A")</f>
      </c>
      <c r="BA241" s="121">
        <f>COUNTIF(U241:AY241,"F")</f>
      </c>
      <c r="BB241" s="119">
        <f>COUNTIF(U241:AY241,"E")</f>
      </c>
    </row>
    <row r="242" spans="1:54" x14ac:dyDescent="0.2">
      <c r="A242" s="84"/>
      <c r="B242" s="85"/>
      <c r="C242" s="85"/>
      <c r="D242" s="85"/>
      <c r="E242" s="86"/>
      <c r="F242" s="16">
        <f>IF(E242="","",DATEDIF(E242,$I$7,"Y"))</f>
      </c>
      <c r="G242" s="85"/>
      <c r="H242" s="85"/>
      <c r="I242" s="87"/>
      <c r="J242" s="85"/>
      <c r="K242" s="85"/>
      <c r="L242" s="10"/>
      <c r="M242" s="10"/>
      <c r="N242" s="10"/>
      <c r="O242" s="10"/>
      <c r="P242" s="85"/>
      <c r="Q242" s="88"/>
      <c r="R242" s="3">
        <f>IFERROR(VLOOKUP(TablaAbril[[#This Row],[BARRIO]],SECTOR!$A:$B,2,0),"")</f>
      </c>
      <c r="S242" s="89"/>
      <c r="T242" s="90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6"/>
      <c r="AZ242" s="120">
        <f>COUNTIF(U242:AY242,"A")</f>
      </c>
      <c r="BA242" s="121">
        <f>COUNTIF(U242:AY242,"F")</f>
      </c>
      <c r="BB242" s="119">
        <f>COUNTIF(U242:AY242,"E")</f>
      </c>
    </row>
    <row r="243" spans="1:54" x14ac:dyDescent="0.2">
      <c r="A243" s="84"/>
      <c r="B243" s="85"/>
      <c r="C243" s="85"/>
      <c r="D243" s="85"/>
      <c r="E243" s="86"/>
      <c r="F243" s="16">
        <f>IF(E243="","",DATEDIF(E243,$I$7,"Y"))</f>
      </c>
      <c r="G243" s="85"/>
      <c r="H243" s="85"/>
      <c r="I243" s="87"/>
      <c r="J243" s="85"/>
      <c r="K243" s="85"/>
      <c r="L243" s="10"/>
      <c r="M243" s="10"/>
      <c r="N243" s="10"/>
      <c r="O243" s="10"/>
      <c r="P243" s="85"/>
      <c r="Q243" s="88"/>
      <c r="R243" s="3">
        <f>IFERROR(VLOOKUP(TablaAbril[[#This Row],[BARRIO]],SECTOR!$A:$B,2,0),"")</f>
      </c>
      <c r="S243" s="89"/>
      <c r="T243" s="90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6"/>
      <c r="AZ243" s="120">
        <f>COUNTIF(U243:AY243,"A")</f>
      </c>
      <c r="BA243" s="121">
        <f>COUNTIF(U243:AY243,"F")</f>
      </c>
      <c r="BB243" s="119">
        <f>COUNTIF(U243:AY243,"E")</f>
      </c>
    </row>
    <row r="244" spans="1:54" x14ac:dyDescent="0.2">
      <c r="A244" s="84"/>
      <c r="B244" s="85"/>
      <c r="C244" s="85"/>
      <c r="D244" s="85"/>
      <c r="E244" s="86"/>
      <c r="F244" s="16">
        <f>IF(E244="","",DATEDIF(E244,$I$7,"Y"))</f>
      </c>
      <c r="G244" s="85"/>
      <c r="H244" s="85"/>
      <c r="I244" s="87"/>
      <c r="J244" s="85"/>
      <c r="K244" s="85"/>
      <c r="L244" s="10"/>
      <c r="M244" s="10"/>
      <c r="N244" s="10"/>
      <c r="O244" s="10"/>
      <c r="P244" s="85"/>
      <c r="Q244" s="88"/>
      <c r="R244" s="3">
        <f>IFERROR(VLOOKUP(TablaAbril[[#This Row],[BARRIO]],SECTOR!$A:$B,2,0),"")</f>
      </c>
      <c r="S244" s="89"/>
      <c r="T244" s="90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6"/>
      <c r="AZ244" s="120">
        <f>COUNTIF(U244:AY244,"A")</f>
      </c>
      <c r="BA244" s="121">
        <f>COUNTIF(U244:AY244,"F")</f>
      </c>
      <c r="BB244" s="119">
        <f>COUNTIF(U244:AY244,"E")</f>
      </c>
    </row>
    <row r="245" spans="1:54" x14ac:dyDescent="0.2">
      <c r="A245" s="84"/>
      <c r="B245" s="85"/>
      <c r="C245" s="85"/>
      <c r="D245" s="85"/>
      <c r="E245" s="86"/>
      <c r="F245" s="16">
        <f>IF(E245="","",DATEDIF(E245,$I$7,"Y"))</f>
      </c>
      <c r="G245" s="85"/>
      <c r="H245" s="85"/>
      <c r="I245" s="87"/>
      <c r="J245" s="85"/>
      <c r="K245" s="85"/>
      <c r="L245" s="10"/>
      <c r="M245" s="10"/>
      <c r="N245" s="10"/>
      <c r="O245" s="10"/>
      <c r="P245" s="85"/>
      <c r="Q245" s="88"/>
      <c r="R245" s="3">
        <f>IFERROR(VLOOKUP(TablaAbril[[#This Row],[BARRIO]],SECTOR!$A:$B,2,0),"")</f>
      </c>
      <c r="S245" s="89"/>
      <c r="T245" s="90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6"/>
      <c r="AZ245" s="120">
        <f>COUNTIF(U245:AY245,"A")</f>
      </c>
      <c r="BA245" s="121">
        <f>COUNTIF(U245:AY245,"F")</f>
      </c>
      <c r="BB245" s="119">
        <f>COUNTIF(U245:AY245,"E")</f>
      </c>
    </row>
    <row r="246" spans="1:54" x14ac:dyDescent="0.2">
      <c r="A246" s="84"/>
      <c r="B246" s="85"/>
      <c r="C246" s="85"/>
      <c r="D246" s="85"/>
      <c r="E246" s="86"/>
      <c r="F246" s="16">
        <f>IF(E246="","",DATEDIF(E246,$I$7,"Y"))</f>
      </c>
      <c r="G246" s="85"/>
      <c r="H246" s="85"/>
      <c r="I246" s="87"/>
      <c r="J246" s="85"/>
      <c r="K246" s="85"/>
      <c r="L246" s="10"/>
      <c r="M246" s="10"/>
      <c r="N246" s="10"/>
      <c r="O246" s="10"/>
      <c r="P246" s="85"/>
      <c r="Q246" s="88"/>
      <c r="R246" s="3">
        <f>IFERROR(VLOOKUP(TablaAbril[[#This Row],[BARRIO]],SECTOR!$A:$B,2,0),"")</f>
      </c>
      <c r="S246" s="89"/>
      <c r="T246" s="90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6"/>
      <c r="AZ246" s="120">
        <f>COUNTIF(U246:AY246,"A")</f>
      </c>
      <c r="BA246" s="121">
        <f>COUNTIF(U246:AY246,"F")</f>
      </c>
      <c r="BB246" s="119">
        <f>COUNTIF(U246:AY246,"E")</f>
      </c>
    </row>
    <row r="247" spans="1:54" x14ac:dyDescent="0.2">
      <c r="A247" s="84"/>
      <c r="B247" s="85"/>
      <c r="C247" s="85"/>
      <c r="D247" s="85"/>
      <c r="E247" s="86"/>
      <c r="F247" s="16">
        <f>IF(E247="","",DATEDIF(E247,$I$7,"Y"))</f>
      </c>
      <c r="G247" s="85"/>
      <c r="H247" s="85"/>
      <c r="I247" s="87"/>
      <c r="J247" s="85"/>
      <c r="K247" s="85"/>
      <c r="L247" s="10"/>
      <c r="M247" s="10"/>
      <c r="N247" s="10"/>
      <c r="O247" s="10"/>
      <c r="P247" s="85"/>
      <c r="Q247" s="88"/>
      <c r="R247" s="3">
        <f>IFERROR(VLOOKUP(TablaAbril[[#This Row],[BARRIO]],SECTOR!$A:$B,2,0),"")</f>
      </c>
      <c r="S247" s="89"/>
      <c r="T247" s="90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6"/>
      <c r="AZ247" s="120">
        <f>COUNTIF(U247:AY247,"A")</f>
      </c>
      <c r="BA247" s="121">
        <f>COUNTIF(U247:AY247,"F")</f>
      </c>
      <c r="BB247" s="119">
        <f>COUNTIF(U247:AY247,"E")</f>
      </c>
    </row>
    <row r="248" spans="1:54" x14ac:dyDescent="0.2">
      <c r="A248" s="84"/>
      <c r="B248" s="85"/>
      <c r="C248" s="85"/>
      <c r="D248" s="85"/>
      <c r="E248" s="86"/>
      <c r="F248" s="16">
        <f>IF(E248="","",DATEDIF(E248,$I$7,"Y"))</f>
      </c>
      <c r="G248" s="85"/>
      <c r="H248" s="85"/>
      <c r="I248" s="87"/>
      <c r="J248" s="85"/>
      <c r="K248" s="85"/>
      <c r="L248" s="10"/>
      <c r="M248" s="10"/>
      <c r="N248" s="10"/>
      <c r="O248" s="10"/>
      <c r="P248" s="85"/>
      <c r="Q248" s="88"/>
      <c r="R248" s="3">
        <f>IFERROR(VLOOKUP(TablaAbril[[#This Row],[BARRIO]],SECTOR!$A:$B,2,0),"")</f>
      </c>
      <c r="S248" s="89"/>
      <c r="T248" s="90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6"/>
      <c r="AZ248" s="120">
        <f>COUNTIF(U248:AY248,"A")</f>
      </c>
      <c r="BA248" s="121">
        <f>COUNTIF(U248:AY248,"F")</f>
      </c>
      <c r="BB248" s="119">
        <f>COUNTIF(U248:AY248,"E")</f>
      </c>
    </row>
    <row r="249" spans="1:54" x14ac:dyDescent="0.2">
      <c r="A249" s="84"/>
      <c r="B249" s="85"/>
      <c r="C249" s="85"/>
      <c r="D249" s="85"/>
      <c r="E249" s="86"/>
      <c r="F249" s="16">
        <f>IF(E249="","",DATEDIF(E249,$I$7,"Y"))</f>
      </c>
      <c r="G249" s="85"/>
      <c r="H249" s="85"/>
      <c r="I249" s="87"/>
      <c r="J249" s="85"/>
      <c r="K249" s="85"/>
      <c r="L249" s="10"/>
      <c r="M249" s="10"/>
      <c r="N249" s="10"/>
      <c r="O249" s="10"/>
      <c r="P249" s="85"/>
      <c r="Q249" s="88"/>
      <c r="R249" s="3">
        <f>IFERROR(VLOOKUP(TablaAbril[[#This Row],[BARRIO]],SECTOR!$A:$B,2,0),"")</f>
      </c>
      <c r="S249" s="89"/>
      <c r="T249" s="90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6"/>
      <c r="AZ249" s="120">
        <f>COUNTIF(U249:AY249,"A")</f>
      </c>
      <c r="BA249" s="121">
        <f>COUNTIF(U249:AY249,"F")</f>
      </c>
      <c r="BB249" s="119">
        <f>COUNTIF(U249:AY249,"E")</f>
      </c>
    </row>
    <row r="250" spans="1:54" x14ac:dyDescent="0.2">
      <c r="A250" s="84"/>
      <c r="B250" s="85"/>
      <c r="C250" s="85"/>
      <c r="D250" s="85"/>
      <c r="E250" s="86"/>
      <c r="F250" s="16">
        <f>IF(E250="","",DATEDIF(E250,$I$7,"Y"))</f>
      </c>
      <c r="G250" s="85"/>
      <c r="H250" s="85"/>
      <c r="I250" s="87"/>
      <c r="J250" s="85"/>
      <c r="K250" s="85"/>
      <c r="L250" s="10"/>
      <c r="M250" s="10"/>
      <c r="N250" s="10"/>
      <c r="O250" s="10"/>
      <c r="P250" s="85"/>
      <c r="Q250" s="88"/>
      <c r="R250" s="3">
        <f>IFERROR(VLOOKUP(TablaAbril[[#This Row],[BARRIO]],SECTOR!$A:$B,2,0),"")</f>
      </c>
      <c r="S250" s="89"/>
      <c r="T250" s="90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6"/>
      <c r="AZ250" s="120">
        <f>COUNTIF(U250:AY250,"A")</f>
      </c>
      <c r="BA250" s="121">
        <f>COUNTIF(U250:AY250,"F")</f>
      </c>
      <c r="BB250" s="119">
        <f>COUNTIF(U250:AY250,"E")</f>
      </c>
    </row>
    <row r="251" spans="1:54" x14ac:dyDescent="0.2">
      <c r="A251" s="84"/>
      <c r="B251" s="85"/>
      <c r="C251" s="85"/>
      <c r="D251" s="85"/>
      <c r="E251" s="86"/>
      <c r="F251" s="16">
        <f>IF(E251="","",DATEDIF(E251,$I$7,"Y"))</f>
      </c>
      <c r="G251" s="85"/>
      <c r="H251" s="85"/>
      <c r="I251" s="87"/>
      <c r="J251" s="85"/>
      <c r="K251" s="85"/>
      <c r="L251" s="10"/>
      <c r="M251" s="10"/>
      <c r="N251" s="10"/>
      <c r="O251" s="10"/>
      <c r="P251" s="85"/>
      <c r="Q251" s="88"/>
      <c r="R251" s="3">
        <f>IFERROR(VLOOKUP(TablaAbril[[#This Row],[BARRIO]],SECTOR!$A:$B,2,0),"")</f>
      </c>
      <c r="S251" s="89"/>
      <c r="T251" s="90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6"/>
      <c r="AZ251" s="120">
        <f>COUNTIF(U251:AY251,"A")</f>
      </c>
      <c r="BA251" s="121">
        <f>COUNTIF(U251:AY251,"F")</f>
      </c>
      <c r="BB251" s="119">
        <f>COUNTIF(U251:AY251,"E")</f>
      </c>
    </row>
    <row r="252" spans="1:54" x14ac:dyDescent="0.2">
      <c r="A252" s="84"/>
      <c r="B252" s="85"/>
      <c r="C252" s="85"/>
      <c r="D252" s="85"/>
      <c r="E252" s="86"/>
      <c r="F252" s="16">
        <f>IF(E252="","",DATEDIF(E252,$I$7,"Y"))</f>
      </c>
      <c r="G252" s="85"/>
      <c r="H252" s="85"/>
      <c r="I252" s="87"/>
      <c r="J252" s="85"/>
      <c r="K252" s="85"/>
      <c r="L252" s="10"/>
      <c r="M252" s="10"/>
      <c r="N252" s="10"/>
      <c r="O252" s="10"/>
      <c r="P252" s="85"/>
      <c r="Q252" s="88"/>
      <c r="R252" s="3">
        <f>IFERROR(VLOOKUP(TablaAbril[[#This Row],[BARRIO]],SECTOR!$A:$B,2,0),"")</f>
      </c>
      <c r="S252" s="89"/>
      <c r="T252" s="90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6"/>
      <c r="AZ252" s="120">
        <f>COUNTIF(U252:AY252,"A")</f>
      </c>
      <c r="BA252" s="121">
        <f>COUNTIF(U252:AY252,"F")</f>
      </c>
      <c r="BB252" s="119">
        <f>COUNTIF(U252:AY252,"E")</f>
      </c>
    </row>
    <row r="253" spans="1:54" x14ac:dyDescent="0.2">
      <c r="A253" s="84"/>
      <c r="B253" s="85"/>
      <c r="C253" s="85"/>
      <c r="D253" s="85"/>
      <c r="E253" s="86"/>
      <c r="F253" s="16">
        <f>IF(E253="","",DATEDIF(E253,$I$7,"Y"))</f>
      </c>
      <c r="G253" s="85"/>
      <c r="H253" s="85"/>
      <c r="I253" s="87"/>
      <c r="J253" s="85"/>
      <c r="K253" s="85"/>
      <c r="L253" s="10"/>
      <c r="M253" s="10"/>
      <c r="N253" s="10"/>
      <c r="O253" s="10"/>
      <c r="P253" s="85"/>
      <c r="Q253" s="88"/>
      <c r="R253" s="3">
        <f>IFERROR(VLOOKUP(TablaAbril[[#This Row],[BARRIO]],SECTOR!$A:$B,2,0),"")</f>
      </c>
      <c r="S253" s="89"/>
      <c r="T253" s="90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6"/>
      <c r="AZ253" s="120">
        <f>COUNTIF(U253:AY253,"A")</f>
      </c>
      <c r="BA253" s="121">
        <f>COUNTIF(U253:AY253,"F")</f>
      </c>
      <c r="BB253" s="119">
        <f>COUNTIF(U253:AY253,"E")</f>
      </c>
    </row>
    <row r="254" spans="1:54" x14ac:dyDescent="0.2">
      <c r="A254" s="84"/>
      <c r="B254" s="85"/>
      <c r="C254" s="85"/>
      <c r="D254" s="85"/>
      <c r="E254" s="86"/>
      <c r="F254" s="16">
        <f>IF(E254="","",DATEDIF(E254,$I$7,"Y"))</f>
      </c>
      <c r="G254" s="85"/>
      <c r="H254" s="85"/>
      <c r="I254" s="87"/>
      <c r="J254" s="85"/>
      <c r="K254" s="85"/>
      <c r="L254" s="10"/>
      <c r="M254" s="10"/>
      <c r="N254" s="10"/>
      <c r="O254" s="10"/>
      <c r="P254" s="85"/>
      <c r="Q254" s="88"/>
      <c r="R254" s="3">
        <f>IFERROR(VLOOKUP(TablaAbril[[#This Row],[BARRIO]],SECTOR!$A:$B,2,0),"")</f>
      </c>
      <c r="S254" s="89"/>
      <c r="T254" s="90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6"/>
      <c r="AZ254" s="120">
        <f>COUNTIF(U254:AY254,"A")</f>
      </c>
      <c r="BA254" s="121">
        <f>COUNTIF(U254:AY254,"F")</f>
      </c>
      <c r="BB254" s="119">
        <f>COUNTIF(U254:AY254,"E")</f>
      </c>
    </row>
    <row r="255" spans="1:54" x14ac:dyDescent="0.2">
      <c r="A255" s="84"/>
      <c r="B255" s="85"/>
      <c r="C255" s="85"/>
      <c r="D255" s="85"/>
      <c r="E255" s="86"/>
      <c r="F255" s="16">
        <f>IF(E255="","",DATEDIF(E255,$I$7,"Y"))</f>
      </c>
      <c r="G255" s="85"/>
      <c r="H255" s="85"/>
      <c r="I255" s="87"/>
      <c r="J255" s="85"/>
      <c r="K255" s="85"/>
      <c r="L255" s="10"/>
      <c r="M255" s="10"/>
      <c r="N255" s="10"/>
      <c r="O255" s="10"/>
      <c r="P255" s="85"/>
      <c r="Q255" s="88"/>
      <c r="R255" s="3">
        <f>IFERROR(VLOOKUP(TablaAbril[[#This Row],[BARRIO]],SECTOR!$A:$B,2,0),"")</f>
      </c>
      <c r="S255" s="89"/>
      <c r="T255" s="90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6"/>
      <c r="AZ255" s="120">
        <f>COUNTIF(U255:AY255,"A")</f>
      </c>
      <c r="BA255" s="121">
        <f>COUNTIF(U255:AY255,"F")</f>
      </c>
      <c r="BB255" s="119">
        <f>COUNTIF(U255:AY255,"E")</f>
      </c>
    </row>
    <row r="256" spans="1:54" x14ac:dyDescent="0.2">
      <c r="A256" s="84"/>
      <c r="B256" s="85"/>
      <c r="C256" s="85"/>
      <c r="D256" s="85"/>
      <c r="E256" s="86"/>
      <c r="F256" s="16">
        <f>IF(E256="","",DATEDIF(E256,$I$7,"Y"))</f>
      </c>
      <c r="G256" s="85"/>
      <c r="H256" s="85"/>
      <c r="I256" s="87"/>
      <c r="J256" s="85"/>
      <c r="K256" s="85"/>
      <c r="L256" s="10"/>
      <c r="M256" s="10"/>
      <c r="N256" s="10"/>
      <c r="O256" s="10"/>
      <c r="P256" s="85"/>
      <c r="Q256" s="88"/>
      <c r="R256" s="3">
        <f>IFERROR(VLOOKUP(TablaAbril[[#This Row],[BARRIO]],SECTOR!$A:$B,2,0),"")</f>
      </c>
      <c r="S256" s="89"/>
      <c r="T256" s="90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6"/>
      <c r="AZ256" s="120">
        <f>COUNTIF(U256:AY256,"A")</f>
      </c>
      <c r="BA256" s="121">
        <f>COUNTIF(U256:AY256,"F")</f>
      </c>
      <c r="BB256" s="119">
        <f>COUNTIF(U256:AY256,"E")</f>
      </c>
    </row>
    <row r="257" spans="1:54" x14ac:dyDescent="0.2">
      <c r="A257" s="84"/>
      <c r="B257" s="85"/>
      <c r="C257" s="85"/>
      <c r="D257" s="85"/>
      <c r="E257" s="86"/>
      <c r="F257" s="16">
        <f>IF(E257="","",DATEDIF(E257,$I$7,"Y"))</f>
      </c>
      <c r="G257" s="85"/>
      <c r="H257" s="85"/>
      <c r="I257" s="87"/>
      <c r="J257" s="85"/>
      <c r="K257" s="85"/>
      <c r="L257" s="10"/>
      <c r="M257" s="10"/>
      <c r="N257" s="10"/>
      <c r="O257" s="10"/>
      <c r="P257" s="85"/>
      <c r="Q257" s="88"/>
      <c r="R257" s="3">
        <f>IFERROR(VLOOKUP(TablaAbril[[#This Row],[BARRIO]],SECTOR!$A:$B,2,0),"")</f>
      </c>
      <c r="S257" s="89"/>
      <c r="T257" s="90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6"/>
      <c r="AZ257" s="120">
        <f>COUNTIF(U257:AY257,"A")</f>
      </c>
      <c r="BA257" s="121">
        <f>COUNTIF(U257:AY257,"F")</f>
      </c>
      <c r="BB257" s="119">
        <f>COUNTIF(U257:AY257,"E")</f>
      </c>
    </row>
    <row r="258" spans="1:54" x14ac:dyDescent="0.2">
      <c r="A258" s="84"/>
      <c r="B258" s="85"/>
      <c r="C258" s="85"/>
      <c r="D258" s="85"/>
      <c r="E258" s="86"/>
      <c r="F258" s="16">
        <f>IF(E258="","",DATEDIF(E258,$I$7,"Y"))</f>
      </c>
      <c r="G258" s="85"/>
      <c r="H258" s="85"/>
      <c r="I258" s="87"/>
      <c r="J258" s="85"/>
      <c r="K258" s="85"/>
      <c r="L258" s="10"/>
      <c r="M258" s="10"/>
      <c r="N258" s="10"/>
      <c r="O258" s="10"/>
      <c r="P258" s="85"/>
      <c r="Q258" s="88"/>
      <c r="R258" s="3">
        <f>IFERROR(VLOOKUP(TablaAbril[[#This Row],[BARRIO]],SECTOR!$A:$B,2,0),"")</f>
      </c>
      <c r="S258" s="89"/>
      <c r="T258" s="90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6"/>
      <c r="AZ258" s="120">
        <f>COUNTIF(U258:AY258,"A")</f>
      </c>
      <c r="BA258" s="121">
        <f>COUNTIF(U258:AY258,"F")</f>
      </c>
      <c r="BB258" s="119">
        <f>COUNTIF(U258:AY258,"E")</f>
      </c>
    </row>
    <row r="259" spans="1:54" x14ac:dyDescent="0.2">
      <c r="A259" s="84"/>
      <c r="B259" s="85"/>
      <c r="C259" s="85"/>
      <c r="D259" s="85"/>
      <c r="E259" s="86"/>
      <c r="F259" s="16">
        <f>IF(E259="","",DATEDIF(E259,$I$7,"Y"))</f>
      </c>
      <c r="G259" s="85"/>
      <c r="H259" s="85"/>
      <c r="I259" s="87"/>
      <c r="J259" s="85"/>
      <c r="K259" s="85"/>
      <c r="L259" s="10"/>
      <c r="M259" s="10"/>
      <c r="N259" s="10"/>
      <c r="O259" s="10"/>
      <c r="P259" s="85"/>
      <c r="Q259" s="88"/>
      <c r="R259" s="3">
        <f>IFERROR(VLOOKUP(TablaAbril[[#This Row],[BARRIO]],SECTOR!$A:$B,2,0),"")</f>
      </c>
      <c r="S259" s="89"/>
      <c r="T259" s="90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6"/>
      <c r="AZ259" s="120">
        <f>COUNTIF(U259:AY259,"A")</f>
      </c>
      <c r="BA259" s="121">
        <f>COUNTIF(U259:AY259,"F")</f>
      </c>
      <c r="BB259" s="119">
        <f>COUNTIF(U259:AY259,"E")</f>
      </c>
    </row>
    <row r="260" spans="1:54" x14ac:dyDescent="0.2">
      <c r="A260" s="84"/>
      <c r="B260" s="85"/>
      <c r="C260" s="85"/>
      <c r="D260" s="85"/>
      <c r="E260" s="86"/>
      <c r="F260" s="16">
        <f>IF(E260="","",DATEDIF(E260,$I$7,"Y"))</f>
      </c>
      <c r="G260" s="85"/>
      <c r="H260" s="85"/>
      <c r="I260" s="87"/>
      <c r="J260" s="85"/>
      <c r="K260" s="85"/>
      <c r="L260" s="10"/>
      <c r="M260" s="10"/>
      <c r="N260" s="10"/>
      <c r="O260" s="10"/>
      <c r="P260" s="85"/>
      <c r="Q260" s="88"/>
      <c r="R260" s="3">
        <f>IFERROR(VLOOKUP(TablaAbril[[#This Row],[BARRIO]],SECTOR!$A:$B,2,0),"")</f>
      </c>
      <c r="S260" s="89"/>
      <c r="T260" s="90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6"/>
      <c r="AZ260" s="120">
        <f>COUNTIF(U260:AY260,"A")</f>
      </c>
      <c r="BA260" s="121">
        <f>COUNTIF(U260:AY260,"F")</f>
      </c>
      <c r="BB260" s="119">
        <f>COUNTIF(U260:AY260,"E")</f>
      </c>
    </row>
    <row r="261" spans="1:54" x14ac:dyDescent="0.2">
      <c r="A261" s="84"/>
      <c r="B261" s="85"/>
      <c r="C261" s="85"/>
      <c r="D261" s="85"/>
      <c r="E261" s="86"/>
      <c r="F261" s="16">
        <f>IF(E261="","",DATEDIF(E261,$I$7,"Y"))</f>
      </c>
      <c r="G261" s="85"/>
      <c r="H261" s="85"/>
      <c r="I261" s="87"/>
      <c r="J261" s="85"/>
      <c r="K261" s="85"/>
      <c r="L261" s="10"/>
      <c r="M261" s="10"/>
      <c r="N261" s="10"/>
      <c r="O261" s="10"/>
      <c r="P261" s="85"/>
      <c r="Q261" s="88"/>
      <c r="R261" s="3">
        <f>IFERROR(VLOOKUP(TablaAbril[[#This Row],[BARRIO]],SECTOR!$A:$B,2,0),"")</f>
      </c>
      <c r="S261" s="89"/>
      <c r="T261" s="90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6"/>
      <c r="AZ261" s="120">
        <f>COUNTIF(U261:AY261,"A")</f>
      </c>
      <c r="BA261" s="121">
        <f>COUNTIF(U261:AY261,"F")</f>
      </c>
      <c r="BB261" s="119">
        <f>COUNTIF(U261:AY261,"E")</f>
      </c>
    </row>
    <row r="262" spans="1:54" x14ac:dyDescent="0.2">
      <c r="A262" s="84"/>
      <c r="B262" s="85"/>
      <c r="C262" s="85"/>
      <c r="D262" s="85"/>
      <c r="E262" s="86"/>
      <c r="F262" s="16">
        <f>IF(E262="","",DATEDIF(E262,$I$7,"Y"))</f>
      </c>
      <c r="G262" s="85"/>
      <c r="H262" s="85"/>
      <c r="I262" s="87"/>
      <c r="J262" s="85"/>
      <c r="K262" s="85"/>
      <c r="L262" s="10"/>
      <c r="M262" s="10"/>
      <c r="N262" s="10"/>
      <c r="O262" s="10"/>
      <c r="P262" s="85"/>
      <c r="Q262" s="88"/>
      <c r="R262" s="3">
        <f>IFERROR(VLOOKUP(TablaAbril[[#This Row],[BARRIO]],SECTOR!$A:$B,2,0),"")</f>
      </c>
      <c r="S262" s="89"/>
      <c r="T262" s="90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6"/>
      <c r="AZ262" s="120">
        <f>COUNTIF(U262:AY262,"A")</f>
      </c>
      <c r="BA262" s="121">
        <f>COUNTIF(U262:AY262,"F")</f>
      </c>
      <c r="BB262" s="119">
        <f>COUNTIF(U262:AY262,"E")</f>
      </c>
    </row>
    <row r="263" spans="1:54" x14ac:dyDescent="0.2">
      <c r="A263" s="84"/>
      <c r="B263" s="85"/>
      <c r="C263" s="85"/>
      <c r="D263" s="85"/>
      <c r="E263" s="86"/>
      <c r="F263" s="16">
        <f>IF(E263="","",DATEDIF(E263,$I$7,"Y"))</f>
      </c>
      <c r="G263" s="85"/>
      <c r="H263" s="85"/>
      <c r="I263" s="87"/>
      <c r="J263" s="85"/>
      <c r="K263" s="85"/>
      <c r="L263" s="10"/>
      <c r="M263" s="10"/>
      <c r="N263" s="10"/>
      <c r="O263" s="10"/>
      <c r="P263" s="85"/>
      <c r="Q263" s="88"/>
      <c r="R263" s="3">
        <f>IFERROR(VLOOKUP(TablaAbril[[#This Row],[BARRIO]],SECTOR!$A:$B,2,0),"")</f>
      </c>
      <c r="S263" s="89"/>
      <c r="T263" s="90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6"/>
      <c r="AZ263" s="120">
        <f>COUNTIF(U263:AY263,"A")</f>
      </c>
      <c r="BA263" s="121">
        <f>COUNTIF(U263:AY263,"F")</f>
      </c>
      <c r="BB263" s="119">
        <f>COUNTIF(U263:AY263,"E")</f>
      </c>
    </row>
    <row r="264" spans="1:54" x14ac:dyDescent="0.2">
      <c r="A264" s="84"/>
      <c r="B264" s="85"/>
      <c r="C264" s="85"/>
      <c r="D264" s="85"/>
      <c r="E264" s="86"/>
      <c r="F264" s="16">
        <f>IF(E264="","",DATEDIF(E264,$I$7,"Y"))</f>
      </c>
      <c r="G264" s="85"/>
      <c r="H264" s="85"/>
      <c r="I264" s="87"/>
      <c r="J264" s="85"/>
      <c r="K264" s="85"/>
      <c r="L264" s="10"/>
      <c r="M264" s="10"/>
      <c r="N264" s="10"/>
      <c r="O264" s="10"/>
      <c r="P264" s="85"/>
      <c r="Q264" s="88"/>
      <c r="R264" s="3">
        <f>IFERROR(VLOOKUP(TablaAbril[[#This Row],[BARRIO]],SECTOR!$A:$B,2,0),"")</f>
      </c>
      <c r="S264" s="89"/>
      <c r="T264" s="90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6"/>
      <c r="AZ264" s="120">
        <f>COUNTIF(U264:AY264,"A")</f>
      </c>
      <c r="BA264" s="121">
        <f>COUNTIF(U264:AY264,"F")</f>
      </c>
      <c r="BB264" s="119">
        <f>COUNTIF(U264:AY264,"E")</f>
      </c>
    </row>
    <row r="265" spans="1:54" x14ac:dyDescent="0.2">
      <c r="A265" s="84"/>
      <c r="B265" s="85"/>
      <c r="C265" s="85"/>
      <c r="D265" s="85"/>
      <c r="E265" s="86"/>
      <c r="F265" s="16">
        <f>IF(E265="","",DATEDIF(E265,$I$7,"Y"))</f>
      </c>
      <c r="G265" s="85"/>
      <c r="H265" s="85"/>
      <c r="I265" s="87"/>
      <c r="J265" s="85"/>
      <c r="K265" s="85"/>
      <c r="L265" s="10"/>
      <c r="M265" s="10"/>
      <c r="N265" s="10"/>
      <c r="O265" s="10"/>
      <c r="P265" s="85"/>
      <c r="Q265" s="88"/>
      <c r="R265" s="3">
        <f>IFERROR(VLOOKUP(TablaAbril[[#This Row],[BARRIO]],SECTOR!$A:$B,2,0),"")</f>
      </c>
      <c r="S265" s="89"/>
      <c r="T265" s="90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6"/>
      <c r="AZ265" s="120">
        <f>COUNTIF(U265:AY265,"A")</f>
      </c>
      <c r="BA265" s="121">
        <f>COUNTIF(U265:AY265,"F")</f>
      </c>
      <c r="BB265" s="119">
        <f>COUNTIF(U265:AY265,"E")</f>
      </c>
    </row>
    <row r="266" spans="1:54" x14ac:dyDescent="0.2">
      <c r="A266" s="84"/>
      <c r="B266" s="85"/>
      <c r="C266" s="85"/>
      <c r="D266" s="85"/>
      <c r="E266" s="86"/>
      <c r="F266" s="16">
        <f>IF(E266="","",DATEDIF(E266,$I$7,"Y"))</f>
      </c>
      <c r="G266" s="85"/>
      <c r="H266" s="85"/>
      <c r="I266" s="87"/>
      <c r="J266" s="85"/>
      <c r="K266" s="85"/>
      <c r="L266" s="10"/>
      <c r="M266" s="10"/>
      <c r="N266" s="10"/>
      <c r="O266" s="10"/>
      <c r="P266" s="85"/>
      <c r="Q266" s="88"/>
      <c r="R266" s="3">
        <f>IFERROR(VLOOKUP(TablaAbril[[#This Row],[BARRIO]],SECTOR!$A:$B,2,0),"")</f>
      </c>
      <c r="S266" s="89"/>
      <c r="T266" s="90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6"/>
      <c r="AZ266" s="120">
        <f>COUNTIF(U266:AY266,"A")</f>
      </c>
      <c r="BA266" s="121">
        <f>COUNTIF(U266:AY266,"F")</f>
      </c>
      <c r="BB266" s="119">
        <f>COUNTIF(U266:AY266,"E")</f>
      </c>
    </row>
    <row r="267" spans="1:54" x14ac:dyDescent="0.2">
      <c r="A267" s="84"/>
      <c r="B267" s="85"/>
      <c r="C267" s="85"/>
      <c r="D267" s="85"/>
      <c r="E267" s="86"/>
      <c r="F267" s="16">
        <f>IF(E267="","",DATEDIF(E267,$I$7,"Y"))</f>
      </c>
      <c r="G267" s="85"/>
      <c r="H267" s="85"/>
      <c r="I267" s="87"/>
      <c r="J267" s="85"/>
      <c r="K267" s="85"/>
      <c r="L267" s="10"/>
      <c r="M267" s="10"/>
      <c r="N267" s="10"/>
      <c r="O267" s="10"/>
      <c r="P267" s="85"/>
      <c r="Q267" s="88"/>
      <c r="R267" s="3">
        <f>IFERROR(VLOOKUP(TablaAbril[[#This Row],[BARRIO]],SECTOR!$A:$B,2,0),"")</f>
      </c>
      <c r="S267" s="89"/>
      <c r="T267" s="90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6"/>
      <c r="AZ267" s="120">
        <f>COUNTIF(U267:AY267,"A")</f>
      </c>
      <c r="BA267" s="121">
        <f>COUNTIF(U267:AY267,"F")</f>
      </c>
      <c r="BB267" s="119">
        <f>COUNTIF(U267:AY267,"E")</f>
      </c>
    </row>
    <row r="268" spans="1:54" x14ac:dyDescent="0.2">
      <c r="A268" s="84"/>
      <c r="B268" s="85"/>
      <c r="C268" s="85"/>
      <c r="D268" s="85"/>
      <c r="E268" s="86"/>
      <c r="F268" s="16">
        <f>IF(E268="","",DATEDIF(E268,$I$7,"Y"))</f>
      </c>
      <c r="G268" s="85"/>
      <c r="H268" s="85"/>
      <c r="I268" s="87"/>
      <c r="J268" s="85"/>
      <c r="K268" s="85"/>
      <c r="L268" s="10"/>
      <c r="M268" s="10"/>
      <c r="N268" s="10"/>
      <c r="O268" s="10"/>
      <c r="P268" s="85"/>
      <c r="Q268" s="88"/>
      <c r="R268" s="3">
        <f>IFERROR(VLOOKUP(TablaAbril[[#This Row],[BARRIO]],SECTOR!$A:$B,2,0),"")</f>
      </c>
      <c r="S268" s="89"/>
      <c r="T268" s="90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6"/>
      <c r="AZ268" s="120">
        <f>COUNTIF(U268:AY268,"A")</f>
      </c>
      <c r="BA268" s="121">
        <f>COUNTIF(U268:AY268,"F")</f>
      </c>
      <c r="BB268" s="119">
        <f>COUNTIF(U268:AY268,"E")</f>
      </c>
    </row>
    <row r="269" spans="1:54" x14ac:dyDescent="0.2">
      <c r="A269" s="84"/>
      <c r="B269" s="85"/>
      <c r="C269" s="85"/>
      <c r="D269" s="85"/>
      <c r="E269" s="86"/>
      <c r="F269" s="16">
        <f>IF(E269="","",DATEDIF(E269,$I$7,"Y"))</f>
      </c>
      <c r="G269" s="85"/>
      <c r="H269" s="85"/>
      <c r="I269" s="87"/>
      <c r="J269" s="85"/>
      <c r="K269" s="85"/>
      <c r="L269" s="10"/>
      <c r="M269" s="10"/>
      <c r="N269" s="10"/>
      <c r="O269" s="10"/>
      <c r="P269" s="85"/>
      <c r="Q269" s="88"/>
      <c r="R269" s="3">
        <f>IFERROR(VLOOKUP(TablaAbril[[#This Row],[BARRIO]],SECTOR!$A:$B,2,0),"")</f>
      </c>
      <c r="S269" s="89"/>
      <c r="T269" s="90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6"/>
      <c r="AZ269" s="120">
        <f>COUNTIF(U269:AY269,"A")</f>
      </c>
      <c r="BA269" s="121">
        <f>COUNTIF(U269:AY269,"F")</f>
      </c>
      <c r="BB269" s="119">
        <f>COUNTIF(U269:AY269,"E")</f>
      </c>
    </row>
    <row r="270" spans="1:54" x14ac:dyDescent="0.2">
      <c r="A270" s="84"/>
      <c r="B270" s="85"/>
      <c r="C270" s="85"/>
      <c r="D270" s="85"/>
      <c r="E270" s="86"/>
      <c r="F270" s="16">
        <f>IF(E270="","",DATEDIF(E270,$I$7,"Y"))</f>
      </c>
      <c r="G270" s="85"/>
      <c r="H270" s="85"/>
      <c r="I270" s="87"/>
      <c r="J270" s="85"/>
      <c r="K270" s="85"/>
      <c r="L270" s="10"/>
      <c r="M270" s="10"/>
      <c r="N270" s="10"/>
      <c r="O270" s="10"/>
      <c r="P270" s="85"/>
      <c r="Q270" s="88"/>
      <c r="R270" s="3">
        <f>IFERROR(VLOOKUP(TablaAbril[[#This Row],[BARRIO]],SECTOR!$A:$B,2,0),"")</f>
      </c>
      <c r="S270" s="89"/>
      <c r="T270" s="90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6"/>
      <c r="AZ270" s="120">
        <f>COUNTIF(U270:AY270,"A")</f>
      </c>
      <c r="BA270" s="121">
        <f>COUNTIF(U270:AY270,"F")</f>
      </c>
      <c r="BB270" s="119">
        <f>COUNTIF(U270:AY270,"E")</f>
      </c>
    </row>
    <row r="271" spans="1:54" x14ac:dyDescent="0.2">
      <c r="A271" s="84"/>
      <c r="B271" s="85"/>
      <c r="C271" s="85"/>
      <c r="D271" s="85"/>
      <c r="E271" s="86"/>
      <c r="F271" s="16">
        <f>IF(E271="","",DATEDIF(E271,$I$7,"Y"))</f>
      </c>
      <c r="G271" s="85"/>
      <c r="H271" s="85"/>
      <c r="I271" s="87"/>
      <c r="J271" s="85"/>
      <c r="K271" s="85"/>
      <c r="L271" s="10"/>
      <c r="M271" s="10"/>
      <c r="N271" s="10"/>
      <c r="O271" s="10"/>
      <c r="P271" s="85"/>
      <c r="Q271" s="88"/>
      <c r="R271" s="3">
        <f>IFERROR(VLOOKUP(TablaAbril[[#This Row],[BARRIO]],SECTOR!$A:$B,2,0),"")</f>
      </c>
      <c r="S271" s="89"/>
      <c r="T271" s="90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6"/>
      <c r="AZ271" s="120">
        <f>COUNTIF(U271:AY271,"A")</f>
      </c>
      <c r="BA271" s="121">
        <f>COUNTIF(U271:AY271,"F")</f>
      </c>
      <c r="BB271" s="119">
        <f>COUNTIF(U271:AY271,"E")</f>
      </c>
    </row>
    <row r="272" spans="1:54" x14ac:dyDescent="0.2">
      <c r="A272" s="84"/>
      <c r="B272" s="85"/>
      <c r="C272" s="85"/>
      <c r="D272" s="85"/>
      <c r="E272" s="86"/>
      <c r="F272" s="16">
        <f>IF(E272="","",DATEDIF(E272,$I$7,"Y"))</f>
      </c>
      <c r="G272" s="85"/>
      <c r="H272" s="85"/>
      <c r="I272" s="87"/>
      <c r="J272" s="85"/>
      <c r="K272" s="85"/>
      <c r="L272" s="10"/>
      <c r="M272" s="10"/>
      <c r="N272" s="10"/>
      <c r="O272" s="10"/>
      <c r="P272" s="85"/>
      <c r="Q272" s="88"/>
      <c r="R272" s="3">
        <f>IFERROR(VLOOKUP(TablaAbril[[#This Row],[BARRIO]],SECTOR!$A:$B,2,0),"")</f>
      </c>
      <c r="S272" s="89"/>
      <c r="T272" s="90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6"/>
      <c r="AZ272" s="120">
        <f>COUNTIF(U272:AY272,"A")</f>
      </c>
      <c r="BA272" s="121">
        <f>COUNTIF(U272:AY272,"F")</f>
      </c>
      <c r="BB272" s="119">
        <f>COUNTIF(U272:AY272,"E")</f>
      </c>
    </row>
    <row r="273" spans="1:54" x14ac:dyDescent="0.2">
      <c r="A273" s="84"/>
      <c r="B273" s="85"/>
      <c r="C273" s="85"/>
      <c r="D273" s="85"/>
      <c r="E273" s="86"/>
      <c r="F273" s="16">
        <f>IF(E273="","",DATEDIF(E273,$I$7,"Y"))</f>
      </c>
      <c r="G273" s="85"/>
      <c r="H273" s="85"/>
      <c r="I273" s="87"/>
      <c r="J273" s="85"/>
      <c r="K273" s="85"/>
      <c r="L273" s="10"/>
      <c r="M273" s="10"/>
      <c r="N273" s="10"/>
      <c r="O273" s="10"/>
      <c r="P273" s="85"/>
      <c r="Q273" s="88"/>
      <c r="R273" s="3">
        <f>IFERROR(VLOOKUP(TablaAbril[[#This Row],[BARRIO]],SECTOR!$A:$B,2,0),"")</f>
      </c>
      <c r="S273" s="89"/>
      <c r="T273" s="90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6"/>
      <c r="AZ273" s="120">
        <f>COUNTIF(U273:AY273,"A")</f>
      </c>
      <c r="BA273" s="121">
        <f>COUNTIF(U273:AY273,"F")</f>
      </c>
      <c r="BB273" s="119">
        <f>COUNTIF(U273:AY273,"E")</f>
      </c>
    </row>
    <row r="274" spans="1:54" x14ac:dyDescent="0.2">
      <c r="A274" s="84"/>
      <c r="B274" s="85"/>
      <c r="C274" s="85"/>
      <c r="D274" s="85"/>
      <c r="E274" s="86"/>
      <c r="F274" s="16">
        <f>IF(E274="","",DATEDIF(E274,$I$7,"Y"))</f>
      </c>
      <c r="G274" s="85"/>
      <c r="H274" s="85"/>
      <c r="I274" s="87"/>
      <c r="J274" s="85"/>
      <c r="K274" s="85"/>
      <c r="L274" s="10"/>
      <c r="M274" s="10"/>
      <c r="N274" s="10"/>
      <c r="O274" s="10"/>
      <c r="P274" s="85"/>
      <c r="Q274" s="88"/>
      <c r="R274" s="3">
        <f>IFERROR(VLOOKUP(TablaAbril[[#This Row],[BARRIO]],SECTOR!$A:$B,2,0),"")</f>
      </c>
      <c r="S274" s="89"/>
      <c r="T274" s="90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6"/>
      <c r="AZ274" s="120">
        <f>COUNTIF(U274:AY274,"A")</f>
      </c>
      <c r="BA274" s="121">
        <f>COUNTIF(U274:AY274,"F")</f>
      </c>
      <c r="BB274" s="119">
        <f>COUNTIF(U274:AY274,"E")</f>
      </c>
    </row>
    <row r="275" spans="1:54" x14ac:dyDescent="0.2">
      <c r="A275" s="84"/>
      <c r="B275" s="85"/>
      <c r="C275" s="85"/>
      <c r="D275" s="85"/>
      <c r="E275" s="86"/>
      <c r="F275" s="16">
        <f>IF(E275="","",DATEDIF(E275,$I$7,"Y"))</f>
      </c>
      <c r="G275" s="85"/>
      <c r="H275" s="85"/>
      <c r="I275" s="87"/>
      <c r="J275" s="85"/>
      <c r="K275" s="85"/>
      <c r="L275" s="10"/>
      <c r="M275" s="10"/>
      <c r="N275" s="10"/>
      <c r="O275" s="10"/>
      <c r="P275" s="85"/>
      <c r="Q275" s="88"/>
      <c r="R275" s="3">
        <f>IFERROR(VLOOKUP(TablaAbril[[#This Row],[BARRIO]],SECTOR!$A:$B,2,0),"")</f>
      </c>
      <c r="S275" s="89"/>
      <c r="T275" s="90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6"/>
      <c r="AZ275" s="120">
        <f>COUNTIF(U275:AY275,"A")</f>
      </c>
      <c r="BA275" s="121">
        <f>COUNTIF(U275:AY275,"F")</f>
      </c>
      <c r="BB275" s="119">
        <f>COUNTIF(U275:AY275,"E")</f>
      </c>
    </row>
    <row r="276" spans="1:54" x14ac:dyDescent="0.2">
      <c r="A276" s="84"/>
      <c r="B276" s="85"/>
      <c r="C276" s="85"/>
      <c r="D276" s="85"/>
      <c r="E276" s="86"/>
      <c r="F276" s="16">
        <f>IF(E276="","",DATEDIF(E276,$I$7,"Y"))</f>
      </c>
      <c r="G276" s="85"/>
      <c r="H276" s="85"/>
      <c r="I276" s="87"/>
      <c r="J276" s="85"/>
      <c r="K276" s="85"/>
      <c r="L276" s="10"/>
      <c r="M276" s="10"/>
      <c r="N276" s="10"/>
      <c r="O276" s="10"/>
      <c r="P276" s="85"/>
      <c r="Q276" s="88"/>
      <c r="R276" s="3">
        <f>IFERROR(VLOOKUP(TablaAbril[[#This Row],[BARRIO]],SECTOR!$A:$B,2,0),"")</f>
      </c>
      <c r="S276" s="89"/>
      <c r="T276" s="90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6"/>
      <c r="AZ276" s="120">
        <f>COUNTIF(U276:AY276,"A")</f>
      </c>
      <c r="BA276" s="121">
        <f>COUNTIF(U276:AY276,"F")</f>
      </c>
      <c r="BB276" s="119">
        <f>COUNTIF(U276:AY276,"E")</f>
      </c>
    </row>
    <row r="277" spans="1:54" x14ac:dyDescent="0.2">
      <c r="A277" s="84"/>
      <c r="B277" s="85"/>
      <c r="C277" s="85"/>
      <c r="D277" s="85"/>
      <c r="E277" s="86"/>
      <c r="F277" s="16">
        <f>IF(E277="","",DATEDIF(E277,$I$7,"Y"))</f>
      </c>
      <c r="G277" s="85"/>
      <c r="H277" s="85"/>
      <c r="I277" s="87"/>
      <c r="J277" s="85"/>
      <c r="K277" s="85"/>
      <c r="L277" s="10"/>
      <c r="M277" s="10"/>
      <c r="N277" s="10"/>
      <c r="O277" s="10"/>
      <c r="P277" s="85"/>
      <c r="Q277" s="88"/>
      <c r="R277" s="3">
        <f>IFERROR(VLOOKUP(TablaAbril[[#This Row],[BARRIO]],SECTOR!$A:$B,2,0),"")</f>
      </c>
      <c r="S277" s="89"/>
      <c r="T277" s="90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6"/>
      <c r="AZ277" s="120">
        <f>COUNTIF(U277:AY277,"A")</f>
      </c>
      <c r="BA277" s="121">
        <f>COUNTIF(U277:AY277,"F")</f>
      </c>
      <c r="BB277" s="119">
        <f>COUNTIF(U277:AY277,"E")</f>
      </c>
    </row>
    <row r="278" spans="1:54" x14ac:dyDescent="0.2">
      <c r="A278" s="84"/>
      <c r="B278" s="85"/>
      <c r="C278" s="85"/>
      <c r="D278" s="85"/>
      <c r="E278" s="86"/>
      <c r="F278" s="16">
        <f>IF(E278="","",DATEDIF(E278,$I$7,"Y"))</f>
      </c>
      <c r="G278" s="85"/>
      <c r="H278" s="85"/>
      <c r="I278" s="87"/>
      <c r="J278" s="85"/>
      <c r="K278" s="85"/>
      <c r="L278" s="10"/>
      <c r="M278" s="10"/>
      <c r="N278" s="10"/>
      <c r="O278" s="10"/>
      <c r="P278" s="85"/>
      <c r="Q278" s="88"/>
      <c r="R278" s="3">
        <f>IFERROR(VLOOKUP(TablaAbril[[#This Row],[BARRIO]],SECTOR!$A:$B,2,0),"")</f>
      </c>
      <c r="S278" s="89"/>
      <c r="T278" s="90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6"/>
      <c r="AZ278" s="120">
        <f>COUNTIF(U278:AY278,"A")</f>
      </c>
      <c r="BA278" s="121">
        <f>COUNTIF(U278:AY278,"F")</f>
      </c>
      <c r="BB278" s="119">
        <f>COUNTIF(U278:AY278,"E")</f>
      </c>
    </row>
    <row r="279" spans="1:54" x14ac:dyDescent="0.2">
      <c r="A279" s="84"/>
      <c r="B279" s="85"/>
      <c r="C279" s="85"/>
      <c r="D279" s="85"/>
      <c r="E279" s="86"/>
      <c r="F279" s="16">
        <f>IF(E279="","",DATEDIF(E279,$I$7,"Y"))</f>
      </c>
      <c r="G279" s="85"/>
      <c r="H279" s="85"/>
      <c r="I279" s="87"/>
      <c r="J279" s="85"/>
      <c r="K279" s="85"/>
      <c r="L279" s="10"/>
      <c r="M279" s="10"/>
      <c r="N279" s="10"/>
      <c r="O279" s="10"/>
      <c r="P279" s="85"/>
      <c r="Q279" s="88"/>
      <c r="R279" s="3">
        <f>IFERROR(VLOOKUP(TablaAbril[[#This Row],[BARRIO]],SECTOR!$A:$B,2,0),"")</f>
      </c>
      <c r="S279" s="89"/>
      <c r="T279" s="90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6"/>
      <c r="AZ279" s="120">
        <f>COUNTIF(U279:AY279,"A")</f>
      </c>
      <c r="BA279" s="121">
        <f>COUNTIF(U279:AY279,"F")</f>
      </c>
      <c r="BB279" s="119">
        <f>COUNTIF(U279:AY279,"E")</f>
      </c>
    </row>
    <row r="280" spans="1:54" x14ac:dyDescent="0.2">
      <c r="A280" s="84"/>
      <c r="B280" s="85"/>
      <c r="C280" s="85"/>
      <c r="D280" s="85"/>
      <c r="E280" s="86"/>
      <c r="F280" s="16">
        <f>IF(E280="","",DATEDIF(E280,$I$7,"Y"))</f>
      </c>
      <c r="G280" s="85"/>
      <c r="H280" s="85"/>
      <c r="I280" s="87"/>
      <c r="J280" s="85"/>
      <c r="K280" s="85"/>
      <c r="L280" s="10"/>
      <c r="M280" s="10"/>
      <c r="N280" s="10"/>
      <c r="O280" s="10"/>
      <c r="P280" s="85"/>
      <c r="Q280" s="88"/>
      <c r="R280" s="3">
        <f>IFERROR(VLOOKUP(TablaAbril[[#This Row],[BARRIO]],SECTOR!$A:$B,2,0),"")</f>
      </c>
      <c r="S280" s="89"/>
      <c r="T280" s="90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6"/>
      <c r="AZ280" s="120">
        <f>COUNTIF(U280:AY280,"A")</f>
      </c>
      <c r="BA280" s="121">
        <f>COUNTIF(U280:AY280,"F")</f>
      </c>
      <c r="BB280" s="119">
        <f>COUNTIF(U280:AY280,"E")</f>
      </c>
    </row>
    <row r="281" spans="1:54" x14ac:dyDescent="0.2">
      <c r="A281" s="84"/>
      <c r="B281" s="85"/>
      <c r="C281" s="85"/>
      <c r="D281" s="85"/>
      <c r="E281" s="86"/>
      <c r="F281" s="16">
        <f>IF(E281="","",DATEDIF(E281,$I$7,"Y"))</f>
      </c>
      <c r="G281" s="85"/>
      <c r="H281" s="85"/>
      <c r="I281" s="87"/>
      <c r="J281" s="85"/>
      <c r="K281" s="85"/>
      <c r="L281" s="10"/>
      <c r="M281" s="10"/>
      <c r="N281" s="10"/>
      <c r="O281" s="10"/>
      <c r="P281" s="85"/>
      <c r="Q281" s="88"/>
      <c r="R281" s="3">
        <f>IFERROR(VLOOKUP(TablaAbril[[#This Row],[BARRIO]],SECTOR!$A:$B,2,0),"")</f>
      </c>
      <c r="S281" s="89"/>
      <c r="T281" s="90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6"/>
      <c r="AZ281" s="120">
        <f>COUNTIF(U281:AY281,"A")</f>
      </c>
      <c r="BA281" s="121">
        <f>COUNTIF(U281:AY281,"F")</f>
      </c>
      <c r="BB281" s="119">
        <f>COUNTIF(U281:AY281,"E")</f>
      </c>
    </row>
    <row r="282" spans="1:54" x14ac:dyDescent="0.2">
      <c r="A282" s="84"/>
      <c r="B282" s="85"/>
      <c r="C282" s="85"/>
      <c r="D282" s="85"/>
      <c r="E282" s="86"/>
      <c r="F282" s="16">
        <f>IF(E282="","",DATEDIF(E282,$I$7,"Y"))</f>
      </c>
      <c r="G282" s="85"/>
      <c r="H282" s="85"/>
      <c r="I282" s="87"/>
      <c r="J282" s="85"/>
      <c r="K282" s="85"/>
      <c r="L282" s="10"/>
      <c r="M282" s="10"/>
      <c r="N282" s="10"/>
      <c r="O282" s="10"/>
      <c r="P282" s="85"/>
      <c r="Q282" s="88"/>
      <c r="R282" s="3">
        <f>IFERROR(VLOOKUP(TablaAbril[[#This Row],[BARRIO]],SECTOR!$A:$B,2,0),"")</f>
      </c>
      <c r="S282" s="89"/>
      <c r="T282" s="90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6"/>
      <c r="AZ282" s="120">
        <f>COUNTIF(U282:AY282,"A")</f>
      </c>
      <c r="BA282" s="121">
        <f>COUNTIF(U282:AY282,"F")</f>
      </c>
      <c r="BB282" s="119">
        <f>COUNTIF(U282:AY282,"E")</f>
      </c>
    </row>
    <row r="283" spans="1:54" x14ac:dyDescent="0.2">
      <c r="A283" s="84"/>
      <c r="B283" s="85"/>
      <c r="C283" s="85"/>
      <c r="D283" s="85"/>
      <c r="E283" s="86"/>
      <c r="F283" s="16">
        <f>IF(E283="","",DATEDIF(E283,$I$7,"Y"))</f>
      </c>
      <c r="G283" s="85"/>
      <c r="H283" s="85"/>
      <c r="I283" s="87"/>
      <c r="J283" s="85"/>
      <c r="K283" s="85"/>
      <c r="L283" s="10"/>
      <c r="M283" s="10"/>
      <c r="N283" s="10"/>
      <c r="O283" s="10"/>
      <c r="P283" s="85"/>
      <c r="Q283" s="88"/>
      <c r="R283" s="3">
        <f>IFERROR(VLOOKUP(TablaAbril[[#This Row],[BARRIO]],SECTOR!$A:$B,2,0),"")</f>
      </c>
      <c r="S283" s="89"/>
      <c r="T283" s="90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6"/>
      <c r="AZ283" s="120">
        <f>COUNTIF(U283:AY283,"A")</f>
      </c>
      <c r="BA283" s="121">
        <f>COUNTIF(U283:AY283,"F")</f>
      </c>
      <c r="BB283" s="119">
        <f>COUNTIF(U283:AY283,"E")</f>
      </c>
    </row>
    <row r="284" spans="1:54" x14ac:dyDescent="0.2">
      <c r="A284" s="84"/>
      <c r="B284" s="85"/>
      <c r="C284" s="85"/>
      <c r="D284" s="85"/>
      <c r="E284" s="86"/>
      <c r="F284" s="16">
        <f>IF(E284="","",DATEDIF(E284,$I$7,"Y"))</f>
      </c>
      <c r="G284" s="85"/>
      <c r="H284" s="85"/>
      <c r="I284" s="87"/>
      <c r="J284" s="85"/>
      <c r="K284" s="85"/>
      <c r="L284" s="10"/>
      <c r="M284" s="10"/>
      <c r="N284" s="10"/>
      <c r="O284" s="10"/>
      <c r="P284" s="85"/>
      <c r="Q284" s="88"/>
      <c r="R284" s="3">
        <f>IFERROR(VLOOKUP(TablaAbril[[#This Row],[BARRIO]],SECTOR!$A:$B,2,0),"")</f>
      </c>
      <c r="S284" s="89"/>
      <c r="T284" s="90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6"/>
      <c r="AZ284" s="120">
        <f>COUNTIF(U284:AY284,"A")</f>
      </c>
      <c r="BA284" s="121">
        <f>COUNTIF(U284:AY284,"F")</f>
      </c>
      <c r="BB284" s="119">
        <f>COUNTIF(U284:AY284,"E")</f>
      </c>
    </row>
    <row r="285" spans="1:54" x14ac:dyDescent="0.2">
      <c r="A285" s="84"/>
      <c r="B285" s="85"/>
      <c r="C285" s="85"/>
      <c r="D285" s="85"/>
      <c r="E285" s="86"/>
      <c r="F285" s="16">
        <f>IF(E285="","",DATEDIF(E285,$I$7,"Y"))</f>
      </c>
      <c r="G285" s="85"/>
      <c r="H285" s="85"/>
      <c r="I285" s="87"/>
      <c r="J285" s="85"/>
      <c r="K285" s="85"/>
      <c r="L285" s="10"/>
      <c r="M285" s="10"/>
      <c r="N285" s="10"/>
      <c r="O285" s="10"/>
      <c r="P285" s="85"/>
      <c r="Q285" s="88"/>
      <c r="R285" s="3">
        <f>IFERROR(VLOOKUP(TablaAbril[[#This Row],[BARRIO]],SECTOR!$A:$B,2,0),"")</f>
      </c>
      <c r="S285" s="89"/>
      <c r="T285" s="90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6"/>
      <c r="AZ285" s="120">
        <f>COUNTIF(U285:AY285,"A")</f>
      </c>
      <c r="BA285" s="121">
        <f>COUNTIF(U285:AY285,"F")</f>
      </c>
      <c r="BB285" s="119">
        <f>COUNTIF(U285:AY285,"E")</f>
      </c>
    </row>
    <row r="286" spans="1:54" x14ac:dyDescent="0.2">
      <c r="A286" s="84"/>
      <c r="B286" s="85"/>
      <c r="C286" s="85"/>
      <c r="D286" s="85"/>
      <c r="E286" s="86"/>
      <c r="F286" s="16">
        <f>IF(E286="","",DATEDIF(E286,$I$7,"Y"))</f>
      </c>
      <c r="G286" s="85"/>
      <c r="H286" s="85"/>
      <c r="I286" s="87"/>
      <c r="J286" s="85"/>
      <c r="K286" s="85"/>
      <c r="L286" s="10"/>
      <c r="M286" s="10"/>
      <c r="N286" s="10"/>
      <c r="O286" s="10"/>
      <c r="P286" s="85"/>
      <c r="Q286" s="88"/>
      <c r="R286" s="3">
        <f>IFERROR(VLOOKUP(TablaAbril[[#This Row],[BARRIO]],SECTOR!$A:$B,2,0),"")</f>
      </c>
      <c r="S286" s="89"/>
      <c r="T286" s="90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6"/>
      <c r="AZ286" s="120">
        <f>COUNTIF(U286:AY286,"A")</f>
      </c>
      <c r="BA286" s="121">
        <f>COUNTIF(U286:AY286,"F")</f>
      </c>
      <c r="BB286" s="119">
        <f>COUNTIF(U286:AY286,"E")</f>
      </c>
    </row>
    <row r="287" spans="1:54" x14ac:dyDescent="0.2">
      <c r="A287" s="84"/>
      <c r="B287" s="85"/>
      <c r="C287" s="85"/>
      <c r="D287" s="85"/>
      <c r="E287" s="86"/>
      <c r="F287" s="16">
        <f>IF(E287="","",DATEDIF(E287,$I$7,"Y"))</f>
      </c>
      <c r="G287" s="85"/>
      <c r="H287" s="85"/>
      <c r="I287" s="87"/>
      <c r="J287" s="85"/>
      <c r="K287" s="85"/>
      <c r="L287" s="10"/>
      <c r="M287" s="10"/>
      <c r="N287" s="10"/>
      <c r="O287" s="10"/>
      <c r="P287" s="85"/>
      <c r="Q287" s="88"/>
      <c r="R287" s="3">
        <f>IFERROR(VLOOKUP(TablaAbril[[#This Row],[BARRIO]],SECTOR!$A:$B,2,0),"")</f>
      </c>
      <c r="S287" s="89"/>
      <c r="T287" s="90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6"/>
      <c r="AZ287" s="120">
        <f>COUNTIF(U287:AY287,"A")</f>
      </c>
      <c r="BA287" s="121">
        <f>COUNTIF(U287:AY287,"F")</f>
      </c>
      <c r="BB287" s="119">
        <f>COUNTIF(U287:AY287,"E")</f>
      </c>
    </row>
    <row r="288" spans="1:54" x14ac:dyDescent="0.2">
      <c r="A288" s="84"/>
      <c r="B288" s="85"/>
      <c r="C288" s="85"/>
      <c r="D288" s="85"/>
      <c r="E288" s="86"/>
      <c r="F288" s="16">
        <f>IF(E288="","",DATEDIF(E288,$I$7,"Y"))</f>
      </c>
      <c r="G288" s="85"/>
      <c r="H288" s="85"/>
      <c r="I288" s="87"/>
      <c r="J288" s="85"/>
      <c r="K288" s="85"/>
      <c r="L288" s="10"/>
      <c r="M288" s="10"/>
      <c r="N288" s="10"/>
      <c r="O288" s="10"/>
      <c r="P288" s="85"/>
      <c r="Q288" s="88"/>
      <c r="R288" s="3">
        <f>IFERROR(VLOOKUP(TablaAbril[[#This Row],[BARRIO]],SECTOR!$A:$B,2,0),"")</f>
      </c>
      <c r="S288" s="89"/>
      <c r="T288" s="90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6"/>
      <c r="AZ288" s="120">
        <f>COUNTIF(U288:AY288,"A")</f>
      </c>
      <c r="BA288" s="121">
        <f>COUNTIF(U288:AY288,"F")</f>
      </c>
      <c r="BB288" s="119">
        <f>COUNTIF(U288:AY288,"E")</f>
      </c>
    </row>
    <row r="289" spans="1:54" x14ac:dyDescent="0.2">
      <c r="A289" s="84"/>
      <c r="B289" s="85"/>
      <c r="C289" s="85"/>
      <c r="D289" s="85"/>
      <c r="E289" s="86"/>
      <c r="F289" s="16">
        <f>IF(E289="","",DATEDIF(E289,$I$7,"Y"))</f>
      </c>
      <c r="G289" s="85"/>
      <c r="H289" s="85"/>
      <c r="I289" s="87"/>
      <c r="J289" s="85"/>
      <c r="K289" s="85"/>
      <c r="L289" s="10"/>
      <c r="M289" s="10"/>
      <c r="N289" s="10"/>
      <c r="O289" s="10"/>
      <c r="P289" s="85"/>
      <c r="Q289" s="88"/>
      <c r="R289" s="3">
        <f>IFERROR(VLOOKUP(TablaAbril[[#This Row],[BARRIO]],SECTOR!$A:$B,2,0),"")</f>
      </c>
      <c r="S289" s="89"/>
      <c r="T289" s="90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6"/>
      <c r="AZ289" s="120">
        <f>COUNTIF(U289:AY289,"A")</f>
      </c>
      <c r="BA289" s="121">
        <f>COUNTIF(U289:AY289,"F")</f>
      </c>
      <c r="BB289" s="119">
        <f>COUNTIF(U289:AY289,"E")</f>
      </c>
    </row>
    <row r="290" spans="1:54" x14ac:dyDescent="0.2">
      <c r="A290" s="84"/>
      <c r="B290" s="85"/>
      <c r="C290" s="85"/>
      <c r="D290" s="85"/>
      <c r="E290" s="86"/>
      <c r="F290" s="16">
        <f>IF(E290="","",DATEDIF(E290,$I$7,"Y"))</f>
      </c>
      <c r="G290" s="85"/>
      <c r="H290" s="85"/>
      <c r="I290" s="87"/>
      <c r="J290" s="85"/>
      <c r="K290" s="85"/>
      <c r="L290" s="10"/>
      <c r="M290" s="10"/>
      <c r="N290" s="10"/>
      <c r="O290" s="10"/>
      <c r="P290" s="85"/>
      <c r="Q290" s="88"/>
      <c r="R290" s="3">
        <f>IFERROR(VLOOKUP(TablaAbril[[#This Row],[BARRIO]],SECTOR!$A:$B,2,0),"")</f>
      </c>
      <c r="S290" s="89"/>
      <c r="T290" s="90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6"/>
      <c r="AZ290" s="120">
        <f>COUNTIF(U290:AY290,"A")</f>
      </c>
      <c r="BA290" s="121">
        <f>COUNTIF(U290:AY290,"F")</f>
      </c>
      <c r="BB290" s="119">
        <f>COUNTIF(U290:AY290,"E")</f>
      </c>
    </row>
    <row r="291" spans="1:54" x14ac:dyDescent="0.2">
      <c r="A291" s="84"/>
      <c r="B291" s="85"/>
      <c r="C291" s="85"/>
      <c r="D291" s="85"/>
      <c r="E291" s="86"/>
      <c r="F291" s="16">
        <f>IF(E291="","",DATEDIF(E291,$I$7,"Y"))</f>
      </c>
      <c r="G291" s="85"/>
      <c r="H291" s="85"/>
      <c r="I291" s="87"/>
      <c r="J291" s="85"/>
      <c r="K291" s="85"/>
      <c r="L291" s="10"/>
      <c r="M291" s="10"/>
      <c r="N291" s="10"/>
      <c r="O291" s="10"/>
      <c r="P291" s="85"/>
      <c r="Q291" s="88"/>
      <c r="R291" s="3">
        <f>IFERROR(VLOOKUP(TablaAbril[[#This Row],[BARRIO]],SECTOR!$A:$B,2,0),"")</f>
      </c>
      <c r="S291" s="89"/>
      <c r="T291" s="90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6"/>
      <c r="AZ291" s="120">
        <f>COUNTIF(U291:AY291,"A")</f>
      </c>
      <c r="BA291" s="121">
        <f>COUNTIF(U291:AY291,"F")</f>
      </c>
      <c r="BB291" s="119">
        <f>COUNTIF(U291:AY291,"E")</f>
      </c>
    </row>
    <row r="292" spans="1:54" x14ac:dyDescent="0.2">
      <c r="A292" s="84"/>
      <c r="B292" s="85"/>
      <c r="C292" s="85"/>
      <c r="D292" s="85"/>
      <c r="E292" s="86"/>
      <c r="F292" s="16">
        <f>IF(E292="","",DATEDIF(E292,$I$7,"Y"))</f>
      </c>
      <c r="G292" s="85"/>
      <c r="H292" s="85"/>
      <c r="I292" s="87"/>
      <c r="J292" s="85"/>
      <c r="K292" s="85"/>
      <c r="L292" s="10"/>
      <c r="M292" s="10"/>
      <c r="N292" s="10"/>
      <c r="O292" s="10"/>
      <c r="P292" s="85"/>
      <c r="Q292" s="88"/>
      <c r="R292" s="3">
        <f>IFERROR(VLOOKUP(TablaAbril[[#This Row],[BARRIO]],SECTOR!$A:$B,2,0),"")</f>
      </c>
      <c r="S292" s="89"/>
      <c r="T292" s="90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6"/>
      <c r="AZ292" s="120">
        <f>COUNTIF(U292:AY292,"A")</f>
      </c>
      <c r="BA292" s="121">
        <f>COUNTIF(U292:AY292,"F")</f>
      </c>
      <c r="BB292" s="119">
        <f>COUNTIF(U292:AY292,"E")</f>
      </c>
    </row>
    <row r="293" spans="1:54" x14ac:dyDescent="0.2">
      <c r="A293" s="84"/>
      <c r="B293" s="85"/>
      <c r="C293" s="85"/>
      <c r="D293" s="85"/>
      <c r="E293" s="86"/>
      <c r="F293" s="16">
        <f>IF(E293="","",DATEDIF(E293,$I$7,"Y"))</f>
      </c>
      <c r="G293" s="85"/>
      <c r="H293" s="85"/>
      <c r="I293" s="87"/>
      <c r="J293" s="85"/>
      <c r="K293" s="85"/>
      <c r="L293" s="10"/>
      <c r="M293" s="10"/>
      <c r="N293" s="10"/>
      <c r="O293" s="10"/>
      <c r="P293" s="85"/>
      <c r="Q293" s="88"/>
      <c r="R293" s="3">
        <f>IFERROR(VLOOKUP(TablaAbril[[#This Row],[BARRIO]],SECTOR!$A:$B,2,0),"")</f>
      </c>
      <c r="S293" s="89"/>
      <c r="T293" s="90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6"/>
      <c r="AZ293" s="120">
        <f>COUNTIF(U293:AY293,"A")</f>
      </c>
      <c r="BA293" s="121">
        <f>COUNTIF(U293:AY293,"F")</f>
      </c>
      <c r="BB293" s="119">
        <f>COUNTIF(U293:AY293,"E")</f>
      </c>
    </row>
    <row r="294" spans="1:54" x14ac:dyDescent="0.2">
      <c r="A294" s="84"/>
      <c r="B294" s="85"/>
      <c r="C294" s="85"/>
      <c r="D294" s="85"/>
      <c r="E294" s="86"/>
      <c r="F294" s="16">
        <f>IF(E294="","",DATEDIF(E294,$I$7,"Y"))</f>
      </c>
      <c r="G294" s="85"/>
      <c r="H294" s="85"/>
      <c r="I294" s="87"/>
      <c r="J294" s="85"/>
      <c r="K294" s="85"/>
      <c r="L294" s="10"/>
      <c r="M294" s="10"/>
      <c r="N294" s="10"/>
      <c r="O294" s="10"/>
      <c r="P294" s="85"/>
      <c r="Q294" s="88"/>
      <c r="R294" s="3">
        <f>IFERROR(VLOOKUP(TablaAbril[[#This Row],[BARRIO]],SECTOR!$A:$B,2,0),"")</f>
      </c>
      <c r="S294" s="89"/>
      <c r="T294" s="90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6"/>
      <c r="AZ294" s="120">
        <f>COUNTIF(U294:AY294,"A")</f>
      </c>
      <c r="BA294" s="121">
        <f>COUNTIF(U294:AY294,"F")</f>
      </c>
      <c r="BB294" s="119">
        <f>COUNTIF(U294:AY294,"E")</f>
      </c>
    </row>
    <row r="295" spans="1:54" x14ac:dyDescent="0.2">
      <c r="A295" s="84"/>
      <c r="B295" s="85"/>
      <c r="C295" s="85"/>
      <c r="D295" s="85"/>
      <c r="E295" s="86"/>
      <c r="F295" s="16">
        <f>IF(E295="","",DATEDIF(E295,$I$7,"Y"))</f>
      </c>
      <c r="G295" s="85"/>
      <c r="H295" s="85"/>
      <c r="I295" s="87"/>
      <c r="J295" s="85"/>
      <c r="K295" s="85"/>
      <c r="L295" s="10"/>
      <c r="M295" s="10"/>
      <c r="N295" s="10"/>
      <c r="O295" s="10"/>
      <c r="P295" s="85"/>
      <c r="Q295" s="88"/>
      <c r="R295" s="3">
        <f>IFERROR(VLOOKUP(TablaAbril[[#This Row],[BARRIO]],SECTOR!$A:$B,2,0),"")</f>
      </c>
      <c r="S295" s="89"/>
      <c r="T295" s="90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6"/>
      <c r="AZ295" s="120">
        <f>COUNTIF(U295:AY295,"A")</f>
      </c>
      <c r="BA295" s="121">
        <f>COUNTIF(U295:AY295,"F")</f>
      </c>
      <c r="BB295" s="119">
        <f>COUNTIF(U295:AY295,"E")</f>
      </c>
    </row>
    <row r="296" spans="1:54" x14ac:dyDescent="0.2">
      <c r="A296" s="84"/>
      <c r="B296" s="85"/>
      <c r="C296" s="85"/>
      <c r="D296" s="85"/>
      <c r="E296" s="86"/>
      <c r="F296" s="16">
        <f>IF(E296="","",DATEDIF(E296,$I$7,"Y"))</f>
      </c>
      <c r="G296" s="85"/>
      <c r="H296" s="85"/>
      <c r="I296" s="87"/>
      <c r="J296" s="85"/>
      <c r="K296" s="85"/>
      <c r="L296" s="10"/>
      <c r="M296" s="10"/>
      <c r="N296" s="10"/>
      <c r="O296" s="10"/>
      <c r="P296" s="85"/>
      <c r="Q296" s="88"/>
      <c r="R296" s="3">
        <f>IFERROR(VLOOKUP(TablaAbril[[#This Row],[BARRIO]],SECTOR!$A:$B,2,0),"")</f>
      </c>
      <c r="S296" s="89"/>
      <c r="T296" s="90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6"/>
      <c r="AZ296" s="120">
        <f>COUNTIF(U296:AY296,"A")</f>
      </c>
      <c r="BA296" s="121">
        <f>COUNTIF(U296:AY296,"F")</f>
      </c>
      <c r="BB296" s="119">
        <f>COUNTIF(U296:AY296,"E")</f>
      </c>
    </row>
    <row r="297" spans="1:54" x14ac:dyDescent="0.2">
      <c r="A297" s="84"/>
      <c r="B297" s="85"/>
      <c r="C297" s="85"/>
      <c r="D297" s="85"/>
      <c r="E297" s="86"/>
      <c r="F297" s="16">
        <f>IF(E297="","",DATEDIF(E297,$I$7,"Y"))</f>
      </c>
      <c r="G297" s="85"/>
      <c r="H297" s="85"/>
      <c r="I297" s="87"/>
      <c r="J297" s="85"/>
      <c r="K297" s="85"/>
      <c r="L297" s="10"/>
      <c r="M297" s="10"/>
      <c r="N297" s="10"/>
      <c r="O297" s="10"/>
      <c r="P297" s="85"/>
      <c r="Q297" s="88"/>
      <c r="R297" s="3">
        <f>IFERROR(VLOOKUP(TablaAbril[[#This Row],[BARRIO]],SECTOR!$A:$B,2,0),"")</f>
      </c>
      <c r="S297" s="89"/>
      <c r="T297" s="90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6"/>
      <c r="AZ297" s="120">
        <f>COUNTIF(U297:AY297,"A")</f>
      </c>
      <c r="BA297" s="121">
        <f>COUNTIF(U297:AY297,"F")</f>
      </c>
      <c r="BB297" s="119">
        <f>COUNTIF(U297:AY297,"E")</f>
      </c>
    </row>
    <row r="298" spans="1:54" x14ac:dyDescent="0.2">
      <c r="A298" s="84"/>
      <c r="B298" s="85"/>
      <c r="C298" s="85"/>
      <c r="D298" s="85"/>
      <c r="E298" s="86"/>
      <c r="F298" s="16">
        <f>IF(E298="","",DATEDIF(E298,$I$7,"Y"))</f>
      </c>
      <c r="G298" s="85"/>
      <c r="H298" s="85"/>
      <c r="I298" s="87"/>
      <c r="J298" s="85"/>
      <c r="K298" s="85"/>
      <c r="L298" s="10"/>
      <c r="M298" s="10"/>
      <c r="N298" s="10"/>
      <c r="O298" s="10"/>
      <c r="P298" s="85"/>
      <c r="Q298" s="88"/>
      <c r="R298" s="3">
        <f>IFERROR(VLOOKUP(TablaAbril[[#This Row],[BARRIO]],SECTOR!$A:$B,2,0),"")</f>
      </c>
      <c r="S298" s="89"/>
      <c r="T298" s="90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6"/>
      <c r="AZ298" s="120">
        <f>COUNTIF(U298:AY298,"A")</f>
      </c>
      <c r="BA298" s="121">
        <f>COUNTIF(U298:AY298,"F")</f>
      </c>
      <c r="BB298" s="119">
        <f>COUNTIF(U298:AY298,"E")</f>
      </c>
    </row>
    <row r="299" spans="1:54" x14ac:dyDescent="0.2">
      <c r="A299" s="84"/>
      <c r="B299" s="85"/>
      <c r="C299" s="85"/>
      <c r="D299" s="85"/>
      <c r="E299" s="86"/>
      <c r="F299" s="16">
        <f>IF(E299="","",DATEDIF(E299,$I$7,"Y"))</f>
      </c>
      <c r="G299" s="85"/>
      <c r="H299" s="85"/>
      <c r="I299" s="87"/>
      <c r="J299" s="85"/>
      <c r="K299" s="85"/>
      <c r="L299" s="10"/>
      <c r="M299" s="10"/>
      <c r="N299" s="10"/>
      <c r="O299" s="10"/>
      <c r="P299" s="85"/>
      <c r="Q299" s="88"/>
      <c r="R299" s="3">
        <f>IFERROR(VLOOKUP(TablaAbril[[#This Row],[BARRIO]],SECTOR!$A:$B,2,0),"")</f>
      </c>
      <c r="S299" s="89"/>
      <c r="T299" s="90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6"/>
      <c r="AZ299" s="120">
        <f>COUNTIF(U299:AY299,"A")</f>
      </c>
      <c r="BA299" s="121">
        <f>COUNTIF(U299:AY299,"F")</f>
      </c>
      <c r="BB299" s="119">
        <f>COUNTIF(U299:AY299,"E")</f>
      </c>
    </row>
    <row r="300" spans="1:54" x14ac:dyDescent="0.2">
      <c r="A300" s="84"/>
      <c r="B300" s="85"/>
      <c r="C300" s="85"/>
      <c r="D300" s="85"/>
      <c r="E300" s="86"/>
      <c r="F300" s="16">
        <f>IF(E300="","",DATEDIF(E300,$I$7,"Y"))</f>
      </c>
      <c r="G300" s="85"/>
      <c r="H300" s="85"/>
      <c r="I300" s="87"/>
      <c r="J300" s="85"/>
      <c r="K300" s="85"/>
      <c r="L300" s="10"/>
      <c r="M300" s="10"/>
      <c r="N300" s="10"/>
      <c r="O300" s="10"/>
      <c r="P300" s="85"/>
      <c r="Q300" s="88"/>
      <c r="R300" s="3">
        <f>IFERROR(VLOOKUP(TablaAbril[[#This Row],[BARRIO]],SECTOR!$A:$B,2,0),"")</f>
      </c>
      <c r="S300" s="89"/>
      <c r="T300" s="90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6"/>
      <c r="AZ300" s="120">
        <f>COUNTIF(U300:AY300,"A")</f>
      </c>
      <c r="BA300" s="121">
        <f>COUNTIF(U300:AY300,"F")</f>
      </c>
      <c r="BB300" s="119">
        <f>COUNTIF(U300:AY300,"E")</f>
      </c>
    </row>
    <row r="301" spans="1:54" x14ac:dyDescent="0.2">
      <c r="A301" s="84"/>
      <c r="B301" s="85"/>
      <c r="C301" s="85"/>
      <c r="D301" s="85"/>
      <c r="E301" s="86"/>
      <c r="F301" s="16">
        <f>IF(E301="","",DATEDIF(E301,$I$7,"Y"))</f>
      </c>
      <c r="G301" s="85"/>
      <c r="H301" s="85"/>
      <c r="I301" s="87"/>
      <c r="J301" s="85"/>
      <c r="K301" s="85"/>
      <c r="L301" s="10"/>
      <c r="M301" s="10"/>
      <c r="N301" s="10"/>
      <c r="O301" s="10"/>
      <c r="P301" s="85"/>
      <c r="Q301" s="88"/>
      <c r="R301" s="3">
        <f>IFERROR(VLOOKUP(TablaAbril[[#This Row],[BARRIO]],SECTOR!$A:$B,2,0),"")</f>
      </c>
      <c r="S301" s="89"/>
      <c r="T301" s="90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6"/>
      <c r="AZ301" s="120">
        <f>COUNTIF(U301:AY301,"A")</f>
      </c>
      <c r="BA301" s="121">
        <f>COUNTIF(U301:AY301,"F")</f>
      </c>
      <c r="BB301" s="119">
        <f>COUNTIF(U301:AY301,"E")</f>
      </c>
    </row>
    <row r="302" spans="1:54" x14ac:dyDescent="0.2">
      <c r="A302" s="84"/>
      <c r="B302" s="85"/>
      <c r="C302" s="85"/>
      <c r="D302" s="85"/>
      <c r="E302" s="86"/>
      <c r="F302" s="16">
        <f>IF(E302="","",DATEDIF(E302,$I$7,"Y"))</f>
      </c>
      <c r="G302" s="85"/>
      <c r="H302" s="85"/>
      <c r="I302" s="87"/>
      <c r="J302" s="85"/>
      <c r="K302" s="85"/>
      <c r="L302" s="10"/>
      <c r="M302" s="10"/>
      <c r="N302" s="10"/>
      <c r="O302" s="10"/>
      <c r="P302" s="85"/>
      <c r="Q302" s="88"/>
      <c r="R302" s="3">
        <f>IFERROR(VLOOKUP(TablaAbril[[#This Row],[BARRIO]],SECTOR!$A:$B,2,0),"")</f>
      </c>
      <c r="S302" s="89"/>
      <c r="T302" s="90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6"/>
      <c r="AZ302" s="120">
        <f>COUNTIF(U302:AY302,"A")</f>
      </c>
      <c r="BA302" s="121">
        <f>COUNTIF(U302:AY302,"F")</f>
      </c>
      <c r="BB302" s="119">
        <f>COUNTIF(U302:AY302,"E")</f>
      </c>
    </row>
    <row r="303" spans="1:54" x14ac:dyDescent="0.2">
      <c r="A303" s="84"/>
      <c r="B303" s="85"/>
      <c r="C303" s="85"/>
      <c r="D303" s="85"/>
      <c r="E303" s="86"/>
      <c r="F303" s="16">
        <f>IF(E303="","",DATEDIF(E303,$I$7,"Y"))</f>
      </c>
      <c r="G303" s="85"/>
      <c r="H303" s="85"/>
      <c r="I303" s="87"/>
      <c r="J303" s="85"/>
      <c r="K303" s="85"/>
      <c r="L303" s="10"/>
      <c r="M303" s="10"/>
      <c r="N303" s="10"/>
      <c r="O303" s="10"/>
      <c r="P303" s="85"/>
      <c r="Q303" s="88"/>
      <c r="R303" s="3">
        <f>IFERROR(VLOOKUP(TablaAbril[[#This Row],[BARRIO]],SECTOR!$A:$B,2,0),"")</f>
      </c>
      <c r="S303" s="89"/>
      <c r="T303" s="90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6"/>
      <c r="AZ303" s="120">
        <f>COUNTIF(U303:AY303,"A")</f>
      </c>
      <c r="BA303" s="121">
        <f>COUNTIF(U303:AY303,"F")</f>
      </c>
      <c r="BB303" s="119">
        <f>COUNTIF(U303:AY303,"E")</f>
      </c>
    </row>
    <row r="304" spans="1:54" x14ac:dyDescent="0.2">
      <c r="A304" s="84"/>
      <c r="B304" s="85"/>
      <c r="C304" s="85"/>
      <c r="D304" s="85"/>
      <c r="E304" s="86"/>
      <c r="F304" s="16">
        <f>IF(E304="","",DATEDIF(E304,$I$7,"Y"))</f>
      </c>
      <c r="G304" s="85"/>
      <c r="H304" s="85"/>
      <c r="I304" s="87"/>
      <c r="J304" s="85"/>
      <c r="K304" s="85"/>
      <c r="L304" s="10"/>
      <c r="M304" s="10"/>
      <c r="N304" s="10"/>
      <c r="O304" s="10"/>
      <c r="P304" s="85"/>
      <c r="Q304" s="88"/>
      <c r="R304" s="3">
        <f>IFERROR(VLOOKUP(TablaAbril[[#This Row],[BARRIO]],SECTOR!$A:$B,2,0),"")</f>
      </c>
      <c r="S304" s="89"/>
      <c r="T304" s="90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6"/>
      <c r="AZ304" s="120">
        <f>COUNTIF(U304:AY304,"A")</f>
      </c>
      <c r="BA304" s="121">
        <f>COUNTIF(U304:AY304,"F")</f>
      </c>
      <c r="BB304" s="119">
        <f>COUNTIF(U304:AY304,"E")</f>
      </c>
    </row>
    <row r="305" spans="1:54" x14ac:dyDescent="0.2">
      <c r="A305" s="84"/>
      <c r="B305" s="85"/>
      <c r="C305" s="85"/>
      <c r="D305" s="85"/>
      <c r="E305" s="86"/>
      <c r="F305" s="16">
        <f>IF(E305="","",DATEDIF(E305,$I$7,"Y"))</f>
      </c>
      <c r="G305" s="85"/>
      <c r="H305" s="85"/>
      <c r="I305" s="87"/>
      <c r="J305" s="85"/>
      <c r="K305" s="85"/>
      <c r="L305" s="10"/>
      <c r="M305" s="10"/>
      <c r="N305" s="10"/>
      <c r="O305" s="10"/>
      <c r="P305" s="85"/>
      <c r="Q305" s="88"/>
      <c r="R305" s="3">
        <f>IFERROR(VLOOKUP(TablaAbril[[#This Row],[BARRIO]],SECTOR!$A:$B,2,0),"")</f>
      </c>
      <c r="S305" s="89"/>
      <c r="T305" s="90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6"/>
      <c r="AZ305" s="120">
        <f>COUNTIF(U305:AY305,"A")</f>
      </c>
      <c r="BA305" s="121">
        <f>COUNTIF(U305:AY305,"F")</f>
      </c>
      <c r="BB305" s="119">
        <f>COUNTIF(U305:AY305,"E")</f>
      </c>
    </row>
    <row r="306" spans="1:54" x14ac:dyDescent="0.2">
      <c r="A306" s="84"/>
      <c r="B306" s="85"/>
      <c r="C306" s="85"/>
      <c r="D306" s="85"/>
      <c r="E306" s="86"/>
      <c r="F306" s="16">
        <f>IF(E306="","",DATEDIF(E306,$I$7,"Y"))</f>
      </c>
      <c r="G306" s="85"/>
      <c r="H306" s="85"/>
      <c r="I306" s="87"/>
      <c r="J306" s="85"/>
      <c r="K306" s="85"/>
      <c r="L306" s="10"/>
      <c r="M306" s="10"/>
      <c r="N306" s="10"/>
      <c r="O306" s="10"/>
      <c r="P306" s="85"/>
      <c r="Q306" s="88"/>
      <c r="R306" s="3">
        <f>IFERROR(VLOOKUP(TablaAbril[[#This Row],[BARRIO]],SECTOR!$A:$B,2,0),"")</f>
      </c>
      <c r="S306" s="89"/>
      <c r="T306" s="90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6"/>
      <c r="AZ306" s="120">
        <f>COUNTIF(U306:AY306,"A")</f>
      </c>
      <c r="BA306" s="121">
        <f>COUNTIF(U306:AY306,"F")</f>
      </c>
      <c r="BB306" s="119">
        <f>COUNTIF(U306:AY306,"E")</f>
      </c>
    </row>
    <row r="307" spans="1:54" x14ac:dyDescent="0.2">
      <c r="A307" s="84"/>
      <c r="B307" s="85"/>
      <c r="C307" s="85"/>
      <c r="D307" s="85"/>
      <c r="E307" s="86"/>
      <c r="F307" s="16">
        <f>IF(E307="","",DATEDIF(E307,$I$7,"Y"))</f>
      </c>
      <c r="G307" s="85"/>
      <c r="H307" s="85"/>
      <c r="I307" s="87"/>
      <c r="J307" s="85"/>
      <c r="K307" s="85"/>
      <c r="L307" s="10"/>
      <c r="M307" s="10"/>
      <c r="N307" s="10"/>
      <c r="O307" s="10"/>
      <c r="P307" s="85"/>
      <c r="Q307" s="88"/>
      <c r="R307" s="3">
        <f>IFERROR(VLOOKUP(TablaAbril[[#This Row],[BARRIO]],SECTOR!$A:$B,2,0),"")</f>
      </c>
      <c r="S307" s="89"/>
      <c r="T307" s="90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6"/>
      <c r="AZ307" s="120">
        <f>COUNTIF(U307:AY307,"A")</f>
      </c>
      <c r="BA307" s="121">
        <f>COUNTIF(U307:AY307,"F")</f>
      </c>
      <c r="BB307" s="119">
        <f>COUNTIF(U307:AY307,"E")</f>
      </c>
    </row>
    <row r="308" spans="1:54" x14ac:dyDescent="0.2">
      <c r="A308" s="84"/>
      <c r="B308" s="85"/>
      <c r="C308" s="85"/>
      <c r="D308" s="85"/>
      <c r="E308" s="86"/>
      <c r="F308" s="16">
        <f>IF(E308="","",DATEDIF(E308,$I$7,"Y"))</f>
      </c>
      <c r="G308" s="85"/>
      <c r="H308" s="85"/>
      <c r="I308" s="87"/>
      <c r="J308" s="85"/>
      <c r="K308" s="85"/>
      <c r="L308" s="10"/>
      <c r="M308" s="10"/>
      <c r="N308" s="10"/>
      <c r="O308" s="10"/>
      <c r="P308" s="85"/>
      <c r="Q308" s="88"/>
      <c r="R308" s="3">
        <f>IFERROR(VLOOKUP(TablaAbril[[#This Row],[BARRIO]],SECTOR!$A:$B,2,0),"")</f>
      </c>
      <c r="S308" s="89"/>
      <c r="T308" s="90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6"/>
      <c r="AZ308" s="120">
        <f>COUNTIF(U308:AY308,"A")</f>
      </c>
      <c r="BA308" s="121">
        <f>COUNTIF(U308:AY308,"F")</f>
      </c>
      <c r="BB308" s="119">
        <f>COUNTIF(U308:AY308,"E")</f>
      </c>
    </row>
    <row r="309" spans="1:54" x14ac:dyDescent="0.2">
      <c r="A309" s="84"/>
      <c r="B309" s="85"/>
      <c r="C309" s="85"/>
      <c r="D309" s="85"/>
      <c r="E309" s="86"/>
      <c r="F309" s="16">
        <f>IF(E309="","",DATEDIF(E309,$I$7,"Y"))</f>
      </c>
      <c r="G309" s="85"/>
      <c r="H309" s="85"/>
      <c r="I309" s="87"/>
      <c r="J309" s="85"/>
      <c r="K309" s="85"/>
      <c r="L309" s="10"/>
      <c r="M309" s="10"/>
      <c r="N309" s="10"/>
      <c r="O309" s="10"/>
      <c r="P309" s="85"/>
      <c r="Q309" s="88"/>
      <c r="R309" s="3">
        <f>IFERROR(VLOOKUP(TablaAbril[[#This Row],[BARRIO]],SECTOR!$A:$B,2,0),"")</f>
      </c>
      <c r="S309" s="89"/>
      <c r="T309" s="90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6"/>
      <c r="AZ309" s="120">
        <f>COUNTIF(U309:AY309,"A")</f>
      </c>
      <c r="BA309" s="121">
        <f>COUNTIF(U309:AY309,"F")</f>
      </c>
      <c r="BB309" s="119">
        <f>COUNTIF(U309:AY309,"E")</f>
      </c>
    </row>
    <row r="310" spans="1:54" x14ac:dyDescent="0.2">
      <c r="A310" s="84"/>
      <c r="B310" s="85"/>
      <c r="C310" s="85"/>
      <c r="D310" s="85"/>
      <c r="E310" s="86"/>
      <c r="F310" s="16">
        <f>IF(E310="","",DATEDIF(E310,$I$7,"Y"))</f>
      </c>
      <c r="G310" s="85"/>
      <c r="H310" s="85"/>
      <c r="I310" s="87"/>
      <c r="J310" s="85"/>
      <c r="K310" s="85"/>
      <c r="L310" s="10"/>
      <c r="M310" s="10"/>
      <c r="N310" s="10"/>
      <c r="O310" s="10"/>
      <c r="P310" s="85"/>
      <c r="Q310" s="88"/>
      <c r="R310" s="3">
        <f>IFERROR(VLOOKUP(TablaAbril[[#This Row],[BARRIO]],SECTOR!$A:$B,2,0),"")</f>
      </c>
      <c r="S310" s="89"/>
      <c r="T310" s="90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6"/>
      <c r="AZ310" s="120">
        <f>COUNTIF(U310:AY310,"A")</f>
      </c>
      <c r="BA310" s="121">
        <f>COUNTIF(U310:AY310,"F")</f>
      </c>
      <c r="BB310" s="119">
        <f>COUNTIF(U310:AY310,"E")</f>
      </c>
    </row>
    <row r="311" spans="1:54" x14ac:dyDescent="0.2">
      <c r="A311" s="84"/>
      <c r="B311" s="85"/>
      <c r="C311" s="85"/>
      <c r="D311" s="85"/>
      <c r="E311" s="86"/>
      <c r="F311" s="16">
        <f>IF(E311="","",DATEDIF(E311,$I$7,"Y"))</f>
      </c>
      <c r="G311" s="85"/>
      <c r="H311" s="85"/>
      <c r="I311" s="87"/>
      <c r="J311" s="85"/>
      <c r="K311" s="85"/>
      <c r="L311" s="10"/>
      <c r="M311" s="10"/>
      <c r="N311" s="10"/>
      <c r="O311" s="10"/>
      <c r="P311" s="85"/>
      <c r="Q311" s="88"/>
      <c r="R311" s="3">
        <f>IFERROR(VLOOKUP(TablaAbril[[#This Row],[BARRIO]],SECTOR!$A:$B,2,0),"")</f>
      </c>
      <c r="S311" s="89"/>
      <c r="T311" s="90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6"/>
      <c r="AZ311" s="120">
        <f>COUNTIF(U311:AY311,"A")</f>
      </c>
      <c r="BA311" s="121">
        <f>COUNTIF(U311:AY311,"F")</f>
      </c>
      <c r="BB311" s="119">
        <f>COUNTIF(U311:AY311,"E")</f>
      </c>
    </row>
    <row r="312" spans="1:54" x14ac:dyDescent="0.2">
      <c r="A312" s="84"/>
      <c r="B312" s="85"/>
      <c r="C312" s="85"/>
      <c r="D312" s="85"/>
      <c r="E312" s="86"/>
      <c r="F312" s="16">
        <f>IF(E312="","",DATEDIF(E312,$I$7,"Y"))</f>
      </c>
      <c r="G312" s="85"/>
      <c r="H312" s="85"/>
      <c r="I312" s="87"/>
      <c r="J312" s="85"/>
      <c r="K312" s="85"/>
      <c r="L312" s="10"/>
      <c r="M312" s="10"/>
      <c r="N312" s="10"/>
      <c r="O312" s="10"/>
      <c r="P312" s="85"/>
      <c r="Q312" s="88"/>
      <c r="R312" s="3">
        <f>IFERROR(VLOOKUP(TablaAbril[[#This Row],[BARRIO]],SECTOR!$A:$B,2,0),"")</f>
      </c>
      <c r="S312" s="89"/>
      <c r="T312" s="90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6"/>
      <c r="AZ312" s="120">
        <f>COUNTIF(U312:AY312,"A")</f>
      </c>
      <c r="BA312" s="121">
        <f>COUNTIF(U312:AY312,"F")</f>
      </c>
      <c r="BB312" s="119">
        <f>COUNTIF(U312:AY312,"E")</f>
      </c>
    </row>
    <row r="313" spans="1:54" x14ac:dyDescent="0.2">
      <c r="A313" s="84"/>
      <c r="B313" s="85"/>
      <c r="C313" s="85"/>
      <c r="D313" s="85"/>
      <c r="E313" s="86"/>
      <c r="F313" s="16">
        <f>IF(E313="","",DATEDIF(E313,$I$7,"Y"))</f>
      </c>
      <c r="G313" s="85"/>
      <c r="H313" s="85"/>
      <c r="I313" s="87"/>
      <c r="J313" s="85"/>
      <c r="K313" s="85"/>
      <c r="L313" s="10"/>
      <c r="M313" s="10"/>
      <c r="N313" s="10"/>
      <c r="O313" s="10"/>
      <c r="P313" s="85"/>
      <c r="Q313" s="88"/>
      <c r="R313" s="3">
        <f>IFERROR(VLOOKUP(TablaAbril[[#This Row],[BARRIO]],SECTOR!$A:$B,2,0),"")</f>
      </c>
      <c r="S313" s="89"/>
      <c r="T313" s="90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6"/>
      <c r="AZ313" s="120">
        <f>COUNTIF(U313:AY313,"A")</f>
      </c>
      <c r="BA313" s="121">
        <f>COUNTIF(U313:AY313,"F")</f>
      </c>
      <c r="BB313" s="119">
        <f>COUNTIF(U313:AY313,"E")</f>
      </c>
    </row>
    <row r="314" spans="1:54" x14ac:dyDescent="0.2">
      <c r="A314" s="84"/>
      <c r="B314" s="85"/>
      <c r="C314" s="85"/>
      <c r="D314" s="85"/>
      <c r="E314" s="86"/>
      <c r="F314" s="16">
        <f>IF(E314="","",DATEDIF(E314,$I$7,"Y"))</f>
      </c>
      <c r="G314" s="85"/>
      <c r="H314" s="85"/>
      <c r="I314" s="87"/>
      <c r="J314" s="85"/>
      <c r="K314" s="85"/>
      <c r="L314" s="10"/>
      <c r="M314" s="10"/>
      <c r="N314" s="10"/>
      <c r="O314" s="10"/>
      <c r="P314" s="85"/>
      <c r="Q314" s="88"/>
      <c r="R314" s="3">
        <f>IFERROR(VLOOKUP(TablaAbril[[#This Row],[BARRIO]],SECTOR!$A:$B,2,0),"")</f>
      </c>
      <c r="S314" s="89"/>
      <c r="T314" s="90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6"/>
      <c r="AZ314" s="120">
        <f>COUNTIF(U314:AY314,"A")</f>
      </c>
      <c r="BA314" s="121">
        <f>COUNTIF(U314:AY314,"F")</f>
      </c>
      <c r="BB314" s="119">
        <f>COUNTIF(U314:AY314,"E")</f>
      </c>
    </row>
    <row r="315" spans="1:54" x14ac:dyDescent="0.2">
      <c r="A315" s="84"/>
      <c r="B315" s="85"/>
      <c r="C315" s="85"/>
      <c r="D315" s="85"/>
      <c r="E315" s="86"/>
      <c r="F315" s="16">
        <f>IF(E315="","",DATEDIF(E315,$I$7,"Y"))</f>
      </c>
      <c r="G315" s="85"/>
      <c r="H315" s="85"/>
      <c r="I315" s="87"/>
      <c r="J315" s="85"/>
      <c r="K315" s="85"/>
      <c r="L315" s="10"/>
      <c r="M315" s="10"/>
      <c r="N315" s="10"/>
      <c r="O315" s="10"/>
      <c r="P315" s="85"/>
      <c r="Q315" s="88"/>
      <c r="R315" s="3">
        <f>IFERROR(VLOOKUP(TablaAbril[[#This Row],[BARRIO]],SECTOR!$A:$B,2,0),"")</f>
      </c>
      <c r="S315" s="89"/>
      <c r="T315" s="90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6"/>
      <c r="AZ315" s="120">
        <f>COUNTIF(U315:AY315,"A")</f>
      </c>
      <c r="BA315" s="121">
        <f>COUNTIF(U315:AY315,"F")</f>
      </c>
      <c r="BB315" s="119">
        <f>COUNTIF(U315:AY315,"E")</f>
      </c>
    </row>
    <row r="316" spans="1:54" x14ac:dyDescent="0.2">
      <c r="A316" s="84"/>
      <c r="B316" s="85"/>
      <c r="C316" s="85"/>
      <c r="D316" s="85"/>
      <c r="E316" s="86"/>
      <c r="F316" s="16">
        <f>IF(E316="","",DATEDIF(E316,$I$7,"Y"))</f>
      </c>
      <c r="G316" s="85"/>
      <c r="H316" s="85"/>
      <c r="I316" s="87"/>
      <c r="J316" s="85"/>
      <c r="K316" s="85"/>
      <c r="L316" s="10"/>
      <c r="M316" s="10"/>
      <c r="N316" s="10"/>
      <c r="O316" s="10"/>
      <c r="P316" s="85"/>
      <c r="Q316" s="88"/>
      <c r="R316" s="3">
        <f>IFERROR(VLOOKUP(TablaAbril[[#This Row],[BARRIO]],SECTOR!$A:$B,2,0),"")</f>
      </c>
      <c r="S316" s="89"/>
      <c r="T316" s="90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6"/>
      <c r="AZ316" s="120">
        <f>COUNTIF(U316:AY316,"A")</f>
      </c>
      <c r="BA316" s="121">
        <f>COUNTIF(U316:AY316,"F")</f>
      </c>
      <c r="BB316" s="119">
        <f>COUNTIF(U316:AY316,"E")</f>
      </c>
    </row>
    <row r="317" spans="1:54" x14ac:dyDescent="0.2">
      <c r="A317" s="84"/>
      <c r="B317" s="85"/>
      <c r="C317" s="85"/>
      <c r="D317" s="85"/>
      <c r="E317" s="86"/>
      <c r="F317" s="16">
        <f>IF(E317="","",DATEDIF(E317,$I$7,"Y"))</f>
      </c>
      <c r="G317" s="85"/>
      <c r="H317" s="85"/>
      <c r="I317" s="87"/>
      <c r="J317" s="85"/>
      <c r="K317" s="85"/>
      <c r="L317" s="10"/>
      <c r="M317" s="10"/>
      <c r="N317" s="10"/>
      <c r="O317" s="10"/>
      <c r="P317" s="85"/>
      <c r="Q317" s="88"/>
      <c r="R317" s="3">
        <f>IFERROR(VLOOKUP(TablaAbril[[#This Row],[BARRIO]],SECTOR!$A:$B,2,0),"")</f>
      </c>
      <c r="S317" s="89"/>
      <c r="T317" s="90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6"/>
      <c r="AZ317" s="120">
        <f>COUNTIF(U317:AY317,"A")</f>
      </c>
      <c r="BA317" s="121">
        <f>COUNTIF(U317:AY317,"F")</f>
      </c>
      <c r="BB317" s="119">
        <f>COUNTIF(U317:AY317,"E")</f>
      </c>
    </row>
    <row r="318" spans="1:54" x14ac:dyDescent="0.2">
      <c r="A318" s="84"/>
      <c r="B318" s="85"/>
      <c r="C318" s="85"/>
      <c r="D318" s="85"/>
      <c r="E318" s="86"/>
      <c r="F318" s="16">
        <f>IF(E318="","",DATEDIF(E318,$I$7,"Y"))</f>
      </c>
      <c r="G318" s="85"/>
      <c r="H318" s="85"/>
      <c r="I318" s="87"/>
      <c r="J318" s="85"/>
      <c r="K318" s="85"/>
      <c r="L318" s="10"/>
      <c r="M318" s="10"/>
      <c r="N318" s="10"/>
      <c r="O318" s="10"/>
      <c r="P318" s="85"/>
      <c r="Q318" s="88"/>
      <c r="R318" s="3">
        <f>IFERROR(VLOOKUP(TablaAbril[[#This Row],[BARRIO]],SECTOR!$A:$B,2,0),"")</f>
      </c>
      <c r="S318" s="89"/>
      <c r="T318" s="90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6"/>
      <c r="AZ318" s="120">
        <f>COUNTIF(U318:AY318,"A")</f>
      </c>
      <c r="BA318" s="121">
        <f>COUNTIF(U318:AY318,"F")</f>
      </c>
      <c r="BB318" s="119">
        <f>COUNTIF(U318:AY318,"E")</f>
      </c>
    </row>
    <row r="319" spans="1:54" x14ac:dyDescent="0.2">
      <c r="A319" s="84"/>
      <c r="B319" s="85"/>
      <c r="C319" s="85"/>
      <c r="D319" s="85"/>
      <c r="E319" s="86"/>
      <c r="F319" s="16">
        <f>IF(E319="","",DATEDIF(E319,$I$7,"Y"))</f>
      </c>
      <c r="G319" s="85"/>
      <c r="H319" s="85"/>
      <c r="I319" s="87"/>
      <c r="J319" s="85"/>
      <c r="K319" s="85"/>
      <c r="L319" s="10"/>
      <c r="M319" s="10"/>
      <c r="N319" s="10"/>
      <c r="O319" s="10"/>
      <c r="P319" s="85"/>
      <c r="Q319" s="88"/>
      <c r="R319" s="3">
        <f>IFERROR(VLOOKUP(TablaAbril[[#This Row],[BARRIO]],SECTOR!$A:$B,2,0),"")</f>
      </c>
      <c r="S319" s="89"/>
      <c r="T319" s="90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6"/>
      <c r="AZ319" s="120">
        <f>COUNTIF(U319:AY319,"A")</f>
      </c>
      <c r="BA319" s="121">
        <f>COUNTIF(U319:AY319,"F")</f>
      </c>
      <c r="BB319" s="119">
        <f>COUNTIF(U319:AY319,"E")</f>
      </c>
    </row>
    <row r="320" spans="1:54" x14ac:dyDescent="0.2">
      <c r="A320" s="84"/>
      <c r="B320" s="85"/>
      <c r="C320" s="85"/>
      <c r="D320" s="85"/>
      <c r="E320" s="86"/>
      <c r="F320" s="16">
        <f>IF(E320="","",DATEDIF(E320,$I$7,"Y"))</f>
      </c>
      <c r="G320" s="85"/>
      <c r="H320" s="85"/>
      <c r="I320" s="87"/>
      <c r="J320" s="85"/>
      <c r="K320" s="85"/>
      <c r="L320" s="10"/>
      <c r="M320" s="10"/>
      <c r="N320" s="10"/>
      <c r="O320" s="10"/>
      <c r="P320" s="85"/>
      <c r="Q320" s="88"/>
      <c r="R320" s="3">
        <f>IFERROR(VLOOKUP(TablaAbril[[#This Row],[BARRIO]],SECTOR!$A:$B,2,0),"")</f>
      </c>
      <c r="S320" s="89"/>
      <c r="T320" s="90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6"/>
      <c r="AZ320" s="120">
        <f>COUNTIF(U320:AY320,"A")</f>
      </c>
      <c r="BA320" s="121">
        <f>COUNTIF(U320:AY320,"F")</f>
      </c>
      <c r="BB320" s="119">
        <f>COUNTIF(U320:AY320,"E")</f>
      </c>
    </row>
    <row r="321" spans="1:54" x14ac:dyDescent="0.2">
      <c r="A321" s="84"/>
      <c r="B321" s="85"/>
      <c r="C321" s="85"/>
      <c r="D321" s="85"/>
      <c r="E321" s="86"/>
      <c r="F321" s="16">
        <f>IF(E321="","",DATEDIF(E321,$I$7,"Y"))</f>
      </c>
      <c r="G321" s="85"/>
      <c r="H321" s="85"/>
      <c r="I321" s="87"/>
      <c r="J321" s="85"/>
      <c r="K321" s="85"/>
      <c r="L321" s="10"/>
      <c r="M321" s="10"/>
      <c r="N321" s="10"/>
      <c r="O321" s="10"/>
      <c r="P321" s="85"/>
      <c r="Q321" s="88"/>
      <c r="R321" s="3">
        <f>IFERROR(VLOOKUP(TablaAbril[[#This Row],[BARRIO]],SECTOR!$A:$B,2,0),"")</f>
      </c>
      <c r="S321" s="89"/>
      <c r="T321" s="90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6"/>
      <c r="AZ321" s="120">
        <f>COUNTIF(U321:AY321,"A")</f>
      </c>
      <c r="BA321" s="121">
        <f>COUNTIF(U321:AY321,"F")</f>
      </c>
      <c r="BB321" s="119">
        <f>COUNTIF(U321:AY321,"E")</f>
      </c>
    </row>
    <row r="322" spans="1:54" x14ac:dyDescent="0.2">
      <c r="A322" s="84"/>
      <c r="B322" s="85"/>
      <c r="C322" s="85"/>
      <c r="D322" s="85"/>
      <c r="E322" s="86"/>
      <c r="F322" s="16">
        <f>IF(E322="","",DATEDIF(E322,$I$7,"Y"))</f>
      </c>
      <c r="G322" s="85"/>
      <c r="H322" s="85"/>
      <c r="I322" s="87"/>
      <c r="J322" s="85"/>
      <c r="K322" s="85"/>
      <c r="L322" s="10"/>
      <c r="M322" s="10"/>
      <c r="N322" s="10"/>
      <c r="O322" s="10"/>
      <c r="P322" s="85"/>
      <c r="Q322" s="88"/>
      <c r="R322" s="3">
        <f>IFERROR(VLOOKUP(TablaAbril[[#This Row],[BARRIO]],SECTOR!$A:$B,2,0),"")</f>
      </c>
      <c r="S322" s="89"/>
      <c r="T322" s="90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6"/>
      <c r="AZ322" s="120">
        <f>COUNTIF(U322:AY322,"A")</f>
      </c>
      <c r="BA322" s="121">
        <f>COUNTIF(U322:AY322,"F")</f>
      </c>
      <c r="BB322" s="119">
        <f>COUNTIF(U322:AY322,"E")</f>
      </c>
    </row>
    <row r="323" spans="1:54" x14ac:dyDescent="0.2">
      <c r="A323" s="84"/>
      <c r="B323" s="85"/>
      <c r="C323" s="85"/>
      <c r="D323" s="85"/>
      <c r="E323" s="86"/>
      <c r="F323" s="16">
        <f>IF(E323="","",DATEDIF(E323,$I$7,"Y"))</f>
      </c>
      <c r="G323" s="85"/>
      <c r="H323" s="85"/>
      <c r="I323" s="87"/>
      <c r="J323" s="85"/>
      <c r="K323" s="85"/>
      <c r="L323" s="10"/>
      <c r="M323" s="10"/>
      <c r="N323" s="10"/>
      <c r="O323" s="10"/>
      <c r="P323" s="85"/>
      <c r="Q323" s="88"/>
      <c r="R323" s="3">
        <f>IFERROR(VLOOKUP(TablaAbril[[#This Row],[BARRIO]],SECTOR!$A:$B,2,0),"")</f>
      </c>
      <c r="S323" s="89"/>
      <c r="T323" s="90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6"/>
      <c r="AZ323" s="120">
        <f>COUNTIF(U323:AY323,"A")</f>
      </c>
      <c r="BA323" s="121">
        <f>COUNTIF(U323:AY323,"F")</f>
      </c>
      <c r="BB323" s="119">
        <f>COUNTIF(U323:AY323,"E")</f>
      </c>
    </row>
    <row r="324" spans="1:54" x14ac:dyDescent="0.2">
      <c r="A324" s="84"/>
      <c r="B324" s="85"/>
      <c r="C324" s="85"/>
      <c r="D324" s="85"/>
      <c r="E324" s="86"/>
      <c r="F324" s="16">
        <f>IF(E324="","",DATEDIF(E324,$I$7,"Y"))</f>
      </c>
      <c r="G324" s="85"/>
      <c r="H324" s="85"/>
      <c r="I324" s="87"/>
      <c r="J324" s="85"/>
      <c r="K324" s="85"/>
      <c r="L324" s="10"/>
      <c r="M324" s="10"/>
      <c r="N324" s="10"/>
      <c r="O324" s="10"/>
      <c r="P324" s="85"/>
      <c r="Q324" s="88"/>
      <c r="R324" s="3">
        <f>IFERROR(VLOOKUP(TablaAbril[[#This Row],[BARRIO]],SECTOR!$A:$B,2,0),"")</f>
      </c>
      <c r="S324" s="89"/>
      <c r="T324" s="90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6"/>
      <c r="AZ324" s="120">
        <f>COUNTIF(U324:AY324,"A")</f>
      </c>
      <c r="BA324" s="121">
        <f>COUNTIF(U324:AY324,"F")</f>
      </c>
      <c r="BB324" s="119">
        <f>COUNTIF(U324:AY324,"E")</f>
      </c>
    </row>
    <row r="325" spans="1:54" x14ac:dyDescent="0.2">
      <c r="A325" s="84"/>
      <c r="B325" s="85"/>
      <c r="C325" s="85"/>
      <c r="D325" s="85"/>
      <c r="E325" s="86"/>
      <c r="F325" s="16">
        <f>IF(E325="","",DATEDIF(E325,$I$7,"Y"))</f>
      </c>
      <c r="G325" s="85"/>
      <c r="H325" s="85"/>
      <c r="I325" s="87"/>
      <c r="J325" s="85"/>
      <c r="K325" s="85"/>
      <c r="L325" s="10"/>
      <c r="M325" s="10"/>
      <c r="N325" s="10"/>
      <c r="O325" s="10"/>
      <c r="P325" s="85"/>
      <c r="Q325" s="88"/>
      <c r="R325" s="3">
        <f>IFERROR(VLOOKUP(TablaAbril[[#This Row],[BARRIO]],SECTOR!$A:$B,2,0),"")</f>
      </c>
      <c r="S325" s="89"/>
      <c r="T325" s="90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6"/>
      <c r="AZ325" s="120">
        <f>COUNTIF(U325:AY325,"A")</f>
      </c>
      <c r="BA325" s="121">
        <f>COUNTIF(U325:AY325,"F")</f>
      </c>
      <c r="BB325" s="119">
        <f>COUNTIF(U325:AY325,"E")</f>
      </c>
    </row>
    <row r="326" spans="1:54" x14ac:dyDescent="0.2">
      <c r="A326" s="84"/>
      <c r="B326" s="85"/>
      <c r="C326" s="85"/>
      <c r="D326" s="85"/>
      <c r="E326" s="86"/>
      <c r="F326" s="16">
        <f>IF(E326="","",DATEDIF(E326,$I$7,"Y"))</f>
      </c>
      <c r="G326" s="85"/>
      <c r="H326" s="85"/>
      <c r="I326" s="87"/>
      <c r="J326" s="85"/>
      <c r="K326" s="85"/>
      <c r="L326" s="10"/>
      <c r="M326" s="10"/>
      <c r="N326" s="10"/>
      <c r="O326" s="10"/>
      <c r="P326" s="85"/>
      <c r="Q326" s="88"/>
      <c r="R326" s="3">
        <f>IFERROR(VLOOKUP(TablaAbril[[#This Row],[BARRIO]],SECTOR!$A:$B,2,0),"")</f>
      </c>
      <c r="S326" s="89"/>
      <c r="T326" s="90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6"/>
      <c r="AZ326" s="120">
        <f>COUNTIF(U326:AY326,"A")</f>
      </c>
      <c r="BA326" s="121">
        <f>COUNTIF(U326:AY326,"F")</f>
      </c>
      <c r="BB326" s="119">
        <f>COUNTIF(U326:AY326,"E")</f>
      </c>
    </row>
    <row r="327" spans="1:54" x14ac:dyDescent="0.2">
      <c r="A327" s="84"/>
      <c r="B327" s="85"/>
      <c r="C327" s="85"/>
      <c r="D327" s="85"/>
      <c r="E327" s="86"/>
      <c r="F327" s="16">
        <f>IF(E327="","",DATEDIF(E327,$I$7,"Y"))</f>
      </c>
      <c r="G327" s="85"/>
      <c r="H327" s="85"/>
      <c r="I327" s="87"/>
      <c r="J327" s="85"/>
      <c r="K327" s="85"/>
      <c r="L327" s="10"/>
      <c r="M327" s="10"/>
      <c r="N327" s="10"/>
      <c r="O327" s="10"/>
      <c r="P327" s="85"/>
      <c r="Q327" s="88"/>
      <c r="R327" s="3">
        <f>IFERROR(VLOOKUP(TablaAbril[[#This Row],[BARRIO]],SECTOR!$A:$B,2,0),"")</f>
      </c>
      <c r="S327" s="89"/>
      <c r="T327" s="90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6"/>
      <c r="AZ327" s="120">
        <f>COUNTIF(U327:AY327,"A")</f>
      </c>
      <c r="BA327" s="121">
        <f>COUNTIF(U327:AY327,"F")</f>
      </c>
      <c r="BB327" s="119">
        <f>COUNTIF(U327:AY327,"E")</f>
      </c>
    </row>
    <row r="328" spans="1:54" x14ac:dyDescent="0.2">
      <c r="A328" s="84"/>
      <c r="B328" s="85"/>
      <c r="C328" s="85"/>
      <c r="D328" s="85"/>
      <c r="E328" s="86"/>
      <c r="F328" s="16">
        <f>IF(E328="","",DATEDIF(E328,$I$7,"Y"))</f>
      </c>
      <c r="G328" s="85"/>
      <c r="H328" s="85"/>
      <c r="I328" s="87"/>
      <c r="J328" s="85"/>
      <c r="K328" s="85"/>
      <c r="L328" s="10"/>
      <c r="M328" s="10"/>
      <c r="N328" s="10"/>
      <c r="O328" s="10"/>
      <c r="P328" s="85"/>
      <c r="Q328" s="88"/>
      <c r="R328" s="3">
        <f>IFERROR(VLOOKUP(TablaAbril[[#This Row],[BARRIO]],SECTOR!$A:$B,2,0),"")</f>
      </c>
      <c r="S328" s="89"/>
      <c r="T328" s="90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6"/>
      <c r="AZ328" s="120">
        <f>COUNTIF(U328:AY328,"A")</f>
      </c>
      <c r="BA328" s="121">
        <f>COUNTIF(U328:AY328,"F")</f>
      </c>
      <c r="BB328" s="119">
        <f>COUNTIF(U328:AY328,"E")</f>
      </c>
    </row>
    <row r="329" spans="1:54" x14ac:dyDescent="0.2">
      <c r="A329" s="84"/>
      <c r="B329" s="85"/>
      <c r="C329" s="85"/>
      <c r="D329" s="85"/>
      <c r="E329" s="86"/>
      <c r="F329" s="16">
        <f>IF(E329="","",DATEDIF(E329,$I$7,"Y"))</f>
      </c>
      <c r="G329" s="85"/>
      <c r="H329" s="85"/>
      <c r="I329" s="87"/>
      <c r="J329" s="85"/>
      <c r="K329" s="85"/>
      <c r="L329" s="10"/>
      <c r="M329" s="10"/>
      <c r="N329" s="10"/>
      <c r="O329" s="10"/>
      <c r="P329" s="85"/>
      <c r="Q329" s="88"/>
      <c r="R329" s="3">
        <f>IFERROR(VLOOKUP(TablaAbril[[#This Row],[BARRIO]],SECTOR!$A:$B,2,0),"")</f>
      </c>
      <c r="S329" s="89"/>
      <c r="T329" s="90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6"/>
      <c r="AZ329" s="120">
        <f>COUNTIF(U329:AY329,"A")</f>
      </c>
      <c r="BA329" s="121">
        <f>COUNTIF(U329:AY329,"F")</f>
      </c>
      <c r="BB329" s="119">
        <f>COUNTIF(U329:AY329,"E")</f>
      </c>
    </row>
    <row r="330" spans="1:54" x14ac:dyDescent="0.2">
      <c r="A330" s="84"/>
      <c r="B330" s="85"/>
      <c r="C330" s="85"/>
      <c r="D330" s="85"/>
      <c r="E330" s="86"/>
      <c r="F330" s="16">
        <f>IF(E330="","",DATEDIF(E330,$I$7,"Y"))</f>
      </c>
      <c r="G330" s="85"/>
      <c r="H330" s="85"/>
      <c r="I330" s="87"/>
      <c r="J330" s="85"/>
      <c r="K330" s="85"/>
      <c r="L330" s="10"/>
      <c r="M330" s="10"/>
      <c r="N330" s="10"/>
      <c r="O330" s="10"/>
      <c r="P330" s="85"/>
      <c r="Q330" s="88"/>
      <c r="R330" s="3">
        <f>IFERROR(VLOOKUP(TablaAbril[[#This Row],[BARRIO]],SECTOR!$A:$B,2,0),"")</f>
      </c>
      <c r="S330" s="89"/>
      <c r="T330" s="90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6"/>
      <c r="AZ330" s="120">
        <f>COUNTIF(U330:AY330,"A")</f>
      </c>
      <c r="BA330" s="121">
        <f>COUNTIF(U330:AY330,"F")</f>
      </c>
      <c r="BB330" s="119">
        <f>COUNTIF(U330:AY330,"E")</f>
      </c>
    </row>
    <row r="331" spans="1:54" x14ac:dyDescent="0.2">
      <c r="A331" s="84"/>
      <c r="B331" s="85"/>
      <c r="C331" s="85"/>
      <c r="D331" s="85"/>
      <c r="E331" s="86"/>
      <c r="F331" s="16">
        <f>IF(E331="","",DATEDIF(E331,$I$7,"Y"))</f>
      </c>
      <c r="G331" s="85"/>
      <c r="H331" s="85"/>
      <c r="I331" s="87"/>
      <c r="J331" s="85"/>
      <c r="K331" s="85"/>
      <c r="L331" s="10"/>
      <c r="M331" s="10"/>
      <c r="N331" s="10"/>
      <c r="O331" s="10"/>
      <c r="P331" s="85"/>
      <c r="Q331" s="88"/>
      <c r="R331" s="3">
        <f>IFERROR(VLOOKUP(TablaAbril[[#This Row],[BARRIO]],SECTOR!$A:$B,2,0),"")</f>
      </c>
      <c r="S331" s="89"/>
      <c r="T331" s="90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6"/>
      <c r="AZ331" s="120">
        <f>COUNTIF(U331:AY331,"A")</f>
      </c>
      <c r="BA331" s="121">
        <f>COUNTIF(U331:AY331,"F")</f>
      </c>
      <c r="BB331" s="119">
        <f>COUNTIF(U331:AY331,"E")</f>
      </c>
    </row>
    <row r="332" spans="1:54" x14ac:dyDescent="0.2">
      <c r="A332" s="84"/>
      <c r="B332" s="85"/>
      <c r="C332" s="85"/>
      <c r="D332" s="85"/>
      <c r="E332" s="86"/>
      <c r="F332" s="16">
        <f>IF(E332="","",DATEDIF(E332,$I$7,"Y"))</f>
      </c>
      <c r="G332" s="85"/>
      <c r="H332" s="85"/>
      <c r="I332" s="87"/>
      <c r="J332" s="85"/>
      <c r="K332" s="85"/>
      <c r="L332" s="10"/>
      <c r="M332" s="10"/>
      <c r="N332" s="10"/>
      <c r="O332" s="10"/>
      <c r="P332" s="85"/>
      <c r="Q332" s="88"/>
      <c r="R332" s="3">
        <f>IFERROR(VLOOKUP(TablaAbril[[#This Row],[BARRIO]],SECTOR!$A:$B,2,0),"")</f>
      </c>
      <c r="S332" s="89"/>
      <c r="T332" s="90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6"/>
      <c r="AZ332" s="120">
        <f>COUNTIF(U332:AY332,"A")</f>
      </c>
      <c r="BA332" s="121">
        <f>COUNTIF(U332:AY332,"F")</f>
      </c>
      <c r="BB332" s="119">
        <f>COUNTIF(U332:AY332,"E")</f>
      </c>
    </row>
    <row r="333" spans="1:54" x14ac:dyDescent="0.2">
      <c r="A333" s="84"/>
      <c r="B333" s="85"/>
      <c r="C333" s="85"/>
      <c r="D333" s="85"/>
      <c r="E333" s="86"/>
      <c r="F333" s="16">
        <f>IF(E333="","",DATEDIF(E333,$I$7,"Y"))</f>
      </c>
      <c r="G333" s="85"/>
      <c r="H333" s="85"/>
      <c r="I333" s="87"/>
      <c r="J333" s="85"/>
      <c r="K333" s="85"/>
      <c r="L333" s="10"/>
      <c r="M333" s="10"/>
      <c r="N333" s="10"/>
      <c r="O333" s="10"/>
      <c r="P333" s="85"/>
      <c r="Q333" s="88"/>
      <c r="R333" s="3">
        <f>IFERROR(VLOOKUP(TablaAbril[[#This Row],[BARRIO]],SECTOR!$A:$B,2,0),"")</f>
      </c>
      <c r="S333" s="89"/>
      <c r="T333" s="90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6"/>
      <c r="AZ333" s="120">
        <f>COUNTIF(U333:AY333,"A")</f>
      </c>
      <c r="BA333" s="121">
        <f>COUNTIF(U333:AY333,"F")</f>
      </c>
      <c r="BB333" s="119">
        <f>COUNTIF(U333:AY333,"E")</f>
      </c>
    </row>
    <row r="334" spans="1:54" x14ac:dyDescent="0.2">
      <c r="A334" s="84"/>
      <c r="B334" s="85"/>
      <c r="C334" s="85"/>
      <c r="D334" s="85"/>
      <c r="E334" s="86"/>
      <c r="F334" s="16">
        <f>IF(E334="","",DATEDIF(E334,$I$7,"Y"))</f>
      </c>
      <c r="G334" s="85"/>
      <c r="H334" s="85"/>
      <c r="I334" s="87"/>
      <c r="J334" s="85"/>
      <c r="K334" s="85"/>
      <c r="L334" s="10"/>
      <c r="M334" s="10"/>
      <c r="N334" s="10"/>
      <c r="O334" s="10"/>
      <c r="P334" s="85"/>
      <c r="Q334" s="88"/>
      <c r="R334" s="3">
        <f>IFERROR(VLOOKUP(TablaAbril[[#This Row],[BARRIO]],SECTOR!$A:$B,2,0),"")</f>
      </c>
      <c r="S334" s="89"/>
      <c r="T334" s="90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6"/>
      <c r="AZ334" s="120">
        <f>COUNTIF(U334:AY334,"A")</f>
      </c>
      <c r="BA334" s="121">
        <f>COUNTIF(U334:AY334,"F")</f>
      </c>
      <c r="BB334" s="119">
        <f>COUNTIF(U334:AY334,"E")</f>
      </c>
    </row>
    <row r="335" spans="1:54" x14ac:dyDescent="0.2">
      <c r="A335" s="84"/>
      <c r="B335" s="85"/>
      <c r="C335" s="85"/>
      <c r="D335" s="85"/>
      <c r="E335" s="86"/>
      <c r="F335" s="16">
        <f>IF(E335="","",DATEDIF(E335,$I$7,"Y"))</f>
      </c>
      <c r="G335" s="85"/>
      <c r="H335" s="85"/>
      <c r="I335" s="87"/>
      <c r="J335" s="85"/>
      <c r="K335" s="85"/>
      <c r="L335" s="10"/>
      <c r="M335" s="10"/>
      <c r="N335" s="10"/>
      <c r="O335" s="10"/>
      <c r="P335" s="85"/>
      <c r="Q335" s="88"/>
      <c r="R335" s="3">
        <f>IFERROR(VLOOKUP(TablaAbril[[#This Row],[BARRIO]],SECTOR!$A:$B,2,0),"")</f>
      </c>
      <c r="S335" s="89"/>
      <c r="T335" s="90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6"/>
      <c r="AZ335" s="120">
        <f>COUNTIF(U335:AY335,"A")</f>
      </c>
      <c r="BA335" s="121">
        <f>COUNTIF(U335:AY335,"F")</f>
      </c>
      <c r="BB335" s="119">
        <f>COUNTIF(U335:AY335,"E")</f>
      </c>
    </row>
    <row r="336" spans="1:54" x14ac:dyDescent="0.2">
      <c r="A336" s="84"/>
      <c r="B336" s="85"/>
      <c r="C336" s="85"/>
      <c r="D336" s="85"/>
      <c r="E336" s="86"/>
      <c r="F336" s="16">
        <f>IF(E336="","",DATEDIF(E336,$I$7,"Y"))</f>
      </c>
      <c r="G336" s="85"/>
      <c r="H336" s="85"/>
      <c r="I336" s="87"/>
      <c r="J336" s="85"/>
      <c r="K336" s="85"/>
      <c r="L336" s="10"/>
      <c r="M336" s="10"/>
      <c r="N336" s="10"/>
      <c r="O336" s="10"/>
      <c r="P336" s="85"/>
      <c r="Q336" s="88"/>
      <c r="R336" s="3">
        <f>IFERROR(VLOOKUP(TablaAbril[[#This Row],[BARRIO]],SECTOR!$A:$B,2,0),"")</f>
      </c>
      <c r="S336" s="89"/>
      <c r="T336" s="90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6"/>
      <c r="AZ336" s="120">
        <f>COUNTIF(U336:AY336,"A")</f>
      </c>
      <c r="BA336" s="121">
        <f>COUNTIF(U336:AY336,"F")</f>
      </c>
      <c r="BB336" s="119">
        <f>COUNTIF(U336:AY336,"E")</f>
      </c>
    </row>
    <row r="337" spans="1:54" x14ac:dyDescent="0.2">
      <c r="A337" s="84"/>
      <c r="B337" s="85"/>
      <c r="C337" s="85"/>
      <c r="D337" s="85"/>
      <c r="E337" s="86"/>
      <c r="F337" s="16">
        <f>IF(E337="","",DATEDIF(E337,$I$7,"Y"))</f>
      </c>
      <c r="G337" s="85"/>
      <c r="H337" s="85"/>
      <c r="I337" s="87"/>
      <c r="J337" s="85"/>
      <c r="K337" s="85"/>
      <c r="L337" s="10"/>
      <c r="M337" s="10"/>
      <c r="N337" s="10"/>
      <c r="O337" s="10"/>
      <c r="P337" s="85"/>
      <c r="Q337" s="88"/>
      <c r="R337" s="3">
        <f>IFERROR(VLOOKUP(TablaAbril[[#This Row],[BARRIO]],SECTOR!$A:$B,2,0),"")</f>
      </c>
      <c r="S337" s="89"/>
      <c r="T337" s="90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6"/>
      <c r="AZ337" s="120">
        <f>COUNTIF(U337:AY337,"A")</f>
      </c>
      <c r="BA337" s="121">
        <f>COUNTIF(U337:AY337,"F")</f>
      </c>
      <c r="BB337" s="119">
        <f>COUNTIF(U337:AY337,"E")</f>
      </c>
    </row>
    <row r="338" spans="1:54" x14ac:dyDescent="0.2">
      <c r="A338" s="84"/>
      <c r="B338" s="85"/>
      <c r="C338" s="85"/>
      <c r="D338" s="85"/>
      <c r="E338" s="86"/>
      <c r="F338" s="16">
        <f>IF(E338="","",DATEDIF(E338,$I$7,"Y"))</f>
      </c>
      <c r="G338" s="85"/>
      <c r="H338" s="85"/>
      <c r="I338" s="87"/>
      <c r="J338" s="85"/>
      <c r="K338" s="85"/>
      <c r="L338" s="10"/>
      <c r="M338" s="10"/>
      <c r="N338" s="10"/>
      <c r="O338" s="10"/>
      <c r="P338" s="85"/>
      <c r="Q338" s="88"/>
      <c r="R338" s="3">
        <f>IFERROR(VLOOKUP(TablaAbril[[#This Row],[BARRIO]],SECTOR!$A:$B,2,0),"")</f>
      </c>
      <c r="S338" s="89"/>
      <c r="T338" s="90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6"/>
      <c r="AZ338" s="120">
        <f>COUNTIF(U338:AY338,"A")</f>
      </c>
      <c r="BA338" s="121">
        <f>COUNTIF(U338:AY338,"F")</f>
      </c>
      <c r="BB338" s="119">
        <f>COUNTIF(U338:AY338,"E")</f>
      </c>
    </row>
    <row r="339" spans="1:54" x14ac:dyDescent="0.2">
      <c r="A339" s="84"/>
      <c r="B339" s="85"/>
      <c r="C339" s="85"/>
      <c r="D339" s="85"/>
      <c r="E339" s="86"/>
      <c r="F339" s="16">
        <f>IF(E339="","",DATEDIF(E339,$I$7,"Y"))</f>
      </c>
      <c r="G339" s="85"/>
      <c r="H339" s="85"/>
      <c r="I339" s="87"/>
      <c r="J339" s="85"/>
      <c r="K339" s="85"/>
      <c r="L339" s="10"/>
      <c r="M339" s="10"/>
      <c r="N339" s="10"/>
      <c r="O339" s="10"/>
      <c r="P339" s="85"/>
      <c r="Q339" s="88"/>
      <c r="R339" s="3">
        <f>IFERROR(VLOOKUP(TablaAbril[[#This Row],[BARRIO]],SECTOR!$A:$B,2,0),"")</f>
      </c>
      <c r="S339" s="89"/>
      <c r="T339" s="90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6"/>
      <c r="AZ339" s="120">
        <f>COUNTIF(U339:AY339,"A")</f>
      </c>
      <c r="BA339" s="121">
        <f>COUNTIF(U339:AY339,"F")</f>
      </c>
      <c r="BB339" s="119">
        <f>COUNTIF(U339:AY339,"E")</f>
      </c>
    </row>
    <row r="340" spans="1:54" x14ac:dyDescent="0.2">
      <c r="A340" s="84"/>
      <c r="B340" s="85"/>
      <c r="C340" s="85"/>
      <c r="D340" s="85"/>
      <c r="E340" s="86"/>
      <c r="F340" s="16">
        <f>IF(E340="","",DATEDIF(E340,$I$7,"Y"))</f>
      </c>
      <c r="G340" s="85"/>
      <c r="H340" s="85"/>
      <c r="I340" s="87"/>
      <c r="J340" s="85"/>
      <c r="K340" s="85"/>
      <c r="L340" s="10"/>
      <c r="M340" s="10"/>
      <c r="N340" s="10"/>
      <c r="O340" s="10"/>
      <c r="P340" s="85"/>
      <c r="Q340" s="88"/>
      <c r="R340" s="3">
        <f>IFERROR(VLOOKUP(TablaAbril[[#This Row],[BARRIO]],SECTOR!$A:$B,2,0),"")</f>
      </c>
      <c r="S340" s="89"/>
      <c r="T340" s="90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6"/>
      <c r="AZ340" s="120">
        <f>COUNTIF(U340:AY340,"A")</f>
      </c>
      <c r="BA340" s="121">
        <f>COUNTIF(U340:AY340,"F")</f>
      </c>
      <c r="BB340" s="119">
        <f>COUNTIF(U340:AY340,"E")</f>
      </c>
    </row>
    <row r="341" spans="1:54" x14ac:dyDescent="0.2">
      <c r="A341" s="84"/>
      <c r="B341" s="85"/>
      <c r="C341" s="85"/>
      <c r="D341" s="85"/>
      <c r="E341" s="86"/>
      <c r="F341" s="16">
        <f>IF(E341="","",DATEDIF(E341,$I$7,"Y"))</f>
      </c>
      <c r="G341" s="85"/>
      <c r="H341" s="85"/>
      <c r="I341" s="87"/>
      <c r="J341" s="85"/>
      <c r="K341" s="85"/>
      <c r="L341" s="10"/>
      <c r="M341" s="10"/>
      <c r="N341" s="10"/>
      <c r="O341" s="10"/>
      <c r="P341" s="85"/>
      <c r="Q341" s="88"/>
      <c r="R341" s="3">
        <f>IFERROR(VLOOKUP(TablaAbril[[#This Row],[BARRIO]],SECTOR!$A:$B,2,0),"")</f>
      </c>
      <c r="S341" s="89"/>
      <c r="T341" s="90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6"/>
      <c r="AZ341" s="120">
        <f>COUNTIF(U341:AY341,"A")</f>
      </c>
      <c r="BA341" s="121">
        <f>COUNTIF(U341:AY341,"F")</f>
      </c>
      <c r="BB341" s="119">
        <f>COUNTIF(U341:AY341,"E")</f>
      </c>
    </row>
    <row r="342" spans="1:54" x14ac:dyDescent="0.2">
      <c r="A342" s="84"/>
      <c r="B342" s="85"/>
      <c r="C342" s="85"/>
      <c r="D342" s="85"/>
      <c r="E342" s="86"/>
      <c r="F342" s="16">
        <f>IF(E342="","",DATEDIF(E342,$I$7,"Y"))</f>
      </c>
      <c r="G342" s="85"/>
      <c r="H342" s="85"/>
      <c r="I342" s="87"/>
      <c r="J342" s="85"/>
      <c r="K342" s="85"/>
      <c r="L342" s="10"/>
      <c r="M342" s="10"/>
      <c r="N342" s="10"/>
      <c r="O342" s="10"/>
      <c r="P342" s="85"/>
      <c r="Q342" s="88"/>
      <c r="R342" s="3">
        <f>IFERROR(VLOOKUP(TablaAbril[[#This Row],[BARRIO]],SECTOR!$A:$B,2,0),"")</f>
      </c>
      <c r="S342" s="89"/>
      <c r="T342" s="90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6"/>
      <c r="AZ342" s="120">
        <f>COUNTIF(U342:AY342,"A")</f>
      </c>
      <c r="BA342" s="121">
        <f>COUNTIF(U342:AY342,"F")</f>
      </c>
      <c r="BB342" s="119">
        <f>COUNTIF(U342:AY342,"E")</f>
      </c>
    </row>
    <row r="343" spans="1:54" x14ac:dyDescent="0.2">
      <c r="A343" s="84"/>
      <c r="B343" s="85"/>
      <c r="C343" s="85"/>
      <c r="D343" s="85"/>
      <c r="E343" s="86"/>
      <c r="F343" s="16">
        <f>IF(E343="","",DATEDIF(E343,$I$7,"Y"))</f>
      </c>
      <c r="G343" s="85"/>
      <c r="H343" s="85"/>
      <c r="I343" s="87"/>
      <c r="J343" s="85"/>
      <c r="K343" s="85"/>
      <c r="L343" s="10"/>
      <c r="M343" s="10"/>
      <c r="N343" s="10"/>
      <c r="O343" s="10"/>
      <c r="P343" s="85"/>
      <c r="Q343" s="88"/>
      <c r="R343" s="3">
        <f>IFERROR(VLOOKUP(TablaAbril[[#This Row],[BARRIO]],SECTOR!$A:$B,2,0),"")</f>
      </c>
      <c r="S343" s="89"/>
      <c r="T343" s="90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6"/>
      <c r="AZ343" s="120">
        <f>COUNTIF(U343:AY343,"A")</f>
      </c>
      <c r="BA343" s="121">
        <f>COUNTIF(U343:AY343,"F")</f>
      </c>
      <c r="BB343" s="119">
        <f>COUNTIF(U343:AY343,"E")</f>
      </c>
    </row>
    <row r="344" spans="1:54" x14ac:dyDescent="0.2">
      <c r="A344" s="84"/>
      <c r="B344" s="85"/>
      <c r="C344" s="85"/>
      <c r="D344" s="85"/>
      <c r="E344" s="86"/>
      <c r="F344" s="16">
        <f>IF(E344="","",DATEDIF(E344,$I$7,"Y"))</f>
      </c>
      <c r="G344" s="85"/>
      <c r="H344" s="85"/>
      <c r="I344" s="87"/>
      <c r="J344" s="85"/>
      <c r="K344" s="85"/>
      <c r="L344" s="10"/>
      <c r="M344" s="10"/>
      <c r="N344" s="10"/>
      <c r="O344" s="10"/>
      <c r="P344" s="85"/>
      <c r="Q344" s="88"/>
      <c r="R344" s="3">
        <f>IFERROR(VLOOKUP(TablaAbril[[#This Row],[BARRIO]],SECTOR!$A:$B,2,0),"")</f>
      </c>
      <c r="S344" s="89"/>
      <c r="T344" s="90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6"/>
      <c r="AZ344" s="120">
        <f>COUNTIF(U344:AY344,"A")</f>
      </c>
      <c r="BA344" s="121">
        <f>COUNTIF(U344:AY344,"F")</f>
      </c>
      <c r="BB344" s="119">
        <f>COUNTIF(U344:AY344,"E")</f>
      </c>
    </row>
    <row r="345" spans="1:54" x14ac:dyDescent="0.2">
      <c r="A345" s="84"/>
      <c r="B345" s="85"/>
      <c r="C345" s="85"/>
      <c r="D345" s="85"/>
      <c r="E345" s="86"/>
      <c r="F345" s="16">
        <f>IF(E345="","",DATEDIF(E345,$I$7,"Y"))</f>
      </c>
      <c r="G345" s="85"/>
      <c r="H345" s="85"/>
      <c r="I345" s="87"/>
      <c r="J345" s="85"/>
      <c r="K345" s="85"/>
      <c r="L345" s="10"/>
      <c r="M345" s="10"/>
      <c r="N345" s="10"/>
      <c r="O345" s="10"/>
      <c r="P345" s="85"/>
      <c r="Q345" s="88"/>
      <c r="R345" s="3">
        <f>IFERROR(VLOOKUP(TablaAbril[[#This Row],[BARRIO]],SECTOR!$A:$B,2,0),"")</f>
      </c>
      <c r="S345" s="89"/>
      <c r="T345" s="90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6"/>
      <c r="AZ345" s="120">
        <f>COUNTIF(U345:AY345,"A")</f>
      </c>
      <c r="BA345" s="121">
        <f>COUNTIF(U345:AY345,"F")</f>
      </c>
      <c r="BB345" s="119">
        <f>COUNTIF(U345:AY345,"E")</f>
      </c>
    </row>
    <row r="346" spans="1:54" x14ac:dyDescent="0.2">
      <c r="A346" s="84"/>
      <c r="B346" s="85"/>
      <c r="C346" s="85"/>
      <c r="D346" s="85"/>
      <c r="E346" s="86"/>
      <c r="F346" s="16">
        <f>IF(E346="","",DATEDIF(E346,$I$7,"Y"))</f>
      </c>
      <c r="G346" s="85"/>
      <c r="H346" s="85"/>
      <c r="I346" s="87"/>
      <c r="J346" s="85"/>
      <c r="K346" s="85"/>
      <c r="L346" s="10"/>
      <c r="M346" s="10"/>
      <c r="N346" s="10"/>
      <c r="O346" s="10"/>
      <c r="P346" s="85"/>
      <c r="Q346" s="88"/>
      <c r="R346" s="3">
        <f>IFERROR(VLOOKUP(TablaAbril[[#This Row],[BARRIO]],SECTOR!$A:$B,2,0),"")</f>
      </c>
      <c r="S346" s="89"/>
      <c r="T346" s="90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6"/>
      <c r="AZ346" s="120">
        <f>COUNTIF(U346:AY346,"A")</f>
      </c>
      <c r="BA346" s="121">
        <f>COUNTIF(U346:AY346,"F")</f>
      </c>
      <c r="BB346" s="119">
        <f>COUNTIF(U346:AY346,"E")</f>
      </c>
    </row>
    <row r="347" spans="1:54" x14ac:dyDescent="0.2">
      <c r="A347" s="84"/>
      <c r="B347" s="85"/>
      <c r="C347" s="85"/>
      <c r="D347" s="85"/>
      <c r="E347" s="86"/>
      <c r="F347" s="16">
        <f>IF(E347="","",DATEDIF(E347,$I$7,"Y"))</f>
      </c>
      <c r="G347" s="85"/>
      <c r="H347" s="85"/>
      <c r="I347" s="87"/>
      <c r="J347" s="85"/>
      <c r="K347" s="85"/>
      <c r="L347" s="10"/>
      <c r="M347" s="10"/>
      <c r="N347" s="10"/>
      <c r="O347" s="10"/>
      <c r="P347" s="85"/>
      <c r="Q347" s="88"/>
      <c r="R347" s="3">
        <f>IFERROR(VLOOKUP(TablaAbril[[#This Row],[BARRIO]],SECTOR!$A:$B,2,0),"")</f>
      </c>
      <c r="S347" s="89"/>
      <c r="T347" s="90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6"/>
      <c r="AZ347" s="120">
        <f>COUNTIF(U347:AY347,"A")</f>
      </c>
      <c r="BA347" s="121">
        <f>COUNTIF(U347:AY347,"F")</f>
      </c>
      <c r="BB347" s="119">
        <f>COUNTIF(U347:AY347,"E")</f>
      </c>
    </row>
    <row r="348" spans="1:54" x14ac:dyDescent="0.2">
      <c r="A348" s="84"/>
      <c r="B348" s="85"/>
      <c r="C348" s="85"/>
      <c r="D348" s="85"/>
      <c r="E348" s="86"/>
      <c r="F348" s="16">
        <f>IF(E348="","",DATEDIF(E348,$I$7,"Y"))</f>
      </c>
      <c r="G348" s="85"/>
      <c r="H348" s="85"/>
      <c r="I348" s="87"/>
      <c r="J348" s="85"/>
      <c r="K348" s="85"/>
      <c r="L348" s="10"/>
      <c r="M348" s="10"/>
      <c r="N348" s="10"/>
      <c r="O348" s="10"/>
      <c r="P348" s="85"/>
      <c r="Q348" s="88"/>
      <c r="R348" s="3">
        <f>IFERROR(VLOOKUP(TablaAbril[[#This Row],[BARRIO]],SECTOR!$A:$B,2,0),"")</f>
      </c>
      <c r="S348" s="89"/>
      <c r="T348" s="90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6"/>
      <c r="AZ348" s="120">
        <f>COUNTIF(U348:AY348,"A")</f>
      </c>
      <c r="BA348" s="121">
        <f>COUNTIF(U348:AY348,"F")</f>
      </c>
      <c r="BB348" s="119">
        <f>COUNTIF(U348:AY348,"E")</f>
      </c>
    </row>
    <row r="349" spans="1:54" x14ac:dyDescent="0.2">
      <c r="A349" s="84"/>
      <c r="B349" s="85"/>
      <c r="C349" s="85"/>
      <c r="D349" s="85"/>
      <c r="E349" s="86"/>
      <c r="F349" s="16">
        <f>IF(E349="","",DATEDIF(E349,$I$7,"Y"))</f>
      </c>
      <c r="G349" s="85"/>
      <c r="H349" s="85"/>
      <c r="I349" s="87"/>
      <c r="J349" s="85"/>
      <c r="K349" s="85"/>
      <c r="L349" s="10"/>
      <c r="M349" s="10"/>
      <c r="N349" s="10"/>
      <c r="O349" s="10"/>
      <c r="P349" s="85"/>
      <c r="Q349" s="88"/>
      <c r="R349" s="3">
        <f>IFERROR(VLOOKUP(TablaAbril[[#This Row],[BARRIO]],SECTOR!$A:$B,2,0),"")</f>
      </c>
      <c r="S349" s="89"/>
      <c r="T349" s="90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6"/>
      <c r="AZ349" s="120">
        <f>COUNTIF(U349:AY349,"A")</f>
      </c>
      <c r="BA349" s="121">
        <f>COUNTIF(U349:AY349,"F")</f>
      </c>
      <c r="BB349" s="119">
        <f>COUNTIF(U349:AY349,"E")</f>
      </c>
    </row>
    <row r="350" spans="1:54" x14ac:dyDescent="0.2">
      <c r="A350" s="84"/>
      <c r="B350" s="85"/>
      <c r="C350" s="85"/>
      <c r="D350" s="85"/>
      <c r="E350" s="86"/>
      <c r="F350" s="16">
        <f>IF(E350="","",DATEDIF(E350,$I$7,"Y"))</f>
      </c>
      <c r="G350" s="85"/>
      <c r="H350" s="85"/>
      <c r="I350" s="87"/>
      <c r="J350" s="85"/>
      <c r="K350" s="85"/>
      <c r="L350" s="10"/>
      <c r="M350" s="10"/>
      <c r="N350" s="10"/>
      <c r="O350" s="10"/>
      <c r="P350" s="85"/>
      <c r="Q350" s="88"/>
      <c r="R350" s="3">
        <f>IFERROR(VLOOKUP(TablaAbril[[#This Row],[BARRIO]],SECTOR!$A:$B,2,0),"")</f>
      </c>
      <c r="S350" s="89"/>
      <c r="T350" s="90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6"/>
      <c r="AZ350" s="120">
        <f>COUNTIF(U350:AY350,"A")</f>
      </c>
      <c r="BA350" s="121">
        <f>COUNTIF(U350:AY350,"F")</f>
      </c>
      <c r="BB350" s="119">
        <f>COUNTIF(U350:AY350,"E")</f>
      </c>
    </row>
    <row r="351" spans="1:54" x14ac:dyDescent="0.2">
      <c r="A351" s="84"/>
      <c r="B351" s="85"/>
      <c r="C351" s="85"/>
      <c r="D351" s="85"/>
      <c r="E351" s="86"/>
      <c r="F351" s="16">
        <f>IF(E351="","",DATEDIF(E351,$I$7,"Y"))</f>
      </c>
      <c r="G351" s="85"/>
      <c r="H351" s="85"/>
      <c r="I351" s="87"/>
      <c r="J351" s="85"/>
      <c r="K351" s="85"/>
      <c r="L351" s="10"/>
      <c r="M351" s="10"/>
      <c r="N351" s="10"/>
      <c r="O351" s="10"/>
      <c r="P351" s="85"/>
      <c r="Q351" s="88"/>
      <c r="R351" s="3">
        <f>IFERROR(VLOOKUP(TablaAbril[[#This Row],[BARRIO]],SECTOR!$A:$B,2,0),"")</f>
      </c>
      <c r="S351" s="89"/>
      <c r="T351" s="90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6"/>
      <c r="AZ351" s="120">
        <f>COUNTIF(U351:AY351,"A")</f>
      </c>
      <c r="BA351" s="121">
        <f>COUNTIF(U351:AY351,"F")</f>
      </c>
      <c r="BB351" s="119">
        <f>COUNTIF(U351:AY351,"E")</f>
      </c>
    </row>
    <row r="352" spans="1:54" x14ac:dyDescent="0.2">
      <c r="A352" s="84"/>
      <c r="B352" s="85"/>
      <c r="C352" s="85"/>
      <c r="D352" s="85"/>
      <c r="E352" s="86"/>
      <c r="F352" s="16">
        <f>IF(E352="","",DATEDIF(E352,$I$7,"Y"))</f>
      </c>
      <c r="G352" s="85"/>
      <c r="H352" s="85"/>
      <c r="I352" s="87"/>
      <c r="J352" s="85"/>
      <c r="K352" s="85"/>
      <c r="L352" s="10"/>
      <c r="M352" s="10"/>
      <c r="N352" s="10"/>
      <c r="O352" s="10"/>
      <c r="P352" s="85"/>
      <c r="Q352" s="88"/>
      <c r="R352" s="3">
        <f>IFERROR(VLOOKUP(TablaAbril[[#This Row],[BARRIO]],SECTOR!$A:$B,2,0),"")</f>
      </c>
      <c r="S352" s="89"/>
      <c r="T352" s="90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6"/>
      <c r="AZ352" s="120">
        <f>COUNTIF(U352:AY352,"A")</f>
      </c>
      <c r="BA352" s="121">
        <f>COUNTIF(U352:AY352,"F")</f>
      </c>
      <c r="BB352" s="119">
        <f>COUNTIF(U352:AY352,"E")</f>
      </c>
    </row>
    <row r="353" spans="1:54" x14ac:dyDescent="0.2">
      <c r="A353" s="84"/>
      <c r="B353" s="85"/>
      <c r="C353" s="85"/>
      <c r="D353" s="85"/>
      <c r="E353" s="86"/>
      <c r="F353" s="16">
        <f>IF(E353="","",DATEDIF(E353,$I$7,"Y"))</f>
      </c>
      <c r="G353" s="85"/>
      <c r="H353" s="85"/>
      <c r="I353" s="87"/>
      <c r="J353" s="85"/>
      <c r="K353" s="85"/>
      <c r="L353" s="10"/>
      <c r="M353" s="10"/>
      <c r="N353" s="10"/>
      <c r="O353" s="10"/>
      <c r="P353" s="85"/>
      <c r="Q353" s="88"/>
      <c r="R353" s="3">
        <f>IFERROR(VLOOKUP(TablaAbril[[#This Row],[BARRIO]],SECTOR!$A:$B,2,0),"")</f>
      </c>
      <c r="S353" s="89"/>
      <c r="T353" s="90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6"/>
      <c r="AZ353" s="120">
        <f>COUNTIF(U353:AY353,"A")</f>
      </c>
      <c r="BA353" s="121">
        <f>COUNTIF(U353:AY353,"F")</f>
      </c>
      <c r="BB353" s="119">
        <f>COUNTIF(U353:AY353,"E")</f>
      </c>
    </row>
    <row r="354" spans="1:54" x14ac:dyDescent="0.2">
      <c r="A354" s="84"/>
      <c r="B354" s="85"/>
      <c r="C354" s="85"/>
      <c r="D354" s="85"/>
      <c r="E354" s="86"/>
      <c r="F354" s="16">
        <f>IF(E354="","",DATEDIF(E354,$I$7,"Y"))</f>
      </c>
      <c r="G354" s="85"/>
      <c r="H354" s="85"/>
      <c r="I354" s="87"/>
      <c r="J354" s="85"/>
      <c r="K354" s="85"/>
      <c r="L354" s="10"/>
      <c r="M354" s="10"/>
      <c r="N354" s="10"/>
      <c r="O354" s="10"/>
      <c r="P354" s="85"/>
      <c r="Q354" s="88"/>
      <c r="R354" s="3">
        <f>IFERROR(VLOOKUP(TablaAbril[[#This Row],[BARRIO]],SECTOR!$A:$B,2,0),"")</f>
      </c>
      <c r="S354" s="89"/>
      <c r="T354" s="90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6"/>
      <c r="AZ354" s="120">
        <f>COUNTIF(U354:AY354,"A")</f>
      </c>
      <c r="BA354" s="121">
        <f>COUNTIF(U354:AY354,"F")</f>
      </c>
      <c r="BB354" s="119">
        <f>COUNTIF(U354:AY354,"E")</f>
      </c>
    </row>
    <row r="355" spans="1:54" x14ac:dyDescent="0.2">
      <c r="A355" s="84"/>
      <c r="B355" s="85"/>
      <c r="C355" s="85"/>
      <c r="D355" s="85"/>
      <c r="E355" s="86"/>
      <c r="F355" s="16">
        <f>IF(E355="","",DATEDIF(E355,$I$7,"Y"))</f>
      </c>
      <c r="G355" s="85"/>
      <c r="H355" s="85"/>
      <c r="I355" s="87"/>
      <c r="J355" s="85"/>
      <c r="K355" s="85"/>
      <c r="L355" s="10"/>
      <c r="M355" s="10"/>
      <c r="N355" s="10"/>
      <c r="O355" s="10"/>
      <c r="P355" s="85"/>
      <c r="Q355" s="88"/>
      <c r="R355" s="3">
        <f>IFERROR(VLOOKUP(TablaAbril[[#This Row],[BARRIO]],SECTOR!$A:$B,2,0),"")</f>
      </c>
      <c r="S355" s="89"/>
      <c r="T355" s="90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6"/>
      <c r="AZ355" s="120">
        <f>COUNTIF(U355:AY355,"A")</f>
      </c>
      <c r="BA355" s="121">
        <f>COUNTIF(U355:AY355,"F")</f>
      </c>
      <c r="BB355" s="119">
        <f>COUNTIF(U355:AY355,"E")</f>
      </c>
    </row>
    <row r="356" spans="1:54" x14ac:dyDescent="0.2">
      <c r="A356" s="84"/>
      <c r="B356" s="85"/>
      <c r="C356" s="85"/>
      <c r="D356" s="85"/>
      <c r="E356" s="86"/>
      <c r="F356" s="16">
        <f>IF(E356="","",DATEDIF(E356,$I$7,"Y"))</f>
      </c>
      <c r="G356" s="85"/>
      <c r="H356" s="85"/>
      <c r="I356" s="87"/>
      <c r="J356" s="85"/>
      <c r="K356" s="85"/>
      <c r="L356" s="10"/>
      <c r="M356" s="10"/>
      <c r="N356" s="10"/>
      <c r="O356" s="10"/>
      <c r="P356" s="85"/>
      <c r="Q356" s="88"/>
      <c r="R356" s="3">
        <f>IFERROR(VLOOKUP(TablaAbril[[#This Row],[BARRIO]],SECTOR!$A:$B,2,0),"")</f>
      </c>
      <c r="S356" s="89"/>
      <c r="T356" s="90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6"/>
      <c r="AZ356" s="120">
        <f>COUNTIF(U356:AY356,"A")</f>
      </c>
      <c r="BA356" s="121">
        <f>COUNTIF(U356:AY356,"F")</f>
      </c>
      <c r="BB356" s="119">
        <f>COUNTIF(U356:AY356,"E")</f>
      </c>
    </row>
    <row r="357" spans="1:54" x14ac:dyDescent="0.2">
      <c r="A357" s="84"/>
      <c r="B357" s="85"/>
      <c r="C357" s="85"/>
      <c r="D357" s="85"/>
      <c r="E357" s="86"/>
      <c r="F357" s="16">
        <f>IF(E357="","",DATEDIF(E357,$I$7,"Y"))</f>
      </c>
      <c r="G357" s="85"/>
      <c r="H357" s="85"/>
      <c r="I357" s="87"/>
      <c r="J357" s="85"/>
      <c r="K357" s="85"/>
      <c r="L357" s="10"/>
      <c r="M357" s="10"/>
      <c r="N357" s="10"/>
      <c r="O357" s="10"/>
      <c r="P357" s="85"/>
      <c r="Q357" s="88"/>
      <c r="R357" s="3">
        <f>IFERROR(VLOOKUP(TablaAbril[[#This Row],[BARRIO]],SECTOR!$A:$B,2,0),"")</f>
      </c>
      <c r="S357" s="89"/>
      <c r="T357" s="90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6"/>
      <c r="AZ357" s="120">
        <f>COUNTIF(U357:AY357,"A")</f>
      </c>
      <c r="BA357" s="121">
        <f>COUNTIF(U357:AY357,"F")</f>
      </c>
      <c r="BB357" s="119">
        <f>COUNTIF(U357:AY357,"E")</f>
      </c>
    </row>
    <row r="358" spans="1:54" x14ac:dyDescent="0.2">
      <c r="A358" s="84"/>
      <c r="B358" s="85"/>
      <c r="C358" s="85"/>
      <c r="D358" s="85"/>
      <c r="E358" s="86"/>
      <c r="F358" s="16">
        <f>IF(E358="","",DATEDIF(E358,$I$7,"Y"))</f>
      </c>
      <c r="G358" s="85"/>
      <c r="H358" s="85"/>
      <c r="I358" s="87"/>
      <c r="J358" s="85"/>
      <c r="K358" s="85"/>
      <c r="L358" s="10"/>
      <c r="M358" s="10"/>
      <c r="N358" s="10"/>
      <c r="O358" s="10"/>
      <c r="P358" s="85"/>
      <c r="Q358" s="88"/>
      <c r="R358" s="3">
        <f>IFERROR(VLOOKUP(TablaAbril[[#This Row],[BARRIO]],SECTOR!$A:$B,2,0),"")</f>
      </c>
      <c r="S358" s="89"/>
      <c r="T358" s="90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6"/>
      <c r="AZ358" s="120">
        <f>COUNTIF(U358:AY358,"A")</f>
      </c>
      <c r="BA358" s="121">
        <f>COUNTIF(U358:AY358,"F")</f>
      </c>
      <c r="BB358" s="119">
        <f>COUNTIF(U358:AY358,"E")</f>
      </c>
    </row>
    <row r="359" spans="1:54" x14ac:dyDescent="0.2">
      <c r="A359" s="84"/>
      <c r="B359" s="85"/>
      <c r="C359" s="85"/>
      <c r="D359" s="85"/>
      <c r="E359" s="86"/>
      <c r="F359" s="16">
        <f>IF(E359="","",DATEDIF(E359,$I$7,"Y"))</f>
      </c>
      <c r="G359" s="85"/>
      <c r="H359" s="85"/>
      <c r="I359" s="87"/>
      <c r="J359" s="85"/>
      <c r="K359" s="85"/>
      <c r="L359" s="10"/>
      <c r="M359" s="10"/>
      <c r="N359" s="10"/>
      <c r="O359" s="10"/>
      <c r="P359" s="85"/>
      <c r="Q359" s="88"/>
      <c r="R359" s="3">
        <f>IFERROR(VLOOKUP(TablaAbril[[#This Row],[BARRIO]],SECTOR!$A:$B,2,0),"")</f>
      </c>
      <c r="S359" s="89"/>
      <c r="T359" s="90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6"/>
      <c r="AZ359" s="120">
        <f>COUNTIF(U359:AY359,"A")</f>
      </c>
      <c r="BA359" s="121">
        <f>COUNTIF(U359:AY359,"F")</f>
      </c>
      <c r="BB359" s="119">
        <f>COUNTIF(U359:AY359,"E")</f>
      </c>
    </row>
    <row r="360" spans="1:54" x14ac:dyDescent="0.2">
      <c r="A360" s="84"/>
      <c r="B360" s="85"/>
      <c r="C360" s="85"/>
      <c r="D360" s="85"/>
      <c r="E360" s="86"/>
      <c r="F360" s="16">
        <f>IF(E360="","",DATEDIF(E360,$I$7,"Y"))</f>
      </c>
      <c r="G360" s="85"/>
      <c r="H360" s="85"/>
      <c r="I360" s="87"/>
      <c r="J360" s="85"/>
      <c r="K360" s="85"/>
      <c r="L360" s="10"/>
      <c r="M360" s="10"/>
      <c r="N360" s="10"/>
      <c r="O360" s="10"/>
      <c r="P360" s="85"/>
      <c r="Q360" s="88"/>
      <c r="R360" s="3">
        <f>IFERROR(VLOOKUP(TablaAbril[[#This Row],[BARRIO]],SECTOR!$A:$B,2,0),"")</f>
      </c>
      <c r="S360" s="89"/>
      <c r="T360" s="90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6"/>
      <c r="AZ360" s="120">
        <f>COUNTIF(U360:AY360,"A")</f>
      </c>
      <c r="BA360" s="121">
        <f>COUNTIF(U360:AY360,"F")</f>
      </c>
      <c r="BB360" s="119">
        <f>COUNTIF(U360:AY360,"E")</f>
      </c>
    </row>
    <row r="361" spans="1:54" x14ac:dyDescent="0.2">
      <c r="A361" s="84"/>
      <c r="B361" s="85"/>
      <c r="C361" s="85"/>
      <c r="D361" s="85"/>
      <c r="E361" s="86"/>
      <c r="F361" s="16">
        <f>IF(E361="","",DATEDIF(E361,$I$7,"Y"))</f>
      </c>
      <c r="G361" s="85"/>
      <c r="H361" s="85"/>
      <c r="I361" s="87"/>
      <c r="J361" s="85"/>
      <c r="K361" s="85"/>
      <c r="L361" s="10"/>
      <c r="M361" s="10"/>
      <c r="N361" s="10"/>
      <c r="O361" s="10"/>
      <c r="P361" s="85"/>
      <c r="Q361" s="88"/>
      <c r="R361" s="3">
        <f>IFERROR(VLOOKUP(TablaAbril[[#This Row],[BARRIO]],SECTOR!$A:$B,2,0),"")</f>
      </c>
      <c r="S361" s="89"/>
      <c r="T361" s="90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6"/>
      <c r="AZ361" s="120">
        <f>COUNTIF(U361:AY361,"A")</f>
      </c>
      <c r="BA361" s="121">
        <f>COUNTIF(U361:AY361,"F")</f>
      </c>
      <c r="BB361" s="119">
        <f>COUNTIF(U361:AY361,"E")</f>
      </c>
    </row>
    <row r="362" spans="1:54" x14ac:dyDescent="0.2">
      <c r="A362" s="84"/>
      <c r="B362" s="85"/>
      <c r="C362" s="85"/>
      <c r="D362" s="85"/>
      <c r="E362" s="86"/>
      <c r="F362" s="16">
        <f>IF(E362="","",DATEDIF(E362,$I$7,"Y"))</f>
      </c>
      <c r="G362" s="85"/>
      <c r="H362" s="85"/>
      <c r="I362" s="87"/>
      <c r="J362" s="85"/>
      <c r="K362" s="85"/>
      <c r="L362" s="10"/>
      <c r="M362" s="10"/>
      <c r="N362" s="10"/>
      <c r="O362" s="10"/>
      <c r="P362" s="85"/>
      <c r="Q362" s="88"/>
      <c r="R362" s="3">
        <f>IFERROR(VLOOKUP(TablaAbril[[#This Row],[BARRIO]],SECTOR!$A:$B,2,0),"")</f>
      </c>
      <c r="S362" s="89"/>
      <c r="T362" s="90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6"/>
      <c r="AZ362" s="120">
        <f>COUNTIF(U362:AY362,"A")</f>
      </c>
      <c r="BA362" s="121">
        <f>COUNTIF(U362:AY362,"F")</f>
      </c>
      <c r="BB362" s="119">
        <f>COUNTIF(U362:AY362,"E")</f>
      </c>
    </row>
    <row r="363" spans="1:54" x14ac:dyDescent="0.2">
      <c r="A363" s="84"/>
      <c r="B363" s="85"/>
      <c r="C363" s="85"/>
      <c r="D363" s="85"/>
      <c r="E363" s="86"/>
      <c r="F363" s="16">
        <f>IF(E363="","",DATEDIF(E363,$I$7,"Y"))</f>
      </c>
      <c r="G363" s="85"/>
      <c r="H363" s="85"/>
      <c r="I363" s="87"/>
      <c r="J363" s="85"/>
      <c r="K363" s="85"/>
      <c r="L363" s="10"/>
      <c r="M363" s="10"/>
      <c r="N363" s="10"/>
      <c r="O363" s="10"/>
      <c r="P363" s="85"/>
      <c r="Q363" s="88"/>
      <c r="R363" s="3">
        <f>IFERROR(VLOOKUP(TablaAbril[[#This Row],[BARRIO]],SECTOR!$A:$B,2,0),"")</f>
      </c>
      <c r="S363" s="89"/>
      <c r="T363" s="90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6"/>
      <c r="AZ363" s="120">
        <f>COUNTIF(U363:AY363,"A")</f>
      </c>
      <c r="BA363" s="121">
        <f>COUNTIF(U363:AY363,"F")</f>
      </c>
      <c r="BB363" s="119">
        <f>COUNTIF(U363:AY363,"E")</f>
      </c>
    </row>
    <row r="364" spans="1:54" x14ac:dyDescent="0.2">
      <c r="A364" s="84"/>
      <c r="B364" s="85"/>
      <c r="C364" s="85"/>
      <c r="D364" s="85"/>
      <c r="E364" s="86"/>
      <c r="F364" s="16">
        <f>IF(E364="","",DATEDIF(E364,$I$7,"Y"))</f>
      </c>
      <c r="G364" s="85"/>
      <c r="H364" s="85"/>
      <c r="I364" s="87"/>
      <c r="J364" s="85"/>
      <c r="K364" s="85"/>
      <c r="L364" s="10"/>
      <c r="M364" s="10"/>
      <c r="N364" s="10"/>
      <c r="O364" s="10"/>
      <c r="P364" s="85"/>
      <c r="Q364" s="88"/>
      <c r="R364" s="3">
        <f>IFERROR(VLOOKUP(TablaAbril[[#This Row],[BARRIO]],SECTOR!$A:$B,2,0),"")</f>
      </c>
      <c r="S364" s="89"/>
      <c r="T364" s="90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6"/>
      <c r="AZ364" s="120">
        <f>COUNTIF(U364:AY364,"A")</f>
      </c>
      <c r="BA364" s="121">
        <f>COUNTIF(U364:AY364,"F")</f>
      </c>
      <c r="BB364" s="119">
        <f>COUNTIF(U364:AY364,"E")</f>
      </c>
    </row>
    <row r="365" spans="1:54" x14ac:dyDescent="0.2">
      <c r="A365" s="84"/>
      <c r="B365" s="85"/>
      <c r="C365" s="85"/>
      <c r="D365" s="85"/>
      <c r="E365" s="86"/>
      <c r="F365" s="16">
        <f>IF(E365="","",DATEDIF(E365,$I$7,"Y"))</f>
      </c>
      <c r="G365" s="85"/>
      <c r="H365" s="85"/>
      <c r="I365" s="87"/>
      <c r="J365" s="85"/>
      <c r="K365" s="85"/>
      <c r="L365" s="10"/>
      <c r="M365" s="10"/>
      <c r="N365" s="10"/>
      <c r="O365" s="10"/>
      <c r="P365" s="85"/>
      <c r="Q365" s="88"/>
      <c r="R365" s="3">
        <f>IFERROR(VLOOKUP(TablaAbril[[#This Row],[BARRIO]],SECTOR!$A:$B,2,0),"")</f>
      </c>
      <c r="S365" s="89"/>
      <c r="T365" s="90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6"/>
      <c r="AZ365" s="120">
        <f>COUNTIF(U365:AY365,"A")</f>
      </c>
      <c r="BA365" s="121">
        <f>COUNTIF(U365:AY365,"F")</f>
      </c>
      <c r="BB365" s="119">
        <f>COUNTIF(U365:AY365,"E")</f>
      </c>
    </row>
    <row r="366" spans="1:54" x14ac:dyDescent="0.2">
      <c r="A366" s="84"/>
      <c r="B366" s="85"/>
      <c r="C366" s="85"/>
      <c r="D366" s="85"/>
      <c r="E366" s="86"/>
      <c r="F366" s="16">
        <f>IF(E366="","",DATEDIF(E366,$I$7,"Y"))</f>
      </c>
      <c r="G366" s="85"/>
      <c r="H366" s="85"/>
      <c r="I366" s="87"/>
      <c r="J366" s="85"/>
      <c r="K366" s="85"/>
      <c r="L366" s="10"/>
      <c r="M366" s="10"/>
      <c r="N366" s="10"/>
      <c r="O366" s="10"/>
      <c r="P366" s="85"/>
      <c r="Q366" s="88"/>
      <c r="R366" s="3">
        <f>IFERROR(VLOOKUP(TablaAbril[[#This Row],[BARRIO]],SECTOR!$A:$B,2,0),"")</f>
      </c>
      <c r="S366" s="89"/>
      <c r="T366" s="90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6"/>
      <c r="AZ366" s="120">
        <f>COUNTIF(U366:AY366,"A")</f>
      </c>
      <c r="BA366" s="121">
        <f>COUNTIF(U366:AY366,"F")</f>
      </c>
      <c r="BB366" s="119">
        <f>COUNTIF(U366:AY366,"E")</f>
      </c>
    </row>
    <row r="367" spans="1:54" x14ac:dyDescent="0.2">
      <c r="A367" s="84"/>
      <c r="B367" s="85"/>
      <c r="C367" s="85"/>
      <c r="D367" s="85"/>
      <c r="E367" s="86"/>
      <c r="F367" s="16">
        <f>IF(E367="","",DATEDIF(E367,$I$7,"Y"))</f>
      </c>
      <c r="G367" s="85"/>
      <c r="H367" s="85"/>
      <c r="I367" s="87"/>
      <c r="J367" s="85"/>
      <c r="K367" s="85"/>
      <c r="L367" s="10"/>
      <c r="M367" s="10"/>
      <c r="N367" s="10"/>
      <c r="O367" s="10"/>
      <c r="P367" s="85"/>
      <c r="Q367" s="88"/>
      <c r="R367" s="3">
        <f>IFERROR(VLOOKUP(TablaAbril[[#This Row],[BARRIO]],SECTOR!$A:$B,2,0),"")</f>
      </c>
      <c r="S367" s="89"/>
      <c r="T367" s="90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6"/>
      <c r="AZ367" s="120">
        <f>COUNTIF(U367:AY367,"A")</f>
      </c>
      <c r="BA367" s="121">
        <f>COUNTIF(U367:AY367,"F")</f>
      </c>
      <c r="BB367" s="119">
        <f>COUNTIF(U367:AY367,"E")</f>
      </c>
    </row>
    <row r="368" spans="1:54" x14ac:dyDescent="0.2">
      <c r="A368" s="84"/>
      <c r="B368" s="85"/>
      <c r="C368" s="85"/>
      <c r="D368" s="85"/>
      <c r="E368" s="86"/>
      <c r="F368" s="16">
        <f>IF(E368="","",DATEDIF(E368,$I$7,"Y"))</f>
      </c>
      <c r="G368" s="85"/>
      <c r="H368" s="85"/>
      <c r="I368" s="87"/>
      <c r="J368" s="85"/>
      <c r="K368" s="85"/>
      <c r="L368" s="10"/>
      <c r="M368" s="10"/>
      <c r="N368" s="10"/>
      <c r="O368" s="10"/>
      <c r="P368" s="85"/>
      <c r="Q368" s="88"/>
      <c r="R368" s="3">
        <f>IFERROR(VLOOKUP(TablaAbril[[#This Row],[BARRIO]],SECTOR!$A:$B,2,0),"")</f>
      </c>
      <c r="S368" s="89"/>
      <c r="T368" s="90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6"/>
      <c r="AZ368" s="120">
        <f>COUNTIF(U368:AY368,"A")</f>
      </c>
      <c r="BA368" s="121">
        <f>COUNTIF(U368:AY368,"F")</f>
      </c>
      <c r="BB368" s="119">
        <f>COUNTIF(U368:AY368,"E")</f>
      </c>
    </row>
    <row r="369" spans="1:54" x14ac:dyDescent="0.2">
      <c r="A369" s="84"/>
      <c r="B369" s="85"/>
      <c r="C369" s="85"/>
      <c r="D369" s="85"/>
      <c r="E369" s="86"/>
      <c r="F369" s="16">
        <f>IF(E369="","",DATEDIF(E369,$I$7,"Y"))</f>
      </c>
      <c r="G369" s="85"/>
      <c r="H369" s="85"/>
      <c r="I369" s="87"/>
      <c r="J369" s="85"/>
      <c r="K369" s="85"/>
      <c r="L369" s="10"/>
      <c r="M369" s="10"/>
      <c r="N369" s="10"/>
      <c r="O369" s="10"/>
      <c r="P369" s="85"/>
      <c r="Q369" s="88"/>
      <c r="R369" s="3">
        <f>IFERROR(VLOOKUP(TablaAbril[[#This Row],[BARRIO]],SECTOR!$A:$B,2,0),"")</f>
      </c>
      <c r="S369" s="89"/>
      <c r="T369" s="90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6"/>
      <c r="AZ369" s="120">
        <f>COUNTIF(U369:AY369,"A")</f>
      </c>
      <c r="BA369" s="121">
        <f>COUNTIF(U369:AY369,"F")</f>
      </c>
      <c r="BB369" s="119">
        <f>COUNTIF(U369:AY369,"E")</f>
      </c>
    </row>
    <row r="370" spans="1:54" x14ac:dyDescent="0.2">
      <c r="A370" s="84"/>
      <c r="B370" s="85"/>
      <c r="C370" s="85"/>
      <c r="D370" s="85"/>
      <c r="E370" s="86"/>
      <c r="F370" s="16">
        <f>IF(E370="","",DATEDIF(E370,$I$7,"Y"))</f>
      </c>
      <c r="G370" s="85"/>
      <c r="H370" s="85"/>
      <c r="I370" s="87"/>
      <c r="J370" s="85"/>
      <c r="K370" s="85"/>
      <c r="L370" s="10"/>
      <c r="M370" s="10"/>
      <c r="N370" s="10"/>
      <c r="O370" s="10"/>
      <c r="P370" s="85"/>
      <c r="Q370" s="88"/>
      <c r="R370" s="3">
        <f>IFERROR(VLOOKUP(TablaAbril[[#This Row],[BARRIO]],SECTOR!$A:$B,2,0),"")</f>
      </c>
      <c r="S370" s="89"/>
      <c r="T370" s="90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6"/>
      <c r="AZ370" s="120">
        <f>COUNTIF(U370:AY370,"A")</f>
      </c>
      <c r="BA370" s="121">
        <f>COUNTIF(U370:AY370,"F")</f>
      </c>
      <c r="BB370" s="119">
        <f>COUNTIF(U370:AY370,"E")</f>
      </c>
    </row>
    <row r="371" spans="1:54" x14ac:dyDescent="0.2">
      <c r="A371" s="84"/>
      <c r="B371" s="85"/>
      <c r="C371" s="85"/>
      <c r="D371" s="85"/>
      <c r="E371" s="86"/>
      <c r="F371" s="16">
        <f>IF(E371="","",DATEDIF(E371,$I$7,"Y"))</f>
      </c>
      <c r="G371" s="85"/>
      <c r="H371" s="85"/>
      <c r="I371" s="87"/>
      <c r="J371" s="85"/>
      <c r="K371" s="85"/>
      <c r="L371" s="10"/>
      <c r="M371" s="10"/>
      <c r="N371" s="10"/>
      <c r="O371" s="10"/>
      <c r="P371" s="85"/>
      <c r="Q371" s="88"/>
      <c r="R371" s="3">
        <f>IFERROR(VLOOKUP(TablaAbril[[#This Row],[BARRIO]],SECTOR!$A:$B,2,0),"")</f>
      </c>
      <c r="S371" s="89"/>
      <c r="T371" s="90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6"/>
      <c r="AZ371" s="120">
        <f>COUNTIF(U371:AY371,"A")</f>
      </c>
      <c r="BA371" s="121">
        <f>COUNTIF(U371:AY371,"F")</f>
      </c>
      <c r="BB371" s="119">
        <f>COUNTIF(U371:AY371,"E")</f>
      </c>
    </row>
    <row r="372" spans="1:54" x14ac:dyDescent="0.2">
      <c r="A372" s="84"/>
      <c r="B372" s="85"/>
      <c r="C372" s="85"/>
      <c r="D372" s="85"/>
      <c r="E372" s="86"/>
      <c r="F372" s="16">
        <f>IF(E372="","",DATEDIF(E372,$I$7,"Y"))</f>
      </c>
      <c r="G372" s="85"/>
      <c r="H372" s="85"/>
      <c r="I372" s="87"/>
      <c r="J372" s="85"/>
      <c r="K372" s="85"/>
      <c r="L372" s="10"/>
      <c r="M372" s="10"/>
      <c r="N372" s="10"/>
      <c r="O372" s="10"/>
      <c r="P372" s="85"/>
      <c r="Q372" s="88"/>
      <c r="R372" s="3">
        <f>IFERROR(VLOOKUP(TablaAbril[[#This Row],[BARRIO]],SECTOR!$A:$B,2,0),"")</f>
      </c>
      <c r="S372" s="89"/>
      <c r="T372" s="90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6"/>
      <c r="AZ372" s="120">
        <f>COUNTIF(U372:AY372,"A")</f>
      </c>
      <c r="BA372" s="121">
        <f>COUNTIF(U372:AY372,"F")</f>
      </c>
      <c r="BB372" s="119">
        <f>COUNTIF(U372:AY372,"E")</f>
      </c>
    </row>
    <row r="373" spans="1:54" x14ac:dyDescent="0.2">
      <c r="A373" s="84"/>
      <c r="B373" s="85"/>
      <c r="C373" s="85"/>
      <c r="D373" s="85"/>
      <c r="E373" s="86"/>
      <c r="F373" s="16">
        <f>IF(E373="","",DATEDIF(E373,$I$7,"Y"))</f>
      </c>
      <c r="G373" s="85"/>
      <c r="H373" s="85"/>
      <c r="I373" s="87"/>
      <c r="J373" s="85"/>
      <c r="K373" s="85"/>
      <c r="L373" s="10"/>
      <c r="M373" s="10"/>
      <c r="N373" s="10"/>
      <c r="O373" s="10"/>
      <c r="P373" s="85"/>
      <c r="Q373" s="88"/>
      <c r="R373" s="3">
        <f>IFERROR(VLOOKUP(TablaAbril[[#This Row],[BARRIO]],SECTOR!$A:$B,2,0),"")</f>
      </c>
      <c r="S373" s="89"/>
      <c r="T373" s="90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6"/>
      <c r="AZ373" s="120">
        <f>COUNTIF(U373:AY373,"A")</f>
      </c>
      <c r="BA373" s="121">
        <f>COUNTIF(U373:AY373,"F")</f>
      </c>
      <c r="BB373" s="119">
        <f>COUNTIF(U373:AY373,"E")</f>
      </c>
    </row>
    <row r="374" spans="1:54" x14ac:dyDescent="0.2">
      <c r="A374" s="84"/>
      <c r="B374" s="85"/>
      <c r="C374" s="85"/>
      <c r="D374" s="85"/>
      <c r="E374" s="86"/>
      <c r="F374" s="16">
        <f>IF(E374="","",DATEDIF(E374,$I$7,"Y"))</f>
      </c>
      <c r="G374" s="85"/>
      <c r="H374" s="85"/>
      <c r="I374" s="87"/>
      <c r="J374" s="85"/>
      <c r="K374" s="85"/>
      <c r="L374" s="10"/>
      <c r="M374" s="10"/>
      <c r="N374" s="10"/>
      <c r="O374" s="10"/>
      <c r="P374" s="85"/>
      <c r="Q374" s="88"/>
      <c r="R374" s="3">
        <f>IFERROR(VLOOKUP(TablaAbril[[#This Row],[BARRIO]],SECTOR!$A:$B,2,0),"")</f>
      </c>
      <c r="S374" s="89"/>
      <c r="T374" s="90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6"/>
      <c r="AZ374" s="120">
        <f>COUNTIF(U374:AY374,"A")</f>
      </c>
      <c r="BA374" s="121">
        <f>COUNTIF(U374:AY374,"F")</f>
      </c>
      <c r="BB374" s="119">
        <f>COUNTIF(U374:AY374,"E")</f>
      </c>
    </row>
    <row r="375" spans="1:54" x14ac:dyDescent="0.2">
      <c r="A375" s="84"/>
      <c r="B375" s="85"/>
      <c r="C375" s="85"/>
      <c r="D375" s="85"/>
      <c r="E375" s="86"/>
      <c r="F375" s="16">
        <f>IF(E375="","",DATEDIF(E375,$I$7,"Y"))</f>
      </c>
      <c r="G375" s="85"/>
      <c r="H375" s="85"/>
      <c r="I375" s="87"/>
      <c r="J375" s="85"/>
      <c r="K375" s="85"/>
      <c r="L375" s="10"/>
      <c r="M375" s="10"/>
      <c r="N375" s="10"/>
      <c r="O375" s="10"/>
      <c r="P375" s="85"/>
      <c r="Q375" s="88"/>
      <c r="R375" s="3">
        <f>IFERROR(VLOOKUP(TablaAbril[[#This Row],[BARRIO]],SECTOR!$A:$B,2,0),"")</f>
      </c>
      <c r="S375" s="89"/>
      <c r="T375" s="90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6"/>
      <c r="AZ375" s="120">
        <f>COUNTIF(U375:AY375,"A")</f>
      </c>
      <c r="BA375" s="121">
        <f>COUNTIF(U375:AY375,"F")</f>
      </c>
      <c r="BB375" s="119">
        <f>COUNTIF(U375:AY375,"E")</f>
      </c>
    </row>
    <row r="376" spans="1:54" x14ac:dyDescent="0.2">
      <c r="A376" s="84"/>
      <c r="B376" s="85"/>
      <c r="C376" s="85"/>
      <c r="D376" s="85"/>
      <c r="E376" s="86"/>
      <c r="F376" s="16">
        <f>IF(E376="","",DATEDIF(E376,$I$7,"Y"))</f>
      </c>
      <c r="G376" s="85"/>
      <c r="H376" s="85"/>
      <c r="I376" s="87"/>
      <c r="J376" s="85"/>
      <c r="K376" s="85"/>
      <c r="L376" s="10"/>
      <c r="M376" s="10"/>
      <c r="N376" s="10"/>
      <c r="O376" s="10"/>
      <c r="P376" s="85"/>
      <c r="Q376" s="88"/>
      <c r="R376" s="3">
        <f>IFERROR(VLOOKUP(TablaAbril[[#This Row],[BARRIO]],SECTOR!$A:$B,2,0),"")</f>
      </c>
      <c r="S376" s="89"/>
      <c r="T376" s="90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6"/>
      <c r="AZ376" s="120">
        <f>COUNTIF(U376:AY376,"A")</f>
      </c>
      <c r="BA376" s="121">
        <f>COUNTIF(U376:AY376,"F")</f>
      </c>
      <c r="BB376" s="119">
        <f>COUNTIF(U376:AY376,"E")</f>
      </c>
    </row>
    <row r="377" spans="1:54" x14ac:dyDescent="0.2">
      <c r="A377" s="84"/>
      <c r="B377" s="85"/>
      <c r="C377" s="85"/>
      <c r="D377" s="85"/>
      <c r="E377" s="86"/>
      <c r="F377" s="16">
        <f>IF(E377="","",DATEDIF(E377,$I$7,"Y"))</f>
      </c>
      <c r="G377" s="85"/>
      <c r="H377" s="85"/>
      <c r="I377" s="87"/>
      <c r="J377" s="85"/>
      <c r="K377" s="85"/>
      <c r="L377" s="10"/>
      <c r="M377" s="10"/>
      <c r="N377" s="10"/>
      <c r="O377" s="10"/>
      <c r="P377" s="85"/>
      <c r="Q377" s="88"/>
      <c r="R377" s="3">
        <f>IFERROR(VLOOKUP(TablaAbril[[#This Row],[BARRIO]],SECTOR!$A:$B,2,0),"")</f>
      </c>
      <c r="S377" s="89"/>
      <c r="T377" s="90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6"/>
      <c r="AZ377" s="120">
        <f>COUNTIF(U377:AY377,"A")</f>
      </c>
      <c r="BA377" s="121">
        <f>COUNTIF(U377:AY377,"F")</f>
      </c>
      <c r="BB377" s="119">
        <f>COUNTIF(U377:AY377,"E")</f>
      </c>
    </row>
    <row r="378" spans="1:54" x14ac:dyDescent="0.2">
      <c r="A378" s="84"/>
      <c r="B378" s="85"/>
      <c r="C378" s="85"/>
      <c r="D378" s="85"/>
      <c r="E378" s="86"/>
      <c r="F378" s="16">
        <f>IF(E378="","",DATEDIF(E378,$I$7,"Y"))</f>
      </c>
      <c r="G378" s="85"/>
      <c r="H378" s="85"/>
      <c r="I378" s="87"/>
      <c r="J378" s="85"/>
      <c r="K378" s="85"/>
      <c r="L378" s="10"/>
      <c r="M378" s="10"/>
      <c r="N378" s="10"/>
      <c r="O378" s="10"/>
      <c r="P378" s="85"/>
      <c r="Q378" s="88"/>
      <c r="R378" s="3">
        <f>IFERROR(VLOOKUP(TablaAbril[[#This Row],[BARRIO]],SECTOR!$A:$B,2,0),"")</f>
      </c>
      <c r="S378" s="89"/>
      <c r="T378" s="90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6"/>
      <c r="AZ378" s="120">
        <f>COUNTIF(U378:AY378,"A")</f>
      </c>
      <c r="BA378" s="121">
        <f>COUNTIF(U378:AY378,"F")</f>
      </c>
      <c r="BB378" s="119">
        <f>COUNTIF(U378:AY378,"E")</f>
      </c>
    </row>
    <row r="379" spans="1:54" x14ac:dyDescent="0.2">
      <c r="A379" s="84"/>
      <c r="B379" s="85"/>
      <c r="C379" s="85"/>
      <c r="D379" s="85"/>
      <c r="E379" s="86"/>
      <c r="F379" s="16">
        <f>IF(E379="","",DATEDIF(E379,$I$7,"Y"))</f>
      </c>
      <c r="G379" s="85"/>
      <c r="H379" s="85"/>
      <c r="I379" s="87"/>
      <c r="J379" s="85"/>
      <c r="K379" s="85"/>
      <c r="L379" s="10"/>
      <c r="M379" s="10"/>
      <c r="N379" s="10"/>
      <c r="O379" s="10"/>
      <c r="P379" s="85"/>
      <c r="Q379" s="88"/>
      <c r="R379" s="3">
        <f>IFERROR(VLOOKUP(TablaAbril[[#This Row],[BARRIO]],SECTOR!$A:$B,2,0),"")</f>
      </c>
      <c r="S379" s="89"/>
      <c r="T379" s="90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6"/>
      <c r="AZ379" s="120">
        <f>COUNTIF(U379:AY379,"A")</f>
      </c>
      <c r="BA379" s="121">
        <f>COUNTIF(U379:AY379,"F")</f>
      </c>
      <c r="BB379" s="119">
        <f>COUNTIF(U379:AY379,"E")</f>
      </c>
    </row>
    <row r="380" spans="1:54" x14ac:dyDescent="0.2">
      <c r="A380" s="84"/>
      <c r="B380" s="85"/>
      <c r="C380" s="85"/>
      <c r="D380" s="85"/>
      <c r="E380" s="86"/>
      <c r="F380" s="16">
        <f>IF(E380="","",DATEDIF(E380,$I$7,"Y"))</f>
      </c>
      <c r="G380" s="85"/>
      <c r="H380" s="85"/>
      <c r="I380" s="87"/>
      <c r="J380" s="85"/>
      <c r="K380" s="85"/>
      <c r="L380" s="10"/>
      <c r="M380" s="10"/>
      <c r="N380" s="10"/>
      <c r="O380" s="10"/>
      <c r="P380" s="85"/>
      <c r="Q380" s="88"/>
      <c r="R380" s="3">
        <f>IFERROR(VLOOKUP(TablaAbril[[#This Row],[BARRIO]],SECTOR!$A:$B,2,0),"")</f>
      </c>
      <c r="S380" s="89"/>
      <c r="T380" s="90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6"/>
      <c r="AZ380" s="120">
        <f>COUNTIF(U380:AY380,"A")</f>
      </c>
      <c r="BA380" s="121">
        <f>COUNTIF(U380:AY380,"F")</f>
      </c>
      <c r="BB380" s="119">
        <f>COUNTIF(U380:AY380,"E")</f>
      </c>
    </row>
    <row r="381" spans="1:54" x14ac:dyDescent="0.2">
      <c r="A381" s="84"/>
      <c r="B381" s="85"/>
      <c r="C381" s="85"/>
      <c r="D381" s="85"/>
      <c r="E381" s="86"/>
      <c r="F381" s="16">
        <f>IF(E381="","",DATEDIF(E381,$I$7,"Y"))</f>
      </c>
      <c r="G381" s="85"/>
      <c r="H381" s="85"/>
      <c r="I381" s="87"/>
      <c r="J381" s="85"/>
      <c r="K381" s="85"/>
      <c r="L381" s="10"/>
      <c r="M381" s="10"/>
      <c r="N381" s="10"/>
      <c r="O381" s="10"/>
      <c r="P381" s="85"/>
      <c r="Q381" s="88"/>
      <c r="R381" s="3">
        <f>IFERROR(VLOOKUP(TablaAbril[[#This Row],[BARRIO]],SECTOR!$A:$B,2,0),"")</f>
      </c>
      <c r="S381" s="89"/>
      <c r="T381" s="90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6"/>
      <c r="AZ381" s="120">
        <f>COUNTIF(U381:AY381,"A")</f>
      </c>
      <c r="BA381" s="121">
        <f>COUNTIF(U381:AY381,"F")</f>
      </c>
      <c r="BB381" s="119">
        <f>COUNTIF(U381:AY381,"E")</f>
      </c>
    </row>
    <row r="382" spans="1:54" x14ac:dyDescent="0.2">
      <c r="A382" s="84"/>
      <c r="B382" s="85"/>
      <c r="C382" s="85"/>
      <c r="D382" s="85"/>
      <c r="E382" s="86"/>
      <c r="F382" s="16">
        <f>IF(E382="","",DATEDIF(E382,$I$7,"Y"))</f>
      </c>
      <c r="G382" s="85"/>
      <c r="H382" s="85"/>
      <c r="I382" s="87"/>
      <c r="J382" s="85"/>
      <c r="K382" s="85"/>
      <c r="L382" s="10"/>
      <c r="M382" s="10"/>
      <c r="N382" s="10"/>
      <c r="O382" s="10"/>
      <c r="P382" s="85"/>
      <c r="Q382" s="88"/>
      <c r="R382" s="3">
        <f>IFERROR(VLOOKUP(TablaAbril[[#This Row],[BARRIO]],SECTOR!$A:$B,2,0),"")</f>
      </c>
      <c r="S382" s="89"/>
      <c r="T382" s="90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6"/>
      <c r="AZ382" s="120">
        <f>COUNTIF(U382:AY382,"A")</f>
      </c>
      <c r="BA382" s="121">
        <f>COUNTIF(U382:AY382,"F")</f>
      </c>
      <c r="BB382" s="119">
        <f>COUNTIF(U382:AY382,"E")</f>
      </c>
    </row>
    <row r="383" spans="1:54" x14ac:dyDescent="0.2">
      <c r="A383" s="84"/>
      <c r="B383" s="85"/>
      <c r="C383" s="85"/>
      <c r="D383" s="85"/>
      <c r="E383" s="86"/>
      <c r="F383" s="16">
        <f>IF(E383="","",DATEDIF(E383,$I$7,"Y"))</f>
      </c>
      <c r="G383" s="85"/>
      <c r="H383" s="85"/>
      <c r="I383" s="87"/>
      <c r="J383" s="85"/>
      <c r="K383" s="85"/>
      <c r="L383" s="10"/>
      <c r="M383" s="10"/>
      <c r="N383" s="10"/>
      <c r="O383" s="10"/>
      <c r="P383" s="85"/>
      <c r="Q383" s="88"/>
      <c r="R383" s="3">
        <f>IFERROR(VLOOKUP(TablaAbril[[#This Row],[BARRIO]],SECTOR!$A:$B,2,0),"")</f>
      </c>
      <c r="S383" s="89"/>
      <c r="T383" s="90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6"/>
      <c r="AZ383" s="120">
        <f>COUNTIF(U383:AY383,"A")</f>
      </c>
      <c r="BA383" s="121">
        <f>COUNTIF(U383:AY383,"F")</f>
      </c>
      <c r="BB383" s="119">
        <f>COUNTIF(U383:AY383,"E")</f>
      </c>
    </row>
    <row r="384" spans="1:54" x14ac:dyDescent="0.2">
      <c r="A384" s="84"/>
      <c r="B384" s="85"/>
      <c r="C384" s="85"/>
      <c r="D384" s="85"/>
      <c r="E384" s="86"/>
      <c r="F384" s="16">
        <f>IF(E384="","",DATEDIF(E384,$I$7,"Y"))</f>
      </c>
      <c r="G384" s="85"/>
      <c r="H384" s="85"/>
      <c r="I384" s="87"/>
      <c r="J384" s="85"/>
      <c r="K384" s="85"/>
      <c r="L384" s="10"/>
      <c r="M384" s="10"/>
      <c r="N384" s="10"/>
      <c r="O384" s="10"/>
      <c r="P384" s="85"/>
      <c r="Q384" s="88"/>
      <c r="R384" s="3">
        <f>IFERROR(VLOOKUP(TablaAbril[[#This Row],[BARRIO]],SECTOR!$A:$B,2,0),"")</f>
      </c>
      <c r="S384" s="89"/>
      <c r="T384" s="90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6"/>
      <c r="AZ384" s="120">
        <f>COUNTIF(U384:AY384,"A")</f>
      </c>
      <c r="BA384" s="121">
        <f>COUNTIF(U384:AY384,"F")</f>
      </c>
      <c r="BB384" s="119">
        <f>COUNTIF(U384:AY384,"E")</f>
      </c>
    </row>
    <row r="385" spans="1:54" x14ac:dyDescent="0.2">
      <c r="A385" s="84"/>
      <c r="B385" s="85"/>
      <c r="C385" s="85"/>
      <c r="D385" s="85"/>
      <c r="E385" s="86"/>
      <c r="F385" s="16">
        <f>IF(E385="","",DATEDIF(E385,$I$7,"Y"))</f>
      </c>
      <c r="G385" s="85"/>
      <c r="H385" s="85"/>
      <c r="I385" s="87"/>
      <c r="J385" s="85"/>
      <c r="K385" s="85"/>
      <c r="L385" s="10"/>
      <c r="M385" s="10"/>
      <c r="N385" s="10"/>
      <c r="O385" s="10"/>
      <c r="P385" s="85"/>
      <c r="Q385" s="88"/>
      <c r="R385" s="3">
        <f>IFERROR(VLOOKUP(TablaAbril[[#This Row],[BARRIO]],SECTOR!$A:$B,2,0),"")</f>
      </c>
      <c r="S385" s="89"/>
      <c r="T385" s="90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6"/>
      <c r="AZ385" s="120">
        <f>COUNTIF(U385:AY385,"A")</f>
      </c>
      <c r="BA385" s="121">
        <f>COUNTIF(U385:AY385,"F")</f>
      </c>
      <c r="BB385" s="119">
        <f>COUNTIF(U385:AY385,"E")</f>
      </c>
    </row>
    <row r="386" spans="1:54" x14ac:dyDescent="0.2">
      <c r="A386" s="84"/>
      <c r="B386" s="85"/>
      <c r="C386" s="85"/>
      <c r="D386" s="85"/>
      <c r="E386" s="86"/>
      <c r="F386" s="16">
        <f>IF(E386="","",DATEDIF(E386,$I$7,"Y"))</f>
      </c>
      <c r="G386" s="85"/>
      <c r="H386" s="85"/>
      <c r="I386" s="87"/>
      <c r="J386" s="85"/>
      <c r="K386" s="85"/>
      <c r="L386" s="10"/>
      <c r="M386" s="10"/>
      <c r="N386" s="10"/>
      <c r="O386" s="10"/>
      <c r="P386" s="85"/>
      <c r="Q386" s="88"/>
      <c r="R386" s="3">
        <f>IFERROR(VLOOKUP(TablaAbril[[#This Row],[BARRIO]],SECTOR!$A:$B,2,0),"")</f>
      </c>
      <c r="S386" s="89"/>
      <c r="T386" s="90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6"/>
      <c r="AZ386" s="120">
        <f>COUNTIF(U386:AY386,"A")</f>
      </c>
      <c r="BA386" s="121">
        <f>COUNTIF(U386:AY386,"F")</f>
      </c>
      <c r="BB386" s="119">
        <f>COUNTIF(U386:AY386,"E")</f>
      </c>
    </row>
    <row r="387" spans="1:54" x14ac:dyDescent="0.2">
      <c r="A387" s="84"/>
      <c r="B387" s="85"/>
      <c r="C387" s="85"/>
      <c r="D387" s="85"/>
      <c r="E387" s="86"/>
      <c r="F387" s="16">
        <f>IF(E387="","",DATEDIF(E387,$I$7,"Y"))</f>
      </c>
      <c r="G387" s="85"/>
      <c r="H387" s="85"/>
      <c r="I387" s="87"/>
      <c r="J387" s="85"/>
      <c r="K387" s="85"/>
      <c r="L387" s="10"/>
      <c r="M387" s="10"/>
      <c r="N387" s="10"/>
      <c r="O387" s="10"/>
      <c r="P387" s="85"/>
      <c r="Q387" s="88"/>
      <c r="R387" s="3">
        <f>IFERROR(VLOOKUP(TablaAbril[[#This Row],[BARRIO]],SECTOR!$A:$B,2,0),"")</f>
      </c>
      <c r="S387" s="89"/>
      <c r="T387" s="90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6"/>
      <c r="AZ387" s="120">
        <f>COUNTIF(U387:AY387,"A")</f>
      </c>
      <c r="BA387" s="121">
        <f>COUNTIF(U387:AY387,"F")</f>
      </c>
      <c r="BB387" s="119">
        <f>COUNTIF(U387:AY387,"E")</f>
      </c>
    </row>
    <row r="388" spans="1:54" x14ac:dyDescent="0.2">
      <c r="A388" s="84"/>
      <c r="B388" s="85"/>
      <c r="C388" s="85"/>
      <c r="D388" s="85"/>
      <c r="E388" s="86"/>
      <c r="F388" s="16">
        <f>IF(E388="","",DATEDIF(E388,$I$7,"Y"))</f>
      </c>
      <c r="G388" s="85"/>
      <c r="H388" s="85"/>
      <c r="I388" s="87"/>
      <c r="J388" s="85"/>
      <c r="K388" s="85"/>
      <c r="L388" s="10"/>
      <c r="M388" s="10"/>
      <c r="N388" s="10"/>
      <c r="O388" s="10"/>
      <c r="P388" s="85"/>
      <c r="Q388" s="88"/>
      <c r="R388" s="3">
        <f>IFERROR(VLOOKUP(TablaAbril[[#This Row],[BARRIO]],SECTOR!$A:$B,2,0),"")</f>
      </c>
      <c r="S388" s="89"/>
      <c r="T388" s="90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6"/>
      <c r="AZ388" s="120">
        <f>COUNTIF(U388:AY388,"A")</f>
      </c>
      <c r="BA388" s="121">
        <f>COUNTIF(U388:AY388,"F")</f>
      </c>
      <c r="BB388" s="119">
        <f>COUNTIF(U388:AY388,"E")</f>
      </c>
    </row>
    <row r="389" spans="1:54" x14ac:dyDescent="0.2">
      <c r="A389" s="84"/>
      <c r="B389" s="85"/>
      <c r="C389" s="85"/>
      <c r="D389" s="85"/>
      <c r="E389" s="86"/>
      <c r="F389" s="16">
        <f>IF(E389="","",DATEDIF(E389,$I$7,"Y"))</f>
      </c>
      <c r="G389" s="85"/>
      <c r="H389" s="85"/>
      <c r="I389" s="87"/>
      <c r="J389" s="85"/>
      <c r="K389" s="85"/>
      <c r="L389" s="10"/>
      <c r="M389" s="10"/>
      <c r="N389" s="10"/>
      <c r="O389" s="10"/>
      <c r="P389" s="85"/>
      <c r="Q389" s="88"/>
      <c r="R389" s="3">
        <f>IFERROR(VLOOKUP(TablaAbril[[#This Row],[BARRIO]],SECTOR!$A:$B,2,0),"")</f>
      </c>
      <c r="S389" s="89"/>
      <c r="T389" s="90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6"/>
      <c r="AZ389" s="120">
        <f>COUNTIF(U389:AY389,"A")</f>
      </c>
      <c r="BA389" s="121">
        <f>COUNTIF(U389:AY389,"F")</f>
      </c>
      <c r="BB389" s="119">
        <f>COUNTIF(U389:AY389,"E")</f>
      </c>
    </row>
    <row r="390" spans="1:54" x14ac:dyDescent="0.2">
      <c r="A390" s="84"/>
      <c r="B390" s="85"/>
      <c r="C390" s="85"/>
      <c r="D390" s="85"/>
      <c r="E390" s="86"/>
      <c r="F390" s="16">
        <f>IF(E390="","",DATEDIF(E390,$I$7,"Y"))</f>
      </c>
      <c r="G390" s="85"/>
      <c r="H390" s="85"/>
      <c r="I390" s="87"/>
      <c r="J390" s="85"/>
      <c r="K390" s="85"/>
      <c r="L390" s="10"/>
      <c r="M390" s="10"/>
      <c r="N390" s="10"/>
      <c r="O390" s="10"/>
      <c r="P390" s="85"/>
      <c r="Q390" s="88"/>
      <c r="R390" s="3">
        <f>IFERROR(VLOOKUP(TablaAbril[[#This Row],[BARRIO]],SECTOR!$A:$B,2,0),"")</f>
      </c>
      <c r="S390" s="89"/>
      <c r="T390" s="90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6"/>
      <c r="AZ390" s="120">
        <f>COUNTIF(U390:AY390,"A")</f>
      </c>
      <c r="BA390" s="121">
        <f>COUNTIF(U390:AY390,"F")</f>
      </c>
      <c r="BB390" s="119">
        <f>COUNTIF(U390:AY390,"E")</f>
      </c>
    </row>
    <row r="391" spans="1:54" x14ac:dyDescent="0.2">
      <c r="A391" s="84"/>
      <c r="B391" s="85"/>
      <c r="C391" s="85"/>
      <c r="D391" s="85"/>
      <c r="E391" s="86"/>
      <c r="F391" s="16">
        <f>IF(E391="","",DATEDIF(E391,$I$7,"Y"))</f>
      </c>
      <c r="G391" s="85"/>
      <c r="H391" s="85"/>
      <c r="I391" s="87"/>
      <c r="J391" s="85"/>
      <c r="K391" s="85"/>
      <c r="L391" s="10"/>
      <c r="M391" s="10"/>
      <c r="N391" s="10"/>
      <c r="O391" s="10"/>
      <c r="P391" s="85"/>
      <c r="Q391" s="88"/>
      <c r="R391" s="3">
        <f>IFERROR(VLOOKUP(TablaAbril[[#This Row],[BARRIO]],SECTOR!$A:$B,2,0),"")</f>
      </c>
      <c r="S391" s="89"/>
      <c r="T391" s="90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6"/>
      <c r="AZ391" s="120">
        <f>COUNTIF(U391:AY391,"A")</f>
      </c>
      <c r="BA391" s="121">
        <f>COUNTIF(U391:AY391,"F")</f>
      </c>
      <c r="BB391" s="119">
        <f>COUNTIF(U391:AY391,"E")</f>
      </c>
    </row>
    <row r="392" spans="1:54" x14ac:dyDescent="0.2">
      <c r="A392" s="84"/>
      <c r="B392" s="85"/>
      <c r="C392" s="85"/>
      <c r="D392" s="85"/>
      <c r="E392" s="86"/>
      <c r="F392" s="16">
        <f>IF(E392="","",DATEDIF(E392,$I$7,"Y"))</f>
      </c>
      <c r="G392" s="85"/>
      <c r="H392" s="85"/>
      <c r="I392" s="87"/>
      <c r="J392" s="85"/>
      <c r="K392" s="85"/>
      <c r="L392" s="10"/>
      <c r="M392" s="10"/>
      <c r="N392" s="10"/>
      <c r="O392" s="10"/>
      <c r="P392" s="85"/>
      <c r="Q392" s="88"/>
      <c r="R392" s="3">
        <f>IFERROR(VLOOKUP(TablaAbril[[#This Row],[BARRIO]],SECTOR!$A:$B,2,0),"")</f>
      </c>
      <c r="S392" s="89"/>
      <c r="T392" s="90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6"/>
      <c r="AZ392" s="120">
        <f>COUNTIF(U392:AY392,"A")</f>
      </c>
      <c r="BA392" s="121">
        <f>COUNTIF(U392:AY392,"F")</f>
      </c>
      <c r="BB392" s="119">
        <f>COUNTIF(U392:AY392,"E")</f>
      </c>
    </row>
    <row r="393" spans="1:54" x14ac:dyDescent="0.2">
      <c r="A393" s="84"/>
      <c r="B393" s="85"/>
      <c r="C393" s="85"/>
      <c r="D393" s="85"/>
      <c r="E393" s="86"/>
      <c r="F393" s="16">
        <f>IF(E393="","",DATEDIF(E393,$I$7,"Y"))</f>
      </c>
      <c r="G393" s="85"/>
      <c r="H393" s="85"/>
      <c r="I393" s="87"/>
      <c r="J393" s="85"/>
      <c r="K393" s="85"/>
      <c r="L393" s="10"/>
      <c r="M393" s="10"/>
      <c r="N393" s="10"/>
      <c r="O393" s="10"/>
      <c r="P393" s="85"/>
      <c r="Q393" s="88"/>
      <c r="R393" s="3">
        <f>IFERROR(VLOOKUP(TablaAbril[[#This Row],[BARRIO]],SECTOR!$A:$B,2,0),"")</f>
      </c>
      <c r="S393" s="89"/>
      <c r="T393" s="90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6"/>
      <c r="AZ393" s="120">
        <f>COUNTIF(U393:AY393,"A")</f>
      </c>
      <c r="BA393" s="121">
        <f>COUNTIF(U393:AY393,"F")</f>
      </c>
      <c r="BB393" s="119">
        <f>COUNTIF(U393:AY393,"E")</f>
      </c>
    </row>
    <row r="394" spans="1:54" x14ac:dyDescent="0.2">
      <c r="A394" s="84"/>
      <c r="B394" s="85"/>
      <c r="C394" s="85"/>
      <c r="D394" s="85"/>
      <c r="E394" s="86"/>
      <c r="F394" s="16">
        <f>IF(E394="","",DATEDIF(E394,$I$7,"Y"))</f>
      </c>
      <c r="G394" s="85"/>
      <c r="H394" s="85"/>
      <c r="I394" s="87"/>
      <c r="J394" s="85"/>
      <c r="K394" s="85"/>
      <c r="L394" s="10"/>
      <c r="M394" s="10"/>
      <c r="N394" s="10"/>
      <c r="O394" s="10"/>
      <c r="P394" s="85"/>
      <c r="Q394" s="88"/>
      <c r="R394" s="3">
        <f>IFERROR(VLOOKUP(TablaAbril[[#This Row],[BARRIO]],SECTOR!$A:$B,2,0),"")</f>
      </c>
      <c r="S394" s="89"/>
      <c r="T394" s="90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6"/>
      <c r="AZ394" s="120">
        <f>COUNTIF(U394:AY394,"A")</f>
      </c>
      <c r="BA394" s="121">
        <f>COUNTIF(U394:AY394,"F")</f>
      </c>
      <c r="BB394" s="119">
        <f>COUNTIF(U394:AY394,"E")</f>
      </c>
    </row>
    <row r="395" spans="1:54" x14ac:dyDescent="0.2">
      <c r="A395" s="84"/>
      <c r="B395" s="85"/>
      <c r="C395" s="85"/>
      <c r="D395" s="85"/>
      <c r="E395" s="86"/>
      <c r="F395" s="16">
        <f>IF(E395="","",DATEDIF(E395,$I$7,"Y"))</f>
      </c>
      <c r="G395" s="85"/>
      <c r="H395" s="85"/>
      <c r="I395" s="87"/>
      <c r="J395" s="85"/>
      <c r="K395" s="85"/>
      <c r="L395" s="10"/>
      <c r="M395" s="10"/>
      <c r="N395" s="10"/>
      <c r="O395" s="10"/>
      <c r="P395" s="85"/>
      <c r="Q395" s="88"/>
      <c r="R395" s="3">
        <f>IFERROR(VLOOKUP(TablaAbril[[#This Row],[BARRIO]],SECTOR!$A:$B,2,0),"")</f>
      </c>
      <c r="S395" s="89"/>
      <c r="T395" s="90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6"/>
      <c r="AZ395" s="120">
        <f>COUNTIF(U395:AY395,"A")</f>
      </c>
      <c r="BA395" s="121">
        <f>COUNTIF(U395:AY395,"F")</f>
      </c>
      <c r="BB395" s="119">
        <f>COUNTIF(U395:AY395,"E")</f>
      </c>
    </row>
    <row r="396" spans="1:54" x14ac:dyDescent="0.2">
      <c r="A396" s="84"/>
      <c r="B396" s="85"/>
      <c r="C396" s="85"/>
      <c r="D396" s="85"/>
      <c r="E396" s="86"/>
      <c r="F396" s="16">
        <f>IF(E396="","",DATEDIF(E396,$I$7,"Y"))</f>
      </c>
      <c r="G396" s="85"/>
      <c r="H396" s="85"/>
      <c r="I396" s="87"/>
      <c r="J396" s="85"/>
      <c r="K396" s="85"/>
      <c r="L396" s="10"/>
      <c r="M396" s="10"/>
      <c r="N396" s="10"/>
      <c r="O396" s="10"/>
      <c r="P396" s="85"/>
      <c r="Q396" s="88"/>
      <c r="R396" s="3">
        <f>IFERROR(VLOOKUP(TablaAbril[[#This Row],[BARRIO]],SECTOR!$A:$B,2,0),"")</f>
      </c>
      <c r="S396" s="89"/>
      <c r="T396" s="90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6"/>
      <c r="AZ396" s="120">
        <f>COUNTIF(U396:AY396,"A")</f>
      </c>
      <c r="BA396" s="121">
        <f>COUNTIF(U396:AY396,"F")</f>
      </c>
      <c r="BB396" s="119">
        <f>COUNTIF(U396:AY396,"E")</f>
      </c>
    </row>
    <row r="397" spans="1:54" x14ac:dyDescent="0.2">
      <c r="A397" s="84"/>
      <c r="B397" s="85"/>
      <c r="C397" s="85"/>
      <c r="D397" s="85"/>
      <c r="E397" s="86"/>
      <c r="F397" s="16">
        <f>IF(E397="","",DATEDIF(E397,$I$7,"Y"))</f>
      </c>
      <c r="G397" s="85"/>
      <c r="H397" s="85"/>
      <c r="I397" s="87"/>
      <c r="J397" s="85"/>
      <c r="K397" s="85"/>
      <c r="L397" s="10"/>
      <c r="M397" s="10"/>
      <c r="N397" s="10"/>
      <c r="O397" s="10"/>
      <c r="P397" s="85"/>
      <c r="Q397" s="88"/>
      <c r="R397" s="3">
        <f>IFERROR(VLOOKUP(TablaAbril[[#This Row],[BARRIO]],SECTOR!$A:$B,2,0),"")</f>
      </c>
      <c r="S397" s="89"/>
      <c r="T397" s="90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6"/>
      <c r="AZ397" s="120">
        <f>COUNTIF(U397:AY397,"A")</f>
      </c>
      <c r="BA397" s="121">
        <f>COUNTIF(U397:AY397,"F")</f>
      </c>
      <c r="BB397" s="119">
        <f>COUNTIF(U397:AY397,"E")</f>
      </c>
    </row>
    <row r="398" spans="1:54" x14ac:dyDescent="0.2">
      <c r="A398" s="84"/>
      <c r="B398" s="85"/>
      <c r="C398" s="85"/>
      <c r="D398" s="85"/>
      <c r="E398" s="86"/>
      <c r="F398" s="16">
        <f>IF(E398="","",DATEDIF(E398,$I$7,"Y"))</f>
      </c>
      <c r="G398" s="85"/>
      <c r="H398" s="85"/>
      <c r="I398" s="87"/>
      <c r="J398" s="85"/>
      <c r="K398" s="85"/>
      <c r="L398" s="10"/>
      <c r="M398" s="10"/>
      <c r="N398" s="10"/>
      <c r="O398" s="10"/>
      <c r="P398" s="85"/>
      <c r="Q398" s="88"/>
      <c r="R398" s="3">
        <f>IFERROR(VLOOKUP(TablaAbril[[#This Row],[BARRIO]],SECTOR!$A:$B,2,0),"")</f>
      </c>
      <c r="S398" s="89"/>
      <c r="T398" s="90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6"/>
      <c r="AZ398" s="120">
        <f>COUNTIF(U398:AY398,"A")</f>
      </c>
      <c r="BA398" s="121">
        <f>COUNTIF(U398:AY398,"F")</f>
      </c>
      <c r="BB398" s="119">
        <f>COUNTIF(U398:AY398,"E")</f>
      </c>
    </row>
    <row r="399" spans="1:54" x14ac:dyDescent="0.2">
      <c r="A399" s="84"/>
      <c r="B399" s="85"/>
      <c r="C399" s="85"/>
      <c r="D399" s="85"/>
      <c r="E399" s="86"/>
      <c r="F399" s="16">
        <f>IF(E399="","",DATEDIF(E399,$I$7,"Y"))</f>
      </c>
      <c r="G399" s="85"/>
      <c r="H399" s="85"/>
      <c r="I399" s="87"/>
      <c r="J399" s="85"/>
      <c r="K399" s="85"/>
      <c r="L399" s="10"/>
      <c r="M399" s="10"/>
      <c r="N399" s="10"/>
      <c r="O399" s="10"/>
      <c r="P399" s="85"/>
      <c r="Q399" s="88"/>
      <c r="R399" s="3">
        <f>IFERROR(VLOOKUP(TablaAbril[[#This Row],[BARRIO]],SECTOR!$A:$B,2,0),"")</f>
      </c>
      <c r="S399" s="89"/>
      <c r="T399" s="90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6"/>
      <c r="AZ399" s="120">
        <f>COUNTIF(U399:AY399,"A")</f>
      </c>
      <c r="BA399" s="121">
        <f>COUNTIF(U399:AY399,"F")</f>
      </c>
      <c r="BB399" s="119">
        <f>COUNTIF(U399:AY399,"E")</f>
      </c>
    </row>
    <row r="400" spans="1:54" x14ac:dyDescent="0.2">
      <c r="A400" s="84"/>
      <c r="B400" s="85"/>
      <c r="C400" s="85"/>
      <c r="D400" s="85"/>
      <c r="E400" s="86"/>
      <c r="F400" s="16">
        <f>IF(E400="","",DATEDIF(E400,$I$7,"Y"))</f>
      </c>
      <c r="G400" s="85"/>
      <c r="H400" s="85"/>
      <c r="I400" s="87"/>
      <c r="J400" s="85"/>
      <c r="K400" s="85"/>
      <c r="L400" s="10"/>
      <c r="M400" s="10"/>
      <c r="N400" s="10"/>
      <c r="O400" s="10"/>
      <c r="P400" s="85"/>
      <c r="Q400" s="88"/>
      <c r="R400" s="3">
        <f>IFERROR(VLOOKUP(TablaAbril[[#This Row],[BARRIO]],SECTOR!$A:$B,2,0),"")</f>
      </c>
      <c r="S400" s="89"/>
      <c r="T400" s="90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6"/>
      <c r="AZ400" s="120">
        <f>COUNTIF(U400:AY400,"A")</f>
      </c>
      <c r="BA400" s="121">
        <f>COUNTIF(U400:AY400,"F")</f>
      </c>
      <c r="BB400" s="119">
        <f>COUNTIF(U400:AY400,"E")</f>
      </c>
    </row>
    <row r="401" spans="1:54" x14ac:dyDescent="0.2">
      <c r="A401" s="84"/>
      <c r="B401" s="85"/>
      <c r="C401" s="85"/>
      <c r="D401" s="85"/>
      <c r="E401" s="86"/>
      <c r="F401" s="16">
        <f>IF(E401="","",DATEDIF(E401,$I$7,"Y"))</f>
      </c>
      <c r="G401" s="85"/>
      <c r="H401" s="85"/>
      <c r="I401" s="87"/>
      <c r="J401" s="85"/>
      <c r="K401" s="85"/>
      <c r="L401" s="10"/>
      <c r="M401" s="10"/>
      <c r="N401" s="10"/>
      <c r="O401" s="10"/>
      <c r="P401" s="85"/>
      <c r="Q401" s="88"/>
      <c r="R401" s="3">
        <f>IFERROR(VLOOKUP(TablaAbril[[#This Row],[BARRIO]],SECTOR!$A:$B,2,0),"")</f>
      </c>
      <c r="S401" s="89"/>
      <c r="T401" s="90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6"/>
      <c r="AZ401" s="120">
        <f>COUNTIF(U401:AY401,"A")</f>
      </c>
      <c r="BA401" s="121">
        <f>COUNTIF(U401:AY401,"F")</f>
      </c>
      <c r="BB401" s="119">
        <f>COUNTIF(U401:AY401,"E")</f>
      </c>
    </row>
    <row r="402" spans="1:54" x14ac:dyDescent="0.2">
      <c r="A402" s="84"/>
      <c r="B402" s="85"/>
      <c r="C402" s="85"/>
      <c r="D402" s="85"/>
      <c r="E402" s="86"/>
      <c r="F402" s="16">
        <f>IF(E402="","",DATEDIF(E402,$I$7,"Y"))</f>
      </c>
      <c r="G402" s="85"/>
      <c r="H402" s="85"/>
      <c r="I402" s="87"/>
      <c r="J402" s="85"/>
      <c r="K402" s="85"/>
      <c r="L402" s="10"/>
      <c r="M402" s="10"/>
      <c r="N402" s="10"/>
      <c r="O402" s="10"/>
      <c r="P402" s="85"/>
      <c r="Q402" s="88"/>
      <c r="R402" s="3">
        <f>IFERROR(VLOOKUP(TablaAbril[[#This Row],[BARRIO]],SECTOR!$A:$B,2,0),"")</f>
      </c>
      <c r="S402" s="89"/>
      <c r="T402" s="90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6"/>
      <c r="AZ402" s="120">
        <f>COUNTIF(U402:AY402,"A")</f>
      </c>
      <c r="BA402" s="121">
        <f>COUNTIF(U402:AY402,"F")</f>
      </c>
      <c r="BB402" s="119">
        <f>COUNTIF(U402:AY402,"E")</f>
      </c>
    </row>
    <row r="403" spans="1:54" x14ac:dyDescent="0.2">
      <c r="A403" s="84"/>
      <c r="B403" s="85"/>
      <c r="C403" s="85"/>
      <c r="D403" s="85"/>
      <c r="E403" s="86"/>
      <c r="F403" s="16">
        <f>IF(E403="","",DATEDIF(E403,$I$7,"Y"))</f>
      </c>
      <c r="G403" s="85"/>
      <c r="H403" s="85"/>
      <c r="I403" s="87"/>
      <c r="J403" s="85"/>
      <c r="K403" s="85"/>
      <c r="L403" s="10"/>
      <c r="M403" s="10"/>
      <c r="N403" s="10"/>
      <c r="O403" s="10"/>
      <c r="P403" s="85"/>
      <c r="Q403" s="88"/>
      <c r="R403" s="3">
        <f>IFERROR(VLOOKUP(TablaAbril[[#This Row],[BARRIO]],SECTOR!$A:$B,2,0),"")</f>
      </c>
      <c r="S403" s="89"/>
      <c r="T403" s="90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6"/>
      <c r="AZ403" s="120">
        <f>COUNTIF(U403:AY403,"A")</f>
      </c>
      <c r="BA403" s="121">
        <f>COUNTIF(U403:AY403,"F")</f>
      </c>
      <c r="BB403" s="119">
        <f>COUNTIF(U403:AY403,"E")</f>
      </c>
    </row>
    <row r="404" spans="1:54" x14ac:dyDescent="0.2">
      <c r="A404" s="84"/>
      <c r="B404" s="85"/>
      <c r="C404" s="85"/>
      <c r="D404" s="85"/>
      <c r="E404" s="86"/>
      <c r="F404" s="16">
        <f>IF(E404="","",DATEDIF(E404,$I$7,"Y"))</f>
      </c>
      <c r="G404" s="85"/>
      <c r="H404" s="85"/>
      <c r="I404" s="87"/>
      <c r="J404" s="85"/>
      <c r="K404" s="85"/>
      <c r="L404" s="10"/>
      <c r="M404" s="10"/>
      <c r="N404" s="10"/>
      <c r="O404" s="10"/>
      <c r="P404" s="85"/>
      <c r="Q404" s="88"/>
      <c r="R404" s="3">
        <f>IFERROR(VLOOKUP(TablaAbril[[#This Row],[BARRIO]],SECTOR!$A:$B,2,0),"")</f>
      </c>
      <c r="S404" s="89"/>
      <c r="T404" s="90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6"/>
      <c r="AZ404" s="120">
        <f>COUNTIF(U404:AY404,"A")</f>
      </c>
      <c r="BA404" s="121">
        <f>COUNTIF(U404:AY404,"F")</f>
      </c>
      <c r="BB404" s="119">
        <f>COUNTIF(U404:AY404,"E")</f>
      </c>
    </row>
    <row r="405" spans="1:54" x14ac:dyDescent="0.2">
      <c r="A405" s="84"/>
      <c r="B405" s="85"/>
      <c r="C405" s="85"/>
      <c r="D405" s="85"/>
      <c r="E405" s="86"/>
      <c r="F405" s="16">
        <f>IF(E405="","",DATEDIF(E405,$I$7,"Y"))</f>
      </c>
      <c r="G405" s="85"/>
      <c r="H405" s="85"/>
      <c r="I405" s="87"/>
      <c r="J405" s="85"/>
      <c r="K405" s="85"/>
      <c r="L405" s="10"/>
      <c r="M405" s="10"/>
      <c r="N405" s="10"/>
      <c r="O405" s="10"/>
      <c r="P405" s="85"/>
      <c r="Q405" s="88"/>
      <c r="R405" s="3">
        <f>IFERROR(VLOOKUP(TablaAbril[[#This Row],[BARRIO]],SECTOR!$A:$B,2,0),"")</f>
      </c>
      <c r="S405" s="89"/>
      <c r="T405" s="90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6"/>
      <c r="AZ405" s="120">
        <f>COUNTIF(U405:AY405,"A")</f>
      </c>
      <c r="BA405" s="121">
        <f>COUNTIF(U405:AY405,"F")</f>
      </c>
      <c r="BB405" s="119">
        <f>COUNTIF(U405:AY405,"E")</f>
      </c>
    </row>
    <row r="406" spans="1:54" x14ac:dyDescent="0.2">
      <c r="A406" s="84"/>
      <c r="B406" s="85"/>
      <c r="C406" s="85"/>
      <c r="D406" s="85"/>
      <c r="E406" s="86"/>
      <c r="F406" s="16">
        <f>IF(E406="","",DATEDIF(E406,$I$7,"Y"))</f>
      </c>
      <c r="G406" s="85"/>
      <c r="H406" s="85"/>
      <c r="I406" s="87"/>
      <c r="J406" s="85"/>
      <c r="K406" s="85"/>
      <c r="L406" s="10"/>
      <c r="M406" s="10"/>
      <c r="N406" s="10"/>
      <c r="O406" s="10"/>
      <c r="P406" s="85"/>
      <c r="Q406" s="88"/>
      <c r="R406" s="3">
        <f>IFERROR(VLOOKUP(TablaAbril[[#This Row],[BARRIO]],SECTOR!$A:$B,2,0),"")</f>
      </c>
      <c r="S406" s="89"/>
      <c r="T406" s="90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6"/>
      <c r="AZ406" s="120">
        <f>COUNTIF(U406:AY406,"A")</f>
      </c>
      <c r="BA406" s="121">
        <f>COUNTIF(U406:AY406,"F")</f>
      </c>
      <c r="BB406" s="119">
        <f>COUNTIF(U406:AY406,"E")</f>
      </c>
    </row>
    <row r="407" spans="1:54" x14ac:dyDescent="0.2">
      <c r="A407" s="84"/>
      <c r="B407" s="85"/>
      <c r="C407" s="85"/>
      <c r="D407" s="85"/>
      <c r="E407" s="86"/>
      <c r="F407" s="16">
        <f>IF(E407="","",DATEDIF(E407,$I$7,"Y"))</f>
      </c>
      <c r="G407" s="85"/>
      <c r="H407" s="85"/>
      <c r="I407" s="87"/>
      <c r="J407" s="85"/>
      <c r="K407" s="85"/>
      <c r="L407" s="10"/>
      <c r="M407" s="10"/>
      <c r="N407" s="10"/>
      <c r="O407" s="10"/>
      <c r="P407" s="85"/>
      <c r="Q407" s="88"/>
      <c r="R407" s="3">
        <f>IFERROR(VLOOKUP(TablaAbril[[#This Row],[BARRIO]],SECTOR!$A:$B,2,0),"")</f>
      </c>
      <c r="S407" s="89"/>
      <c r="T407" s="90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6"/>
      <c r="AZ407" s="120">
        <f>COUNTIF(U407:AY407,"A")</f>
      </c>
      <c r="BA407" s="121">
        <f>COUNTIF(U407:AY407,"F")</f>
      </c>
      <c r="BB407" s="119">
        <f>COUNTIF(U407:AY407,"E")</f>
      </c>
    </row>
    <row r="408" spans="1:54" x14ac:dyDescent="0.2">
      <c r="A408" s="84"/>
      <c r="B408" s="85"/>
      <c r="C408" s="85"/>
      <c r="D408" s="85"/>
      <c r="E408" s="86"/>
      <c r="F408" s="16">
        <f>IF(E408="","",DATEDIF(E408,$I$7,"Y"))</f>
      </c>
      <c r="G408" s="85"/>
      <c r="H408" s="85"/>
      <c r="I408" s="87"/>
      <c r="J408" s="85"/>
      <c r="K408" s="85"/>
      <c r="L408" s="10"/>
      <c r="M408" s="10"/>
      <c r="N408" s="10"/>
      <c r="O408" s="10"/>
      <c r="P408" s="85"/>
      <c r="Q408" s="88"/>
      <c r="R408" s="3">
        <f>IFERROR(VLOOKUP(TablaAbril[[#This Row],[BARRIO]],SECTOR!$A:$B,2,0),"")</f>
      </c>
      <c r="S408" s="89"/>
      <c r="T408" s="90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6"/>
      <c r="AZ408" s="120">
        <f>COUNTIF(U408:AY408,"A")</f>
      </c>
      <c r="BA408" s="121">
        <f>COUNTIF(U408:AY408,"F")</f>
      </c>
      <c r="BB408" s="119">
        <f>COUNTIF(U408:AY408,"E")</f>
      </c>
    </row>
    <row r="409" spans="1:54" x14ac:dyDescent="0.2">
      <c r="A409" s="84"/>
      <c r="B409" s="85"/>
      <c r="C409" s="85"/>
      <c r="D409" s="85"/>
      <c r="E409" s="86"/>
      <c r="F409" s="16">
        <f>IF(E409="","",DATEDIF(E409,$I$7,"Y"))</f>
      </c>
      <c r="G409" s="85"/>
      <c r="H409" s="85"/>
      <c r="I409" s="87"/>
      <c r="J409" s="85"/>
      <c r="K409" s="85"/>
      <c r="L409" s="10"/>
      <c r="M409" s="10"/>
      <c r="N409" s="10"/>
      <c r="O409" s="10"/>
      <c r="P409" s="85"/>
      <c r="Q409" s="88"/>
      <c r="R409" s="3">
        <f>IFERROR(VLOOKUP(TablaAbril[[#This Row],[BARRIO]],SECTOR!$A:$B,2,0),"")</f>
      </c>
      <c r="S409" s="89"/>
      <c r="T409" s="90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6"/>
      <c r="AZ409" s="120">
        <f>COUNTIF(U409:AY409,"A")</f>
      </c>
      <c r="BA409" s="121">
        <f>COUNTIF(U409:AY409,"F")</f>
      </c>
      <c r="BB409" s="119">
        <f>COUNTIF(U409:AY409,"E")</f>
      </c>
    </row>
    <row r="410" spans="1:54" x14ac:dyDescent="0.2">
      <c r="A410" s="84"/>
      <c r="B410" s="85"/>
      <c r="C410" s="85"/>
      <c r="D410" s="85"/>
      <c r="E410" s="86"/>
      <c r="F410" s="16">
        <f>IF(E410="","",DATEDIF(E410,$I$7,"Y"))</f>
      </c>
      <c r="G410" s="85"/>
      <c r="H410" s="85"/>
      <c r="I410" s="87"/>
      <c r="J410" s="85"/>
      <c r="K410" s="85"/>
      <c r="L410" s="10"/>
      <c r="M410" s="10"/>
      <c r="N410" s="10"/>
      <c r="O410" s="10"/>
      <c r="P410" s="85"/>
      <c r="Q410" s="88"/>
      <c r="R410" s="3">
        <f>IFERROR(VLOOKUP(TablaAbril[[#This Row],[BARRIO]],SECTOR!$A:$B,2,0),"")</f>
      </c>
      <c r="S410" s="89"/>
      <c r="T410" s="90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6"/>
      <c r="AZ410" s="120">
        <f>COUNTIF(U410:AY410,"A")</f>
      </c>
      <c r="BA410" s="121">
        <f>COUNTIF(U410:AY410,"F")</f>
      </c>
      <c r="BB410" s="119">
        <f>COUNTIF(U410:AY410,"E")</f>
      </c>
    </row>
    <row r="411" spans="1:54" x14ac:dyDescent="0.2">
      <c r="A411" s="84"/>
      <c r="B411" s="85"/>
      <c r="C411" s="85"/>
      <c r="D411" s="85"/>
      <c r="E411" s="86"/>
      <c r="F411" s="16">
        <f>IF(E411="","",DATEDIF(E411,$I$7,"Y"))</f>
      </c>
      <c r="G411" s="85"/>
      <c r="H411" s="85"/>
      <c r="I411" s="87"/>
      <c r="J411" s="85"/>
      <c r="K411" s="85"/>
      <c r="L411" s="10"/>
      <c r="M411" s="10"/>
      <c r="N411" s="10"/>
      <c r="O411" s="10"/>
      <c r="P411" s="85"/>
      <c r="Q411" s="88"/>
      <c r="R411" s="3">
        <f>IFERROR(VLOOKUP(TablaAbril[[#This Row],[BARRIO]],SECTOR!$A:$B,2,0),"")</f>
      </c>
      <c r="S411" s="89"/>
      <c r="T411" s="90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6"/>
      <c r="AZ411" s="120">
        <f>COUNTIF(U411:AY411,"A")</f>
      </c>
      <c r="BA411" s="121">
        <f>COUNTIF(U411:AY411,"F")</f>
      </c>
      <c r="BB411" s="119">
        <f>COUNTIF(U411:AY411,"E")</f>
      </c>
    </row>
    <row r="412" spans="1:54" x14ac:dyDescent="0.2">
      <c r="A412" s="84"/>
      <c r="B412" s="85"/>
      <c r="C412" s="85"/>
      <c r="D412" s="85"/>
      <c r="E412" s="86"/>
      <c r="F412" s="16">
        <f>IF(E412="","",DATEDIF(E412,$I$7,"Y"))</f>
      </c>
      <c r="G412" s="85"/>
      <c r="H412" s="85"/>
      <c r="I412" s="87"/>
      <c r="J412" s="85"/>
      <c r="K412" s="85"/>
      <c r="L412" s="10"/>
      <c r="M412" s="10"/>
      <c r="N412" s="10"/>
      <c r="O412" s="10"/>
      <c r="P412" s="85"/>
      <c r="Q412" s="88"/>
      <c r="R412" s="3">
        <f>IFERROR(VLOOKUP(TablaAbril[[#This Row],[BARRIO]],SECTOR!$A:$B,2,0),"")</f>
      </c>
      <c r="S412" s="89"/>
      <c r="T412" s="90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6"/>
      <c r="AZ412" s="120">
        <f>COUNTIF(U412:AY412,"A")</f>
      </c>
      <c r="BA412" s="121">
        <f>COUNTIF(U412:AY412,"F")</f>
      </c>
      <c r="BB412" s="119">
        <f>COUNTIF(U412:AY412,"E")</f>
      </c>
    </row>
    <row r="413" spans="1:54" x14ac:dyDescent="0.2">
      <c r="A413" s="84"/>
      <c r="B413" s="85"/>
      <c r="C413" s="85"/>
      <c r="D413" s="85"/>
      <c r="E413" s="86"/>
      <c r="F413" s="16">
        <f>IF(E413="","",DATEDIF(E413,$I$7,"Y"))</f>
      </c>
      <c r="G413" s="85"/>
      <c r="H413" s="85"/>
      <c r="I413" s="87"/>
      <c r="J413" s="85"/>
      <c r="K413" s="85"/>
      <c r="L413" s="10"/>
      <c r="M413" s="10"/>
      <c r="N413" s="10"/>
      <c r="O413" s="10"/>
      <c r="P413" s="85"/>
      <c r="Q413" s="88"/>
      <c r="R413" s="3">
        <f>IFERROR(VLOOKUP(TablaAbril[[#This Row],[BARRIO]],SECTOR!$A:$B,2,0),"")</f>
      </c>
      <c r="S413" s="89"/>
      <c r="T413" s="90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6"/>
      <c r="AZ413" s="120">
        <f>COUNTIF(U413:AY413,"A")</f>
      </c>
      <c r="BA413" s="121">
        <f>COUNTIF(U413:AY413,"F")</f>
      </c>
      <c r="BB413" s="119">
        <f>COUNTIF(U413:AY413,"E")</f>
      </c>
    </row>
    <row r="414" spans="1:54" x14ac:dyDescent="0.2">
      <c r="A414" s="84"/>
      <c r="B414" s="85"/>
      <c r="C414" s="85"/>
      <c r="D414" s="85"/>
      <c r="E414" s="86"/>
      <c r="F414" s="16">
        <f>IF(E414="","",DATEDIF(E414,$I$7,"Y"))</f>
      </c>
      <c r="G414" s="85"/>
      <c r="H414" s="85"/>
      <c r="I414" s="87"/>
      <c r="J414" s="85"/>
      <c r="K414" s="85"/>
      <c r="L414" s="10"/>
      <c r="M414" s="10"/>
      <c r="N414" s="10"/>
      <c r="O414" s="10"/>
      <c r="P414" s="85"/>
      <c r="Q414" s="88"/>
      <c r="R414" s="3">
        <f>IFERROR(VLOOKUP(TablaAbril[[#This Row],[BARRIO]],SECTOR!$A:$B,2,0),"")</f>
      </c>
      <c r="S414" s="89"/>
      <c r="T414" s="90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6"/>
      <c r="AZ414" s="120">
        <f>COUNTIF(U414:AY414,"A")</f>
      </c>
      <c r="BA414" s="121">
        <f>COUNTIF(U414:AY414,"F")</f>
      </c>
      <c r="BB414" s="119">
        <f>COUNTIF(U414:AY414,"E")</f>
      </c>
    </row>
    <row r="415" spans="1:54" x14ac:dyDescent="0.2">
      <c r="A415" s="84"/>
      <c r="B415" s="85"/>
      <c r="C415" s="85"/>
      <c r="D415" s="85"/>
      <c r="E415" s="86"/>
      <c r="F415" s="16">
        <f>IF(E415="","",DATEDIF(E415,$I$7,"Y"))</f>
      </c>
      <c r="G415" s="85"/>
      <c r="H415" s="85"/>
      <c r="I415" s="87"/>
      <c r="J415" s="85"/>
      <c r="K415" s="85"/>
      <c r="L415" s="10"/>
      <c r="M415" s="10"/>
      <c r="N415" s="10"/>
      <c r="O415" s="10"/>
      <c r="P415" s="85"/>
      <c r="Q415" s="88"/>
      <c r="R415" s="3">
        <f>IFERROR(VLOOKUP(TablaAbril[[#This Row],[BARRIO]],SECTOR!$A:$B,2,0),"")</f>
      </c>
      <c r="S415" s="89"/>
      <c r="T415" s="90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6"/>
      <c r="AZ415" s="120">
        <f>COUNTIF(U415:AY415,"A")</f>
      </c>
      <c r="BA415" s="121">
        <f>COUNTIF(U415:AY415,"F")</f>
      </c>
      <c r="BB415" s="119">
        <f>COUNTIF(U415:AY415,"E")</f>
      </c>
    </row>
    <row r="416" spans="1:54" x14ac:dyDescent="0.2">
      <c r="A416" s="84"/>
      <c r="B416" s="85"/>
      <c r="C416" s="85"/>
      <c r="D416" s="85"/>
      <c r="E416" s="86"/>
      <c r="F416" s="16">
        <f>IF(E416="","",DATEDIF(E416,$I$7,"Y"))</f>
      </c>
      <c r="G416" s="85"/>
      <c r="H416" s="85"/>
      <c r="I416" s="87"/>
      <c r="J416" s="85"/>
      <c r="K416" s="85"/>
      <c r="L416" s="10"/>
      <c r="M416" s="10"/>
      <c r="N416" s="10"/>
      <c r="O416" s="10"/>
      <c r="P416" s="85"/>
      <c r="Q416" s="88"/>
      <c r="R416" s="3">
        <f>IFERROR(VLOOKUP(TablaAbril[[#This Row],[BARRIO]],SECTOR!$A:$B,2,0),"")</f>
      </c>
      <c r="S416" s="89"/>
      <c r="T416" s="90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6"/>
      <c r="AZ416" s="120">
        <f>COUNTIF(U416:AY416,"A")</f>
      </c>
      <c r="BA416" s="121">
        <f>COUNTIF(U416:AY416,"F")</f>
      </c>
      <c r="BB416" s="119">
        <f>COUNTIF(U416:AY416,"E")</f>
      </c>
    </row>
    <row r="417" spans="1:54" x14ac:dyDescent="0.2">
      <c r="A417" s="84"/>
      <c r="B417" s="85"/>
      <c r="C417" s="85"/>
      <c r="D417" s="85"/>
      <c r="E417" s="86"/>
      <c r="F417" s="16">
        <f>IF(E417="","",DATEDIF(E417,$I$7,"Y"))</f>
      </c>
      <c r="G417" s="85"/>
      <c r="H417" s="85"/>
      <c r="I417" s="87"/>
      <c r="J417" s="85"/>
      <c r="K417" s="85"/>
      <c r="L417" s="10"/>
      <c r="M417" s="10"/>
      <c r="N417" s="10"/>
      <c r="O417" s="10"/>
      <c r="P417" s="85"/>
      <c r="Q417" s="88"/>
      <c r="R417" s="3">
        <f>IFERROR(VLOOKUP(TablaAbril[[#This Row],[BARRIO]],SECTOR!$A:$B,2,0),"")</f>
      </c>
      <c r="S417" s="89"/>
      <c r="T417" s="90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6"/>
      <c r="AZ417" s="120">
        <f>COUNTIF(U417:AY417,"A")</f>
      </c>
      <c r="BA417" s="121">
        <f>COUNTIF(U417:AY417,"F")</f>
      </c>
      <c r="BB417" s="119">
        <f>COUNTIF(U417:AY417,"E")</f>
      </c>
    </row>
    <row r="418" spans="1:54" x14ac:dyDescent="0.2">
      <c r="A418" s="84"/>
      <c r="B418" s="85"/>
      <c r="C418" s="85"/>
      <c r="D418" s="85"/>
      <c r="E418" s="86"/>
      <c r="F418" s="16">
        <f>IF(E418="","",DATEDIF(E418,$I$7,"Y"))</f>
      </c>
      <c r="G418" s="85"/>
      <c r="H418" s="85"/>
      <c r="I418" s="87"/>
      <c r="J418" s="85"/>
      <c r="K418" s="85"/>
      <c r="L418" s="10"/>
      <c r="M418" s="10"/>
      <c r="N418" s="10"/>
      <c r="O418" s="10"/>
      <c r="P418" s="85"/>
      <c r="Q418" s="88"/>
      <c r="R418" s="3">
        <f>IFERROR(VLOOKUP(TablaAbril[[#This Row],[BARRIO]],SECTOR!$A:$B,2,0),"")</f>
      </c>
      <c r="S418" s="89"/>
      <c r="T418" s="90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6"/>
      <c r="AZ418" s="120">
        <f>COUNTIF(U418:AY418,"A")</f>
      </c>
      <c r="BA418" s="121">
        <f>COUNTIF(U418:AY418,"F")</f>
      </c>
      <c r="BB418" s="119">
        <f>COUNTIF(U418:AY418,"E")</f>
      </c>
    </row>
    <row r="419" spans="1:54" x14ac:dyDescent="0.2">
      <c r="A419" s="84"/>
      <c r="B419" s="85"/>
      <c r="C419" s="85"/>
      <c r="D419" s="85"/>
      <c r="E419" s="86"/>
      <c r="F419" s="16">
        <f>IF(E419="","",DATEDIF(E419,$I$7,"Y"))</f>
      </c>
      <c r="G419" s="85"/>
      <c r="H419" s="85"/>
      <c r="I419" s="87"/>
      <c r="J419" s="85"/>
      <c r="K419" s="85"/>
      <c r="L419" s="10"/>
      <c r="M419" s="10"/>
      <c r="N419" s="10"/>
      <c r="O419" s="10"/>
      <c r="P419" s="85"/>
      <c r="Q419" s="88"/>
      <c r="R419" s="3">
        <f>IFERROR(VLOOKUP(TablaAbril[[#This Row],[BARRIO]],SECTOR!$A:$B,2,0),"")</f>
      </c>
      <c r="S419" s="89"/>
      <c r="T419" s="90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6"/>
      <c r="AZ419" s="120">
        <f>COUNTIF(U419:AY419,"A")</f>
      </c>
      <c r="BA419" s="121">
        <f>COUNTIF(U419:AY419,"F")</f>
      </c>
      <c r="BB419" s="119">
        <f>COUNTIF(U419:AY419,"E")</f>
      </c>
    </row>
    <row r="420" spans="1:54" x14ac:dyDescent="0.2">
      <c r="A420" s="84"/>
      <c r="B420" s="85"/>
      <c r="C420" s="85"/>
      <c r="D420" s="85"/>
      <c r="E420" s="86"/>
      <c r="F420" s="16">
        <f>IF(E420="","",DATEDIF(E420,$I$7,"Y"))</f>
      </c>
      <c r="G420" s="85"/>
      <c r="H420" s="85"/>
      <c r="I420" s="87"/>
      <c r="J420" s="85"/>
      <c r="K420" s="85"/>
      <c r="L420" s="10"/>
      <c r="M420" s="10"/>
      <c r="N420" s="10"/>
      <c r="O420" s="10"/>
      <c r="P420" s="85"/>
      <c r="Q420" s="88"/>
      <c r="R420" s="3">
        <f>IFERROR(VLOOKUP(TablaAbril[[#This Row],[BARRIO]],SECTOR!$A:$B,2,0),"")</f>
      </c>
      <c r="S420" s="89"/>
      <c r="T420" s="90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6"/>
      <c r="AZ420" s="120">
        <f>COUNTIF(U420:AY420,"A")</f>
      </c>
      <c r="BA420" s="121">
        <f>COUNTIF(U420:AY420,"F")</f>
      </c>
      <c r="BB420" s="119">
        <f>COUNTIF(U420:AY420,"E")</f>
      </c>
    </row>
    <row r="421" spans="1:54" x14ac:dyDescent="0.2">
      <c r="A421" s="84"/>
      <c r="B421" s="85"/>
      <c r="C421" s="85"/>
      <c r="D421" s="85"/>
      <c r="E421" s="86"/>
      <c r="F421" s="16">
        <f>IF(E421="","",DATEDIF(E421,$I$7,"Y"))</f>
      </c>
      <c r="G421" s="85"/>
      <c r="H421" s="85"/>
      <c r="I421" s="87"/>
      <c r="J421" s="85"/>
      <c r="K421" s="85"/>
      <c r="L421" s="10"/>
      <c r="M421" s="10"/>
      <c r="N421" s="10"/>
      <c r="O421" s="10"/>
      <c r="P421" s="85"/>
      <c r="Q421" s="88"/>
      <c r="R421" s="3">
        <f>IFERROR(VLOOKUP(TablaAbril[[#This Row],[BARRIO]],SECTOR!$A:$B,2,0),"")</f>
      </c>
      <c r="S421" s="89"/>
      <c r="T421" s="90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6"/>
      <c r="AZ421" s="120">
        <f>COUNTIF(U421:AY421,"A")</f>
      </c>
      <c r="BA421" s="121">
        <f>COUNTIF(U421:AY421,"F")</f>
      </c>
      <c r="BB421" s="119">
        <f>COUNTIF(U421:AY421,"E")</f>
      </c>
    </row>
    <row r="422" spans="1:54" x14ac:dyDescent="0.2">
      <c r="A422" s="84"/>
      <c r="B422" s="85"/>
      <c r="C422" s="85"/>
      <c r="D422" s="85"/>
      <c r="E422" s="86"/>
      <c r="F422" s="16">
        <f>IF(E422="","",DATEDIF(E422,$I$7,"Y"))</f>
      </c>
      <c r="G422" s="85"/>
      <c r="H422" s="85"/>
      <c r="I422" s="87"/>
      <c r="J422" s="85"/>
      <c r="K422" s="85"/>
      <c r="L422" s="10"/>
      <c r="M422" s="10"/>
      <c r="N422" s="10"/>
      <c r="O422" s="10"/>
      <c r="P422" s="85"/>
      <c r="Q422" s="88"/>
      <c r="R422" s="3">
        <f>IFERROR(VLOOKUP(TablaAbril[[#This Row],[BARRIO]],SECTOR!$A:$B,2,0),"")</f>
      </c>
      <c r="S422" s="89"/>
      <c r="T422" s="90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6"/>
      <c r="AZ422" s="120">
        <f>COUNTIF(U422:AY422,"A")</f>
      </c>
      <c r="BA422" s="121">
        <f>COUNTIF(U422:AY422,"F")</f>
      </c>
      <c r="BB422" s="119">
        <f>COUNTIF(U422:AY422,"E")</f>
      </c>
    </row>
    <row r="423" spans="1:54" x14ac:dyDescent="0.2">
      <c r="A423" s="84"/>
      <c r="B423" s="85"/>
      <c r="C423" s="85"/>
      <c r="D423" s="85"/>
      <c r="E423" s="86"/>
      <c r="F423" s="16">
        <f>IF(E423="","",DATEDIF(E423,$I$7,"Y"))</f>
      </c>
      <c r="G423" s="85"/>
      <c r="H423" s="85"/>
      <c r="I423" s="87"/>
      <c r="J423" s="85"/>
      <c r="K423" s="85"/>
      <c r="L423" s="10"/>
      <c r="M423" s="10"/>
      <c r="N423" s="10"/>
      <c r="O423" s="10"/>
      <c r="P423" s="85"/>
      <c r="Q423" s="88"/>
      <c r="R423" s="3">
        <f>IFERROR(VLOOKUP(TablaAbril[[#This Row],[BARRIO]],SECTOR!$A:$B,2,0),"")</f>
      </c>
      <c r="S423" s="89"/>
      <c r="T423" s="90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6"/>
      <c r="AZ423" s="120">
        <f>COUNTIF(U423:AY423,"A")</f>
      </c>
      <c r="BA423" s="121">
        <f>COUNTIF(U423:AY423,"F")</f>
      </c>
      <c r="BB423" s="119">
        <f>COUNTIF(U423:AY423,"E")</f>
      </c>
    </row>
    <row r="424" spans="1:54" x14ac:dyDescent="0.2">
      <c r="A424" s="84"/>
      <c r="B424" s="85"/>
      <c r="C424" s="85"/>
      <c r="D424" s="85"/>
      <c r="E424" s="86"/>
      <c r="F424" s="16">
        <f>IF(E424="","",DATEDIF(E424,$I$7,"Y"))</f>
      </c>
      <c r="G424" s="85"/>
      <c r="H424" s="85"/>
      <c r="I424" s="87"/>
      <c r="J424" s="85"/>
      <c r="K424" s="85"/>
      <c r="L424" s="10"/>
      <c r="M424" s="10"/>
      <c r="N424" s="10"/>
      <c r="O424" s="10"/>
      <c r="P424" s="85"/>
      <c r="Q424" s="88"/>
      <c r="R424" s="3">
        <f>IFERROR(VLOOKUP(TablaAbril[[#This Row],[BARRIO]],SECTOR!$A:$B,2,0),"")</f>
      </c>
      <c r="S424" s="89"/>
      <c r="T424" s="90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6"/>
      <c r="AZ424" s="120">
        <f>COUNTIF(U424:AY424,"A")</f>
      </c>
      <c r="BA424" s="121">
        <f>COUNTIF(U424:AY424,"F")</f>
      </c>
      <c r="BB424" s="119">
        <f>COUNTIF(U424:AY424,"E")</f>
      </c>
    </row>
    <row r="425" spans="1:54" x14ac:dyDescent="0.2">
      <c r="A425" s="84"/>
      <c r="B425" s="85"/>
      <c r="C425" s="85"/>
      <c r="D425" s="85"/>
      <c r="E425" s="86"/>
      <c r="F425" s="16">
        <f>IF(E425="","",DATEDIF(E425,$I$7,"Y"))</f>
      </c>
      <c r="G425" s="85"/>
      <c r="H425" s="85"/>
      <c r="I425" s="87"/>
      <c r="J425" s="85"/>
      <c r="K425" s="85"/>
      <c r="L425" s="10"/>
      <c r="M425" s="10"/>
      <c r="N425" s="10"/>
      <c r="O425" s="10"/>
      <c r="P425" s="85"/>
      <c r="Q425" s="88"/>
      <c r="R425" s="3">
        <f>IFERROR(VLOOKUP(TablaAbril[[#This Row],[BARRIO]],SECTOR!$A:$B,2,0),"")</f>
      </c>
      <c r="S425" s="89"/>
      <c r="T425" s="90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6"/>
      <c r="AZ425" s="120">
        <f>COUNTIF(U425:AY425,"A")</f>
      </c>
      <c r="BA425" s="121">
        <f>COUNTIF(U425:AY425,"F")</f>
      </c>
      <c r="BB425" s="119">
        <f>COUNTIF(U425:AY425,"E")</f>
      </c>
    </row>
    <row r="426" spans="1:54" x14ac:dyDescent="0.2">
      <c r="A426" s="84"/>
      <c r="B426" s="85"/>
      <c r="C426" s="85"/>
      <c r="D426" s="85"/>
      <c r="E426" s="86"/>
      <c r="F426" s="16">
        <f>IF(E426="","",DATEDIF(E426,$I$7,"Y"))</f>
      </c>
      <c r="G426" s="85"/>
      <c r="H426" s="85"/>
      <c r="I426" s="87"/>
      <c r="J426" s="85"/>
      <c r="K426" s="85"/>
      <c r="L426" s="10"/>
      <c r="M426" s="10"/>
      <c r="N426" s="10"/>
      <c r="O426" s="10"/>
      <c r="P426" s="85"/>
      <c r="Q426" s="88"/>
      <c r="R426" s="3">
        <f>IFERROR(VLOOKUP(TablaAbril[[#This Row],[BARRIO]],SECTOR!$A:$B,2,0),"")</f>
      </c>
      <c r="S426" s="89"/>
      <c r="T426" s="90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6"/>
      <c r="AZ426" s="120">
        <f>COUNTIF(U426:AY426,"A")</f>
      </c>
      <c r="BA426" s="121">
        <f>COUNTIF(U426:AY426,"F")</f>
      </c>
      <c r="BB426" s="119">
        <f>COUNTIF(U426:AY426,"E")</f>
      </c>
    </row>
    <row r="427" spans="1:54" x14ac:dyDescent="0.2">
      <c r="A427" s="84"/>
      <c r="B427" s="85"/>
      <c r="C427" s="85"/>
      <c r="D427" s="85"/>
      <c r="E427" s="86"/>
      <c r="F427" s="16">
        <f>IF(E427="","",DATEDIF(E427,$I$7,"Y"))</f>
      </c>
      <c r="G427" s="85"/>
      <c r="H427" s="85"/>
      <c r="I427" s="87"/>
      <c r="J427" s="85"/>
      <c r="K427" s="85"/>
      <c r="L427" s="10"/>
      <c r="M427" s="10"/>
      <c r="N427" s="10"/>
      <c r="O427" s="10"/>
      <c r="P427" s="85"/>
      <c r="Q427" s="88"/>
      <c r="R427" s="3">
        <f>IFERROR(VLOOKUP(TablaAbril[[#This Row],[BARRIO]],SECTOR!$A:$B,2,0),"")</f>
      </c>
      <c r="S427" s="89"/>
      <c r="T427" s="90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6"/>
      <c r="AZ427" s="120">
        <f>COUNTIF(U427:AY427,"A")</f>
      </c>
      <c r="BA427" s="121">
        <f>COUNTIF(U427:AY427,"F")</f>
      </c>
      <c r="BB427" s="119">
        <f>COUNTIF(U427:AY427,"E")</f>
      </c>
    </row>
    <row r="428" spans="1:54" x14ac:dyDescent="0.2">
      <c r="A428" s="84"/>
      <c r="B428" s="85"/>
      <c r="C428" s="85"/>
      <c r="D428" s="85"/>
      <c r="E428" s="86"/>
      <c r="F428" s="16">
        <f>IF(E428="","",DATEDIF(E428,$I$7,"Y"))</f>
      </c>
      <c r="G428" s="85"/>
      <c r="H428" s="85"/>
      <c r="I428" s="87"/>
      <c r="J428" s="85"/>
      <c r="K428" s="85"/>
      <c r="L428" s="10"/>
      <c r="M428" s="10"/>
      <c r="N428" s="10"/>
      <c r="O428" s="10"/>
      <c r="P428" s="85"/>
      <c r="Q428" s="88"/>
      <c r="R428" s="3">
        <f>IFERROR(VLOOKUP(TablaAbril[[#This Row],[BARRIO]],SECTOR!$A:$B,2,0),"")</f>
      </c>
      <c r="S428" s="89"/>
      <c r="T428" s="90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6"/>
      <c r="AZ428" s="120">
        <f>COUNTIF(U428:AY428,"A")</f>
      </c>
      <c r="BA428" s="121">
        <f>COUNTIF(U428:AY428,"F")</f>
      </c>
      <c r="BB428" s="119">
        <f>COUNTIF(U428:AY428,"E")</f>
      </c>
    </row>
    <row r="429" spans="1:54" x14ac:dyDescent="0.2">
      <c r="A429" s="84"/>
      <c r="B429" s="85"/>
      <c r="C429" s="85"/>
      <c r="D429" s="85"/>
      <c r="E429" s="86"/>
      <c r="F429" s="16">
        <f>IF(E429="","",DATEDIF(E429,$I$7,"Y"))</f>
      </c>
      <c r="G429" s="85"/>
      <c r="H429" s="85"/>
      <c r="I429" s="87"/>
      <c r="J429" s="85"/>
      <c r="K429" s="85"/>
      <c r="L429" s="10"/>
      <c r="M429" s="10"/>
      <c r="N429" s="10"/>
      <c r="O429" s="10"/>
      <c r="P429" s="85"/>
      <c r="Q429" s="88"/>
      <c r="R429" s="3">
        <f>IFERROR(VLOOKUP(TablaAbril[[#This Row],[BARRIO]],SECTOR!$A:$B,2,0),"")</f>
      </c>
      <c r="S429" s="89"/>
      <c r="T429" s="90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6"/>
      <c r="AZ429" s="120">
        <f>COUNTIF(U429:AY429,"A")</f>
      </c>
      <c r="BA429" s="121">
        <f>COUNTIF(U429:AY429,"F")</f>
      </c>
      <c r="BB429" s="119">
        <f>COUNTIF(U429:AY429,"E")</f>
      </c>
    </row>
    <row r="430" spans="1:54" x14ac:dyDescent="0.2">
      <c r="A430" s="84"/>
      <c r="B430" s="85"/>
      <c r="C430" s="85"/>
      <c r="D430" s="85"/>
      <c r="E430" s="86"/>
      <c r="F430" s="16">
        <f>IF(E430="","",DATEDIF(E430,$I$7,"Y"))</f>
      </c>
      <c r="G430" s="85"/>
      <c r="H430" s="85"/>
      <c r="I430" s="87"/>
      <c r="J430" s="85"/>
      <c r="K430" s="85"/>
      <c r="L430" s="10"/>
      <c r="M430" s="10"/>
      <c r="N430" s="10"/>
      <c r="O430" s="10"/>
      <c r="P430" s="85"/>
      <c r="Q430" s="88"/>
      <c r="R430" s="3">
        <f>IFERROR(VLOOKUP(TablaAbril[[#This Row],[BARRIO]],SECTOR!$A:$B,2,0),"")</f>
      </c>
      <c r="S430" s="89"/>
      <c r="T430" s="90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6"/>
      <c r="AZ430" s="120">
        <f>COUNTIF(U430:AY430,"A")</f>
      </c>
      <c r="BA430" s="121">
        <f>COUNTIF(U430:AY430,"F")</f>
      </c>
      <c r="BB430" s="119">
        <f>COUNTIF(U430:AY430,"E")</f>
      </c>
    </row>
    <row r="431" spans="1:54" x14ac:dyDescent="0.2">
      <c r="A431" s="84"/>
      <c r="B431" s="85"/>
      <c r="C431" s="85"/>
      <c r="D431" s="85"/>
      <c r="E431" s="86"/>
      <c r="F431" s="16">
        <f>IF(E431="","",DATEDIF(E431,$I$7,"Y"))</f>
      </c>
      <c r="G431" s="85"/>
      <c r="H431" s="85"/>
      <c r="I431" s="87"/>
      <c r="J431" s="85"/>
      <c r="K431" s="85"/>
      <c r="L431" s="10"/>
      <c r="M431" s="10"/>
      <c r="N431" s="10"/>
      <c r="O431" s="10"/>
      <c r="P431" s="85"/>
      <c r="Q431" s="88"/>
      <c r="R431" s="3">
        <f>IFERROR(VLOOKUP(TablaAbril[[#This Row],[BARRIO]],SECTOR!$A:$B,2,0),"")</f>
      </c>
      <c r="S431" s="89"/>
      <c r="T431" s="90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6"/>
      <c r="AZ431" s="120">
        <f>COUNTIF(U431:AY431,"A")</f>
      </c>
      <c r="BA431" s="121">
        <f>COUNTIF(U431:AY431,"F")</f>
      </c>
      <c r="BB431" s="119">
        <f>COUNTIF(U431:AY431,"E")</f>
      </c>
    </row>
    <row r="432" spans="1:54" x14ac:dyDescent="0.2">
      <c r="A432" s="84"/>
      <c r="B432" s="85"/>
      <c r="C432" s="85"/>
      <c r="D432" s="85"/>
      <c r="E432" s="86"/>
      <c r="F432" s="16">
        <f>IF(E432="","",DATEDIF(E432,$I$7,"Y"))</f>
      </c>
      <c r="G432" s="85"/>
      <c r="H432" s="85"/>
      <c r="I432" s="87"/>
      <c r="J432" s="85"/>
      <c r="K432" s="85"/>
      <c r="L432" s="10"/>
      <c r="M432" s="10"/>
      <c r="N432" s="10"/>
      <c r="O432" s="10"/>
      <c r="P432" s="85"/>
      <c r="Q432" s="88"/>
      <c r="R432" s="3">
        <f>IFERROR(VLOOKUP(TablaAbril[[#This Row],[BARRIO]],SECTOR!$A:$B,2,0),"")</f>
      </c>
      <c r="S432" s="89"/>
      <c r="T432" s="90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6"/>
      <c r="AZ432" s="120">
        <f>COUNTIF(U432:AY432,"A")</f>
      </c>
      <c r="BA432" s="121">
        <f>COUNTIF(U432:AY432,"F")</f>
      </c>
      <c r="BB432" s="119">
        <f>COUNTIF(U432:AY432,"E")</f>
      </c>
    </row>
    <row r="433" spans="1:54" x14ac:dyDescent="0.2">
      <c r="A433" s="84"/>
      <c r="B433" s="85"/>
      <c r="C433" s="85"/>
      <c r="D433" s="85"/>
      <c r="E433" s="86"/>
      <c r="F433" s="16">
        <f>IF(E433="","",DATEDIF(E433,$I$7,"Y"))</f>
      </c>
      <c r="G433" s="85"/>
      <c r="H433" s="85"/>
      <c r="I433" s="87"/>
      <c r="J433" s="85"/>
      <c r="K433" s="85"/>
      <c r="L433" s="10"/>
      <c r="M433" s="10"/>
      <c r="N433" s="10"/>
      <c r="O433" s="10"/>
      <c r="P433" s="85"/>
      <c r="Q433" s="88"/>
      <c r="R433" s="3">
        <f>IFERROR(VLOOKUP(TablaAbril[[#This Row],[BARRIO]],SECTOR!$A:$B,2,0),"")</f>
      </c>
      <c r="S433" s="89"/>
      <c r="T433" s="90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6"/>
      <c r="AZ433" s="120">
        <f>COUNTIF(U433:AY433,"A")</f>
      </c>
      <c r="BA433" s="121">
        <f>COUNTIF(U433:AY433,"F")</f>
      </c>
      <c r="BB433" s="119">
        <f>COUNTIF(U433:AY433,"E")</f>
      </c>
    </row>
    <row r="434" spans="1:54" x14ac:dyDescent="0.2">
      <c r="A434" s="84"/>
      <c r="B434" s="85"/>
      <c r="C434" s="85"/>
      <c r="D434" s="85"/>
      <c r="E434" s="86"/>
      <c r="F434" s="16">
        <f>IF(E434="","",DATEDIF(E434,$I$7,"Y"))</f>
      </c>
      <c r="G434" s="85"/>
      <c r="H434" s="85"/>
      <c r="I434" s="87"/>
      <c r="J434" s="85"/>
      <c r="K434" s="85"/>
      <c r="L434" s="10"/>
      <c r="M434" s="10"/>
      <c r="N434" s="10"/>
      <c r="O434" s="10"/>
      <c r="P434" s="85"/>
      <c r="Q434" s="88"/>
      <c r="R434" s="3">
        <f>IFERROR(VLOOKUP(TablaAbril[[#This Row],[BARRIO]],SECTOR!$A:$B,2,0),"")</f>
      </c>
      <c r="S434" s="89"/>
      <c r="T434" s="90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6"/>
      <c r="AZ434" s="120">
        <f>COUNTIF(U434:AY434,"A")</f>
      </c>
      <c r="BA434" s="121">
        <f>COUNTIF(U434:AY434,"F")</f>
      </c>
      <c r="BB434" s="119">
        <f>COUNTIF(U434:AY434,"E")</f>
      </c>
    </row>
    <row r="435" spans="1:54" x14ac:dyDescent="0.2">
      <c r="A435" s="84"/>
      <c r="B435" s="85"/>
      <c r="C435" s="85"/>
      <c r="D435" s="85"/>
      <c r="E435" s="86"/>
      <c r="F435" s="16">
        <f>IF(E435="","",DATEDIF(E435,$I$7,"Y"))</f>
      </c>
      <c r="G435" s="85"/>
      <c r="H435" s="85"/>
      <c r="I435" s="87"/>
      <c r="J435" s="85"/>
      <c r="K435" s="85"/>
      <c r="L435" s="10"/>
      <c r="M435" s="10"/>
      <c r="N435" s="10"/>
      <c r="O435" s="10"/>
      <c r="P435" s="85"/>
      <c r="Q435" s="88"/>
      <c r="R435" s="3">
        <f>IFERROR(VLOOKUP(TablaAbril[[#This Row],[BARRIO]],SECTOR!$A:$B,2,0),"")</f>
      </c>
      <c r="S435" s="89"/>
      <c r="T435" s="90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6"/>
      <c r="AZ435" s="120">
        <f>COUNTIF(U435:AY435,"A")</f>
      </c>
      <c r="BA435" s="121">
        <f>COUNTIF(U435:AY435,"F")</f>
      </c>
      <c r="BB435" s="119">
        <f>COUNTIF(U435:AY435,"E")</f>
      </c>
    </row>
    <row r="436" spans="1:54" x14ac:dyDescent="0.2">
      <c r="A436" s="84"/>
      <c r="B436" s="85"/>
      <c r="C436" s="85"/>
      <c r="D436" s="85"/>
      <c r="E436" s="86"/>
      <c r="F436" s="16">
        <f>IF(E436="","",DATEDIF(E436,$I$7,"Y"))</f>
      </c>
      <c r="G436" s="85"/>
      <c r="H436" s="85"/>
      <c r="I436" s="87"/>
      <c r="J436" s="85"/>
      <c r="K436" s="85"/>
      <c r="L436" s="10"/>
      <c r="M436" s="10"/>
      <c r="N436" s="10"/>
      <c r="O436" s="10"/>
      <c r="P436" s="85"/>
      <c r="Q436" s="88"/>
      <c r="R436" s="3">
        <f>IFERROR(VLOOKUP(TablaAbril[[#This Row],[BARRIO]],SECTOR!$A:$B,2,0),"")</f>
      </c>
      <c r="S436" s="89"/>
      <c r="T436" s="90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6"/>
      <c r="AZ436" s="120">
        <f>COUNTIF(U436:AY436,"A")</f>
      </c>
      <c r="BA436" s="121">
        <f>COUNTIF(U436:AY436,"F")</f>
      </c>
      <c r="BB436" s="119">
        <f>COUNTIF(U436:AY436,"E")</f>
      </c>
    </row>
    <row r="437" spans="1:54" x14ac:dyDescent="0.2">
      <c r="A437" s="84"/>
      <c r="B437" s="85"/>
      <c r="C437" s="85"/>
      <c r="D437" s="85"/>
      <c r="E437" s="86"/>
      <c r="F437" s="16">
        <f>IF(E437="","",DATEDIF(E437,$I$7,"Y"))</f>
      </c>
      <c r="G437" s="85"/>
      <c r="H437" s="85"/>
      <c r="I437" s="87"/>
      <c r="J437" s="85"/>
      <c r="K437" s="85"/>
      <c r="L437" s="10"/>
      <c r="M437" s="10"/>
      <c r="N437" s="10"/>
      <c r="O437" s="10"/>
      <c r="P437" s="85"/>
      <c r="Q437" s="88"/>
      <c r="R437" s="3">
        <f>IFERROR(VLOOKUP(TablaAbril[[#This Row],[BARRIO]],SECTOR!$A:$B,2,0),"")</f>
      </c>
      <c r="S437" s="89"/>
      <c r="T437" s="90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6"/>
      <c r="AZ437" s="120">
        <f>COUNTIF(U437:AY437,"A")</f>
      </c>
      <c r="BA437" s="121">
        <f>COUNTIF(U437:AY437,"F")</f>
      </c>
      <c r="BB437" s="119">
        <f>COUNTIF(U437:AY437,"E")</f>
      </c>
    </row>
    <row r="438" spans="1:54" x14ac:dyDescent="0.2">
      <c r="A438" s="84"/>
      <c r="B438" s="85"/>
      <c r="C438" s="85"/>
      <c r="D438" s="85"/>
      <c r="E438" s="86"/>
      <c r="F438" s="16">
        <f>IF(E438="","",DATEDIF(E438,$I$7,"Y"))</f>
      </c>
      <c r="G438" s="85"/>
      <c r="H438" s="85"/>
      <c r="I438" s="87"/>
      <c r="J438" s="85"/>
      <c r="K438" s="85"/>
      <c r="L438" s="10"/>
      <c r="M438" s="10"/>
      <c r="N438" s="10"/>
      <c r="O438" s="10"/>
      <c r="P438" s="85"/>
      <c r="Q438" s="88"/>
      <c r="R438" s="3">
        <f>IFERROR(VLOOKUP(TablaAbril[[#This Row],[BARRIO]],SECTOR!$A:$B,2,0),"")</f>
      </c>
      <c r="S438" s="89"/>
      <c r="T438" s="90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6"/>
      <c r="AZ438" s="120">
        <f>COUNTIF(U438:AY438,"A")</f>
      </c>
      <c r="BA438" s="121">
        <f>COUNTIF(U438:AY438,"F")</f>
      </c>
      <c r="BB438" s="119">
        <f>COUNTIF(U438:AY438,"E")</f>
      </c>
    </row>
    <row r="439" spans="1:54" x14ac:dyDescent="0.2">
      <c r="A439" s="84"/>
      <c r="B439" s="85"/>
      <c r="C439" s="85"/>
      <c r="D439" s="85"/>
      <c r="E439" s="86"/>
      <c r="F439" s="16">
        <f>IF(E439="","",DATEDIF(E439,$I$7,"Y"))</f>
      </c>
      <c r="G439" s="85"/>
      <c r="H439" s="85"/>
      <c r="I439" s="87"/>
      <c r="J439" s="85"/>
      <c r="K439" s="85"/>
      <c r="L439" s="10"/>
      <c r="M439" s="10"/>
      <c r="N439" s="10"/>
      <c r="O439" s="10"/>
      <c r="P439" s="85"/>
      <c r="Q439" s="88"/>
      <c r="R439" s="3">
        <f>IFERROR(VLOOKUP(TablaAbril[[#This Row],[BARRIO]],SECTOR!$A:$B,2,0),"")</f>
      </c>
      <c r="S439" s="89"/>
      <c r="T439" s="90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6"/>
      <c r="AZ439" s="120">
        <f>COUNTIF(U439:AY439,"A")</f>
      </c>
      <c r="BA439" s="121">
        <f>COUNTIF(U439:AY439,"F")</f>
      </c>
      <c r="BB439" s="119">
        <f>COUNTIF(U439:AY439,"E")</f>
      </c>
    </row>
    <row r="440" spans="1:54" x14ac:dyDescent="0.2">
      <c r="A440" s="84"/>
      <c r="B440" s="85"/>
      <c r="C440" s="85"/>
      <c r="D440" s="85"/>
      <c r="E440" s="86"/>
      <c r="F440" s="16">
        <f>IF(E440="","",DATEDIF(E440,$I$7,"Y"))</f>
      </c>
      <c r="G440" s="85"/>
      <c r="H440" s="85"/>
      <c r="I440" s="87"/>
      <c r="J440" s="85"/>
      <c r="K440" s="85"/>
      <c r="L440" s="10"/>
      <c r="M440" s="10"/>
      <c r="N440" s="10"/>
      <c r="O440" s="10"/>
      <c r="P440" s="85"/>
      <c r="Q440" s="88"/>
      <c r="R440" s="3">
        <f>IFERROR(VLOOKUP(TablaAbril[[#This Row],[BARRIO]],SECTOR!$A:$B,2,0),"")</f>
      </c>
      <c r="S440" s="89"/>
      <c r="T440" s="90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6"/>
      <c r="AZ440" s="120">
        <f>COUNTIF(U440:AY440,"A")</f>
      </c>
      <c r="BA440" s="121">
        <f>COUNTIF(U440:AY440,"F")</f>
      </c>
      <c r="BB440" s="119">
        <f>COUNTIF(U440:AY440,"E")</f>
      </c>
    </row>
    <row r="441" spans="1:54" x14ac:dyDescent="0.2">
      <c r="A441" s="84"/>
      <c r="B441" s="85"/>
      <c r="C441" s="85"/>
      <c r="D441" s="85"/>
      <c r="E441" s="86"/>
      <c r="F441" s="16">
        <f>IF(E441="","",DATEDIF(E441,$I$7,"Y"))</f>
      </c>
      <c r="G441" s="85"/>
      <c r="H441" s="85"/>
      <c r="I441" s="87"/>
      <c r="J441" s="85"/>
      <c r="K441" s="85"/>
      <c r="L441" s="10"/>
      <c r="M441" s="10"/>
      <c r="N441" s="10"/>
      <c r="O441" s="10"/>
      <c r="P441" s="85"/>
      <c r="Q441" s="88"/>
      <c r="R441" s="3">
        <f>IFERROR(VLOOKUP(TablaAbril[[#This Row],[BARRIO]],SECTOR!$A:$B,2,0),"")</f>
      </c>
      <c r="S441" s="89"/>
      <c r="T441" s="90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6"/>
      <c r="AZ441" s="120">
        <f>COUNTIF(U441:AY441,"A")</f>
      </c>
      <c r="BA441" s="121">
        <f>COUNTIF(U441:AY441,"F")</f>
      </c>
      <c r="BB441" s="119">
        <f>COUNTIF(U441:AY441,"E")</f>
      </c>
    </row>
    <row r="442" spans="1:54" x14ac:dyDescent="0.2">
      <c r="A442" s="84"/>
      <c r="B442" s="85"/>
      <c r="C442" s="85"/>
      <c r="D442" s="85"/>
      <c r="E442" s="86"/>
      <c r="F442" s="16">
        <f>IF(E442="","",DATEDIF(E442,$I$7,"Y"))</f>
      </c>
      <c r="G442" s="85"/>
      <c r="H442" s="85"/>
      <c r="I442" s="87"/>
      <c r="J442" s="85"/>
      <c r="K442" s="85"/>
      <c r="L442" s="10"/>
      <c r="M442" s="10"/>
      <c r="N442" s="10"/>
      <c r="O442" s="10"/>
      <c r="P442" s="85"/>
      <c r="Q442" s="88"/>
      <c r="R442" s="3">
        <f>IFERROR(VLOOKUP(TablaAbril[[#This Row],[BARRIO]],SECTOR!$A:$B,2,0),"")</f>
      </c>
      <c r="S442" s="89"/>
      <c r="T442" s="90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6"/>
      <c r="AZ442" s="120">
        <f>COUNTIF(U442:AY442,"A")</f>
      </c>
      <c r="BA442" s="121">
        <f>COUNTIF(U442:AY442,"F")</f>
      </c>
      <c r="BB442" s="119">
        <f>COUNTIF(U442:AY442,"E")</f>
      </c>
    </row>
    <row r="443" spans="1:54" x14ac:dyDescent="0.2">
      <c r="A443" s="84"/>
      <c r="B443" s="85"/>
      <c r="C443" s="85"/>
      <c r="D443" s="85"/>
      <c r="E443" s="86"/>
      <c r="F443" s="16">
        <f>IF(E443="","",DATEDIF(E443,$I$7,"Y"))</f>
      </c>
      <c r="G443" s="85"/>
      <c r="H443" s="85"/>
      <c r="I443" s="87"/>
      <c r="J443" s="85"/>
      <c r="K443" s="85"/>
      <c r="L443" s="10"/>
      <c r="M443" s="10"/>
      <c r="N443" s="10"/>
      <c r="O443" s="10"/>
      <c r="P443" s="85"/>
      <c r="Q443" s="88"/>
      <c r="R443" s="3">
        <f>IFERROR(VLOOKUP(TablaAbril[[#This Row],[BARRIO]],SECTOR!$A:$B,2,0),"")</f>
      </c>
      <c r="S443" s="89"/>
      <c r="T443" s="90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6"/>
      <c r="AZ443" s="120">
        <f>COUNTIF(U443:AY443,"A")</f>
      </c>
      <c r="BA443" s="121">
        <f>COUNTIF(U443:AY443,"F")</f>
      </c>
      <c r="BB443" s="119">
        <f>COUNTIF(U443:AY443,"E")</f>
      </c>
    </row>
    <row r="444" spans="1:54" x14ac:dyDescent="0.2">
      <c r="A444" s="84"/>
      <c r="B444" s="85"/>
      <c r="C444" s="85"/>
      <c r="D444" s="85"/>
      <c r="E444" s="86"/>
      <c r="F444" s="16">
        <f>IF(E444="","",DATEDIF(E444,$I$7,"Y"))</f>
      </c>
      <c r="G444" s="85"/>
      <c r="H444" s="85"/>
      <c r="I444" s="87"/>
      <c r="J444" s="85"/>
      <c r="K444" s="85"/>
      <c r="L444" s="10"/>
      <c r="M444" s="10"/>
      <c r="N444" s="10"/>
      <c r="O444" s="10"/>
      <c r="P444" s="85"/>
      <c r="Q444" s="88"/>
      <c r="R444" s="3">
        <f>IFERROR(VLOOKUP(TablaAbril[[#This Row],[BARRIO]],SECTOR!$A:$B,2,0),"")</f>
      </c>
      <c r="S444" s="89"/>
      <c r="T444" s="90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6"/>
      <c r="AZ444" s="120">
        <f>COUNTIF(U444:AY444,"A")</f>
      </c>
      <c r="BA444" s="121">
        <f>COUNTIF(U444:AY444,"F")</f>
      </c>
      <c r="BB444" s="119">
        <f>COUNTIF(U444:AY444,"E")</f>
      </c>
    </row>
    <row r="445" spans="1:54" x14ac:dyDescent="0.2">
      <c r="A445" s="84"/>
      <c r="B445" s="85"/>
      <c r="C445" s="85"/>
      <c r="D445" s="85"/>
      <c r="E445" s="86"/>
      <c r="F445" s="16">
        <f>IF(E445="","",DATEDIF(E445,$I$7,"Y"))</f>
      </c>
      <c r="G445" s="85"/>
      <c r="H445" s="85"/>
      <c r="I445" s="87"/>
      <c r="J445" s="85"/>
      <c r="K445" s="85"/>
      <c r="L445" s="10"/>
      <c r="M445" s="10"/>
      <c r="N445" s="10"/>
      <c r="O445" s="10"/>
      <c r="P445" s="85"/>
      <c r="Q445" s="88"/>
      <c r="R445" s="3">
        <f>IFERROR(VLOOKUP(TablaAbril[[#This Row],[BARRIO]],SECTOR!$A:$B,2,0),"")</f>
      </c>
      <c r="S445" s="89"/>
      <c r="T445" s="90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6"/>
      <c r="AZ445" s="120">
        <f>COUNTIF(U445:AY445,"A")</f>
      </c>
      <c r="BA445" s="121">
        <f>COUNTIF(U445:AY445,"F")</f>
      </c>
      <c r="BB445" s="119">
        <f>COUNTIF(U445:AY445,"E")</f>
      </c>
    </row>
    <row r="446" spans="1:54" x14ac:dyDescent="0.2">
      <c r="A446" s="84"/>
      <c r="B446" s="85"/>
      <c r="C446" s="85"/>
      <c r="D446" s="85"/>
      <c r="E446" s="86"/>
      <c r="F446" s="16">
        <f>IF(E446="","",DATEDIF(E446,$I$7,"Y"))</f>
      </c>
      <c r="G446" s="85"/>
      <c r="H446" s="85"/>
      <c r="I446" s="87"/>
      <c r="J446" s="85"/>
      <c r="K446" s="85"/>
      <c r="L446" s="10"/>
      <c r="M446" s="10"/>
      <c r="N446" s="10"/>
      <c r="O446" s="10"/>
      <c r="P446" s="85"/>
      <c r="Q446" s="88"/>
      <c r="R446" s="3">
        <f>IFERROR(VLOOKUP(TablaAbril[[#This Row],[BARRIO]],SECTOR!$A:$B,2,0),"")</f>
      </c>
      <c r="S446" s="89"/>
      <c r="T446" s="90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6"/>
      <c r="AZ446" s="120">
        <f>COUNTIF(U446:AY446,"A")</f>
      </c>
      <c r="BA446" s="121">
        <f>COUNTIF(U446:AY446,"F")</f>
      </c>
      <c r="BB446" s="119">
        <f>COUNTIF(U446:AY446,"E")</f>
      </c>
    </row>
    <row r="447" spans="1:54" x14ac:dyDescent="0.2">
      <c r="A447" s="84"/>
      <c r="B447" s="85"/>
      <c r="C447" s="85"/>
      <c r="D447" s="85"/>
      <c r="E447" s="86"/>
      <c r="F447" s="16">
        <f>IF(E447="","",DATEDIF(E447,$I$7,"Y"))</f>
      </c>
      <c r="G447" s="85"/>
      <c r="H447" s="85"/>
      <c r="I447" s="87"/>
      <c r="J447" s="85"/>
      <c r="K447" s="85"/>
      <c r="L447" s="10"/>
      <c r="M447" s="10"/>
      <c r="N447" s="10"/>
      <c r="O447" s="10"/>
      <c r="P447" s="85"/>
      <c r="Q447" s="88"/>
      <c r="R447" s="3">
        <f>IFERROR(VLOOKUP(TablaAbril[[#This Row],[BARRIO]],SECTOR!$A:$B,2,0),"")</f>
      </c>
      <c r="S447" s="89"/>
      <c r="T447" s="90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6"/>
      <c r="AZ447" s="120">
        <f>COUNTIF(U447:AY447,"A")</f>
      </c>
      <c r="BA447" s="121">
        <f>COUNTIF(U447:AY447,"F")</f>
      </c>
      <c r="BB447" s="119">
        <f>COUNTIF(U447:AY447,"E")</f>
      </c>
    </row>
    <row r="448" spans="1:54" x14ac:dyDescent="0.2">
      <c r="A448" s="84"/>
      <c r="B448" s="85"/>
      <c r="C448" s="85"/>
      <c r="D448" s="85"/>
      <c r="E448" s="86"/>
      <c r="F448" s="16">
        <f>IF(E448="","",DATEDIF(E448,$I$7,"Y"))</f>
      </c>
      <c r="G448" s="85"/>
      <c r="H448" s="85"/>
      <c r="I448" s="87"/>
      <c r="J448" s="85"/>
      <c r="K448" s="85"/>
      <c r="L448" s="10"/>
      <c r="M448" s="10"/>
      <c r="N448" s="10"/>
      <c r="O448" s="10"/>
      <c r="P448" s="85"/>
      <c r="Q448" s="88"/>
      <c r="R448" s="3">
        <f>IFERROR(VLOOKUP(TablaAbril[[#This Row],[BARRIO]],SECTOR!$A:$B,2,0),"")</f>
      </c>
      <c r="S448" s="89"/>
      <c r="T448" s="90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6"/>
      <c r="AZ448" s="120">
        <f>COUNTIF(U448:AY448,"A")</f>
      </c>
      <c r="BA448" s="121">
        <f>COUNTIF(U448:AY448,"F")</f>
      </c>
      <c r="BB448" s="119">
        <f>COUNTIF(U448:AY448,"E")</f>
      </c>
    </row>
    <row r="449" spans="1:54" x14ac:dyDescent="0.2">
      <c r="A449" s="84"/>
      <c r="B449" s="85"/>
      <c r="C449" s="85"/>
      <c r="D449" s="85"/>
      <c r="E449" s="86"/>
      <c r="F449" s="16">
        <f>IF(E449="","",DATEDIF(E449,$I$7,"Y"))</f>
      </c>
      <c r="G449" s="85"/>
      <c r="H449" s="85"/>
      <c r="I449" s="87"/>
      <c r="J449" s="85"/>
      <c r="K449" s="85"/>
      <c r="L449" s="10"/>
      <c r="M449" s="10"/>
      <c r="N449" s="10"/>
      <c r="O449" s="10"/>
      <c r="P449" s="85"/>
      <c r="Q449" s="88"/>
      <c r="R449" s="3">
        <f>IFERROR(VLOOKUP(TablaAbril[[#This Row],[BARRIO]],SECTOR!$A:$B,2,0),"")</f>
      </c>
      <c r="S449" s="89"/>
      <c r="T449" s="90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6"/>
      <c r="AZ449" s="120">
        <f>COUNTIF(U449:AY449,"A")</f>
      </c>
      <c r="BA449" s="121">
        <f>COUNTIF(U449:AY449,"F")</f>
      </c>
      <c r="BB449" s="119">
        <f>COUNTIF(U449:AY449,"E")</f>
      </c>
    </row>
    <row r="450" spans="1:54" x14ac:dyDescent="0.2">
      <c r="A450" s="84"/>
      <c r="B450" s="85"/>
      <c r="C450" s="85"/>
      <c r="D450" s="85"/>
      <c r="E450" s="86"/>
      <c r="F450" s="16">
        <f>IF(E450="","",DATEDIF(E450,$I$7,"Y"))</f>
      </c>
      <c r="G450" s="85"/>
      <c r="H450" s="85"/>
      <c r="I450" s="87"/>
      <c r="J450" s="85"/>
      <c r="K450" s="85"/>
      <c r="L450" s="10"/>
      <c r="M450" s="10"/>
      <c r="N450" s="10"/>
      <c r="O450" s="10"/>
      <c r="P450" s="85"/>
      <c r="Q450" s="88"/>
      <c r="R450" s="3">
        <f>IFERROR(VLOOKUP(TablaAbril[[#This Row],[BARRIO]],SECTOR!$A:$B,2,0),"")</f>
      </c>
      <c r="S450" s="89"/>
      <c r="T450" s="90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6"/>
      <c r="AZ450" s="120">
        <f>COUNTIF(U450:AY450,"A")</f>
      </c>
      <c r="BA450" s="121">
        <f>COUNTIF(U450:AY450,"F")</f>
      </c>
      <c r="BB450" s="119">
        <f>COUNTIF(U450:AY450,"E")</f>
      </c>
    </row>
    <row r="451" spans="1:54" x14ac:dyDescent="0.2">
      <c r="A451" s="84"/>
      <c r="B451" s="85"/>
      <c r="C451" s="85"/>
      <c r="D451" s="85"/>
      <c r="E451" s="86"/>
      <c r="F451" s="16">
        <f>IF(E451="","",DATEDIF(E451,$I$7,"Y"))</f>
      </c>
      <c r="G451" s="85"/>
      <c r="H451" s="85"/>
      <c r="I451" s="87"/>
      <c r="J451" s="85"/>
      <c r="K451" s="85"/>
      <c r="L451" s="10"/>
      <c r="M451" s="10"/>
      <c r="N451" s="10"/>
      <c r="O451" s="10"/>
      <c r="P451" s="85"/>
      <c r="Q451" s="88"/>
      <c r="R451" s="3">
        <f>IFERROR(VLOOKUP(TablaAbril[[#This Row],[BARRIO]],SECTOR!$A:$B,2,0),"")</f>
      </c>
      <c r="S451" s="89"/>
      <c r="T451" s="90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6"/>
      <c r="AZ451" s="120">
        <f>COUNTIF(U451:AY451,"A")</f>
      </c>
      <c r="BA451" s="121">
        <f>COUNTIF(U451:AY451,"F")</f>
      </c>
      <c r="BB451" s="119">
        <f>COUNTIF(U451:AY451,"E")</f>
      </c>
    </row>
    <row r="452" spans="1:54" x14ac:dyDescent="0.2">
      <c r="A452" s="84"/>
      <c r="B452" s="85"/>
      <c r="C452" s="85"/>
      <c r="D452" s="85"/>
      <c r="E452" s="86"/>
      <c r="F452" s="16">
        <f>IF(E452="","",DATEDIF(E452,$I$7,"Y"))</f>
      </c>
      <c r="G452" s="85"/>
      <c r="H452" s="85"/>
      <c r="I452" s="87"/>
      <c r="J452" s="85"/>
      <c r="K452" s="85"/>
      <c r="L452" s="10"/>
      <c r="M452" s="10"/>
      <c r="N452" s="10"/>
      <c r="O452" s="10"/>
      <c r="P452" s="85"/>
      <c r="Q452" s="88"/>
      <c r="R452" s="3">
        <f>IFERROR(VLOOKUP(TablaAbril[[#This Row],[BARRIO]],SECTOR!$A:$B,2,0),"")</f>
      </c>
      <c r="S452" s="89"/>
      <c r="T452" s="90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6"/>
      <c r="AZ452" s="120">
        <f>COUNTIF(U452:AY452,"A")</f>
      </c>
      <c r="BA452" s="121">
        <f>COUNTIF(U452:AY452,"F")</f>
      </c>
      <c r="BB452" s="119">
        <f>COUNTIF(U452:AY452,"E")</f>
      </c>
    </row>
    <row r="453" spans="1:54" x14ac:dyDescent="0.2">
      <c r="A453" s="84"/>
      <c r="B453" s="85"/>
      <c r="C453" s="85"/>
      <c r="D453" s="85"/>
      <c r="E453" s="86"/>
      <c r="F453" s="16">
        <f>IF(E453="","",DATEDIF(E453,$I$7,"Y"))</f>
      </c>
      <c r="G453" s="85"/>
      <c r="H453" s="85"/>
      <c r="I453" s="87"/>
      <c r="J453" s="85"/>
      <c r="K453" s="85"/>
      <c r="L453" s="10"/>
      <c r="M453" s="10"/>
      <c r="N453" s="10"/>
      <c r="O453" s="10"/>
      <c r="P453" s="85"/>
      <c r="Q453" s="88"/>
      <c r="R453" s="3">
        <f>IFERROR(VLOOKUP(TablaAbril[[#This Row],[BARRIO]],SECTOR!$A:$B,2,0),"")</f>
      </c>
      <c r="S453" s="89"/>
      <c r="T453" s="90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6"/>
      <c r="AZ453" s="120">
        <f>COUNTIF(U453:AY453,"A")</f>
      </c>
      <c r="BA453" s="121">
        <f>COUNTIF(U453:AY453,"F")</f>
      </c>
      <c r="BB453" s="119">
        <f>COUNTIF(U453:AY453,"E")</f>
      </c>
    </row>
    <row r="454" spans="1:54" x14ac:dyDescent="0.2">
      <c r="A454" s="84"/>
      <c r="B454" s="85"/>
      <c r="C454" s="85"/>
      <c r="D454" s="85"/>
      <c r="E454" s="86"/>
      <c r="F454" s="16">
        <f>IF(E454="","",DATEDIF(E454,$I$7,"Y"))</f>
      </c>
      <c r="G454" s="85"/>
      <c r="H454" s="85"/>
      <c r="I454" s="87"/>
      <c r="J454" s="85"/>
      <c r="K454" s="85"/>
      <c r="L454" s="10"/>
      <c r="M454" s="10"/>
      <c r="N454" s="10"/>
      <c r="O454" s="10"/>
      <c r="P454" s="85"/>
      <c r="Q454" s="88"/>
      <c r="R454" s="3">
        <f>IFERROR(VLOOKUP(TablaAbril[[#This Row],[BARRIO]],SECTOR!$A:$B,2,0),"")</f>
      </c>
      <c r="S454" s="89"/>
      <c r="T454" s="90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6"/>
      <c r="AZ454" s="120">
        <f>COUNTIF(U454:AY454,"A")</f>
      </c>
      <c r="BA454" s="121">
        <f>COUNTIF(U454:AY454,"F")</f>
      </c>
      <c r="BB454" s="119">
        <f>COUNTIF(U454:AY454,"E")</f>
      </c>
    </row>
    <row r="455" spans="1:54" x14ac:dyDescent="0.2">
      <c r="A455" s="84"/>
      <c r="B455" s="85"/>
      <c r="C455" s="85"/>
      <c r="D455" s="85"/>
      <c r="E455" s="86"/>
      <c r="F455" s="16">
        <f>IF(E455="","",DATEDIF(E455,$I$7,"Y"))</f>
      </c>
      <c r="G455" s="85"/>
      <c r="H455" s="85"/>
      <c r="I455" s="87"/>
      <c r="J455" s="85"/>
      <c r="K455" s="85"/>
      <c r="L455" s="10"/>
      <c r="M455" s="10"/>
      <c r="N455" s="10"/>
      <c r="O455" s="10"/>
      <c r="P455" s="85"/>
      <c r="Q455" s="88"/>
      <c r="R455" s="3">
        <f>IFERROR(VLOOKUP(TablaAbril[[#This Row],[BARRIO]],SECTOR!$A:$B,2,0),"")</f>
      </c>
      <c r="S455" s="89"/>
      <c r="T455" s="90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6"/>
      <c r="AZ455" s="120">
        <f>COUNTIF(U455:AY455,"A")</f>
      </c>
      <c r="BA455" s="121">
        <f>COUNTIF(U455:AY455,"F")</f>
      </c>
      <c r="BB455" s="119">
        <f>COUNTIF(U455:AY455,"E")</f>
      </c>
    </row>
    <row r="456" spans="1:54" x14ac:dyDescent="0.2">
      <c r="A456" s="84"/>
      <c r="B456" s="85"/>
      <c r="C456" s="85"/>
      <c r="D456" s="85"/>
      <c r="E456" s="86"/>
      <c r="F456" s="16">
        <f>IF(E456="","",DATEDIF(E456,$I$7,"Y"))</f>
      </c>
      <c r="G456" s="85"/>
      <c r="H456" s="85"/>
      <c r="I456" s="87"/>
      <c r="J456" s="85"/>
      <c r="K456" s="85"/>
      <c r="L456" s="10"/>
      <c r="M456" s="10"/>
      <c r="N456" s="10"/>
      <c r="O456" s="10"/>
      <c r="P456" s="85"/>
      <c r="Q456" s="88"/>
      <c r="R456" s="3">
        <f>IFERROR(VLOOKUP(TablaAbril[[#This Row],[BARRIO]],SECTOR!$A:$B,2,0),"")</f>
      </c>
      <c r="S456" s="89"/>
      <c r="T456" s="90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6"/>
      <c r="AZ456" s="120">
        <f>COUNTIF(U456:AY456,"A")</f>
      </c>
      <c r="BA456" s="121">
        <f>COUNTIF(U456:AY456,"F")</f>
      </c>
      <c r="BB456" s="119">
        <f>COUNTIF(U456:AY456,"E")</f>
      </c>
    </row>
    <row r="457" spans="1:54" x14ac:dyDescent="0.2">
      <c r="A457" s="84"/>
      <c r="B457" s="85"/>
      <c r="C457" s="85"/>
      <c r="D457" s="85"/>
      <c r="E457" s="86"/>
      <c r="F457" s="16">
        <f>IF(E457="","",DATEDIF(E457,$I$7,"Y"))</f>
      </c>
      <c r="G457" s="85"/>
      <c r="H457" s="85"/>
      <c r="I457" s="87"/>
      <c r="J457" s="85"/>
      <c r="K457" s="85"/>
      <c r="L457" s="10"/>
      <c r="M457" s="10"/>
      <c r="N457" s="10"/>
      <c r="O457" s="10"/>
      <c r="P457" s="85"/>
      <c r="Q457" s="88"/>
      <c r="R457" s="3">
        <f>IFERROR(VLOOKUP(TablaAbril[[#This Row],[BARRIO]],SECTOR!$A:$B,2,0),"")</f>
      </c>
      <c r="S457" s="89"/>
      <c r="T457" s="90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6"/>
      <c r="AZ457" s="120">
        <f>COUNTIF(U457:AY457,"A")</f>
      </c>
      <c r="BA457" s="121">
        <f>COUNTIF(U457:AY457,"F")</f>
      </c>
      <c r="BB457" s="119">
        <f>COUNTIF(U457:AY457,"E")</f>
      </c>
    </row>
    <row r="458" spans="1:54" x14ac:dyDescent="0.2">
      <c r="A458" s="84"/>
      <c r="B458" s="85"/>
      <c r="C458" s="85"/>
      <c r="D458" s="85"/>
      <c r="E458" s="86"/>
      <c r="F458" s="16">
        <f>IF(E458="","",DATEDIF(E458,$I$7,"Y"))</f>
      </c>
      <c r="G458" s="85"/>
      <c r="H458" s="85"/>
      <c r="I458" s="87"/>
      <c r="J458" s="85"/>
      <c r="K458" s="85"/>
      <c r="L458" s="10"/>
      <c r="M458" s="10"/>
      <c r="N458" s="10"/>
      <c r="O458" s="10"/>
      <c r="P458" s="85"/>
      <c r="Q458" s="88"/>
      <c r="R458" s="3">
        <f>IFERROR(VLOOKUP(TablaAbril[[#This Row],[BARRIO]],SECTOR!$A:$B,2,0),"")</f>
      </c>
      <c r="S458" s="89"/>
      <c r="T458" s="90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6"/>
      <c r="AZ458" s="120">
        <f>COUNTIF(U458:AY458,"A")</f>
      </c>
      <c r="BA458" s="121">
        <f>COUNTIF(U458:AY458,"F")</f>
      </c>
      <c r="BB458" s="119">
        <f>COUNTIF(U458:AY458,"E")</f>
      </c>
    </row>
    <row r="459" spans="1:54" x14ac:dyDescent="0.2">
      <c r="A459" s="84"/>
      <c r="B459" s="85"/>
      <c r="C459" s="85"/>
      <c r="D459" s="85"/>
      <c r="E459" s="86"/>
      <c r="F459" s="16">
        <f>IF(E459="","",DATEDIF(E459,$I$7,"Y"))</f>
      </c>
      <c r="G459" s="85"/>
      <c r="H459" s="85"/>
      <c r="I459" s="87"/>
      <c r="J459" s="85"/>
      <c r="K459" s="85"/>
      <c r="L459" s="10"/>
      <c r="M459" s="10"/>
      <c r="N459" s="10"/>
      <c r="O459" s="10"/>
      <c r="P459" s="85"/>
      <c r="Q459" s="88"/>
      <c r="R459" s="3">
        <f>IFERROR(VLOOKUP(TablaAbril[[#This Row],[BARRIO]],SECTOR!$A:$B,2,0),"")</f>
      </c>
      <c r="S459" s="89"/>
      <c r="T459" s="90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6"/>
      <c r="AZ459" s="120">
        <f>COUNTIF(U459:AY459,"A")</f>
      </c>
      <c r="BA459" s="121">
        <f>COUNTIF(U459:AY459,"F")</f>
      </c>
      <c r="BB459" s="119">
        <f>COUNTIF(U459:AY459,"E")</f>
      </c>
    </row>
    <row r="460" spans="1:54" x14ac:dyDescent="0.2">
      <c r="A460" s="84"/>
      <c r="B460" s="85"/>
      <c r="C460" s="85"/>
      <c r="D460" s="85"/>
      <c r="E460" s="86"/>
      <c r="F460" s="16">
        <f>IF(E460="","",DATEDIF(E460,$I$7,"Y"))</f>
      </c>
      <c r="G460" s="85"/>
      <c r="H460" s="85"/>
      <c r="I460" s="87"/>
      <c r="J460" s="85"/>
      <c r="K460" s="85"/>
      <c r="L460" s="10"/>
      <c r="M460" s="10"/>
      <c r="N460" s="10"/>
      <c r="O460" s="10"/>
      <c r="P460" s="85"/>
      <c r="Q460" s="88"/>
      <c r="R460" s="3">
        <f>IFERROR(VLOOKUP(TablaAbril[[#This Row],[BARRIO]],SECTOR!$A:$B,2,0),"")</f>
      </c>
      <c r="S460" s="89"/>
      <c r="T460" s="90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6"/>
      <c r="AZ460" s="120">
        <f>COUNTIF(U460:AY460,"A")</f>
      </c>
      <c r="BA460" s="121">
        <f>COUNTIF(U460:AY460,"F")</f>
      </c>
      <c r="BB460" s="119">
        <f>COUNTIF(U460:AY460,"E")</f>
      </c>
    </row>
    <row r="461" spans="1:54" x14ac:dyDescent="0.2">
      <c r="A461" s="84"/>
      <c r="B461" s="85"/>
      <c r="C461" s="85"/>
      <c r="D461" s="85"/>
      <c r="E461" s="86"/>
      <c r="F461" s="16">
        <f>IF(E461="","",DATEDIF(E461,$I$7,"Y"))</f>
      </c>
      <c r="G461" s="85"/>
      <c r="H461" s="85"/>
      <c r="I461" s="87"/>
      <c r="J461" s="85"/>
      <c r="K461" s="85"/>
      <c r="L461" s="10"/>
      <c r="M461" s="10"/>
      <c r="N461" s="10"/>
      <c r="O461" s="10"/>
      <c r="P461" s="85"/>
      <c r="Q461" s="88"/>
      <c r="R461" s="3">
        <f>IFERROR(VLOOKUP(TablaAbril[[#This Row],[BARRIO]],SECTOR!$A:$B,2,0),"")</f>
      </c>
      <c r="S461" s="89"/>
      <c r="T461" s="90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6"/>
      <c r="AZ461" s="120">
        <f>COUNTIF(U461:AY461,"A")</f>
      </c>
      <c r="BA461" s="121">
        <f>COUNTIF(U461:AY461,"F")</f>
      </c>
      <c r="BB461" s="119">
        <f>COUNTIF(U461:AY461,"E")</f>
      </c>
    </row>
    <row r="462" spans="1:54" x14ac:dyDescent="0.2">
      <c r="A462" s="84"/>
      <c r="B462" s="85"/>
      <c r="C462" s="85"/>
      <c r="D462" s="85"/>
      <c r="E462" s="86"/>
      <c r="F462" s="16">
        <f>IF(E462="","",DATEDIF(E462,$I$7,"Y"))</f>
      </c>
      <c r="G462" s="85"/>
      <c r="H462" s="85"/>
      <c r="I462" s="87"/>
      <c r="J462" s="85"/>
      <c r="K462" s="85"/>
      <c r="L462" s="10"/>
      <c r="M462" s="10"/>
      <c r="N462" s="10"/>
      <c r="O462" s="10"/>
      <c r="P462" s="85"/>
      <c r="Q462" s="88"/>
      <c r="R462" s="3">
        <f>IFERROR(VLOOKUP(TablaAbril[[#This Row],[BARRIO]],SECTOR!$A:$B,2,0),"")</f>
      </c>
      <c r="S462" s="89"/>
      <c r="T462" s="90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6"/>
      <c r="AZ462" s="120">
        <f>COUNTIF(U462:AY462,"A")</f>
      </c>
      <c r="BA462" s="121">
        <f>COUNTIF(U462:AY462,"F")</f>
      </c>
      <c r="BB462" s="119">
        <f>COUNTIF(U462:AY462,"E")</f>
      </c>
    </row>
    <row r="463" spans="1:54" x14ac:dyDescent="0.2">
      <c r="A463" s="84"/>
      <c r="B463" s="85"/>
      <c r="C463" s="85"/>
      <c r="D463" s="85"/>
      <c r="E463" s="86"/>
      <c r="F463" s="16">
        <f>IF(E463="","",DATEDIF(E463,$I$7,"Y"))</f>
      </c>
      <c r="G463" s="85"/>
      <c r="H463" s="85"/>
      <c r="I463" s="87"/>
      <c r="J463" s="85"/>
      <c r="K463" s="85"/>
      <c r="L463" s="10"/>
      <c r="M463" s="10"/>
      <c r="N463" s="10"/>
      <c r="O463" s="10"/>
      <c r="P463" s="85"/>
      <c r="Q463" s="88"/>
      <c r="R463" s="3">
        <f>IFERROR(VLOOKUP(TablaAbril[[#This Row],[BARRIO]],SECTOR!$A:$B,2,0),"")</f>
      </c>
      <c r="S463" s="89"/>
      <c r="T463" s="90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6"/>
      <c r="AZ463" s="120">
        <f>COUNTIF(U463:AY463,"A")</f>
      </c>
      <c r="BA463" s="121">
        <f>COUNTIF(U463:AY463,"F")</f>
      </c>
      <c r="BB463" s="119">
        <f>COUNTIF(U463:AY463,"E")</f>
      </c>
    </row>
    <row r="464" spans="1:54" x14ac:dyDescent="0.2">
      <c r="A464" s="84"/>
      <c r="B464" s="85"/>
      <c r="C464" s="85"/>
      <c r="D464" s="85"/>
      <c r="E464" s="86"/>
      <c r="F464" s="16">
        <f>IF(E464="","",DATEDIF(E464,$I$7,"Y"))</f>
      </c>
      <c r="G464" s="85"/>
      <c r="H464" s="85"/>
      <c r="I464" s="87"/>
      <c r="J464" s="85"/>
      <c r="K464" s="85"/>
      <c r="L464" s="10"/>
      <c r="M464" s="10"/>
      <c r="N464" s="10"/>
      <c r="O464" s="10"/>
      <c r="P464" s="85"/>
      <c r="Q464" s="88"/>
      <c r="R464" s="3">
        <f>IFERROR(VLOOKUP(TablaAbril[[#This Row],[BARRIO]],SECTOR!$A:$B,2,0),"")</f>
      </c>
      <c r="S464" s="89"/>
      <c r="T464" s="90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6"/>
      <c r="AZ464" s="120">
        <f>COUNTIF(U464:AY464,"A")</f>
      </c>
      <c r="BA464" s="121">
        <f>COUNTIF(U464:AY464,"F")</f>
      </c>
      <c r="BB464" s="119">
        <f>COUNTIF(U464:AY464,"E")</f>
      </c>
    </row>
    <row r="465" spans="1:54" x14ac:dyDescent="0.2">
      <c r="A465" s="84"/>
      <c r="B465" s="85"/>
      <c r="C465" s="85"/>
      <c r="D465" s="85"/>
      <c r="E465" s="86"/>
      <c r="F465" s="16">
        <f>IF(E465="","",DATEDIF(E465,$I$7,"Y"))</f>
      </c>
      <c r="G465" s="85"/>
      <c r="H465" s="85"/>
      <c r="I465" s="87"/>
      <c r="J465" s="85"/>
      <c r="K465" s="85"/>
      <c r="L465" s="10"/>
      <c r="M465" s="10"/>
      <c r="N465" s="10"/>
      <c r="O465" s="10"/>
      <c r="P465" s="85"/>
      <c r="Q465" s="88"/>
      <c r="R465" s="3">
        <f>IFERROR(VLOOKUP(TablaAbril[[#This Row],[BARRIO]],SECTOR!$A:$B,2,0),"")</f>
      </c>
      <c r="S465" s="89"/>
      <c r="T465" s="90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6"/>
      <c r="AZ465" s="120">
        <f>COUNTIF(U465:AY465,"A")</f>
      </c>
      <c r="BA465" s="121">
        <f>COUNTIF(U465:AY465,"F")</f>
      </c>
      <c r="BB465" s="119">
        <f>COUNTIF(U465:AY465,"E")</f>
      </c>
    </row>
    <row r="466" spans="1:54" x14ac:dyDescent="0.2">
      <c r="A466" s="84"/>
      <c r="B466" s="85"/>
      <c r="C466" s="85"/>
      <c r="D466" s="85"/>
      <c r="E466" s="86"/>
      <c r="F466" s="16">
        <f>IF(E466="","",DATEDIF(E466,$I$7,"Y"))</f>
      </c>
      <c r="G466" s="85"/>
      <c r="H466" s="85"/>
      <c r="I466" s="87"/>
      <c r="J466" s="85"/>
      <c r="K466" s="85"/>
      <c r="L466" s="10"/>
      <c r="M466" s="10"/>
      <c r="N466" s="10"/>
      <c r="O466" s="10"/>
      <c r="P466" s="85"/>
      <c r="Q466" s="88"/>
      <c r="R466" s="3">
        <f>IFERROR(VLOOKUP(TablaAbril[[#This Row],[BARRIO]],SECTOR!$A:$B,2,0),"")</f>
      </c>
      <c r="S466" s="89"/>
      <c r="T466" s="90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6"/>
      <c r="AZ466" s="120">
        <f>COUNTIF(U466:AY466,"A")</f>
      </c>
      <c r="BA466" s="121">
        <f>COUNTIF(U466:AY466,"F")</f>
      </c>
      <c r="BB466" s="119">
        <f>COUNTIF(U466:AY466,"E")</f>
      </c>
    </row>
    <row r="467" spans="1:54" x14ac:dyDescent="0.2">
      <c r="A467" s="84"/>
      <c r="B467" s="85"/>
      <c r="C467" s="85"/>
      <c r="D467" s="85"/>
      <c r="E467" s="86"/>
      <c r="F467" s="16">
        <f>IF(E467="","",DATEDIF(E467,$I$7,"Y"))</f>
      </c>
      <c r="G467" s="85"/>
      <c r="H467" s="85"/>
      <c r="I467" s="87"/>
      <c r="J467" s="85"/>
      <c r="K467" s="85"/>
      <c r="L467" s="10"/>
      <c r="M467" s="10"/>
      <c r="N467" s="10"/>
      <c r="O467" s="10"/>
      <c r="P467" s="85"/>
      <c r="Q467" s="88"/>
      <c r="R467" s="3">
        <f>IFERROR(VLOOKUP(TablaAbril[[#This Row],[BARRIO]],SECTOR!$A:$B,2,0),"")</f>
      </c>
      <c r="S467" s="89"/>
      <c r="T467" s="90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6"/>
      <c r="AZ467" s="120">
        <f>COUNTIF(U467:AY467,"A")</f>
      </c>
      <c r="BA467" s="121">
        <f>COUNTIF(U467:AY467,"F")</f>
      </c>
      <c r="BB467" s="119">
        <f>COUNTIF(U467:AY467,"E")</f>
      </c>
    </row>
    <row r="468" spans="1:54" x14ac:dyDescent="0.2">
      <c r="A468" s="84"/>
      <c r="B468" s="85"/>
      <c r="C468" s="85"/>
      <c r="D468" s="85"/>
      <c r="E468" s="86"/>
      <c r="F468" s="16">
        <f>IF(E468="","",DATEDIF(E468,$I$7,"Y"))</f>
      </c>
      <c r="G468" s="85"/>
      <c r="H468" s="85"/>
      <c r="I468" s="87"/>
      <c r="J468" s="85"/>
      <c r="K468" s="85"/>
      <c r="L468" s="10"/>
      <c r="M468" s="10"/>
      <c r="N468" s="10"/>
      <c r="O468" s="10"/>
      <c r="P468" s="85"/>
      <c r="Q468" s="88"/>
      <c r="R468" s="3">
        <f>IFERROR(VLOOKUP(TablaAbril[[#This Row],[BARRIO]],SECTOR!$A:$B,2,0),"")</f>
      </c>
      <c r="S468" s="89"/>
      <c r="T468" s="90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6"/>
      <c r="AZ468" s="120">
        <f>COUNTIF(U468:AY468,"A")</f>
      </c>
      <c r="BA468" s="121">
        <f>COUNTIF(U468:AY468,"F")</f>
      </c>
      <c r="BB468" s="119">
        <f>COUNTIF(U468:AY468,"E")</f>
      </c>
    </row>
    <row r="469" spans="1:54" x14ac:dyDescent="0.2">
      <c r="A469" s="84"/>
      <c r="B469" s="85"/>
      <c r="C469" s="85"/>
      <c r="D469" s="85"/>
      <c r="E469" s="86"/>
      <c r="F469" s="16">
        <f>IF(E469="","",DATEDIF(E469,$I$7,"Y"))</f>
      </c>
      <c r="G469" s="85"/>
      <c r="H469" s="85"/>
      <c r="I469" s="87"/>
      <c r="J469" s="85"/>
      <c r="K469" s="85"/>
      <c r="L469" s="10"/>
      <c r="M469" s="10"/>
      <c r="N469" s="10"/>
      <c r="O469" s="10"/>
      <c r="P469" s="85"/>
      <c r="Q469" s="88"/>
      <c r="R469" s="3">
        <f>IFERROR(VLOOKUP(TablaAbril[[#This Row],[BARRIO]],SECTOR!$A:$B,2,0),"")</f>
      </c>
      <c r="S469" s="89"/>
      <c r="T469" s="90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6"/>
      <c r="AZ469" s="120">
        <f>COUNTIF(U469:AY469,"A")</f>
      </c>
      <c r="BA469" s="121">
        <f>COUNTIF(U469:AY469,"F")</f>
      </c>
      <c r="BB469" s="119">
        <f>COUNTIF(U469:AY469,"E")</f>
      </c>
    </row>
    <row r="470" spans="1:54" x14ac:dyDescent="0.2">
      <c r="A470" s="84"/>
      <c r="B470" s="85"/>
      <c r="C470" s="85"/>
      <c r="D470" s="85"/>
      <c r="E470" s="86"/>
      <c r="F470" s="16">
        <f>IF(E470="","",DATEDIF(E470,$I$7,"Y"))</f>
      </c>
      <c r="G470" s="85"/>
      <c r="H470" s="85"/>
      <c r="I470" s="87"/>
      <c r="J470" s="85"/>
      <c r="K470" s="85"/>
      <c r="L470" s="10"/>
      <c r="M470" s="10"/>
      <c r="N470" s="10"/>
      <c r="O470" s="10"/>
      <c r="P470" s="85"/>
      <c r="Q470" s="88"/>
      <c r="R470" s="3">
        <f>IFERROR(VLOOKUP(TablaAbril[[#This Row],[BARRIO]],SECTOR!$A:$B,2,0),"")</f>
      </c>
      <c r="S470" s="89"/>
      <c r="T470" s="90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6"/>
      <c r="AZ470" s="120">
        <f>COUNTIF(U470:AY470,"A")</f>
      </c>
      <c r="BA470" s="121">
        <f>COUNTIF(U470:AY470,"F")</f>
      </c>
      <c r="BB470" s="119">
        <f>COUNTIF(U470:AY470,"E")</f>
      </c>
    </row>
    <row r="471" spans="1:54" x14ac:dyDescent="0.2">
      <c r="A471" s="84"/>
      <c r="B471" s="85"/>
      <c r="C471" s="85"/>
      <c r="D471" s="85"/>
      <c r="E471" s="86"/>
      <c r="F471" s="16">
        <f>IF(E471="","",DATEDIF(E471,$I$7,"Y"))</f>
      </c>
      <c r="G471" s="85"/>
      <c r="H471" s="85"/>
      <c r="I471" s="87"/>
      <c r="J471" s="85"/>
      <c r="K471" s="85"/>
      <c r="L471" s="10"/>
      <c r="M471" s="10"/>
      <c r="N471" s="10"/>
      <c r="O471" s="10"/>
      <c r="P471" s="85"/>
      <c r="Q471" s="88"/>
      <c r="R471" s="3">
        <f>IFERROR(VLOOKUP(TablaAbril[[#This Row],[BARRIO]],SECTOR!$A:$B,2,0),"")</f>
      </c>
      <c r="S471" s="89"/>
      <c r="T471" s="90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6"/>
      <c r="AZ471" s="120">
        <f>COUNTIF(U471:AY471,"A")</f>
      </c>
      <c r="BA471" s="121">
        <f>COUNTIF(U471:AY471,"F")</f>
      </c>
      <c r="BB471" s="119">
        <f>COUNTIF(U471:AY471,"E")</f>
      </c>
    </row>
    <row r="472" spans="1:54" x14ac:dyDescent="0.2">
      <c r="A472" s="84"/>
      <c r="B472" s="85"/>
      <c r="C472" s="85"/>
      <c r="D472" s="85"/>
      <c r="E472" s="86"/>
      <c r="F472" s="16">
        <f>IF(E472="","",DATEDIF(E472,$I$7,"Y"))</f>
      </c>
      <c r="G472" s="85"/>
      <c r="H472" s="85"/>
      <c r="I472" s="87"/>
      <c r="J472" s="85"/>
      <c r="K472" s="85"/>
      <c r="L472" s="10"/>
      <c r="M472" s="10"/>
      <c r="N472" s="10"/>
      <c r="O472" s="10"/>
      <c r="P472" s="85"/>
      <c r="Q472" s="88"/>
      <c r="R472" s="3">
        <f>IFERROR(VLOOKUP(TablaAbril[[#This Row],[BARRIO]],SECTOR!$A:$B,2,0),"")</f>
      </c>
      <c r="S472" s="89"/>
      <c r="T472" s="90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6"/>
      <c r="AZ472" s="120">
        <f>COUNTIF(U472:AY472,"A")</f>
      </c>
      <c r="BA472" s="121">
        <f>COUNTIF(U472:AY472,"F")</f>
      </c>
      <c r="BB472" s="119">
        <f>COUNTIF(U472:AY472,"E")</f>
      </c>
    </row>
    <row r="473" spans="1:54" x14ac:dyDescent="0.2">
      <c r="A473" s="84"/>
      <c r="B473" s="85"/>
      <c r="C473" s="85"/>
      <c r="D473" s="85"/>
      <c r="E473" s="86"/>
      <c r="F473" s="16">
        <f>IF(E473="","",DATEDIF(E473,$I$7,"Y"))</f>
      </c>
      <c r="G473" s="85"/>
      <c r="H473" s="85"/>
      <c r="I473" s="87"/>
      <c r="J473" s="85"/>
      <c r="K473" s="85"/>
      <c r="L473" s="10"/>
      <c r="M473" s="10"/>
      <c r="N473" s="10"/>
      <c r="O473" s="10"/>
      <c r="P473" s="85"/>
      <c r="Q473" s="88"/>
      <c r="R473" s="3">
        <f>IFERROR(VLOOKUP(TablaAbril[[#This Row],[BARRIO]],SECTOR!$A:$B,2,0),"")</f>
      </c>
      <c r="S473" s="89"/>
      <c r="T473" s="90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6"/>
      <c r="AZ473" s="120">
        <f>COUNTIF(U473:AY473,"A")</f>
      </c>
      <c r="BA473" s="121">
        <f>COUNTIF(U473:AY473,"F")</f>
      </c>
      <c r="BB473" s="119">
        <f>COUNTIF(U473:AY473,"E")</f>
      </c>
    </row>
    <row r="474" spans="1:54" x14ac:dyDescent="0.2">
      <c r="A474" s="84"/>
      <c r="B474" s="85"/>
      <c r="C474" s="85"/>
      <c r="D474" s="85"/>
      <c r="E474" s="86"/>
      <c r="F474" s="16">
        <f>IF(E474="","",DATEDIF(E474,$I$7,"Y"))</f>
      </c>
      <c r="G474" s="85"/>
      <c r="H474" s="85"/>
      <c r="I474" s="87"/>
      <c r="J474" s="85"/>
      <c r="K474" s="85"/>
      <c r="L474" s="10"/>
      <c r="M474" s="10"/>
      <c r="N474" s="10"/>
      <c r="O474" s="10"/>
      <c r="P474" s="85"/>
      <c r="Q474" s="88"/>
      <c r="R474" s="3">
        <f>IFERROR(VLOOKUP(TablaAbril[[#This Row],[BARRIO]],SECTOR!$A:$B,2,0),"")</f>
      </c>
      <c r="S474" s="89"/>
      <c r="T474" s="90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6"/>
      <c r="AZ474" s="120">
        <f>COUNTIF(U474:AY474,"A")</f>
      </c>
      <c r="BA474" s="121">
        <f>COUNTIF(U474:AY474,"F")</f>
      </c>
      <c r="BB474" s="119">
        <f>COUNTIF(U474:AY474,"E")</f>
      </c>
    </row>
    <row r="475" spans="1:54" x14ac:dyDescent="0.2">
      <c r="A475" s="84"/>
      <c r="B475" s="85"/>
      <c r="C475" s="85"/>
      <c r="D475" s="85"/>
      <c r="E475" s="86"/>
      <c r="F475" s="16">
        <f>IF(E475="","",DATEDIF(E475,$I$7,"Y"))</f>
      </c>
      <c r="G475" s="85"/>
      <c r="H475" s="85"/>
      <c r="I475" s="87"/>
      <c r="J475" s="85"/>
      <c r="K475" s="85"/>
      <c r="L475" s="10"/>
      <c r="M475" s="10"/>
      <c r="N475" s="10"/>
      <c r="O475" s="10"/>
      <c r="P475" s="85"/>
      <c r="Q475" s="88"/>
      <c r="R475" s="3">
        <f>IFERROR(VLOOKUP(TablaAbril[[#This Row],[BARRIO]],SECTOR!$A:$B,2,0),"")</f>
      </c>
      <c r="S475" s="89"/>
      <c r="T475" s="90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6"/>
      <c r="AZ475" s="120">
        <f>COUNTIF(U475:AY475,"A")</f>
      </c>
      <c r="BA475" s="121">
        <f>COUNTIF(U475:AY475,"F")</f>
      </c>
      <c r="BB475" s="119">
        <f>COUNTIF(U475:AY475,"E")</f>
      </c>
    </row>
    <row r="476" spans="1:54" x14ac:dyDescent="0.2">
      <c r="A476" s="84"/>
      <c r="B476" s="85"/>
      <c r="C476" s="85"/>
      <c r="D476" s="85"/>
      <c r="E476" s="86"/>
      <c r="F476" s="16">
        <f>IF(E476="","",DATEDIF(E476,$I$7,"Y"))</f>
      </c>
      <c r="G476" s="85"/>
      <c r="H476" s="85"/>
      <c r="I476" s="87"/>
      <c r="J476" s="85"/>
      <c r="K476" s="85"/>
      <c r="L476" s="10"/>
      <c r="M476" s="10"/>
      <c r="N476" s="10"/>
      <c r="O476" s="10"/>
      <c r="P476" s="85"/>
      <c r="Q476" s="88"/>
      <c r="R476" s="3">
        <f>IFERROR(VLOOKUP(TablaAbril[[#This Row],[BARRIO]],SECTOR!$A:$B,2,0),"")</f>
      </c>
      <c r="S476" s="89"/>
      <c r="T476" s="90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6"/>
      <c r="AZ476" s="120">
        <f>COUNTIF(U476:AY476,"A")</f>
      </c>
      <c r="BA476" s="121">
        <f>COUNTIF(U476:AY476,"F")</f>
      </c>
      <c r="BB476" s="119">
        <f>COUNTIF(U476:AY476,"E")</f>
      </c>
    </row>
    <row r="477" spans="1:54" x14ac:dyDescent="0.2">
      <c r="A477" s="84"/>
      <c r="B477" s="85"/>
      <c r="C477" s="85"/>
      <c r="D477" s="85"/>
      <c r="E477" s="86"/>
      <c r="F477" s="16">
        <f>IF(E477="","",DATEDIF(E477,$I$7,"Y"))</f>
      </c>
      <c r="G477" s="85"/>
      <c r="H477" s="85"/>
      <c r="I477" s="87"/>
      <c r="J477" s="85"/>
      <c r="K477" s="85"/>
      <c r="L477" s="10"/>
      <c r="M477" s="10"/>
      <c r="N477" s="10"/>
      <c r="O477" s="10"/>
      <c r="P477" s="85"/>
      <c r="Q477" s="88"/>
      <c r="R477" s="3">
        <f>IFERROR(VLOOKUP(TablaAbril[[#This Row],[BARRIO]],SECTOR!$A:$B,2,0),"")</f>
      </c>
      <c r="S477" s="89"/>
      <c r="T477" s="90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6"/>
      <c r="AZ477" s="120">
        <f>COUNTIF(U477:AY477,"A")</f>
      </c>
      <c r="BA477" s="121">
        <f>COUNTIF(U477:AY477,"F")</f>
      </c>
      <c r="BB477" s="119">
        <f>COUNTIF(U477:AY477,"E")</f>
      </c>
    </row>
    <row r="478" spans="1:54" x14ac:dyDescent="0.2">
      <c r="A478" s="84"/>
      <c r="B478" s="85"/>
      <c r="C478" s="85"/>
      <c r="D478" s="85"/>
      <c r="E478" s="86"/>
      <c r="F478" s="16">
        <f>IF(E478="","",DATEDIF(E478,$I$7,"Y"))</f>
      </c>
      <c r="G478" s="85"/>
      <c r="H478" s="85"/>
      <c r="I478" s="87"/>
      <c r="J478" s="85"/>
      <c r="K478" s="85"/>
      <c r="L478" s="10"/>
      <c r="M478" s="10"/>
      <c r="N478" s="10"/>
      <c r="O478" s="10"/>
      <c r="P478" s="85"/>
      <c r="Q478" s="88"/>
      <c r="R478" s="3">
        <f>IFERROR(VLOOKUP(TablaAbril[[#This Row],[BARRIO]],SECTOR!$A:$B,2,0),"")</f>
      </c>
      <c r="S478" s="89"/>
      <c r="T478" s="90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6"/>
      <c r="AZ478" s="120">
        <f>COUNTIF(U478:AY478,"A")</f>
      </c>
      <c r="BA478" s="121">
        <f>COUNTIF(U478:AY478,"F")</f>
      </c>
      <c r="BB478" s="119">
        <f>COUNTIF(U478:AY478,"E")</f>
      </c>
    </row>
    <row r="479" spans="1:54" x14ac:dyDescent="0.2">
      <c r="A479" s="84"/>
      <c r="B479" s="85"/>
      <c r="C479" s="85"/>
      <c r="D479" s="85"/>
      <c r="E479" s="86"/>
      <c r="F479" s="16">
        <f>IF(E479="","",DATEDIF(E479,$I$7,"Y"))</f>
      </c>
      <c r="G479" s="85"/>
      <c r="H479" s="85"/>
      <c r="I479" s="87"/>
      <c r="J479" s="85"/>
      <c r="K479" s="85"/>
      <c r="L479" s="10"/>
      <c r="M479" s="10"/>
      <c r="N479" s="10"/>
      <c r="O479" s="10"/>
      <c r="P479" s="85"/>
      <c r="Q479" s="88"/>
      <c r="R479" s="3">
        <f>IFERROR(VLOOKUP(TablaAbril[[#This Row],[BARRIO]],SECTOR!$A:$B,2,0),"")</f>
      </c>
      <c r="S479" s="89"/>
      <c r="T479" s="90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6"/>
      <c r="AZ479" s="120">
        <f>COUNTIF(U479:AY479,"A")</f>
      </c>
      <c r="BA479" s="121">
        <f>COUNTIF(U479:AY479,"F")</f>
      </c>
      <c r="BB479" s="119">
        <f>COUNTIF(U479:AY479,"E")</f>
      </c>
    </row>
    <row r="480" spans="1:54" x14ac:dyDescent="0.2">
      <c r="A480" s="84"/>
      <c r="B480" s="85"/>
      <c r="C480" s="85"/>
      <c r="D480" s="85"/>
      <c r="E480" s="86"/>
      <c r="F480" s="16">
        <f>IF(E480="","",DATEDIF(E480,$I$7,"Y"))</f>
      </c>
      <c r="G480" s="85"/>
      <c r="H480" s="85"/>
      <c r="I480" s="87"/>
      <c r="J480" s="85"/>
      <c r="K480" s="85"/>
      <c r="L480" s="10"/>
      <c r="M480" s="10"/>
      <c r="N480" s="10"/>
      <c r="O480" s="10"/>
      <c r="P480" s="85"/>
      <c r="Q480" s="88"/>
      <c r="R480" s="3">
        <f>IFERROR(VLOOKUP(TablaAbril[[#This Row],[BARRIO]],SECTOR!$A:$B,2,0),"")</f>
      </c>
      <c r="S480" s="89"/>
      <c r="T480" s="90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6"/>
      <c r="AZ480" s="120">
        <f>COUNTIF(U480:AY480,"A")</f>
      </c>
      <c r="BA480" s="121">
        <f>COUNTIF(U480:AY480,"F")</f>
      </c>
      <c r="BB480" s="119">
        <f>COUNTIF(U480:AY480,"E")</f>
      </c>
    </row>
    <row r="481" spans="1:54" x14ac:dyDescent="0.2">
      <c r="A481" s="84"/>
      <c r="B481" s="85"/>
      <c r="C481" s="85"/>
      <c r="D481" s="85"/>
      <c r="E481" s="86"/>
      <c r="F481" s="16">
        <f>IF(E481="","",DATEDIF(E481,$I$7,"Y"))</f>
      </c>
      <c r="G481" s="85"/>
      <c r="H481" s="85"/>
      <c r="I481" s="87"/>
      <c r="J481" s="85"/>
      <c r="K481" s="85"/>
      <c r="L481" s="10"/>
      <c r="M481" s="10"/>
      <c r="N481" s="10"/>
      <c r="O481" s="10"/>
      <c r="P481" s="85"/>
      <c r="Q481" s="88"/>
      <c r="R481" s="3">
        <f>IFERROR(VLOOKUP(TablaAbril[[#This Row],[BARRIO]],SECTOR!$A:$B,2,0),"")</f>
      </c>
      <c r="S481" s="89"/>
      <c r="T481" s="90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6"/>
      <c r="AZ481" s="120">
        <f>COUNTIF(U481:AY481,"A")</f>
      </c>
      <c r="BA481" s="121">
        <f>COUNTIF(U481:AY481,"F")</f>
      </c>
      <c r="BB481" s="119">
        <f>COUNTIF(U481:AY481,"E")</f>
      </c>
    </row>
    <row r="482" spans="1:54" x14ac:dyDescent="0.2">
      <c r="A482" s="84"/>
      <c r="B482" s="85"/>
      <c r="C482" s="85"/>
      <c r="D482" s="85"/>
      <c r="E482" s="86"/>
      <c r="F482" s="16">
        <f>IF(E482="","",DATEDIF(E482,$I$7,"Y"))</f>
      </c>
      <c r="G482" s="85"/>
      <c r="H482" s="85"/>
      <c r="I482" s="87"/>
      <c r="J482" s="85"/>
      <c r="K482" s="85"/>
      <c r="L482" s="10"/>
      <c r="M482" s="10"/>
      <c r="N482" s="10"/>
      <c r="O482" s="10"/>
      <c r="P482" s="85"/>
      <c r="Q482" s="88"/>
      <c r="R482" s="3">
        <f>IFERROR(VLOOKUP(TablaAbril[[#This Row],[BARRIO]],SECTOR!$A:$B,2,0),"")</f>
      </c>
      <c r="S482" s="89"/>
      <c r="T482" s="90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6"/>
      <c r="AZ482" s="120">
        <f>COUNTIF(U482:AY482,"A")</f>
      </c>
      <c r="BA482" s="121">
        <f>COUNTIF(U482:AY482,"F")</f>
      </c>
      <c r="BB482" s="119">
        <f>COUNTIF(U482:AY482,"E")</f>
      </c>
    </row>
    <row r="483" spans="1:54" x14ac:dyDescent="0.2">
      <c r="A483" s="84"/>
      <c r="B483" s="85"/>
      <c r="C483" s="85"/>
      <c r="D483" s="85"/>
      <c r="E483" s="86"/>
      <c r="F483" s="16">
        <f>IF(E483="","",DATEDIF(E483,$I$7,"Y"))</f>
      </c>
      <c r="G483" s="85"/>
      <c r="H483" s="85"/>
      <c r="I483" s="87"/>
      <c r="J483" s="85"/>
      <c r="K483" s="85"/>
      <c r="L483" s="10"/>
      <c r="M483" s="10"/>
      <c r="N483" s="10"/>
      <c r="O483" s="10"/>
      <c r="P483" s="85"/>
      <c r="Q483" s="88"/>
      <c r="R483" s="3">
        <f>IFERROR(VLOOKUP(TablaAbril[[#This Row],[BARRIO]],SECTOR!$A:$B,2,0),"")</f>
      </c>
      <c r="S483" s="89"/>
      <c r="T483" s="90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6"/>
      <c r="AZ483" s="120">
        <f>COUNTIF(U483:AY483,"A")</f>
      </c>
      <c r="BA483" s="121">
        <f>COUNTIF(U483:AY483,"F")</f>
      </c>
      <c r="BB483" s="119">
        <f>COUNTIF(U483:AY483,"E")</f>
      </c>
    </row>
    <row r="484" spans="1:54" x14ac:dyDescent="0.2">
      <c r="A484" s="84"/>
      <c r="B484" s="85"/>
      <c r="C484" s="85"/>
      <c r="D484" s="85"/>
      <c r="E484" s="86"/>
      <c r="F484" s="16">
        <f>IF(E484="","",DATEDIF(E484,$I$7,"Y"))</f>
      </c>
      <c r="G484" s="85"/>
      <c r="H484" s="85"/>
      <c r="I484" s="87"/>
      <c r="J484" s="85"/>
      <c r="K484" s="85"/>
      <c r="L484" s="10"/>
      <c r="M484" s="10"/>
      <c r="N484" s="10"/>
      <c r="O484" s="10"/>
      <c r="P484" s="85"/>
      <c r="Q484" s="88"/>
      <c r="R484" s="3">
        <f>IFERROR(VLOOKUP(TablaAbril[[#This Row],[BARRIO]],SECTOR!$A:$B,2,0),"")</f>
      </c>
      <c r="S484" s="89"/>
      <c r="T484" s="90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6"/>
      <c r="AZ484" s="120">
        <f>COUNTIF(U484:AY484,"A")</f>
      </c>
      <c r="BA484" s="121">
        <f>COUNTIF(U484:AY484,"F")</f>
      </c>
      <c r="BB484" s="119">
        <f>COUNTIF(U484:AY484,"E")</f>
      </c>
    </row>
    <row r="485" spans="1:54" x14ac:dyDescent="0.2">
      <c r="A485" s="84"/>
      <c r="B485" s="85"/>
      <c r="C485" s="85"/>
      <c r="D485" s="85"/>
      <c r="E485" s="86"/>
      <c r="F485" s="16">
        <f>IF(E485="","",DATEDIF(E485,$I$7,"Y"))</f>
      </c>
      <c r="G485" s="85"/>
      <c r="H485" s="85"/>
      <c r="I485" s="87"/>
      <c r="J485" s="85"/>
      <c r="K485" s="85"/>
      <c r="L485" s="10"/>
      <c r="M485" s="10"/>
      <c r="N485" s="10"/>
      <c r="O485" s="10"/>
      <c r="P485" s="85"/>
      <c r="Q485" s="88"/>
      <c r="R485" s="3">
        <f>IFERROR(VLOOKUP(TablaAbril[[#This Row],[BARRIO]],SECTOR!$A:$B,2,0),"")</f>
      </c>
      <c r="S485" s="89"/>
      <c r="T485" s="90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6"/>
      <c r="AZ485" s="120">
        <f>COUNTIF(U485:AY485,"A")</f>
      </c>
      <c r="BA485" s="121">
        <f>COUNTIF(U485:AY485,"F")</f>
      </c>
      <c r="BB485" s="119">
        <f>COUNTIF(U485:AY485,"E")</f>
      </c>
    </row>
    <row r="486" spans="1:54" x14ac:dyDescent="0.2">
      <c r="A486" s="84"/>
      <c r="B486" s="85"/>
      <c r="C486" s="85"/>
      <c r="D486" s="85"/>
      <c r="E486" s="86"/>
      <c r="F486" s="16">
        <f>IF(E486="","",DATEDIF(E486,$I$7,"Y"))</f>
      </c>
      <c r="G486" s="85"/>
      <c r="H486" s="85"/>
      <c r="I486" s="87"/>
      <c r="J486" s="85"/>
      <c r="K486" s="85"/>
      <c r="L486" s="10"/>
      <c r="M486" s="10"/>
      <c r="N486" s="10"/>
      <c r="O486" s="10"/>
      <c r="P486" s="85"/>
      <c r="Q486" s="88"/>
      <c r="R486" s="3">
        <f>IFERROR(VLOOKUP(TablaAbril[[#This Row],[BARRIO]],SECTOR!$A:$B,2,0),"")</f>
      </c>
      <c r="S486" s="89"/>
      <c r="T486" s="90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6"/>
      <c r="AZ486" s="120">
        <f>COUNTIF(U486:AY486,"A")</f>
      </c>
      <c r="BA486" s="121">
        <f>COUNTIF(U486:AY486,"F")</f>
      </c>
      <c r="BB486" s="119">
        <f>COUNTIF(U486:AY486,"E")</f>
      </c>
    </row>
    <row r="487" spans="1:54" x14ac:dyDescent="0.2">
      <c r="A487" s="84"/>
      <c r="B487" s="85"/>
      <c r="C487" s="85"/>
      <c r="D487" s="85"/>
      <c r="E487" s="86"/>
      <c r="F487" s="16">
        <f>IF(E487="","",DATEDIF(E487,$I$7,"Y"))</f>
      </c>
      <c r="G487" s="85"/>
      <c r="H487" s="85"/>
      <c r="I487" s="87"/>
      <c r="J487" s="85"/>
      <c r="K487" s="85"/>
      <c r="L487" s="10"/>
      <c r="M487" s="10"/>
      <c r="N487" s="10"/>
      <c r="O487" s="10"/>
      <c r="P487" s="85"/>
      <c r="Q487" s="88"/>
      <c r="R487" s="3">
        <f>IFERROR(VLOOKUP(TablaAbril[[#This Row],[BARRIO]],SECTOR!$A:$B,2,0),"")</f>
      </c>
      <c r="S487" s="89"/>
      <c r="T487" s="90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6"/>
      <c r="AZ487" s="120">
        <f>COUNTIF(U487:AY487,"A")</f>
      </c>
      <c r="BA487" s="121">
        <f>COUNTIF(U487:AY487,"F")</f>
      </c>
      <c r="BB487" s="119">
        <f>COUNTIF(U487:AY487,"E")</f>
      </c>
    </row>
    <row r="488" spans="1:54" x14ac:dyDescent="0.2">
      <c r="A488" s="84"/>
      <c r="B488" s="85"/>
      <c r="C488" s="85"/>
      <c r="D488" s="85"/>
      <c r="E488" s="86"/>
      <c r="F488" s="16">
        <f>IF(E488="","",DATEDIF(E488,$I$7,"Y"))</f>
      </c>
      <c r="G488" s="85"/>
      <c r="H488" s="85"/>
      <c r="I488" s="87"/>
      <c r="J488" s="85"/>
      <c r="K488" s="85"/>
      <c r="L488" s="10"/>
      <c r="M488" s="10"/>
      <c r="N488" s="10"/>
      <c r="O488" s="10"/>
      <c r="P488" s="85"/>
      <c r="Q488" s="88"/>
      <c r="R488" s="3">
        <f>IFERROR(VLOOKUP(TablaAbril[[#This Row],[BARRIO]],SECTOR!$A:$B,2,0),"")</f>
      </c>
      <c r="S488" s="89"/>
      <c r="T488" s="90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6"/>
      <c r="AZ488" s="120">
        <f>COUNTIF(U488:AY488,"A")</f>
      </c>
      <c r="BA488" s="121">
        <f>COUNTIF(U488:AY488,"F")</f>
      </c>
      <c r="BB488" s="119">
        <f>COUNTIF(U488:AY488,"E")</f>
      </c>
    </row>
    <row r="489" spans="1:54" x14ac:dyDescent="0.2">
      <c r="A489" s="84"/>
      <c r="B489" s="85"/>
      <c r="C489" s="85"/>
      <c r="D489" s="85"/>
      <c r="E489" s="86"/>
      <c r="F489" s="16">
        <f>IF(E489="","",DATEDIF(E489,$I$7,"Y"))</f>
      </c>
      <c r="G489" s="85"/>
      <c r="H489" s="85"/>
      <c r="I489" s="87"/>
      <c r="J489" s="85"/>
      <c r="K489" s="85"/>
      <c r="L489" s="10"/>
      <c r="M489" s="10"/>
      <c r="N489" s="10"/>
      <c r="O489" s="10"/>
      <c r="P489" s="85"/>
      <c r="Q489" s="88"/>
      <c r="R489" s="3">
        <f>IFERROR(VLOOKUP(TablaAbril[[#This Row],[BARRIO]],SECTOR!$A:$B,2,0),"")</f>
      </c>
      <c r="S489" s="89"/>
      <c r="T489" s="90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6"/>
      <c r="AZ489" s="120">
        <f>COUNTIF(U489:AY489,"A")</f>
      </c>
      <c r="BA489" s="121">
        <f>COUNTIF(U489:AY489,"F")</f>
      </c>
      <c r="BB489" s="119">
        <f>COUNTIF(U489:AY489,"E")</f>
      </c>
    </row>
    <row r="490" spans="1:54" x14ac:dyDescent="0.2">
      <c r="A490" s="84"/>
      <c r="B490" s="85"/>
      <c r="C490" s="85"/>
      <c r="D490" s="85"/>
      <c r="E490" s="86"/>
      <c r="F490" s="16">
        <f>IF(E490="","",DATEDIF(E490,$I$7,"Y"))</f>
      </c>
      <c r="G490" s="85"/>
      <c r="H490" s="85"/>
      <c r="I490" s="87"/>
      <c r="J490" s="85"/>
      <c r="K490" s="85"/>
      <c r="L490" s="10"/>
      <c r="M490" s="10"/>
      <c r="N490" s="10"/>
      <c r="O490" s="10"/>
      <c r="P490" s="85"/>
      <c r="Q490" s="88"/>
      <c r="R490" s="3">
        <f>IFERROR(VLOOKUP(TablaAbril[[#This Row],[BARRIO]],SECTOR!$A:$B,2,0),"")</f>
      </c>
      <c r="S490" s="89"/>
      <c r="T490" s="90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6"/>
      <c r="AZ490" s="120">
        <f>COUNTIF(U490:AY490,"A")</f>
      </c>
      <c r="BA490" s="121">
        <f>COUNTIF(U490:AY490,"F")</f>
      </c>
      <c r="BB490" s="119">
        <f>COUNTIF(U490:AY490,"E")</f>
      </c>
    </row>
    <row r="491" spans="1:54" x14ac:dyDescent="0.2">
      <c r="A491" s="84"/>
      <c r="B491" s="85"/>
      <c r="C491" s="85"/>
      <c r="D491" s="85"/>
      <c r="E491" s="86"/>
      <c r="F491" s="16">
        <f>IF(E491="","",DATEDIF(E491,$I$7,"Y"))</f>
      </c>
      <c r="G491" s="85"/>
      <c r="H491" s="85"/>
      <c r="I491" s="87"/>
      <c r="J491" s="85"/>
      <c r="K491" s="85"/>
      <c r="L491" s="10"/>
      <c r="M491" s="10"/>
      <c r="N491" s="10"/>
      <c r="O491" s="10"/>
      <c r="P491" s="85"/>
      <c r="Q491" s="88"/>
      <c r="R491" s="3">
        <f>IFERROR(VLOOKUP(TablaAbril[[#This Row],[BARRIO]],SECTOR!$A:$B,2,0),"")</f>
      </c>
      <c r="S491" s="89"/>
      <c r="T491" s="90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6"/>
      <c r="AZ491" s="120">
        <f>COUNTIF(U491:AY491,"A")</f>
      </c>
      <c r="BA491" s="121">
        <f>COUNTIF(U491:AY491,"F")</f>
      </c>
      <c r="BB491" s="119">
        <f>COUNTIF(U491:AY491,"E")</f>
      </c>
    </row>
    <row r="492" spans="1:54" x14ac:dyDescent="0.2">
      <c r="A492" s="84"/>
      <c r="B492" s="85"/>
      <c r="C492" s="85"/>
      <c r="D492" s="85"/>
      <c r="E492" s="86"/>
      <c r="F492" s="16">
        <f>IF(E492="","",DATEDIF(E492,$I$7,"Y"))</f>
      </c>
      <c r="G492" s="85"/>
      <c r="H492" s="85"/>
      <c r="I492" s="87"/>
      <c r="J492" s="85"/>
      <c r="K492" s="85"/>
      <c r="L492" s="10"/>
      <c r="M492" s="10"/>
      <c r="N492" s="10"/>
      <c r="O492" s="10"/>
      <c r="P492" s="85"/>
      <c r="Q492" s="88"/>
      <c r="R492" s="3">
        <f>IFERROR(VLOOKUP(TablaAbril[[#This Row],[BARRIO]],SECTOR!$A:$B,2,0),"")</f>
      </c>
      <c r="S492" s="89"/>
      <c r="T492" s="90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6"/>
      <c r="AZ492" s="120">
        <f>COUNTIF(U492:AY492,"A")</f>
      </c>
      <c r="BA492" s="121">
        <f>COUNTIF(U492:AY492,"F")</f>
      </c>
      <c r="BB492" s="119">
        <f>COUNTIF(U492:AY492,"E")</f>
      </c>
    </row>
    <row r="493" spans="1:54" x14ac:dyDescent="0.2">
      <c r="A493" s="84"/>
      <c r="B493" s="85"/>
      <c r="C493" s="85"/>
      <c r="D493" s="85"/>
      <c r="E493" s="86"/>
      <c r="F493" s="16">
        <f>IF(E493="","",DATEDIF(E493,$I$7,"Y"))</f>
      </c>
      <c r="G493" s="85"/>
      <c r="H493" s="85"/>
      <c r="I493" s="87"/>
      <c r="J493" s="85"/>
      <c r="K493" s="85"/>
      <c r="L493" s="10"/>
      <c r="M493" s="10"/>
      <c r="N493" s="10"/>
      <c r="O493" s="10"/>
      <c r="P493" s="85"/>
      <c r="Q493" s="88"/>
      <c r="R493" s="3">
        <f>IFERROR(VLOOKUP(TablaAbril[[#This Row],[BARRIO]],SECTOR!$A:$B,2,0),"")</f>
      </c>
      <c r="S493" s="89"/>
      <c r="T493" s="90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6"/>
      <c r="AZ493" s="120">
        <f>COUNTIF(U493:AY493,"A")</f>
      </c>
      <c r="BA493" s="121">
        <f>COUNTIF(U493:AY493,"F")</f>
      </c>
      <c r="BB493" s="119">
        <f>COUNTIF(U493:AY493,"E")</f>
      </c>
    </row>
    <row r="494" spans="1:54" x14ac:dyDescent="0.2">
      <c r="A494" s="84"/>
      <c r="B494" s="85"/>
      <c r="C494" s="85"/>
      <c r="D494" s="85"/>
      <c r="E494" s="86"/>
      <c r="F494" s="16">
        <f>IF(E494="","",DATEDIF(E494,$I$7,"Y"))</f>
      </c>
      <c r="G494" s="85"/>
      <c r="H494" s="85"/>
      <c r="I494" s="87"/>
      <c r="J494" s="85"/>
      <c r="K494" s="85"/>
      <c r="L494" s="10"/>
      <c r="M494" s="10"/>
      <c r="N494" s="10"/>
      <c r="O494" s="10"/>
      <c r="P494" s="85"/>
      <c r="Q494" s="88"/>
      <c r="R494" s="3">
        <f>IFERROR(VLOOKUP(TablaAbril[[#This Row],[BARRIO]],SECTOR!$A:$B,2,0),"")</f>
      </c>
      <c r="S494" s="89"/>
      <c r="T494" s="90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6"/>
      <c r="AZ494" s="120">
        <f>COUNTIF(U494:AY494,"A")</f>
      </c>
      <c r="BA494" s="121">
        <f>COUNTIF(U494:AY494,"F")</f>
      </c>
      <c r="BB494" s="119">
        <f>COUNTIF(U494:AY494,"E")</f>
      </c>
    </row>
    <row r="495" spans="1:54" x14ac:dyDescent="0.2">
      <c r="A495" s="84"/>
      <c r="B495" s="85"/>
      <c r="C495" s="85"/>
      <c r="D495" s="85"/>
      <c r="E495" s="86"/>
      <c r="F495" s="16">
        <f>IF(E495="","",DATEDIF(E495,$I$7,"Y"))</f>
      </c>
      <c r="G495" s="85"/>
      <c r="H495" s="85"/>
      <c r="I495" s="87"/>
      <c r="J495" s="85"/>
      <c r="K495" s="85"/>
      <c r="L495" s="10"/>
      <c r="M495" s="10"/>
      <c r="N495" s="10"/>
      <c r="O495" s="10"/>
      <c r="P495" s="85"/>
      <c r="Q495" s="88"/>
      <c r="R495" s="3">
        <f>IFERROR(VLOOKUP(TablaAbril[[#This Row],[BARRIO]],SECTOR!$A:$B,2,0),"")</f>
      </c>
      <c r="S495" s="89"/>
      <c r="T495" s="90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6"/>
      <c r="AZ495" s="120">
        <f>COUNTIF(U495:AY495,"A")</f>
      </c>
      <c r="BA495" s="121">
        <f>COUNTIF(U495:AY495,"F")</f>
      </c>
      <c r="BB495" s="119">
        <f>COUNTIF(U495:AY495,"E")</f>
      </c>
    </row>
    <row r="496" spans="1:54" x14ac:dyDescent="0.2">
      <c r="A496" s="84"/>
      <c r="B496" s="85"/>
      <c r="C496" s="85"/>
      <c r="D496" s="85"/>
      <c r="E496" s="86"/>
      <c r="F496" s="16">
        <f>IF(E496="","",DATEDIF(E496,$I$7,"Y"))</f>
      </c>
      <c r="G496" s="85"/>
      <c r="H496" s="85"/>
      <c r="I496" s="87"/>
      <c r="J496" s="85"/>
      <c r="K496" s="85"/>
      <c r="L496" s="10"/>
      <c r="M496" s="10"/>
      <c r="N496" s="10"/>
      <c r="O496" s="10"/>
      <c r="P496" s="85"/>
      <c r="Q496" s="88"/>
      <c r="R496" s="3">
        <f>IFERROR(VLOOKUP(TablaAbril[[#This Row],[BARRIO]],SECTOR!$A:$B,2,0),"")</f>
      </c>
      <c r="S496" s="89"/>
      <c r="T496" s="90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6"/>
      <c r="AZ496" s="120">
        <f>COUNTIF(U496:AY496,"A")</f>
      </c>
      <c r="BA496" s="121">
        <f>COUNTIF(U496:AY496,"F")</f>
      </c>
      <c r="BB496" s="119">
        <f>COUNTIF(U496:AY496,"E")</f>
      </c>
    </row>
    <row r="497" spans="1:54" x14ac:dyDescent="0.2">
      <c r="A497" s="84"/>
      <c r="B497" s="85"/>
      <c r="C497" s="85"/>
      <c r="D497" s="85"/>
      <c r="E497" s="86"/>
      <c r="F497" s="16">
        <f>IF(E497="","",DATEDIF(E497,$I$7,"Y"))</f>
      </c>
      <c r="G497" s="85"/>
      <c r="H497" s="85"/>
      <c r="I497" s="87"/>
      <c r="J497" s="85"/>
      <c r="K497" s="85"/>
      <c r="L497" s="10"/>
      <c r="M497" s="10"/>
      <c r="N497" s="10"/>
      <c r="O497" s="10"/>
      <c r="P497" s="85"/>
      <c r="Q497" s="88"/>
      <c r="R497" s="3">
        <f>IFERROR(VLOOKUP(TablaAbril[[#This Row],[BARRIO]],SECTOR!$A:$B,2,0),"")</f>
      </c>
      <c r="S497" s="89"/>
      <c r="T497" s="90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6"/>
      <c r="AZ497" s="120">
        <f>COUNTIF(U497:AY497,"A")</f>
      </c>
      <c r="BA497" s="121">
        <f>COUNTIF(U497:AY497,"F")</f>
      </c>
      <c r="BB497" s="119">
        <f>COUNTIF(U497:AY497,"E")</f>
      </c>
    </row>
    <row r="498" spans="1:54" x14ac:dyDescent="0.2">
      <c r="A498" s="84"/>
      <c r="B498" s="85"/>
      <c r="C498" s="85"/>
      <c r="D498" s="85"/>
      <c r="E498" s="86"/>
      <c r="F498" s="16">
        <f>IF(E498="","",DATEDIF(E498,$I$7,"Y"))</f>
      </c>
      <c r="G498" s="85"/>
      <c r="H498" s="85"/>
      <c r="I498" s="87"/>
      <c r="J498" s="85"/>
      <c r="K498" s="85"/>
      <c r="L498" s="10"/>
      <c r="M498" s="10"/>
      <c r="N498" s="10"/>
      <c r="O498" s="10"/>
      <c r="P498" s="85"/>
      <c r="Q498" s="88"/>
      <c r="R498" s="3">
        <f>IFERROR(VLOOKUP(TablaAbril[[#This Row],[BARRIO]],SECTOR!$A:$B,2,0),"")</f>
      </c>
      <c r="S498" s="89"/>
      <c r="T498" s="90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6"/>
      <c r="AZ498" s="120">
        <f>COUNTIF(U498:AY498,"A")</f>
      </c>
      <c r="BA498" s="121">
        <f>COUNTIF(U498:AY498,"F")</f>
      </c>
      <c r="BB498" s="119">
        <f>COUNTIF(U498:AY498,"E")</f>
      </c>
    </row>
    <row r="499" spans="1:54" x14ac:dyDescent="0.2">
      <c r="A499" s="84"/>
      <c r="B499" s="85"/>
      <c r="C499" s="85"/>
      <c r="D499" s="85"/>
      <c r="E499" s="86"/>
      <c r="F499" s="16">
        <f>IF(E499="","",DATEDIF(E499,$I$7,"Y"))</f>
      </c>
      <c r="G499" s="85"/>
      <c r="H499" s="85"/>
      <c r="I499" s="87"/>
      <c r="J499" s="85"/>
      <c r="K499" s="85"/>
      <c r="L499" s="10"/>
      <c r="M499" s="10"/>
      <c r="N499" s="10"/>
      <c r="O499" s="10"/>
      <c r="P499" s="85"/>
      <c r="Q499" s="88"/>
      <c r="R499" s="3">
        <f>IFERROR(VLOOKUP(TablaAbril[[#This Row],[BARRIO]],SECTOR!$A:$B,2,0),"")</f>
      </c>
      <c r="S499" s="89"/>
      <c r="T499" s="90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6"/>
      <c r="AZ499" s="120">
        <f>COUNTIF(U499:AY499,"A")</f>
      </c>
      <c r="BA499" s="121">
        <f>COUNTIF(U499:AY499,"F")</f>
      </c>
      <c r="BB499" s="119">
        <f>COUNTIF(U499:AY499,"E")</f>
      </c>
    </row>
    <row r="500" spans="1:54" x14ac:dyDescent="0.2">
      <c r="A500" s="84"/>
      <c r="B500" s="85"/>
      <c r="C500" s="85"/>
      <c r="D500" s="85"/>
      <c r="E500" s="86"/>
      <c r="F500" s="16">
        <f>IF(E500="","",DATEDIF(E500,$I$7,"Y"))</f>
      </c>
      <c r="G500" s="85"/>
      <c r="H500" s="85"/>
      <c r="I500" s="87"/>
      <c r="J500" s="85"/>
      <c r="K500" s="85"/>
      <c r="L500" s="10"/>
      <c r="M500" s="10"/>
      <c r="N500" s="10"/>
      <c r="O500" s="10"/>
      <c r="P500" s="85"/>
      <c r="Q500" s="88"/>
      <c r="R500" s="3">
        <f>IFERROR(VLOOKUP(TablaAbril[[#This Row],[BARRIO]],SECTOR!$A:$B,2,0),"")</f>
      </c>
      <c r="S500" s="89"/>
      <c r="T500" s="90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6"/>
      <c r="AZ500" s="120">
        <f>COUNTIF(U500:AY500,"A")</f>
      </c>
      <c r="BA500" s="121">
        <f>COUNTIF(U500:AY500,"F")</f>
      </c>
      <c r="BB500" s="119">
        <f>COUNTIF(U500:AY500,"E")</f>
      </c>
    </row>
    <row r="501" spans="1:54" x14ac:dyDescent="0.2">
      <c r="A501" s="84"/>
      <c r="B501" s="85"/>
      <c r="C501" s="85"/>
      <c r="D501" s="85"/>
      <c r="E501" s="86"/>
      <c r="F501" s="16">
        <f>IF(E501="","",DATEDIF(E501,$I$7,"Y"))</f>
      </c>
      <c r="G501" s="85"/>
      <c r="H501" s="85"/>
      <c r="I501" s="87"/>
      <c r="J501" s="85"/>
      <c r="K501" s="85"/>
      <c r="L501" s="10"/>
      <c r="M501" s="10"/>
      <c r="N501" s="10"/>
      <c r="O501" s="10"/>
      <c r="P501" s="85"/>
      <c r="Q501" s="88"/>
      <c r="R501" s="3">
        <f>IFERROR(VLOOKUP(TablaAbril[[#This Row],[BARRIO]],SECTOR!$A:$B,2,0),"")</f>
      </c>
      <c r="S501" s="89"/>
      <c r="T501" s="90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6"/>
      <c r="AZ501" s="120">
        <f>COUNTIF(U501:AY501,"A")</f>
      </c>
      <c r="BA501" s="121">
        <f>COUNTIF(U501:AY501,"F")</f>
      </c>
      <c r="BB501" s="119">
        <f>COUNTIF(U501:AY501,"E")</f>
      </c>
    </row>
    <row r="502" spans="1:54" x14ac:dyDescent="0.2">
      <c r="A502" s="84"/>
      <c r="B502" s="85"/>
      <c r="C502" s="85"/>
      <c r="D502" s="85"/>
      <c r="E502" s="86"/>
      <c r="F502" s="16">
        <f>IF(E502="","",DATEDIF(E502,$I$7,"Y"))</f>
      </c>
      <c r="G502" s="85"/>
      <c r="H502" s="85"/>
      <c r="I502" s="87"/>
      <c r="J502" s="85"/>
      <c r="K502" s="85"/>
      <c r="L502" s="10"/>
      <c r="M502" s="10"/>
      <c r="N502" s="10"/>
      <c r="O502" s="10"/>
      <c r="P502" s="85"/>
      <c r="Q502" s="88"/>
      <c r="R502" s="3">
        <f>IFERROR(VLOOKUP(TablaAbril[[#This Row],[BARRIO]],SECTOR!$A:$B,2,0),"")</f>
      </c>
      <c r="S502" s="89"/>
      <c r="T502" s="90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6"/>
      <c r="AZ502" s="120">
        <f>COUNTIF(U502:AY502,"A")</f>
      </c>
      <c r="BA502" s="121">
        <f>COUNTIF(U502:AY502,"F")</f>
      </c>
      <c r="BB502" s="119">
        <f>COUNTIF(U502:AY502,"E")</f>
      </c>
    </row>
    <row r="503" spans="1:54" x14ac:dyDescent="0.2">
      <c r="A503" s="84"/>
      <c r="B503" s="85"/>
      <c r="C503" s="85"/>
      <c r="D503" s="85"/>
      <c r="E503" s="86"/>
      <c r="F503" s="16">
        <f>IF(E503="","",DATEDIF(E503,$I$7,"Y"))</f>
      </c>
      <c r="G503" s="85"/>
      <c r="H503" s="85"/>
      <c r="I503" s="87"/>
      <c r="J503" s="85"/>
      <c r="K503" s="85"/>
      <c r="L503" s="10"/>
      <c r="M503" s="10"/>
      <c r="N503" s="10"/>
      <c r="O503" s="10"/>
      <c r="P503" s="85"/>
      <c r="Q503" s="88"/>
      <c r="R503" s="3">
        <f>IFERROR(VLOOKUP(TablaAbril[[#This Row],[BARRIO]],SECTOR!$A:$B,2,0),"")</f>
      </c>
      <c r="S503" s="89"/>
      <c r="T503" s="90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6"/>
      <c r="AZ503" s="120">
        <f>COUNTIF(U503:AY503,"A")</f>
      </c>
      <c r="BA503" s="121">
        <f>COUNTIF(U503:AY503,"F")</f>
      </c>
      <c r="BB503" s="119">
        <f>COUNTIF(U503:AY503,"E")</f>
      </c>
    </row>
    <row r="504" spans="1:54" x14ac:dyDescent="0.2">
      <c r="A504" s="100"/>
      <c r="B504" s="101"/>
      <c r="C504" s="101"/>
      <c r="D504" s="101"/>
      <c r="E504" s="102"/>
      <c r="F504" s="31">
        <f>IF(E504="","",DATEDIF(E504,$I$7,"Y"))</f>
      </c>
      <c r="G504" s="101"/>
      <c r="H504" s="101"/>
      <c r="I504" s="103"/>
      <c r="J504" s="101"/>
      <c r="K504" s="101"/>
      <c r="L504" s="10"/>
      <c r="M504" s="10"/>
      <c r="N504" s="10"/>
      <c r="O504" s="10"/>
      <c r="P504" s="101"/>
      <c r="Q504" s="91"/>
      <c r="R504" s="14">
        <f>IFERROR(VLOOKUP(TablaAbril[[#This Row],[BARRIO]],SECTOR!$A:$B,2,0),"")</f>
      </c>
      <c r="S504" s="104"/>
      <c r="T504" s="10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7"/>
      <c r="AZ504" s="120">
        <f>COUNTIF(U504:AY504,"A")</f>
      </c>
      <c r="BA504" s="121">
        <f>COUNTIF(U504:AY504,"F")</f>
      </c>
      <c r="BB504" s="118">
        <f>COUNTIF(U504:AY504,"E")</f>
      </c>
    </row>
  </sheetData>
  <sheetProtection sheet="1" objects="1" scenarios="1" autoFilter="0"/>
  <mergeCells count="137">
    <mergeCell ref="B2:B5"/>
    <mergeCell ref="C2:I2"/>
    <mergeCell ref="C3:G3"/>
    <mergeCell ref="C4:G4"/>
    <mergeCell ref="C5:G5"/>
    <mergeCell ref="B7:C7"/>
    <mergeCell ref="D7:G7"/>
    <mergeCell ref="W7:AE7"/>
    <mergeCell ref="AG7:AH7"/>
    <mergeCell ref="AI7:AM7"/>
    <mergeCell ref="AO7:AQ7"/>
    <mergeCell ref="B8:C8"/>
    <mergeCell ref="D8:G8"/>
    <mergeCell ref="S8:T8"/>
    <mergeCell ref="W8:AA8"/>
    <mergeCell ref="AB8:AC8"/>
    <mergeCell ref="AD8:AH8"/>
    <mergeCell ref="AK8:AR8"/>
    <mergeCell ref="AS8:BB8"/>
    <mergeCell ref="B9:C9"/>
    <mergeCell ref="D9:G9"/>
    <mergeCell ref="W9:Y9"/>
    <mergeCell ref="Z9:AA9"/>
    <mergeCell ref="AD9:AF9"/>
    <mergeCell ref="AG9:AH9"/>
    <mergeCell ref="AK9:AL9"/>
    <mergeCell ref="AM9:AN9"/>
    <mergeCell ref="AO9:AP9"/>
    <mergeCell ref="AQ9:AR9"/>
    <mergeCell ref="AS9:BB9"/>
    <mergeCell ref="B10:C10"/>
    <mergeCell ref="D10:G10"/>
    <mergeCell ref="W10:Y10"/>
    <mergeCell ref="Z10:AA10"/>
    <mergeCell ref="AD10:AF10"/>
    <mergeCell ref="AG10:AH10"/>
    <mergeCell ref="AK10:AL10"/>
    <mergeCell ref="AM10:AN10"/>
    <mergeCell ref="AO10:AP10"/>
    <mergeCell ref="AQ10:AR10"/>
    <mergeCell ref="AS10:BB10"/>
    <mergeCell ref="W11:Y11"/>
    <mergeCell ref="Z11:AA11"/>
    <mergeCell ref="AD11:AF11"/>
    <mergeCell ref="AG11:AH11"/>
    <mergeCell ref="AK11:AL11"/>
    <mergeCell ref="AM11:AN11"/>
    <mergeCell ref="AO11:AP11"/>
    <mergeCell ref="AQ11:AR11"/>
    <mergeCell ref="AS11:BB13"/>
    <mergeCell ref="AQ12:AR12"/>
    <mergeCell ref="AQ13:AR13"/>
    <mergeCell ref="B12:B18"/>
    <mergeCell ref="C12:I12"/>
    <mergeCell ref="W12:Y12"/>
    <mergeCell ref="Z12:AA12"/>
    <mergeCell ref="AD12:AF12"/>
    <mergeCell ref="AG12:AH12"/>
    <mergeCell ref="AK12:AL12"/>
    <mergeCell ref="AM12:AN12"/>
    <mergeCell ref="AO12:AP12"/>
    <mergeCell ref="F13:G13"/>
    <mergeCell ref="O13:Q13"/>
    <mergeCell ref="W13:Y13"/>
    <mergeCell ref="Z13:AA13"/>
    <mergeCell ref="AD13:AF13"/>
    <mergeCell ref="AG13:AH13"/>
    <mergeCell ref="AK13:AL13"/>
    <mergeCell ref="AM13:AN13"/>
    <mergeCell ref="AO13:AP13"/>
    <mergeCell ref="C14:C15"/>
    <mergeCell ref="D14:D15"/>
    <mergeCell ref="F14:G15"/>
    <mergeCell ref="H14:H15"/>
    <mergeCell ref="I14:I15"/>
    <mergeCell ref="K14:K15"/>
    <mergeCell ref="L14:L15"/>
    <mergeCell ref="AX15:BA16"/>
    <mergeCell ref="C16:I16"/>
    <mergeCell ref="K16:K17"/>
    <mergeCell ref="L16:L17"/>
    <mergeCell ref="O16:P16"/>
    <mergeCell ref="W16:Y16"/>
    <mergeCell ref="AM14:AN14"/>
    <mergeCell ref="AO14:AP14"/>
    <mergeCell ref="AQ14:AR14"/>
    <mergeCell ref="AV14:AW14"/>
    <mergeCell ref="O15:P15"/>
    <mergeCell ref="W15:Y15"/>
    <mergeCell ref="Z15:AA15"/>
    <mergeCell ref="AD15:AF15"/>
    <mergeCell ref="AG15:AH15"/>
    <mergeCell ref="AK15:AL15"/>
    <mergeCell ref="O14:P14"/>
    <mergeCell ref="W14:Y14"/>
    <mergeCell ref="Z14:AA14"/>
    <mergeCell ref="AD14:AF14"/>
    <mergeCell ref="AG14:AH14"/>
    <mergeCell ref="AK14:AL14"/>
    <mergeCell ref="Z16:AA16"/>
    <mergeCell ref="AD16:AF16"/>
    <mergeCell ref="AG16:AH16"/>
    <mergeCell ref="AK16:AL16"/>
    <mergeCell ref="AM16:AN16"/>
    <mergeCell ref="AV16:AW16"/>
    <mergeCell ref="AM15:AN15"/>
    <mergeCell ref="AO15:AP15"/>
    <mergeCell ref="AQ15:AR15"/>
    <mergeCell ref="AV15:AW15"/>
    <mergeCell ref="AD17:AF17"/>
    <mergeCell ref="AG17:AH17"/>
    <mergeCell ref="AN17:AP17"/>
    <mergeCell ref="AV17:AW17"/>
    <mergeCell ref="AX17:AZ17"/>
    <mergeCell ref="C18:D18"/>
    <mergeCell ref="E18:G18"/>
    <mergeCell ref="H18:I18"/>
    <mergeCell ref="O18:P18"/>
    <mergeCell ref="W18:Y18"/>
    <mergeCell ref="C17:D17"/>
    <mergeCell ref="E17:G17"/>
    <mergeCell ref="H17:I17"/>
    <mergeCell ref="O17:P17"/>
    <mergeCell ref="W17:Y17"/>
    <mergeCell ref="Z17:AA17"/>
    <mergeCell ref="U21:AY22"/>
    <mergeCell ref="AZ21:BB22"/>
    <mergeCell ref="Z18:AA18"/>
    <mergeCell ref="AN18:AP18"/>
    <mergeCell ref="AV18:AW18"/>
    <mergeCell ref="AX18:AZ18"/>
    <mergeCell ref="K19:L19"/>
    <mergeCell ref="O19:P19"/>
    <mergeCell ref="W19:Y19"/>
    <mergeCell ref="Z19:AA19"/>
    <mergeCell ref="AV19:AW19"/>
    <mergeCell ref="AX19:AZ19"/>
  </mergeCells>
  <dataValidations count="12">
    <dataValidation type="custom" allowBlank="1" showInputMessage="1" showErrorMessage="1" errorTitle="SÓLO MAYÚSCULA" sqref="S24:S504">
      <formula1>EXACT(S24, UPPER(S24))</formula1>
    </dataValidation>
    <dataValidation type="custom" allowBlank="1" showInputMessage="1" showErrorMessage="1" errorTitle="SÓLO MAÚSCULA" sqref="P24:P504">
      <formula1>EXACT(P24, UPPER(P24))</formula1>
    </dataValidation>
    <dataValidation type="custom" allowBlank="1" showInputMessage="1" showErrorMessage="1" errorTitle="ERROR" error="SÓLO MAYÚSCULAS" sqref="B24:D504 J24:J504">
      <formula1>EXACT(B24, UPPER(B24))</formula1>
    </dataValidation>
    <dataValidation type="list" allowBlank="1" showInputMessage="1" showErrorMessage="1" sqref="N24:N504">
      <formula1>"SI, NO"</formula1>
    </dataValidation>
    <dataValidation type="list" allowBlank="1" showInputMessage="1" showErrorMessage="1" sqref="G24:G504">
      <formula1>"R.C, T.I, C.C, C.E, PPT, PEP, NES"</formula1>
    </dataValidation>
    <dataValidation type="list" allowBlank="1" showInputMessage="1" showErrorMessage="1" sqref="I24:I504">
      <formula1>"HOMBRE, MUJER"</formula1>
    </dataValidation>
    <dataValidation type="list" allowBlank="1" showInputMessage="1" showErrorMessage="1" sqref="L24:L504">
      <formula1>"OLFATIVA Y TACTO, MENTAL, MOVILIDAD, MULTIPLE, ORAL, PSICOSOCIAL, VISUAL, VOZ Y HABLA, NO SABE NOMBRARLA, N/A"</formula1>
    </dataValidation>
    <dataValidation type="list" allowBlank="1" showInputMessage="1" showErrorMessage="1" sqref="M24:M504">
      <formula1>"HETEROSEXUAL, LESBIANA, ASEXUAL, BISEXUAL, GAY, INTERSEXUAL, NO BINARIO, PANSEXUAL, QUEER, TRANSEXUAL O TRANSGÉNERO, OTRO"</formula1>
    </dataValidation>
    <dataValidation type="list" allowBlank="1" showInputMessage="1" showErrorMessage="1" sqref="O24:O504">
      <formula1>"AFROCOLOMBIANO, INDÍGENA, MESTIZO, MULATO, NO SABE NO RESPONDE, OTRO, PALENQUERO, RAIZAL, ROM GITANO"</formula1>
    </dataValidation>
    <dataValidation type="list" allowBlank="1" showInputMessage="1" showErrorMessage="1" sqref="O23">
      <formula1>"AFRO, INDIGENA, MESTIZA"</formula1>
    </dataValidation>
    <dataValidation type="list" allowBlank="1" showErrorMessage="1" sqref="AI7">
      <formula1>$BH$11:$BH$23</formula1>
    </dataValidation>
    <dataValidation type="list" allowBlank="1" showInputMessage="1" showErrorMessage="1" sqref="Q24:Q504">
      <formula1>SECTOR!$A$2:$A$83</formula1>
    </dataValidation>
  </dataValidations>
  <pageMargins left="0.7" right="0.7" top="0.75" bottom="0.75" header="0.3" footer="0.3"/>
  <pageSetup orientation="portrait"/>
  <ignoredErrors>
    <ignoredError sqref="O23" listDataValidation="1"/>
  </ignoredErrors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2:BB504"/>
  <sheetViews>
    <sheetView showGridLines="0" zoomScaleNormal="100" workbookViewId="0">
      <selection activeCell="A24" sqref="A24"/>
    </sheetView>
  </sheetViews>
  <sheetFormatPr defaultColWidth="9.14453125" defaultRowHeight="15" x14ac:dyDescent="0.2"/>
  <cols>
    <col min="1" max="1" width="6.1875" style="34" customWidth="1"/>
    <col min="2" max="2" width="21.7890625" style="34" customWidth="1"/>
    <col min="3" max="3" width="21.65625" style="34" customWidth="1"/>
    <col min="4" max="4" width="21.7890625" style="34" customWidth="1"/>
    <col min="5" max="5" width="19.50390625" style="34" customWidth="1"/>
    <col min="6" max="6" width="11.1640625" style="34" customWidth="1"/>
    <col min="7" max="7" width="11.56640625" style="34" customWidth="1"/>
    <col min="8" max="8" width="18.4296875" style="34" customWidth="1"/>
    <col min="9" max="9" width="22.59765625" style="34" customWidth="1"/>
    <col min="10" max="10" width="35.109375" style="34" customWidth="1"/>
    <col min="11" max="11" width="11.43359375" style="34" customWidth="1"/>
    <col min="12" max="12" width="16.8125" style="34" customWidth="1"/>
    <col min="13" max="14" width="10.22265625" style="34" customWidth="1"/>
    <col min="15" max="15" width="23.9453125" style="34" bestFit="1" customWidth="1"/>
    <col min="16" max="16" width="23.40625" style="34" customWidth="1"/>
    <col min="17" max="17" width="18.0234375" style="34" customWidth="1"/>
    <col min="18" max="18" width="16.6796875" style="34" customWidth="1"/>
    <col min="19" max="19" width="18.6953125" style="34" bestFit="1" customWidth="1"/>
    <col min="20" max="20" width="17.62109375" style="34" customWidth="1"/>
    <col min="21" max="35" width="5.91796875" style="34" customWidth="1"/>
    <col min="36" max="36" width="6.05078125" style="34" customWidth="1"/>
    <col min="37" max="54" width="5.91796875" style="34" customWidth="1"/>
    <col min="55" max="55" width="9.14453125" style="34"/>
    <col min="56" max="56" width="13.5859375" style="34" bestFit="1" customWidth="1"/>
    <col min="57" max="59" width="10.76171875" style="34" bestFit="1" customWidth="1"/>
    <col min="60" max="16384" width="9.14453125" style="34"/>
  </cols>
  <sheetData>
    <row r="2" spans="1:54" x14ac:dyDescent="0.2">
      <c r="B2" s="244"/>
      <c r="C2" s="247" t="s">
        <v>0</v>
      </c>
      <c r="D2" s="248"/>
      <c r="E2" s="248"/>
      <c r="F2" s="248"/>
      <c r="G2" s="248"/>
      <c r="H2" s="248"/>
      <c r="I2" s="249"/>
    </row>
    <row r="3" spans="1:54" x14ac:dyDescent="0.2">
      <c r="B3" s="245"/>
      <c r="C3" s="250" t="s">
        <v>1</v>
      </c>
      <c r="D3" s="251"/>
      <c r="E3" s="251"/>
      <c r="F3" s="251"/>
      <c r="G3" s="252"/>
      <c r="H3" s="35" t="s">
        <v>2</v>
      </c>
      <c r="I3" s="35" t="s">
        <v>3</v>
      </c>
    </row>
    <row r="4" spans="1:54" x14ac:dyDescent="0.2">
      <c r="B4" s="245"/>
      <c r="C4" s="250" t="s">
        <v>4</v>
      </c>
      <c r="D4" s="251"/>
      <c r="E4" s="251"/>
      <c r="F4" s="251"/>
      <c r="G4" s="252"/>
      <c r="H4" s="35" t="s">
        <v>5</v>
      </c>
      <c r="I4" s="36" t="s">
        <v>6</v>
      </c>
    </row>
    <row r="5" spans="1:54" ht="60" customHeight="1" x14ac:dyDescent="0.2">
      <c r="B5" s="246"/>
      <c r="C5" s="253" t="s">
        <v>7</v>
      </c>
      <c r="D5" s="254"/>
      <c r="E5" s="254"/>
      <c r="F5" s="254"/>
      <c r="G5" s="255"/>
      <c r="H5" s="35" t="s">
        <v>8</v>
      </c>
      <c r="I5" s="37">
        <v>46073</v>
      </c>
    </row>
    <row r="7" spans="1:54" ht="22.5" customHeight="1" x14ac:dyDescent="0.2">
      <c r="A7" s="13"/>
      <c r="B7" s="256" t="s">
        <v>9</v>
      </c>
      <c r="C7" s="257"/>
      <c r="D7" s="230"/>
      <c r="E7" s="231"/>
      <c r="F7" s="231"/>
      <c r="G7" s="232"/>
      <c r="H7" s="38"/>
      <c r="I7" s="39"/>
      <c r="J7" s="40"/>
      <c r="K7" s="40"/>
      <c r="L7" s="12"/>
      <c r="M7" s="12"/>
      <c r="N7" s="12"/>
      <c r="O7" s="12"/>
      <c r="P7" s="12"/>
      <c r="Q7" s="12"/>
      <c r="R7" s="12"/>
      <c r="S7" s="12"/>
      <c r="T7" s="41"/>
      <c r="U7" s="42"/>
      <c r="V7" s="42"/>
      <c r="W7" s="258"/>
      <c r="X7" s="258"/>
      <c r="Y7" s="258"/>
      <c r="Z7" s="258"/>
      <c r="AA7" s="258"/>
      <c r="AB7" s="258"/>
      <c r="AC7" s="258"/>
      <c r="AD7" s="258"/>
      <c r="AE7" s="258"/>
      <c r="AF7" s="13"/>
      <c r="AG7" s="234"/>
      <c r="AH7" s="152"/>
      <c r="AI7" s="233"/>
      <c r="AJ7" s="152"/>
      <c r="AK7" s="152"/>
      <c r="AL7" s="152"/>
      <c r="AM7" s="152"/>
      <c r="AN7" s="13"/>
      <c r="AO7" s="234"/>
      <c r="AP7" s="152"/>
      <c r="AQ7" s="152"/>
      <c r="AR7" s="44"/>
      <c r="AS7" s="45"/>
      <c r="AT7" s="45"/>
      <c r="AU7" s="45"/>
      <c r="AV7" s="45"/>
      <c r="AW7" s="45"/>
      <c r="AX7" s="45"/>
      <c r="AY7" s="12"/>
      <c r="AZ7" s="13"/>
      <c r="BA7" s="13"/>
      <c r="BB7" s="13"/>
    </row>
    <row r="8" spans="1:54" ht="21.75" customHeight="1" x14ac:dyDescent="0.2">
      <c r="A8" s="13"/>
      <c r="B8" s="235" t="s">
        <v>10</v>
      </c>
      <c r="C8" s="236"/>
      <c r="D8" s="223"/>
      <c r="E8" s="224"/>
      <c r="F8" s="224"/>
      <c r="G8" s="225"/>
      <c r="H8" s="11"/>
      <c r="I8" s="11"/>
      <c r="J8" s="11"/>
      <c r="K8" s="11"/>
      <c r="L8" s="12"/>
      <c r="M8" s="12"/>
      <c r="N8" s="12"/>
      <c r="O8" s="12"/>
      <c r="P8" s="12"/>
      <c r="Q8" s="12"/>
      <c r="R8" s="12"/>
      <c r="S8" s="237" t="s">
        <v>11</v>
      </c>
      <c r="T8" s="238"/>
      <c r="U8" s="13"/>
      <c r="V8" s="13"/>
      <c r="W8" s="239" t="s">
        <v>12</v>
      </c>
      <c r="X8" s="239"/>
      <c r="Y8" s="239"/>
      <c r="Z8" s="239"/>
      <c r="AA8" s="239"/>
      <c r="AB8" s="240"/>
      <c r="AC8" s="152"/>
      <c r="AD8" s="241" t="s">
        <v>13</v>
      </c>
      <c r="AE8" s="241"/>
      <c r="AF8" s="241"/>
      <c r="AG8" s="241"/>
      <c r="AH8" s="241"/>
      <c r="AI8" s="12"/>
      <c r="AJ8" s="12"/>
      <c r="AK8" s="242" t="s">
        <v>14</v>
      </c>
      <c r="AL8" s="243"/>
      <c r="AM8" s="243"/>
      <c r="AN8" s="243"/>
      <c r="AO8" s="243"/>
      <c r="AP8" s="243"/>
      <c r="AQ8" s="243"/>
      <c r="AR8" s="243"/>
      <c r="AS8" s="183"/>
      <c r="AT8" s="183"/>
      <c r="AU8" s="183"/>
      <c r="AV8" s="183"/>
      <c r="AW8" s="183"/>
      <c r="AX8" s="183"/>
      <c r="AY8" s="183"/>
      <c r="AZ8" s="183"/>
      <c r="BA8" s="183"/>
      <c r="BB8" s="183"/>
    </row>
    <row r="9" spans="1:54" ht="20.25" customHeight="1" x14ac:dyDescent="0.2">
      <c r="A9" s="13"/>
      <c r="B9" s="228" t="s">
        <v>15</v>
      </c>
      <c r="C9" s="229"/>
      <c r="D9" s="230"/>
      <c r="E9" s="231"/>
      <c r="F9" s="231"/>
      <c r="G9" s="232"/>
      <c r="H9" s="13"/>
      <c r="I9" s="13"/>
      <c r="J9" s="12"/>
      <c r="K9" s="12"/>
      <c r="L9" s="12"/>
      <c r="M9" s="12"/>
      <c r="N9" s="12"/>
      <c r="O9" s="12"/>
      <c r="P9" s="12"/>
      <c r="Q9" s="12"/>
      <c r="R9" s="12"/>
      <c r="S9" s="46" t="s">
        <v>16</v>
      </c>
      <c r="T9" s="114">
        <f>COUNTIFS(TablaMayo[TIPO DISCAPACIDAD], S9)</f>
      </c>
      <c r="U9" s="13"/>
      <c r="V9" s="13"/>
      <c r="W9" s="164" t="s">
        <v>17</v>
      </c>
      <c r="X9" s="164"/>
      <c r="Y9" s="164"/>
      <c r="Z9" s="147">
        <f>COUNTIFS(TablaMayo[ORI. SEXUAL], W9)</f>
      </c>
      <c r="AA9" s="148"/>
      <c r="AB9" s="13"/>
      <c r="AC9" s="13"/>
      <c r="AD9" s="164" t="s">
        <v>18</v>
      </c>
      <c r="AE9" s="164"/>
      <c r="AF9" s="164"/>
      <c r="AG9" s="165">
        <f>COUNTIFS(TablaMayo[[ETNIA ]], AD9)</f>
      </c>
      <c r="AH9" s="165"/>
      <c r="AI9" s="12"/>
      <c r="AJ9" s="12"/>
      <c r="AK9" s="226">
        <v>1</v>
      </c>
      <c r="AL9" s="226"/>
      <c r="AM9" s="202">
        <f>COUNTIFS(TablaMayo[[ COMUNA]], AK9)</f>
      </c>
      <c r="AN9" s="202"/>
      <c r="AO9" s="227">
        <v>3</v>
      </c>
      <c r="AP9" s="227"/>
      <c r="AQ9" s="218">
        <f>COUNTIFS(TablaMayo[[ COMUNA]], AO9)</f>
      </c>
      <c r="AR9" s="218"/>
      <c r="AS9" s="183"/>
      <c r="AT9" s="183"/>
      <c r="AU9" s="183"/>
      <c r="AV9" s="183"/>
      <c r="AW9" s="183"/>
      <c r="AX9" s="183"/>
      <c r="AY9" s="183"/>
      <c r="AZ9" s="183"/>
      <c r="BA9" s="183"/>
      <c r="BB9" s="183"/>
    </row>
    <row r="10" spans="1:54" ht="21.75" customHeight="1" x14ac:dyDescent="0.2">
      <c r="A10" s="13"/>
      <c r="B10" s="221" t="s">
        <v>19</v>
      </c>
      <c r="C10" s="222"/>
      <c r="D10" s="223"/>
      <c r="E10" s="224"/>
      <c r="F10" s="224"/>
      <c r="G10" s="225"/>
      <c r="H10" s="13"/>
      <c r="I10" s="13"/>
      <c r="J10" s="12"/>
      <c r="K10" s="12"/>
      <c r="L10" s="12"/>
      <c r="M10" s="12"/>
      <c r="N10" s="12"/>
      <c r="O10" s="12"/>
      <c r="P10" s="12"/>
      <c r="Q10" s="12"/>
      <c r="R10" s="12"/>
      <c r="S10" s="47" t="s">
        <v>20</v>
      </c>
      <c r="T10" s="115">
        <f>COUNTIFS(TablaMayo[TIPO DISCAPACIDAD], S10)</f>
      </c>
      <c r="U10" s="13"/>
      <c r="V10" s="13"/>
      <c r="W10" s="164" t="s">
        <v>21</v>
      </c>
      <c r="X10" s="164"/>
      <c r="Y10" s="164"/>
      <c r="Z10" s="147">
        <f>COUNTIFS(TablaMayo[ORI. SEXUAL], W10)</f>
      </c>
      <c r="AA10" s="148"/>
      <c r="AB10" s="13"/>
      <c r="AC10" s="13"/>
      <c r="AD10" s="164" t="s">
        <v>22</v>
      </c>
      <c r="AE10" s="164"/>
      <c r="AF10" s="164"/>
      <c r="AG10" s="165">
        <f>COUNTIFS(TablaMayo[[ETNIA ]], AD10)</f>
      </c>
      <c r="AH10" s="165"/>
      <c r="AI10" s="12"/>
      <c r="AJ10" s="12"/>
      <c r="AK10" s="226">
        <v>2</v>
      </c>
      <c r="AL10" s="226"/>
      <c r="AM10" s="202">
        <f>COUNTIFS(TablaMayo[[ COMUNA]], AK10)</f>
      </c>
      <c r="AN10" s="202"/>
      <c r="AO10" s="227">
        <v>4</v>
      </c>
      <c r="AP10" s="227"/>
      <c r="AQ10" s="218">
        <f>COUNTIFS(TablaMayo[[ COMUNA]], AO10)</f>
      </c>
      <c r="AR10" s="218"/>
      <c r="AS10" s="183"/>
      <c r="AT10" s="183"/>
      <c r="AU10" s="183"/>
      <c r="AV10" s="183"/>
      <c r="AW10" s="183"/>
      <c r="AX10" s="183"/>
      <c r="AY10" s="183"/>
      <c r="AZ10" s="183"/>
      <c r="BA10" s="183"/>
      <c r="BB10" s="183"/>
    </row>
    <row r="11" spans="1:54" ht="26.25" customHeight="1" x14ac:dyDescent="0.2">
      <c r="A11" s="13"/>
      <c r="B11" s="13"/>
      <c r="C11" s="33"/>
      <c r="D11" s="33"/>
      <c r="E11" s="33"/>
      <c r="F11" s="33"/>
      <c r="G11" s="33"/>
      <c r="H11" s="33"/>
      <c r="I11" s="33"/>
      <c r="J11" s="33"/>
      <c r="K11" s="33"/>
      <c r="L11" s="12"/>
      <c r="M11" s="12"/>
      <c r="N11" s="12"/>
      <c r="O11" s="12"/>
      <c r="P11" s="12"/>
      <c r="Q11" s="12"/>
      <c r="R11" s="12"/>
      <c r="S11" s="47" t="s">
        <v>23</v>
      </c>
      <c r="T11" s="115">
        <f>COUNTIFS(TablaMayo[TIPO DISCAPACIDAD], S11)</f>
      </c>
      <c r="U11" s="13"/>
      <c r="V11" s="13"/>
      <c r="W11" s="164" t="s">
        <v>24</v>
      </c>
      <c r="X11" s="164"/>
      <c r="Y11" s="164"/>
      <c r="Z11" s="147">
        <f>COUNTIFS(TablaMayo[ORI. SEXUAL], W11)</f>
      </c>
      <c r="AA11" s="148"/>
      <c r="AB11" s="13"/>
      <c r="AC11" s="13"/>
      <c r="AD11" s="164" t="s">
        <v>25</v>
      </c>
      <c r="AE11" s="164"/>
      <c r="AF11" s="164"/>
      <c r="AG11" s="165">
        <f>COUNTIFS(TablaMayo[[ETNIA ]], AD11)</f>
      </c>
      <c r="AH11" s="165"/>
      <c r="AI11" s="13"/>
      <c r="AJ11" s="13"/>
      <c r="AK11" s="201" t="s">
        <v>26</v>
      </c>
      <c r="AL11" s="201"/>
      <c r="AM11" s="202">
        <f>COUNTIFS(TablaMayo[[ COMUNA]], AK11)</f>
      </c>
      <c r="AN11" s="202"/>
      <c r="AO11" s="219" t="s">
        <v>27</v>
      </c>
      <c r="AP11" s="219"/>
      <c r="AQ11" s="218">
        <f>COUNTIFS(TablaMayo[[ COMUNA]], AO11)</f>
      </c>
      <c r="AR11" s="218"/>
      <c r="AS11" s="220"/>
      <c r="AT11" s="220"/>
      <c r="AU11" s="220"/>
      <c r="AV11" s="220"/>
      <c r="AW11" s="220"/>
      <c r="AX11" s="220"/>
      <c r="AY11" s="220"/>
      <c r="AZ11" s="220"/>
      <c r="BA11" s="220"/>
      <c r="BB11" s="220"/>
    </row>
    <row r="12" spans="1:54" ht="26.25" customHeight="1" thickBot="1" x14ac:dyDescent="0.25">
      <c r="A12" s="13"/>
      <c r="B12" s="195" t="s">
        <v>28</v>
      </c>
      <c r="C12" s="198" t="s">
        <v>29</v>
      </c>
      <c r="D12" s="199"/>
      <c r="E12" s="199"/>
      <c r="F12" s="199"/>
      <c r="G12" s="199"/>
      <c r="H12" s="199"/>
      <c r="I12" s="200"/>
      <c r="L12" s="12"/>
      <c r="M12" s="12"/>
      <c r="N12" s="12"/>
      <c r="O12" s="12"/>
      <c r="P12" s="12"/>
      <c r="Q12" s="12"/>
      <c r="R12" s="12"/>
      <c r="S12" s="48" t="s">
        <v>30</v>
      </c>
      <c r="T12" s="115">
        <f>COUNTIFS(TablaMayo[TIPO DISCAPACIDAD], S12)</f>
      </c>
      <c r="U12" s="13"/>
      <c r="V12" s="13"/>
      <c r="W12" s="164" t="s">
        <v>31</v>
      </c>
      <c r="X12" s="164"/>
      <c r="Y12" s="164"/>
      <c r="Z12" s="147">
        <f>COUNTIFS(TablaMayo[ORI. SEXUAL], W12)</f>
      </c>
      <c r="AA12" s="148"/>
      <c r="AB12" s="13"/>
      <c r="AC12" s="13"/>
      <c r="AD12" s="164" t="s">
        <v>32</v>
      </c>
      <c r="AE12" s="164"/>
      <c r="AF12" s="164"/>
      <c r="AG12" s="165">
        <f>COUNTIFS(TablaMayo[[ETNIA ]], AD12)</f>
      </c>
      <c r="AH12" s="165"/>
      <c r="AI12" s="49"/>
      <c r="AJ12" s="49"/>
      <c r="AK12" s="201" t="s">
        <v>33</v>
      </c>
      <c r="AL12" s="201"/>
      <c r="AM12" s="202">
        <f>COUNTIFS(TablaMayo[[ COMUNA]], AK12)</f>
      </c>
      <c r="AN12" s="202"/>
      <c r="AO12" s="180"/>
      <c r="AP12" s="180"/>
      <c r="AQ12" s="183"/>
      <c r="AR12" s="183"/>
      <c r="AS12" s="220"/>
      <c r="AT12" s="220"/>
      <c r="AU12" s="220"/>
      <c r="AV12" s="220"/>
      <c r="AW12" s="220"/>
      <c r="AX12" s="220"/>
      <c r="AY12" s="220"/>
      <c r="AZ12" s="220"/>
      <c r="BA12" s="220"/>
      <c r="BB12" s="220"/>
    </row>
    <row r="13" spans="1:54" ht="29.25" customHeight="1" thickBot="1" x14ac:dyDescent="0.25">
      <c r="B13" s="196"/>
      <c r="C13" s="50" t="s">
        <v>34</v>
      </c>
      <c r="D13" s="51" t="s">
        <v>35</v>
      </c>
      <c r="E13" s="51" t="s">
        <v>36</v>
      </c>
      <c r="F13" s="203" t="s">
        <v>37</v>
      </c>
      <c r="G13" s="204"/>
      <c r="H13" s="52" t="s">
        <v>38</v>
      </c>
      <c r="I13" s="53" t="s">
        <v>39</v>
      </c>
      <c r="K13" s="54"/>
      <c r="L13" s="55"/>
      <c r="M13" s="12"/>
      <c r="N13" s="12"/>
      <c r="O13" s="205" t="s">
        <v>40</v>
      </c>
      <c r="P13" s="206"/>
      <c r="Q13" s="207"/>
      <c r="R13" s="56"/>
      <c r="S13" s="57" t="s">
        <v>41</v>
      </c>
      <c r="T13" s="115">
        <f>COUNTIFS(TablaMayo[TIPO DISCAPACIDAD], S13)</f>
      </c>
      <c r="U13" s="56"/>
      <c r="V13" s="56"/>
      <c r="W13" s="160" t="s">
        <v>42</v>
      </c>
      <c r="X13" s="160"/>
      <c r="Y13" s="160"/>
      <c r="Z13" s="147">
        <f>COUNTIFS(TablaMayo[ORI. SEXUAL], W13)</f>
      </c>
      <c r="AA13" s="148"/>
      <c r="AB13" s="58"/>
      <c r="AC13" s="59"/>
      <c r="AD13" s="208" t="s">
        <v>43</v>
      </c>
      <c r="AE13" s="208"/>
      <c r="AF13" s="208"/>
      <c r="AG13" s="165">
        <f>COUNTIFS(TablaMayo[[ETNIA ]], AD13)</f>
      </c>
      <c r="AH13" s="165"/>
      <c r="AI13" s="56"/>
      <c r="AJ13" s="56"/>
      <c r="AK13" s="209"/>
      <c r="AL13" s="209"/>
      <c r="AM13" s="182"/>
      <c r="AN13" s="182"/>
      <c r="AO13" s="180"/>
      <c r="AP13" s="180"/>
      <c r="AQ13" s="183"/>
      <c r="AR13" s="183"/>
      <c r="AS13" s="220"/>
      <c r="AT13" s="220"/>
      <c r="AU13" s="220"/>
      <c r="AV13" s="220"/>
      <c r="AW13" s="220"/>
      <c r="AX13" s="220"/>
      <c r="AY13" s="220"/>
      <c r="AZ13" s="220"/>
      <c r="BA13" s="220"/>
      <c r="BB13" s="220"/>
    </row>
    <row r="14" spans="1:54" ht="19.5" customHeight="1" thickBot="1" x14ac:dyDescent="0.25">
      <c r="A14" s="13"/>
      <c r="B14" s="196"/>
      <c r="C14" s="210"/>
      <c r="D14" s="210"/>
      <c r="E14" s="8"/>
      <c r="F14" s="212"/>
      <c r="G14" s="213"/>
      <c r="H14" s="210"/>
      <c r="I14" s="210"/>
      <c r="K14" s="216" t="s">
        <v>44</v>
      </c>
      <c r="L14" s="184">
        <f>COUNTIFS(TablaMayo[SEXO], K14)</f>
      </c>
      <c r="M14" s="12"/>
      <c r="N14" s="12"/>
      <c r="O14" s="158" t="s">
        <v>45</v>
      </c>
      <c r="P14" s="159"/>
      <c r="Q14" s="116">
        <f>COUNTIFS(TablaMayo[EDAD], "&lt;6")</f>
      </c>
      <c r="R14" s="56"/>
      <c r="S14" s="47" t="s">
        <v>46</v>
      </c>
      <c r="T14" s="115">
        <f>COUNTIFS(TablaMayo[TIPO DISCAPACIDAD], S14)</f>
      </c>
      <c r="U14" s="60"/>
      <c r="V14" s="56"/>
      <c r="W14" s="160" t="s">
        <v>47</v>
      </c>
      <c r="X14" s="160"/>
      <c r="Y14" s="160"/>
      <c r="Z14" s="147">
        <f>COUNTIFS(TablaMayo[ORI. SEXUAL], W14)</f>
      </c>
      <c r="AA14" s="148"/>
      <c r="AB14" s="13"/>
      <c r="AC14" s="13"/>
      <c r="AD14" s="164" t="s">
        <v>48</v>
      </c>
      <c r="AE14" s="164"/>
      <c r="AF14" s="164"/>
      <c r="AG14" s="165">
        <f>COUNTIFS(TablaMayo[[ETNIA ]], AD14)</f>
      </c>
      <c r="AH14" s="165"/>
      <c r="AI14" s="56"/>
      <c r="AJ14" s="56"/>
      <c r="AK14" s="194"/>
      <c r="AL14" s="194"/>
      <c r="AM14" s="182"/>
      <c r="AN14" s="182"/>
      <c r="AO14" s="180"/>
      <c r="AP14" s="180"/>
      <c r="AQ14" s="183"/>
      <c r="AR14" s="183"/>
      <c r="AV14" s="151"/>
      <c r="AW14" s="152"/>
      <c r="BB14" s="13"/>
    </row>
    <row r="15" spans="1:54" ht="19.5" customHeight="1" thickBot="1" x14ac:dyDescent="0.25">
      <c r="A15" s="13"/>
      <c r="B15" s="196"/>
      <c r="C15" s="211"/>
      <c r="D15" s="211"/>
      <c r="E15" s="9"/>
      <c r="F15" s="214"/>
      <c r="G15" s="215"/>
      <c r="H15" s="211"/>
      <c r="I15" s="211"/>
      <c r="K15" s="217"/>
      <c r="L15" s="185"/>
      <c r="M15" s="12"/>
      <c r="N15" s="12"/>
      <c r="O15" s="192" t="s">
        <v>49</v>
      </c>
      <c r="P15" s="193"/>
      <c r="Q15" s="116">
        <f>COUNTIFS(TablaMayo[EDAD], "&gt;5", TablaMayo[EDAD], "&lt;11")</f>
      </c>
      <c r="R15" s="56"/>
      <c r="S15" s="57" t="s">
        <v>50</v>
      </c>
      <c r="T15" s="115">
        <f>COUNTIFS(TablaMayo[TIPO DISCAPACIDAD], S15)</f>
      </c>
      <c r="U15" s="60"/>
      <c r="V15" s="56"/>
      <c r="W15" s="160" t="s">
        <v>51</v>
      </c>
      <c r="X15" s="160"/>
      <c r="Y15" s="160"/>
      <c r="Z15" s="147">
        <f>COUNTIFS(TablaMayo[ORI. SEXUAL], W15)</f>
      </c>
      <c r="AA15" s="148"/>
      <c r="AB15" s="58"/>
      <c r="AC15" s="59"/>
      <c r="AD15" s="179" t="s">
        <v>52</v>
      </c>
      <c r="AE15" s="179"/>
      <c r="AF15" s="179"/>
      <c r="AG15" s="165">
        <f>COUNTIFS(TablaMayo[[ETNIA ]], AD15)</f>
      </c>
      <c r="AH15" s="165"/>
      <c r="AI15" s="56"/>
      <c r="AJ15" s="56"/>
      <c r="AK15" s="180"/>
      <c r="AL15" s="181"/>
      <c r="AM15" s="182"/>
      <c r="AN15" s="182"/>
      <c r="AO15" s="180"/>
      <c r="AP15" s="180"/>
      <c r="AQ15" s="183"/>
      <c r="AR15" s="183"/>
      <c r="AV15" s="151"/>
      <c r="AW15" s="152"/>
      <c r="AX15" s="186" t="s">
        <v>53</v>
      </c>
      <c r="AY15" s="186"/>
      <c r="AZ15" s="186"/>
      <c r="BA15" s="186"/>
      <c r="BB15" s="13"/>
    </row>
    <row r="16" spans="1:54" ht="19.5" customHeight="1" thickBot="1" x14ac:dyDescent="0.25">
      <c r="A16" s="13"/>
      <c r="B16" s="196"/>
      <c r="C16" s="187" t="s">
        <v>54</v>
      </c>
      <c r="D16" s="188"/>
      <c r="E16" s="188"/>
      <c r="F16" s="188"/>
      <c r="G16" s="188"/>
      <c r="H16" s="188"/>
      <c r="I16" s="189"/>
      <c r="K16" s="190" t="s">
        <v>55</v>
      </c>
      <c r="L16" s="184">
        <f>COUNTIFS(TablaMayo[SEXO], K16)</f>
      </c>
      <c r="M16" s="12"/>
      <c r="N16" s="12"/>
      <c r="O16" s="158" t="s">
        <v>56</v>
      </c>
      <c r="P16" s="159"/>
      <c r="Q16" s="116">
        <f>COUNTIFS(TablaMayo[EDAD], "&gt;10", TablaMayo[EDAD], "&lt;15")</f>
      </c>
      <c r="R16" s="56"/>
      <c r="S16" s="47" t="s">
        <v>57</v>
      </c>
      <c r="T16" s="115">
        <f>COUNTIFS(TablaMayo[TIPO DISCAPACIDAD], S16)</f>
      </c>
      <c r="U16" s="60"/>
      <c r="V16" s="56"/>
      <c r="W16" s="160" t="s">
        <v>58</v>
      </c>
      <c r="X16" s="160"/>
      <c r="Y16" s="160"/>
      <c r="Z16" s="147">
        <f>COUNTIFS(TablaMayo[ORI. SEXUAL], W16)</f>
      </c>
      <c r="AA16" s="148"/>
      <c r="AB16" s="58"/>
      <c r="AC16" s="59"/>
      <c r="AD16" s="179" t="s">
        <v>59</v>
      </c>
      <c r="AE16" s="179"/>
      <c r="AF16" s="179"/>
      <c r="AG16" s="165">
        <f>COUNTIFS(TablaMayo[[ETNIA ]], AD16)</f>
      </c>
      <c r="AH16" s="165"/>
      <c r="AI16" s="56"/>
      <c r="AJ16" s="56"/>
      <c r="AK16" s="180"/>
      <c r="AL16" s="180"/>
      <c r="AM16" s="181"/>
      <c r="AN16" s="181"/>
      <c r="AO16" s="56"/>
      <c r="AP16" s="56"/>
      <c r="AQ16" s="33"/>
      <c r="AV16" s="151"/>
      <c r="AW16" s="152"/>
      <c r="AX16" s="186"/>
      <c r="AY16" s="186"/>
      <c r="AZ16" s="186"/>
      <c r="BA16" s="186"/>
      <c r="BB16" s="13"/>
    </row>
    <row r="17" spans="1:54" ht="19.5" customHeight="1" thickBot="1" x14ac:dyDescent="0.25">
      <c r="A17" s="13"/>
      <c r="B17" s="196"/>
      <c r="C17" s="175" t="s">
        <v>60</v>
      </c>
      <c r="D17" s="176"/>
      <c r="E17" s="175" t="s">
        <v>61</v>
      </c>
      <c r="F17" s="177"/>
      <c r="G17" s="176"/>
      <c r="H17" s="175" t="s">
        <v>62</v>
      </c>
      <c r="I17" s="176"/>
      <c r="K17" s="191"/>
      <c r="L17" s="185"/>
      <c r="M17" s="12"/>
      <c r="N17" s="12"/>
      <c r="O17" s="158" t="s">
        <v>63</v>
      </c>
      <c r="P17" s="159"/>
      <c r="Q17" s="116">
        <f>COUNTIFS(TablaMayo[EDAD], "&gt;14", TablaMayo[EDAD], "&lt;20")</f>
      </c>
      <c r="R17" s="56"/>
      <c r="S17" s="57" t="s">
        <v>64</v>
      </c>
      <c r="T17" s="115">
        <f>COUNTIFS(TablaMayo[TIPO DISCAPACIDAD], S17)</f>
      </c>
      <c r="U17" s="61"/>
      <c r="V17" s="60"/>
      <c r="W17" s="178" t="s">
        <v>65</v>
      </c>
      <c r="X17" s="178"/>
      <c r="Y17" s="178"/>
      <c r="Z17" s="147">
        <f>COUNTIFS(TablaMayo[ORI. SEXUAL], W17)</f>
      </c>
      <c r="AA17" s="148"/>
      <c r="AB17" s="13"/>
      <c r="AC17" s="13"/>
      <c r="AD17" s="164" t="s">
        <v>66</v>
      </c>
      <c r="AE17" s="164"/>
      <c r="AF17" s="164"/>
      <c r="AG17" s="165">
        <f>COUNTIFS(TablaMayo[[ETNIA ]], AD17)</f>
      </c>
      <c r="AH17" s="165"/>
      <c r="AI17" s="56"/>
      <c r="AJ17" s="56"/>
      <c r="AK17" s="56"/>
      <c r="AL17" s="56"/>
      <c r="AM17" s="56"/>
      <c r="AN17" s="149"/>
      <c r="AO17" s="150"/>
      <c r="AP17" s="150"/>
      <c r="AQ17" s="33"/>
      <c r="AV17" s="151"/>
      <c r="AW17" s="152"/>
      <c r="AX17" s="166" t="s">
        <v>67</v>
      </c>
      <c r="AY17" s="167"/>
      <c r="AZ17" s="168"/>
      <c r="BA17" s="62" t="s">
        <v>68</v>
      </c>
      <c r="BB17" s="13"/>
    </row>
    <row r="18" spans="1:54" ht="19.5" customHeight="1" thickBot="1" x14ac:dyDescent="0.25">
      <c r="A18" s="13"/>
      <c r="B18" s="197"/>
      <c r="C18" s="169"/>
      <c r="D18" s="170"/>
      <c r="E18" s="169"/>
      <c r="F18" s="171"/>
      <c r="G18" s="170"/>
      <c r="H18" s="169"/>
      <c r="I18" s="170"/>
      <c r="L18" s="12"/>
      <c r="M18" s="12"/>
      <c r="N18" s="12"/>
      <c r="O18" s="158" t="s">
        <v>69</v>
      </c>
      <c r="P18" s="159"/>
      <c r="Q18" s="116">
        <f>COUNTIFS(TablaMayo[EDAD], "&gt;19", TablaMayo[EDAD], "&lt;60")</f>
      </c>
      <c r="R18" s="56"/>
      <c r="S18" s="47" t="s">
        <v>70</v>
      </c>
      <c r="T18" s="115">
        <f>COUNTIFS(TablaMayo[TIPO DISCAPACIDAD], S18)</f>
      </c>
      <c r="U18" s="60"/>
      <c r="V18" s="56"/>
      <c r="W18" s="172" t="s">
        <v>71</v>
      </c>
      <c r="X18" s="173"/>
      <c r="Y18" s="174"/>
      <c r="Z18" s="147">
        <f>COUNTIFS(TablaMayo[ORI. SEXUAL], W18)</f>
      </c>
      <c r="AA18" s="148"/>
      <c r="AB18" s="13"/>
      <c r="AC18" s="13"/>
      <c r="AD18" s="13"/>
      <c r="AE18" s="13"/>
      <c r="AF18" s="13"/>
      <c r="AG18" s="13"/>
      <c r="AH18" s="60"/>
      <c r="AI18" s="56"/>
      <c r="AJ18" s="56"/>
      <c r="AK18" s="56"/>
      <c r="AL18" s="56"/>
      <c r="AM18" s="56"/>
      <c r="AN18" s="149"/>
      <c r="AO18" s="150"/>
      <c r="AP18" s="150"/>
      <c r="AQ18" s="33"/>
      <c r="AV18" s="151"/>
      <c r="AW18" s="152"/>
      <c r="AX18" s="153" t="s">
        <v>72</v>
      </c>
      <c r="AY18" s="154"/>
      <c r="AZ18" s="155"/>
      <c r="BA18" s="63" t="s">
        <v>73</v>
      </c>
      <c r="BB18" s="13"/>
    </row>
    <row r="19" spans="1:54" ht="19.5" customHeight="1" thickBot="1" x14ac:dyDescent="0.25">
      <c r="A19" s="13"/>
      <c r="B19" s="64"/>
      <c r="C19" s="43"/>
      <c r="D19" s="43"/>
      <c r="E19" s="43"/>
      <c r="F19" s="65"/>
      <c r="G19" s="66"/>
      <c r="H19" s="66"/>
      <c r="I19" s="66"/>
      <c r="J19" s="66"/>
      <c r="K19" s="156" t="s">
        <v>74</v>
      </c>
      <c r="L19" s="157"/>
      <c r="M19" s="12"/>
      <c r="N19" s="12"/>
      <c r="O19" s="158" t="s">
        <v>75</v>
      </c>
      <c r="P19" s="159"/>
      <c r="Q19" s="116">
        <f>COUNTIFS(TablaMayo[EDAD], "&gt;59")</f>
      </c>
      <c r="R19" s="56"/>
      <c r="U19" s="60"/>
      <c r="V19" s="56"/>
      <c r="W19" s="160" t="s">
        <v>66</v>
      </c>
      <c r="X19" s="160"/>
      <c r="Y19" s="160"/>
      <c r="Z19" s="147">
        <f>COUNTIFS(TablaMayo[ORI. SEXUAL], W19)</f>
      </c>
      <c r="AA19" s="148"/>
      <c r="AB19" s="13"/>
      <c r="AC19" s="13"/>
      <c r="AD19" s="13"/>
      <c r="AE19" s="13"/>
      <c r="AF19" s="13"/>
      <c r="AG19" s="13"/>
      <c r="AH19" s="67"/>
      <c r="AI19" s="68"/>
      <c r="AJ19" s="68" t="s">
        <v>76</v>
      </c>
      <c r="AK19" s="68"/>
      <c r="AL19" s="68"/>
      <c r="AM19" s="68"/>
      <c r="AN19" s="68"/>
      <c r="AO19" s="68"/>
      <c r="AP19" s="68"/>
      <c r="AQ19" s="33"/>
      <c r="AV19" s="151"/>
      <c r="AW19" s="152"/>
      <c r="AX19" s="161" t="s">
        <v>77</v>
      </c>
      <c r="AY19" s="162"/>
      <c r="AZ19" s="163"/>
      <c r="BA19" s="69" t="s">
        <v>78</v>
      </c>
      <c r="BB19" s="13"/>
    </row>
    <row r="20" spans="1:54" ht="20.25" customHeight="1" thickBot="1" x14ac:dyDescent="0.25">
      <c r="A20" s="13"/>
      <c r="B20" s="33"/>
      <c r="C20" s="33"/>
      <c r="D20" s="33"/>
      <c r="E20" s="33"/>
      <c r="F20" s="65"/>
      <c r="G20" s="66"/>
      <c r="H20" s="66"/>
      <c r="I20" s="66"/>
      <c r="J20" s="66"/>
      <c r="K20" s="70" t="s">
        <v>79</v>
      </c>
      <c r="L20" s="117">
        <f>COUNTIF(TablaMayo[VICTIMA CONF. ARMADO], K20)</f>
      </c>
      <c r="M20" s="12"/>
      <c r="N20" s="12"/>
      <c r="O20" s="12"/>
      <c r="P20" s="12"/>
      <c r="Q20" s="12"/>
      <c r="R20" s="12"/>
      <c r="S20" s="12"/>
      <c r="T20" s="3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68"/>
      <c r="AI20" s="68"/>
      <c r="AJ20" s="68"/>
      <c r="AK20" s="68"/>
      <c r="AL20" s="68"/>
      <c r="AM20" s="68"/>
      <c r="AN20" s="68"/>
      <c r="AO20" s="68"/>
      <c r="AP20" s="68"/>
      <c r="AQ20" s="33"/>
      <c r="AR20" s="33"/>
      <c r="AS20" s="33"/>
      <c r="AT20" s="33"/>
      <c r="AU20" s="33"/>
      <c r="AV20" s="33"/>
      <c r="AW20" s="33"/>
      <c r="AX20" s="33"/>
      <c r="AY20" s="33"/>
      <c r="AZ20" s="13"/>
      <c r="BA20" s="13"/>
      <c r="BB20" s="13"/>
    </row>
    <row r="21" spans="1:54" ht="18.75" customHeight="1" thickBot="1" x14ac:dyDescent="0.25">
      <c r="A21" s="13"/>
      <c r="B21" s="13"/>
      <c r="C21" s="33"/>
      <c r="D21" s="33"/>
      <c r="E21" s="33"/>
      <c r="F21" s="33"/>
      <c r="G21" s="33"/>
      <c r="H21" s="33"/>
      <c r="I21" s="33"/>
      <c r="J21" s="33"/>
      <c r="K21" s="71" t="s">
        <v>80</v>
      </c>
      <c r="L21" s="117">
        <f>COUNTIF(TablaMayo[VICTIMA CONF. ARMADO], K21)</f>
      </c>
      <c r="M21" s="12"/>
      <c r="N21" s="12"/>
      <c r="O21" s="12"/>
      <c r="P21" s="12"/>
      <c r="Q21" s="12"/>
      <c r="R21" s="12"/>
      <c r="S21" s="12"/>
      <c r="T21" s="33"/>
      <c r="U21" s="135" t="s">
        <v>137</v>
      </c>
      <c r="V21" s="136"/>
      <c r="W21" s="136"/>
      <c r="X21" s="136"/>
      <c r="Y21" s="136"/>
      <c r="Z21" s="136"/>
      <c r="AA21" s="136"/>
      <c r="AB21" s="136"/>
      <c r="AC21" s="136"/>
      <c r="AD21" s="136"/>
      <c r="AE21" s="136"/>
      <c r="AF21" s="136"/>
      <c r="AG21" s="136"/>
      <c r="AH21" s="136"/>
      <c r="AI21" s="136"/>
      <c r="AJ21" s="136"/>
      <c r="AK21" s="136"/>
      <c r="AL21" s="136"/>
      <c r="AM21" s="136"/>
      <c r="AN21" s="136"/>
      <c r="AO21" s="136"/>
      <c r="AP21" s="136"/>
      <c r="AQ21" s="136"/>
      <c r="AR21" s="136"/>
      <c r="AS21" s="136"/>
      <c r="AT21" s="136"/>
      <c r="AU21" s="136"/>
      <c r="AV21" s="136"/>
      <c r="AW21" s="136"/>
      <c r="AX21" s="136"/>
      <c r="AY21" s="137"/>
      <c r="AZ21" s="141" t="s">
        <v>81</v>
      </c>
      <c r="BA21" s="142"/>
      <c r="BB21" s="143"/>
    </row>
    <row r="22" spans="1:54" ht="15" customHeight="1" thickBot="1" x14ac:dyDescent="0.25">
      <c r="A22" s="13"/>
      <c r="B22" s="13"/>
      <c r="C22" s="33"/>
      <c r="D22" s="33"/>
      <c r="E22" s="33"/>
      <c r="F22" s="33"/>
      <c r="G22" s="33"/>
      <c r="H22" s="33"/>
      <c r="I22" s="33"/>
      <c r="J22" s="33"/>
      <c r="K22" s="33"/>
      <c r="L22" s="72"/>
      <c r="M22" s="72"/>
      <c r="N22" s="72"/>
      <c r="O22" s="72"/>
      <c r="P22" s="72"/>
      <c r="Q22" s="12"/>
      <c r="R22" s="12"/>
      <c r="S22" s="12"/>
      <c r="T22" s="73"/>
      <c r="U22" s="138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  <c r="AF22" s="139"/>
      <c r="AG22" s="139"/>
      <c r="AH22" s="139"/>
      <c r="AI22" s="139"/>
      <c r="AJ22" s="139"/>
      <c r="AK22" s="139"/>
      <c r="AL22" s="139"/>
      <c r="AM22" s="139"/>
      <c r="AN22" s="139"/>
      <c r="AO22" s="139"/>
      <c r="AP22" s="139"/>
      <c r="AQ22" s="139"/>
      <c r="AR22" s="139"/>
      <c r="AS22" s="139"/>
      <c r="AT22" s="139"/>
      <c r="AU22" s="139"/>
      <c r="AV22" s="139"/>
      <c r="AW22" s="139"/>
      <c r="AX22" s="139"/>
      <c r="AY22" s="140"/>
      <c r="AZ22" s="144"/>
      <c r="BA22" s="145"/>
      <c r="BB22" s="146"/>
    </row>
    <row r="23" spans="1:54" ht="42" customHeight="1" x14ac:dyDescent="0.2">
      <c r="A23" s="74" t="s">
        <v>82</v>
      </c>
      <c r="B23" s="108" t="s">
        <v>83</v>
      </c>
      <c r="C23" s="108" t="s">
        <v>84</v>
      </c>
      <c r="D23" s="108" t="s">
        <v>85</v>
      </c>
      <c r="E23" s="108" t="s">
        <v>86</v>
      </c>
      <c r="F23" s="109" t="s">
        <v>87</v>
      </c>
      <c r="G23" s="110" t="s">
        <v>88</v>
      </c>
      <c r="H23" s="109" t="s">
        <v>89</v>
      </c>
      <c r="I23" s="111" t="s">
        <v>90</v>
      </c>
      <c r="J23" s="112" t="s">
        <v>91</v>
      </c>
      <c r="K23" s="75" t="s">
        <v>92</v>
      </c>
      <c r="L23" s="76" t="s">
        <v>93</v>
      </c>
      <c r="M23" s="77" t="s">
        <v>94</v>
      </c>
      <c r="N23" s="78" t="s">
        <v>95</v>
      </c>
      <c r="O23" s="79" t="s">
        <v>96</v>
      </c>
      <c r="P23" s="113" t="s">
        <v>97</v>
      </c>
      <c r="Q23" s="80" t="s">
        <v>98</v>
      </c>
      <c r="R23" s="80" t="s">
        <v>99</v>
      </c>
      <c r="S23" s="80" t="s">
        <v>100</v>
      </c>
      <c r="T23" s="81" t="s">
        <v>101</v>
      </c>
      <c r="U23" s="28" t="s">
        <v>102</v>
      </c>
      <c r="V23" s="28" t="s">
        <v>103</v>
      </c>
      <c r="W23" s="27" t="s">
        <v>104</v>
      </c>
      <c r="X23" s="122" t="s">
        <v>105</v>
      </c>
      <c r="Y23" s="26" t="s">
        <v>106</v>
      </c>
      <c r="Z23" s="26" t="s">
        <v>107</v>
      </c>
      <c r="AA23" s="28" t="s">
        <v>108</v>
      </c>
      <c r="AB23" s="28" t="s">
        <v>109</v>
      </c>
      <c r="AC23" s="28" t="s">
        <v>110</v>
      </c>
      <c r="AD23" s="26" t="s">
        <v>111</v>
      </c>
      <c r="AE23" s="122" t="s">
        <v>112</v>
      </c>
      <c r="AF23" s="26" t="s">
        <v>113</v>
      </c>
      <c r="AG23" s="122" t="s">
        <v>114</v>
      </c>
      <c r="AH23" s="26" t="s">
        <v>115</v>
      </c>
      <c r="AI23" s="28" t="s">
        <v>116</v>
      </c>
      <c r="AJ23" s="28" t="s">
        <v>117</v>
      </c>
      <c r="AK23" s="28" t="s">
        <v>118</v>
      </c>
      <c r="AL23" s="122" t="s">
        <v>119</v>
      </c>
      <c r="AM23" s="26" t="s">
        <v>120</v>
      </c>
      <c r="AN23" s="122" t="s">
        <v>121</v>
      </c>
      <c r="AO23" s="122" t="s">
        <v>122</v>
      </c>
      <c r="AP23" s="28" t="s">
        <v>123</v>
      </c>
      <c r="AQ23" s="125" t="s">
        <v>124</v>
      </c>
      <c r="AR23" s="29" t="s">
        <v>125</v>
      </c>
      <c r="AS23" s="123" t="s">
        <v>126</v>
      </c>
      <c r="AT23" s="26" t="s">
        <v>127</v>
      </c>
      <c r="AU23" s="122" t="s">
        <v>128</v>
      </c>
      <c r="AV23" s="122" t="s">
        <v>129</v>
      </c>
      <c r="AW23" s="28" t="s">
        <v>130</v>
      </c>
      <c r="AX23" s="124" t="s">
        <v>131</v>
      </c>
      <c r="AY23" s="122" t="s">
        <v>132</v>
      </c>
      <c r="AZ23" s="82" t="s">
        <v>68</v>
      </c>
      <c r="BA23" s="82" t="s">
        <v>73</v>
      </c>
      <c r="BB23" s="83" t="s">
        <v>78</v>
      </c>
    </row>
    <row r="24" spans="1:54" ht="15.75" customHeight="1" x14ac:dyDescent="0.2">
      <c r="A24" s="84"/>
      <c r="B24" s="85"/>
      <c r="C24" s="85"/>
      <c r="D24" s="85"/>
      <c r="E24" s="86"/>
      <c r="F24" s="16">
        <f>IF(E24="","",DATEDIF(E24,$I$7,"Y"))</f>
      </c>
      <c r="G24" s="85"/>
      <c r="H24" s="85"/>
      <c r="I24" s="87"/>
      <c r="J24" s="85"/>
      <c r="K24" s="85"/>
      <c r="L24" s="2"/>
      <c r="M24" s="2"/>
      <c r="N24" s="2"/>
      <c r="O24" s="2"/>
      <c r="P24" s="85"/>
      <c r="Q24" s="88"/>
      <c r="R24" s="3">
        <f>IFERROR(VLOOKUP(TablaMayo[[#This Row],[BARRIO]],SECTOR!$A:$B,2,0),"")</f>
      </c>
      <c r="S24" s="89"/>
      <c r="T24" s="90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17">
        <f>COUNTIF(U24:AY24,"A")</f>
      </c>
      <c r="BA24" s="17">
        <f>COUNTIF(U24:AY24,"F")</f>
      </c>
      <c r="BB24" s="17">
        <f>COUNTIF(U24:AY24,"E")</f>
      </c>
    </row>
    <row r="25" spans="1:54" ht="15.75" customHeight="1" x14ac:dyDescent="0.2">
      <c r="A25" s="84"/>
      <c r="B25" s="85"/>
      <c r="C25" s="85"/>
      <c r="D25" s="85"/>
      <c r="E25" s="86"/>
      <c r="F25" s="16">
        <f>IF(E25="","",DATEDIF(E25,$I$7,"Y"))</f>
      </c>
      <c r="G25" s="85"/>
      <c r="H25" s="85"/>
      <c r="I25" s="87"/>
      <c r="J25" s="85"/>
      <c r="K25" s="85"/>
      <c r="L25" s="2"/>
      <c r="M25" s="2"/>
      <c r="N25" s="1"/>
      <c r="O25" s="1"/>
      <c r="P25" s="85"/>
      <c r="Q25" s="88"/>
      <c r="R25" s="3">
        <f>IFERROR(VLOOKUP(TablaMayo[[#This Row],[BARRIO]],SECTOR!$A:$B,2,0),"")</f>
      </c>
      <c r="S25" s="89"/>
      <c r="T25" s="90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17">
        <f>COUNTIF(U25:AY25,"A")</f>
      </c>
      <c r="BA25" s="17">
        <f>COUNTIF(U25:AY25,"F")</f>
      </c>
      <c r="BB25" s="17">
        <f>COUNTIF(U25:AY25,"E")</f>
      </c>
    </row>
    <row r="26" spans="1:54" ht="15.75" customHeight="1" x14ac:dyDescent="0.2">
      <c r="A26" s="84"/>
      <c r="B26" s="85"/>
      <c r="C26" s="85"/>
      <c r="D26" s="85"/>
      <c r="E26" s="86"/>
      <c r="F26" s="16">
        <f>IF(E26="","",DATEDIF(E26,$I$7,"Y"))</f>
      </c>
      <c r="G26" s="85"/>
      <c r="H26" s="85"/>
      <c r="I26" s="87"/>
      <c r="J26" s="85"/>
      <c r="K26" s="85"/>
      <c r="L26" s="2"/>
      <c r="M26" s="2"/>
      <c r="N26" s="1"/>
      <c r="O26" s="1"/>
      <c r="P26" s="85"/>
      <c r="Q26" s="88"/>
      <c r="R26" s="3">
        <f>IFERROR(VLOOKUP(TablaMayo[[#This Row],[BARRIO]],SECTOR!$A:$B,2,0),"")</f>
      </c>
      <c r="S26" s="89"/>
      <c r="T26" s="90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17">
        <f>COUNTIF(U26:AY26,"A")</f>
      </c>
      <c r="BA26" s="17">
        <f>COUNTIF(U26:AY26,"F")</f>
      </c>
      <c r="BB26" s="17">
        <f>COUNTIF(U26:AY26,"E")</f>
      </c>
    </row>
    <row r="27" spans="1:54" ht="15.75" customHeight="1" x14ac:dyDescent="0.2">
      <c r="A27" s="84"/>
      <c r="B27" s="85"/>
      <c r="C27" s="85"/>
      <c r="D27" s="85"/>
      <c r="E27" s="86"/>
      <c r="F27" s="16">
        <f>IF(E27="","",DATEDIF(E27,$I$7,"Y"))</f>
      </c>
      <c r="G27" s="85"/>
      <c r="H27" s="85"/>
      <c r="I27" s="87"/>
      <c r="J27" s="85"/>
      <c r="K27" s="85"/>
      <c r="L27" s="2"/>
      <c r="M27" s="2"/>
      <c r="N27" s="1"/>
      <c r="O27" s="1"/>
      <c r="P27" s="85"/>
      <c r="Q27" s="88"/>
      <c r="R27" s="3">
        <f>IFERROR(VLOOKUP(TablaMayo[[#This Row],[BARRIO]],SECTOR!$A:$B,2,0),"")</f>
      </c>
      <c r="S27" s="89"/>
      <c r="T27" s="90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17">
        <f>COUNTIF(U27:AY27,"A")</f>
      </c>
      <c r="BA27" s="17">
        <f>COUNTIF(U27:AY27,"F")</f>
      </c>
      <c r="BB27" s="17">
        <f>COUNTIF(U27:AY27,"E")</f>
      </c>
    </row>
    <row r="28" spans="1:54" ht="15.75" customHeight="1" x14ac:dyDescent="0.2">
      <c r="A28" s="84"/>
      <c r="B28" s="85"/>
      <c r="C28" s="85"/>
      <c r="D28" s="85"/>
      <c r="E28" s="86"/>
      <c r="F28" s="16">
        <f>IF(E28="","",DATEDIF(E28,$I$7,"Y"))</f>
      </c>
      <c r="G28" s="85"/>
      <c r="H28" s="85"/>
      <c r="I28" s="87"/>
      <c r="J28" s="85"/>
      <c r="K28" s="85"/>
      <c r="L28" s="2"/>
      <c r="M28" s="2"/>
      <c r="N28" s="1"/>
      <c r="O28" s="1"/>
      <c r="P28" s="85"/>
      <c r="Q28" s="88"/>
      <c r="R28" s="3">
        <f>IFERROR(VLOOKUP(TablaMayo[[#This Row],[BARRIO]],SECTOR!$A:$B,2,0),"")</f>
      </c>
      <c r="S28" s="89"/>
      <c r="T28" s="90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17">
        <f>COUNTIF(U28:AY28,"A")</f>
      </c>
      <c r="BA28" s="17">
        <f>COUNTIF(U28:AY28,"F")</f>
      </c>
      <c r="BB28" s="17">
        <f>COUNTIF(U28:AY28,"E")</f>
      </c>
    </row>
    <row r="29" spans="1:54" ht="15.75" customHeight="1" x14ac:dyDescent="0.2">
      <c r="A29" s="84"/>
      <c r="B29" s="85"/>
      <c r="C29" s="85"/>
      <c r="D29" s="85"/>
      <c r="E29" s="86"/>
      <c r="F29" s="16">
        <f>IF(E29="","",DATEDIF(E29,$I$7,"Y"))</f>
      </c>
      <c r="G29" s="85"/>
      <c r="H29" s="85"/>
      <c r="I29" s="87"/>
      <c r="J29" s="85"/>
      <c r="K29" s="85"/>
      <c r="L29" s="2"/>
      <c r="M29" s="2"/>
      <c r="N29" s="1"/>
      <c r="O29" s="1"/>
      <c r="P29" s="85"/>
      <c r="Q29" s="88"/>
      <c r="R29" s="3">
        <f>IFERROR(VLOOKUP(TablaMayo[[#This Row],[BARRIO]],SECTOR!$A:$B,2,0),"")</f>
      </c>
      <c r="S29" s="89"/>
      <c r="T29" s="90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17">
        <f>COUNTIF(U29:AY29,"A")</f>
      </c>
      <c r="BA29" s="17">
        <f>COUNTIF(U29:AY29,"F")</f>
      </c>
      <c r="BB29" s="17">
        <f>COUNTIF(U29:AY29,"E")</f>
      </c>
    </row>
    <row r="30" spans="1:54" ht="15.75" customHeight="1" x14ac:dyDescent="0.2">
      <c r="A30" s="84"/>
      <c r="B30" s="85"/>
      <c r="C30" s="85"/>
      <c r="D30" s="85"/>
      <c r="E30" s="86"/>
      <c r="F30" s="16">
        <f>IF(E30="","",DATEDIF(E30,$I$7,"Y"))</f>
      </c>
      <c r="G30" s="85"/>
      <c r="H30" s="85"/>
      <c r="I30" s="87"/>
      <c r="J30" s="85"/>
      <c r="K30" s="85"/>
      <c r="L30" s="2"/>
      <c r="M30" s="2"/>
      <c r="N30" s="1"/>
      <c r="O30" s="1"/>
      <c r="P30" s="85"/>
      <c r="Q30" s="88"/>
      <c r="R30" s="3">
        <f>IFERROR(VLOOKUP(TablaMayo[[#This Row],[BARRIO]],SECTOR!$A:$B,2,0),"")</f>
      </c>
      <c r="S30" s="89"/>
      <c r="T30" s="90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17">
        <f>COUNTIF(U30:AY30,"A")</f>
      </c>
      <c r="BA30" s="17">
        <f>COUNTIF(U30:AY30,"F")</f>
      </c>
      <c r="BB30" s="17">
        <f>COUNTIF(U30:AY30,"E")</f>
      </c>
    </row>
    <row r="31" spans="1:54" ht="15.75" customHeight="1" x14ac:dyDescent="0.2">
      <c r="A31" s="84"/>
      <c r="B31" s="85"/>
      <c r="C31" s="85"/>
      <c r="D31" s="85"/>
      <c r="E31" s="86"/>
      <c r="F31" s="16">
        <f>IF(E31="","",DATEDIF(E31,$I$7,"Y"))</f>
      </c>
      <c r="G31" s="85"/>
      <c r="H31" s="85"/>
      <c r="I31" s="87"/>
      <c r="J31" s="85"/>
      <c r="K31" s="85"/>
      <c r="L31" s="2"/>
      <c r="M31" s="2"/>
      <c r="N31" s="1"/>
      <c r="O31" s="1"/>
      <c r="P31" s="85"/>
      <c r="Q31" s="88"/>
      <c r="R31" s="3">
        <f>IFERROR(VLOOKUP(TablaMayo[[#This Row],[BARRIO]],SECTOR!$A:$B,2,0),"")</f>
      </c>
      <c r="S31" s="89"/>
      <c r="T31" s="90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17">
        <f>COUNTIF(U31:AY31,"A")</f>
      </c>
      <c r="BA31" s="17">
        <f>COUNTIF(U31:AY31,"F")</f>
      </c>
      <c r="BB31" s="17">
        <f>COUNTIF(U31:AY31,"E")</f>
      </c>
    </row>
    <row r="32" spans="1:54" ht="15.75" customHeight="1" x14ac:dyDescent="0.2">
      <c r="A32" s="84"/>
      <c r="B32" s="85"/>
      <c r="C32" s="85"/>
      <c r="D32" s="85"/>
      <c r="E32" s="86"/>
      <c r="F32" s="16">
        <f>IF(E32="","",DATEDIF(E32,$I$7,"Y"))</f>
      </c>
      <c r="G32" s="85"/>
      <c r="H32" s="85"/>
      <c r="I32" s="87"/>
      <c r="J32" s="85"/>
      <c r="K32" s="85"/>
      <c r="L32" s="2"/>
      <c r="M32" s="2"/>
      <c r="N32" s="1"/>
      <c r="O32" s="1"/>
      <c r="P32" s="85"/>
      <c r="Q32" s="88"/>
      <c r="R32" s="3">
        <f>IFERROR(VLOOKUP(TablaMayo[[#This Row],[BARRIO]],SECTOR!$A:$B,2,0),"")</f>
      </c>
      <c r="S32" s="89"/>
      <c r="T32" s="90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17">
        <f>COUNTIF(U32:AY32,"A")</f>
      </c>
      <c r="BA32" s="17">
        <f>COUNTIF(U32:AY32,"F")</f>
      </c>
      <c r="BB32" s="17">
        <f>COUNTIF(U32:AY32,"E")</f>
      </c>
    </row>
    <row r="33" spans="1:54" ht="15.75" customHeight="1" x14ac:dyDescent="0.2">
      <c r="A33" s="84"/>
      <c r="B33" s="85"/>
      <c r="C33" s="85"/>
      <c r="D33" s="85"/>
      <c r="E33" s="86"/>
      <c r="F33" s="16">
        <f>IF(E33="","",DATEDIF(E33,$I$7,"Y"))</f>
      </c>
      <c r="G33" s="85"/>
      <c r="H33" s="85"/>
      <c r="I33" s="87"/>
      <c r="J33" s="85"/>
      <c r="K33" s="85"/>
      <c r="L33" s="2"/>
      <c r="M33" s="2"/>
      <c r="N33" s="1"/>
      <c r="O33" s="1"/>
      <c r="P33" s="85"/>
      <c r="Q33" s="88"/>
      <c r="R33" s="3">
        <f>IFERROR(VLOOKUP(TablaMayo[[#This Row],[BARRIO]],SECTOR!$A:$B,2,0),"")</f>
      </c>
      <c r="S33" s="89"/>
      <c r="T33" s="90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17">
        <f>COUNTIF(U33:AY33,"A")</f>
      </c>
      <c r="BA33" s="17">
        <f>COUNTIF(U33:AY33,"F")</f>
      </c>
      <c r="BB33" s="17">
        <f>COUNTIF(U33:AY33,"E")</f>
      </c>
    </row>
    <row r="34" spans="1:54" ht="15.75" customHeight="1" x14ac:dyDescent="0.2">
      <c r="A34" s="84"/>
      <c r="B34" s="85"/>
      <c r="C34" s="85"/>
      <c r="D34" s="85"/>
      <c r="E34" s="86"/>
      <c r="F34" s="16">
        <f>IF(E34="","",DATEDIF(E34,$I$7,"Y"))</f>
      </c>
      <c r="G34" s="85"/>
      <c r="H34" s="85"/>
      <c r="I34" s="87"/>
      <c r="J34" s="85"/>
      <c r="K34" s="85"/>
      <c r="L34" s="2"/>
      <c r="M34" s="2"/>
      <c r="N34" s="1"/>
      <c r="O34" s="1"/>
      <c r="P34" s="85"/>
      <c r="Q34" s="88"/>
      <c r="R34" s="3">
        <f>IFERROR(VLOOKUP(TablaMayo[[#This Row],[BARRIO]],SECTOR!$A:$B,2,0),"")</f>
      </c>
      <c r="S34" s="89"/>
      <c r="T34" s="90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17">
        <f>COUNTIF(U34:AY34,"A")</f>
      </c>
      <c r="BA34" s="17">
        <f>COUNTIF(U34:AY34,"F")</f>
      </c>
      <c r="BB34" s="17">
        <f>COUNTIF(U34:AY34,"E")</f>
      </c>
    </row>
    <row r="35" spans="1:54" ht="15.75" customHeight="1" x14ac:dyDescent="0.2">
      <c r="A35" s="84"/>
      <c r="B35" s="85"/>
      <c r="C35" s="85"/>
      <c r="D35" s="85"/>
      <c r="E35" s="86"/>
      <c r="F35" s="16">
        <f>IF(E35="","",DATEDIF(E35,$I$7,"Y"))</f>
      </c>
      <c r="G35" s="85"/>
      <c r="H35" s="85"/>
      <c r="I35" s="87"/>
      <c r="J35" s="85"/>
      <c r="K35" s="85"/>
      <c r="L35" s="2"/>
      <c r="M35" s="2"/>
      <c r="N35" s="1"/>
      <c r="O35" s="1"/>
      <c r="P35" s="85"/>
      <c r="Q35" s="88"/>
      <c r="R35" s="3">
        <f>IFERROR(VLOOKUP(TablaMayo[[#This Row],[BARRIO]],SECTOR!$A:$B,2,0),"")</f>
      </c>
      <c r="S35" s="89"/>
      <c r="T35" s="90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17">
        <f>COUNTIF(U35:AY35,"A")</f>
      </c>
      <c r="BA35" s="17">
        <f>COUNTIF(U35:AY35,"F")</f>
      </c>
      <c r="BB35" s="17">
        <f>COUNTIF(U35:AY35,"E")</f>
      </c>
    </row>
    <row r="36" spans="1:54" ht="15.75" customHeight="1" x14ac:dyDescent="0.2">
      <c r="A36" s="84"/>
      <c r="B36" s="85"/>
      <c r="C36" s="85"/>
      <c r="D36" s="85"/>
      <c r="E36" s="86"/>
      <c r="F36" s="16">
        <f>IF(E36="","",DATEDIF(E36,$I$7,"Y"))</f>
      </c>
      <c r="G36" s="85"/>
      <c r="H36" s="85"/>
      <c r="I36" s="87"/>
      <c r="J36" s="85"/>
      <c r="K36" s="85"/>
      <c r="L36" s="2"/>
      <c r="M36" s="2"/>
      <c r="N36" s="1"/>
      <c r="O36" s="1"/>
      <c r="P36" s="85"/>
      <c r="Q36" s="88"/>
      <c r="R36" s="3">
        <f>IFERROR(VLOOKUP(TablaMayo[[#This Row],[BARRIO]],SECTOR!$A:$B,2,0),"")</f>
      </c>
      <c r="S36" s="89"/>
      <c r="T36" s="90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17">
        <f>COUNTIF(U36:AY36,"A")</f>
      </c>
      <c r="BA36" s="17">
        <f>COUNTIF(U36:AY36,"F")</f>
      </c>
      <c r="BB36" s="17">
        <f>COUNTIF(U36:AY36,"E")</f>
      </c>
    </row>
    <row r="37" spans="1:54" ht="15.75" customHeight="1" x14ac:dyDescent="0.2">
      <c r="A37" s="84"/>
      <c r="B37" s="85"/>
      <c r="C37" s="85"/>
      <c r="D37" s="85"/>
      <c r="E37" s="86"/>
      <c r="F37" s="16">
        <f>IF(E37="","",DATEDIF(E37,$I$7,"Y"))</f>
      </c>
      <c r="G37" s="85"/>
      <c r="H37" s="85"/>
      <c r="I37" s="87"/>
      <c r="J37" s="85"/>
      <c r="K37" s="85"/>
      <c r="L37" s="2"/>
      <c r="M37" s="2"/>
      <c r="N37" s="1"/>
      <c r="O37" s="1"/>
      <c r="P37" s="85"/>
      <c r="Q37" s="88"/>
      <c r="R37" s="3">
        <f>IFERROR(VLOOKUP(TablaMayo[[#This Row],[BARRIO]],SECTOR!$A:$B,2,0),"")</f>
      </c>
      <c r="S37" s="89"/>
      <c r="T37" s="90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17">
        <f>COUNTIF(U37:AY37,"A")</f>
      </c>
      <c r="BA37" s="17">
        <f>COUNTIF(U37:AY37,"F")</f>
      </c>
      <c r="BB37" s="17">
        <f>COUNTIF(U37:AY37,"E")</f>
      </c>
    </row>
    <row r="38" spans="1:54" ht="15.75" customHeight="1" x14ac:dyDescent="0.2">
      <c r="A38" s="84"/>
      <c r="B38" s="85"/>
      <c r="C38" s="85"/>
      <c r="D38" s="85"/>
      <c r="E38" s="86"/>
      <c r="F38" s="16">
        <f>IF(E38="","",DATEDIF(E38,$I$7,"Y"))</f>
      </c>
      <c r="G38" s="85"/>
      <c r="H38" s="85"/>
      <c r="I38" s="87"/>
      <c r="J38" s="85"/>
      <c r="K38" s="85"/>
      <c r="L38" s="2"/>
      <c r="M38" s="2"/>
      <c r="N38" s="1"/>
      <c r="O38" s="1"/>
      <c r="P38" s="85"/>
      <c r="Q38" s="88"/>
      <c r="R38" s="3">
        <f>IFERROR(VLOOKUP(TablaMayo[[#This Row],[BARRIO]],SECTOR!$A:$B,2,0),"")</f>
      </c>
      <c r="S38" s="89"/>
      <c r="T38" s="90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17">
        <f>COUNTIF(U38:AY38,"A")</f>
      </c>
      <c r="BA38" s="17">
        <f>COUNTIF(U38:AY38,"F")</f>
      </c>
      <c r="BB38" s="17">
        <f>COUNTIF(U38:AY38,"E")</f>
      </c>
    </row>
    <row r="39" spans="1:54" ht="15.75" customHeight="1" x14ac:dyDescent="0.2">
      <c r="A39" s="84"/>
      <c r="B39" s="85"/>
      <c r="C39" s="85"/>
      <c r="D39" s="85"/>
      <c r="E39" s="86"/>
      <c r="F39" s="16">
        <f>IF(E39="","",DATEDIF(E39,$I$7,"Y"))</f>
      </c>
      <c r="G39" s="85"/>
      <c r="H39" s="85"/>
      <c r="I39" s="87"/>
      <c r="J39" s="85"/>
      <c r="K39" s="85"/>
      <c r="L39" s="2"/>
      <c r="M39" s="2"/>
      <c r="N39" s="1"/>
      <c r="O39" s="1"/>
      <c r="P39" s="85"/>
      <c r="Q39" s="88"/>
      <c r="R39" s="3">
        <f>IFERROR(VLOOKUP(TablaMayo[[#This Row],[BARRIO]],SECTOR!$A:$B,2,0),"")</f>
      </c>
      <c r="S39" s="89"/>
      <c r="T39" s="90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17">
        <f>COUNTIF(U39:AY39,"A")</f>
      </c>
      <c r="BA39" s="17">
        <f>COUNTIF(U39:AY39,"F")</f>
      </c>
      <c r="BB39" s="17">
        <f>COUNTIF(U39:AY39,"E")</f>
      </c>
    </row>
    <row r="40" spans="1:54" ht="15.75" customHeight="1" x14ac:dyDescent="0.2">
      <c r="A40" s="84"/>
      <c r="B40" s="85"/>
      <c r="C40" s="85"/>
      <c r="D40" s="85"/>
      <c r="E40" s="86"/>
      <c r="F40" s="16">
        <f>IF(E40="","",DATEDIF(E40,$I$7,"Y"))</f>
      </c>
      <c r="G40" s="85"/>
      <c r="H40" s="85"/>
      <c r="I40" s="87"/>
      <c r="J40" s="85"/>
      <c r="K40" s="85"/>
      <c r="L40" s="2"/>
      <c r="M40" s="2"/>
      <c r="N40" s="1"/>
      <c r="O40" s="1"/>
      <c r="P40" s="85"/>
      <c r="Q40" s="88"/>
      <c r="R40" s="3">
        <f>IFERROR(VLOOKUP(TablaMayo[[#This Row],[BARRIO]],SECTOR!$A:$B,2,0),"")</f>
      </c>
      <c r="S40" s="89"/>
      <c r="T40" s="90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17">
        <f>COUNTIF(U40:AY40,"A")</f>
      </c>
      <c r="BA40" s="17">
        <f>COUNTIF(U40:AY40,"F")</f>
      </c>
      <c r="BB40" s="17">
        <f>COUNTIF(U40:AY40,"E")</f>
      </c>
    </row>
    <row r="41" spans="1:54" ht="15.75" customHeight="1" x14ac:dyDescent="0.2">
      <c r="A41" s="84"/>
      <c r="B41" s="85"/>
      <c r="C41" s="85"/>
      <c r="D41" s="85"/>
      <c r="E41" s="86"/>
      <c r="F41" s="16">
        <f>IF(E41="","",DATEDIF(E41,$I$7,"Y"))</f>
      </c>
      <c r="G41" s="85"/>
      <c r="H41" s="85"/>
      <c r="I41" s="87"/>
      <c r="J41" s="85"/>
      <c r="K41" s="85"/>
      <c r="L41" s="2"/>
      <c r="M41" s="2"/>
      <c r="N41" s="1"/>
      <c r="O41" s="1"/>
      <c r="P41" s="85"/>
      <c r="Q41" s="88"/>
      <c r="R41" s="3">
        <f>IFERROR(VLOOKUP(TablaMayo[[#This Row],[BARRIO]],SECTOR!$A:$B,2,0),"")</f>
      </c>
      <c r="S41" s="89"/>
      <c r="T41" s="90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17">
        <f>COUNTIF(U41:AY41,"A")</f>
      </c>
      <c r="BA41" s="17">
        <f>COUNTIF(U41:AY41,"F")</f>
      </c>
      <c r="BB41" s="17">
        <f>COUNTIF(U41:AY41,"E")</f>
      </c>
    </row>
    <row r="42" spans="1:54" ht="15.75" customHeight="1" x14ac:dyDescent="0.2">
      <c r="A42" s="84"/>
      <c r="B42" s="85"/>
      <c r="C42" s="85"/>
      <c r="D42" s="85"/>
      <c r="E42" s="86"/>
      <c r="F42" s="16">
        <f>IF(E42="","",DATEDIF(E42,$I$7,"Y"))</f>
      </c>
      <c r="G42" s="85"/>
      <c r="H42" s="85"/>
      <c r="I42" s="87"/>
      <c r="J42" s="85"/>
      <c r="K42" s="85"/>
      <c r="L42" s="2"/>
      <c r="M42" s="2"/>
      <c r="N42" s="1"/>
      <c r="O42" s="1"/>
      <c r="P42" s="85"/>
      <c r="Q42" s="88"/>
      <c r="R42" s="3">
        <f>IFERROR(VLOOKUP(TablaMayo[[#This Row],[BARRIO]],SECTOR!$A:$B,2,0),"")</f>
      </c>
      <c r="S42" s="89"/>
      <c r="T42" s="90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17">
        <f>COUNTIF(U42:AY42,"A")</f>
      </c>
      <c r="BA42" s="17">
        <f>COUNTIF(U42:AY42,"F")</f>
      </c>
      <c r="BB42" s="17">
        <f>COUNTIF(U42:AY42,"E")</f>
      </c>
    </row>
    <row r="43" spans="1:54" ht="15.75" customHeight="1" x14ac:dyDescent="0.2">
      <c r="A43" s="84"/>
      <c r="B43" s="85"/>
      <c r="C43" s="85"/>
      <c r="D43" s="85"/>
      <c r="E43" s="86"/>
      <c r="F43" s="16">
        <f>IF(E43="","",DATEDIF(E43,$I$7,"Y"))</f>
      </c>
      <c r="G43" s="85"/>
      <c r="H43" s="85"/>
      <c r="I43" s="87"/>
      <c r="J43" s="85"/>
      <c r="K43" s="85"/>
      <c r="L43" s="2"/>
      <c r="M43" s="2"/>
      <c r="N43" s="1"/>
      <c r="O43" s="1"/>
      <c r="P43" s="85"/>
      <c r="Q43" s="88"/>
      <c r="R43" s="3">
        <f>IFERROR(VLOOKUP(TablaMayo[[#This Row],[BARRIO]],SECTOR!$A:$B,2,0),"")</f>
      </c>
      <c r="S43" s="89"/>
      <c r="T43" s="90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17">
        <f>COUNTIF(U43:AY43,"A")</f>
      </c>
      <c r="BA43" s="17">
        <f>COUNTIF(U43:AY43,"F")</f>
      </c>
      <c r="BB43" s="17">
        <f>COUNTIF(U43:AY43,"E")</f>
      </c>
    </row>
    <row r="44" spans="1:54" ht="15.75" customHeight="1" x14ac:dyDescent="0.2">
      <c r="A44" s="84"/>
      <c r="B44" s="85"/>
      <c r="C44" s="85"/>
      <c r="D44" s="85"/>
      <c r="E44" s="86"/>
      <c r="F44" s="16">
        <f>IF(E44="","",DATEDIF(E44,$I$7,"Y"))</f>
      </c>
      <c r="G44" s="85"/>
      <c r="H44" s="85"/>
      <c r="I44" s="87"/>
      <c r="J44" s="85"/>
      <c r="K44" s="85"/>
      <c r="L44" s="2"/>
      <c r="M44" s="2"/>
      <c r="N44" s="1"/>
      <c r="O44" s="1"/>
      <c r="P44" s="85"/>
      <c r="Q44" s="88"/>
      <c r="R44" s="3">
        <f>IFERROR(VLOOKUP(TablaMayo[[#This Row],[BARRIO]],SECTOR!$A:$B,2,0),"")</f>
      </c>
      <c r="S44" s="89"/>
      <c r="T44" s="90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17">
        <f>COUNTIF(U44:AY44,"A")</f>
      </c>
      <c r="BA44" s="17">
        <f>COUNTIF(U44:AY44,"F")</f>
      </c>
      <c r="BB44" s="17">
        <f>COUNTIF(U44:AY44,"E")</f>
      </c>
    </row>
    <row r="45" spans="1:54" ht="15.75" customHeight="1" x14ac:dyDescent="0.2">
      <c r="A45" s="84"/>
      <c r="B45" s="85"/>
      <c r="C45" s="85"/>
      <c r="D45" s="85"/>
      <c r="E45" s="86"/>
      <c r="F45" s="16">
        <f>IF(E45="","",DATEDIF(E45,$I$7,"Y"))</f>
      </c>
      <c r="G45" s="85"/>
      <c r="H45" s="85"/>
      <c r="I45" s="87"/>
      <c r="J45" s="85"/>
      <c r="K45" s="85"/>
      <c r="L45" s="2"/>
      <c r="M45" s="2"/>
      <c r="N45" s="1"/>
      <c r="O45" s="1"/>
      <c r="P45" s="85"/>
      <c r="Q45" s="88"/>
      <c r="R45" s="3">
        <f>IFERROR(VLOOKUP(TablaMayo[[#This Row],[BARRIO]],SECTOR!$A:$B,2,0),"")</f>
      </c>
      <c r="S45" s="89"/>
      <c r="T45" s="90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17">
        <f>COUNTIF(U45:AY45,"A")</f>
      </c>
      <c r="BA45" s="17">
        <f>COUNTIF(U45:AY45,"F")</f>
      </c>
      <c r="BB45" s="17">
        <f>COUNTIF(U45:AY45,"E")</f>
      </c>
    </row>
    <row r="46" spans="1:54" ht="15.75" customHeight="1" x14ac:dyDescent="0.2">
      <c r="A46" s="84"/>
      <c r="B46" s="85"/>
      <c r="C46" s="85"/>
      <c r="D46" s="85"/>
      <c r="E46" s="86"/>
      <c r="F46" s="16">
        <f>IF(E46="","",DATEDIF(E46,$I$7,"Y"))</f>
      </c>
      <c r="G46" s="85"/>
      <c r="H46" s="85"/>
      <c r="I46" s="87"/>
      <c r="J46" s="85"/>
      <c r="K46" s="85"/>
      <c r="L46" s="2"/>
      <c r="M46" s="2"/>
      <c r="N46" s="1"/>
      <c r="O46" s="1"/>
      <c r="P46" s="85"/>
      <c r="Q46" s="88"/>
      <c r="R46" s="3">
        <f>IFERROR(VLOOKUP(TablaMayo[[#This Row],[BARRIO]],SECTOR!$A:$B,2,0),"")</f>
      </c>
      <c r="S46" s="89"/>
      <c r="T46" s="90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17">
        <f>COUNTIF(U46:AY46,"A")</f>
      </c>
      <c r="BA46" s="17">
        <f>COUNTIF(U46:AY46,"F")</f>
      </c>
      <c r="BB46" s="17">
        <f>COUNTIF(U46:AY46,"E")</f>
      </c>
    </row>
    <row r="47" spans="1:54" ht="15.75" customHeight="1" x14ac:dyDescent="0.2">
      <c r="A47" s="84"/>
      <c r="B47" s="85"/>
      <c r="C47" s="85"/>
      <c r="D47" s="85"/>
      <c r="E47" s="86"/>
      <c r="F47" s="16">
        <f>IF(E47="","",DATEDIF(E47,$I$7,"Y"))</f>
      </c>
      <c r="G47" s="85"/>
      <c r="H47" s="85"/>
      <c r="I47" s="87"/>
      <c r="J47" s="85"/>
      <c r="K47" s="85"/>
      <c r="L47" s="2"/>
      <c r="M47" s="2"/>
      <c r="N47" s="1"/>
      <c r="O47" s="1"/>
      <c r="P47" s="85"/>
      <c r="Q47" s="88"/>
      <c r="R47" s="3">
        <f>IFERROR(VLOOKUP(TablaMayo[[#This Row],[BARRIO]],SECTOR!$A:$B,2,0),"")</f>
      </c>
      <c r="S47" s="89"/>
      <c r="T47" s="90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17">
        <f>COUNTIF(U47:AY47,"A")</f>
      </c>
      <c r="BA47" s="17">
        <f>COUNTIF(U47:AY47,"F")</f>
      </c>
      <c r="BB47" s="17">
        <f>COUNTIF(U47:AY47,"E")</f>
      </c>
    </row>
    <row r="48" spans="1:54" ht="15.75" customHeight="1" x14ac:dyDescent="0.2">
      <c r="A48" s="84"/>
      <c r="B48" s="85"/>
      <c r="C48" s="85"/>
      <c r="D48" s="85"/>
      <c r="E48" s="86"/>
      <c r="F48" s="16">
        <f>IF(E48="","",DATEDIF(E48,$I$7,"Y"))</f>
      </c>
      <c r="G48" s="85"/>
      <c r="H48" s="85"/>
      <c r="I48" s="87"/>
      <c r="J48" s="85"/>
      <c r="K48" s="85"/>
      <c r="L48" s="2"/>
      <c r="M48" s="2"/>
      <c r="N48" s="1"/>
      <c r="O48" s="1"/>
      <c r="P48" s="85"/>
      <c r="Q48" s="88"/>
      <c r="R48" s="3">
        <f>IFERROR(VLOOKUP(TablaMayo[[#This Row],[BARRIO]],SECTOR!$A:$B,2,0),"")</f>
      </c>
      <c r="S48" s="89"/>
      <c r="T48" s="90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17">
        <f>COUNTIF(U48:AY48,"A")</f>
      </c>
      <c r="BA48" s="17">
        <f>COUNTIF(U48:AY48,"F")</f>
      </c>
      <c r="BB48" s="17">
        <f>COUNTIF(U48:AY48,"E")</f>
      </c>
    </row>
    <row r="49" spans="1:54" ht="15.75" customHeight="1" x14ac:dyDescent="0.2">
      <c r="A49" s="84"/>
      <c r="B49" s="85"/>
      <c r="C49" s="85"/>
      <c r="D49" s="85"/>
      <c r="E49" s="86"/>
      <c r="F49" s="16">
        <f>IF(E49="","",DATEDIF(E49,$I$7,"Y"))</f>
      </c>
      <c r="G49" s="85"/>
      <c r="H49" s="85"/>
      <c r="I49" s="87"/>
      <c r="J49" s="85"/>
      <c r="K49" s="85"/>
      <c r="L49" s="2"/>
      <c r="M49" s="2"/>
      <c r="N49" s="1"/>
      <c r="O49" s="1"/>
      <c r="P49" s="85"/>
      <c r="Q49" s="88"/>
      <c r="R49" s="3">
        <f>IFERROR(VLOOKUP(TablaMayo[[#This Row],[BARRIO]],SECTOR!$A:$B,2,0),"")</f>
      </c>
      <c r="S49" s="89"/>
      <c r="T49" s="90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17">
        <f>COUNTIF(U49:AY49,"A")</f>
      </c>
      <c r="BA49" s="17">
        <f>COUNTIF(U49:AY49,"F")</f>
      </c>
      <c r="BB49" s="17">
        <f>COUNTIF(U49:AY49,"E")</f>
      </c>
    </row>
    <row r="50" spans="1:54" ht="15.75" customHeight="1" x14ac:dyDescent="0.2">
      <c r="A50" s="84"/>
      <c r="B50" s="85"/>
      <c r="C50" s="85"/>
      <c r="D50" s="85"/>
      <c r="E50" s="86"/>
      <c r="F50" s="16">
        <f>IF(E50="","",DATEDIF(E50,$I$7,"Y"))</f>
      </c>
      <c r="G50" s="85"/>
      <c r="H50" s="85"/>
      <c r="I50" s="87"/>
      <c r="J50" s="85"/>
      <c r="K50" s="85"/>
      <c r="L50" s="2"/>
      <c r="M50" s="2"/>
      <c r="N50" s="1"/>
      <c r="O50" s="1"/>
      <c r="P50" s="85"/>
      <c r="Q50" s="88"/>
      <c r="R50" s="3">
        <f>IFERROR(VLOOKUP(TablaMayo[[#This Row],[BARRIO]],SECTOR!$A:$B,2,0),"")</f>
      </c>
      <c r="S50" s="89"/>
      <c r="T50" s="90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17">
        <f>COUNTIF(U50:AY50,"A")</f>
      </c>
      <c r="BA50" s="17">
        <f>COUNTIF(U50:AY50,"F")</f>
      </c>
      <c r="BB50" s="17">
        <f>COUNTIF(U50:AY50,"E")</f>
      </c>
    </row>
    <row r="51" spans="1:54" ht="15.75" customHeight="1" x14ac:dyDescent="0.2">
      <c r="A51" s="84"/>
      <c r="B51" s="85"/>
      <c r="C51" s="85"/>
      <c r="D51" s="85"/>
      <c r="E51" s="86"/>
      <c r="F51" s="16">
        <f>IF(E51="","",DATEDIF(E51,$I$7,"Y"))</f>
      </c>
      <c r="G51" s="85"/>
      <c r="H51" s="85"/>
      <c r="I51" s="87"/>
      <c r="J51" s="85"/>
      <c r="K51" s="85"/>
      <c r="L51" s="2"/>
      <c r="M51" s="2"/>
      <c r="N51" s="1"/>
      <c r="O51" s="1"/>
      <c r="P51" s="85"/>
      <c r="Q51" s="88"/>
      <c r="R51" s="3">
        <f>IFERROR(VLOOKUP(TablaMayo[[#This Row],[BARRIO]],SECTOR!$A:$B,2,0),"")</f>
      </c>
      <c r="S51" s="89"/>
      <c r="T51" s="90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17">
        <f>COUNTIF(U51:AY51,"A")</f>
      </c>
      <c r="BA51" s="17">
        <f>COUNTIF(U51:AY51,"F")</f>
      </c>
      <c r="BB51" s="17">
        <f>COUNTIF(U51:AY51,"E")</f>
      </c>
    </row>
    <row r="52" spans="1:54" ht="15.75" customHeight="1" x14ac:dyDescent="0.2">
      <c r="A52" s="84"/>
      <c r="B52" s="85"/>
      <c r="C52" s="85"/>
      <c r="D52" s="85"/>
      <c r="E52" s="86"/>
      <c r="F52" s="16">
        <f>IF(E52="","",DATEDIF(E52,$I$7,"Y"))</f>
      </c>
      <c r="G52" s="85"/>
      <c r="H52" s="85"/>
      <c r="I52" s="87"/>
      <c r="J52" s="85"/>
      <c r="K52" s="85"/>
      <c r="L52" s="2"/>
      <c r="M52" s="2"/>
      <c r="N52" s="1"/>
      <c r="O52" s="1"/>
      <c r="P52" s="85"/>
      <c r="Q52" s="88"/>
      <c r="R52" s="3">
        <f>IFERROR(VLOOKUP(TablaMayo[[#This Row],[BARRIO]],SECTOR!$A:$B,2,0),"")</f>
      </c>
      <c r="S52" s="89"/>
      <c r="T52" s="90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17">
        <f>COUNTIF(U52:AY52,"A")</f>
      </c>
      <c r="BA52" s="17">
        <f>COUNTIF(U52:AY52,"F")</f>
      </c>
      <c r="BB52" s="17">
        <f>COUNTIF(U52:AY52,"E")</f>
      </c>
    </row>
    <row r="53" spans="1:54" ht="15.75" customHeight="1" x14ac:dyDescent="0.2">
      <c r="A53" s="84"/>
      <c r="B53" s="85"/>
      <c r="C53" s="85"/>
      <c r="D53" s="85"/>
      <c r="E53" s="86"/>
      <c r="F53" s="16">
        <f>IF(E53="","",DATEDIF(E53,$I$7,"Y"))</f>
      </c>
      <c r="G53" s="85"/>
      <c r="H53" s="85"/>
      <c r="I53" s="87"/>
      <c r="J53" s="85"/>
      <c r="K53" s="85"/>
      <c r="L53" s="2"/>
      <c r="M53" s="2"/>
      <c r="N53" s="1"/>
      <c r="O53" s="1"/>
      <c r="P53" s="85"/>
      <c r="Q53" s="88"/>
      <c r="R53" s="3">
        <f>IFERROR(VLOOKUP(TablaMayo[[#This Row],[BARRIO]],SECTOR!$A:$B,2,0),"")</f>
      </c>
      <c r="S53" s="89"/>
      <c r="T53" s="90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17">
        <f>COUNTIF(U53:AY53,"A")</f>
      </c>
      <c r="BA53" s="17">
        <f>COUNTIF(U53:AY53,"F")</f>
      </c>
      <c r="BB53" s="17">
        <f>COUNTIF(U53:AY53,"E")</f>
      </c>
    </row>
    <row r="54" spans="1:54" ht="15.75" customHeight="1" x14ac:dyDescent="0.2">
      <c r="A54" s="84"/>
      <c r="B54" s="85"/>
      <c r="C54" s="85"/>
      <c r="D54" s="85"/>
      <c r="E54" s="86"/>
      <c r="F54" s="16">
        <f>IF(E54="","",DATEDIF(E54,$I$7,"Y"))</f>
      </c>
      <c r="G54" s="85"/>
      <c r="H54" s="85"/>
      <c r="I54" s="87"/>
      <c r="J54" s="85"/>
      <c r="K54" s="85"/>
      <c r="L54" s="2"/>
      <c r="M54" s="2"/>
      <c r="N54" s="1"/>
      <c r="O54" s="1"/>
      <c r="P54" s="85"/>
      <c r="Q54" s="88"/>
      <c r="R54" s="3">
        <f>IFERROR(VLOOKUP(TablaMayo[[#This Row],[BARRIO]],SECTOR!$A:$B,2,0),"")</f>
      </c>
      <c r="S54" s="89"/>
      <c r="T54" s="90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17">
        <f>COUNTIF(U54:AY54,"A")</f>
      </c>
      <c r="BA54" s="17">
        <f>COUNTIF(U54:AY54,"F")</f>
      </c>
      <c r="BB54" s="17">
        <f>COUNTIF(U54:AY54,"E")</f>
      </c>
    </row>
    <row r="55" spans="1:54" ht="15.75" customHeight="1" x14ac:dyDescent="0.2">
      <c r="A55" s="84"/>
      <c r="B55" s="85"/>
      <c r="C55" s="85"/>
      <c r="D55" s="85"/>
      <c r="E55" s="86"/>
      <c r="F55" s="16">
        <f>IF(E55="","",DATEDIF(E55,$I$7,"Y"))</f>
      </c>
      <c r="G55" s="85"/>
      <c r="H55" s="85"/>
      <c r="I55" s="87"/>
      <c r="J55" s="85"/>
      <c r="K55" s="85"/>
      <c r="L55" s="2"/>
      <c r="M55" s="2"/>
      <c r="N55" s="1"/>
      <c r="O55" s="1"/>
      <c r="P55" s="85"/>
      <c r="Q55" s="88"/>
      <c r="R55" s="3">
        <f>IFERROR(VLOOKUP(TablaMayo[[#This Row],[BARRIO]],SECTOR!$A:$B,2,0),"")</f>
      </c>
      <c r="S55" s="89"/>
      <c r="T55" s="90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17">
        <f>COUNTIF(U55:AY55,"A")</f>
      </c>
      <c r="BA55" s="17">
        <f>COUNTIF(U55:AY55,"F")</f>
      </c>
      <c r="BB55" s="17">
        <f>COUNTIF(U55:AY55,"E")</f>
      </c>
    </row>
    <row r="56" spans="1:54" ht="15.75" customHeight="1" x14ac:dyDescent="0.2">
      <c r="A56" s="84"/>
      <c r="B56" s="85"/>
      <c r="C56" s="85"/>
      <c r="D56" s="85"/>
      <c r="E56" s="86"/>
      <c r="F56" s="16">
        <f>IF(E56="","",DATEDIF(E56,$I$7,"Y"))</f>
      </c>
      <c r="G56" s="85"/>
      <c r="H56" s="85"/>
      <c r="I56" s="87"/>
      <c r="J56" s="85"/>
      <c r="K56" s="85"/>
      <c r="L56" s="2"/>
      <c r="M56" s="2"/>
      <c r="N56" s="1"/>
      <c r="O56" s="1"/>
      <c r="P56" s="85"/>
      <c r="Q56" s="88"/>
      <c r="R56" s="3">
        <f>IFERROR(VLOOKUP(TablaMayo[[#This Row],[BARRIO]],SECTOR!$A:$B,2,0),"")</f>
      </c>
      <c r="S56" s="89"/>
      <c r="T56" s="90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17">
        <f>COUNTIF(U56:AY56,"A")</f>
      </c>
      <c r="BA56" s="17">
        <f>COUNTIF(U56:AY56,"F")</f>
      </c>
      <c r="BB56" s="17">
        <f>COUNTIF(U56:AY56,"E")</f>
      </c>
    </row>
    <row r="57" spans="1:54" ht="15.75" customHeight="1" x14ac:dyDescent="0.2">
      <c r="A57" s="84"/>
      <c r="B57" s="85"/>
      <c r="C57" s="85"/>
      <c r="D57" s="85"/>
      <c r="E57" s="86"/>
      <c r="F57" s="16">
        <f>IF(E57="","",DATEDIF(E57,$I$7,"Y"))</f>
      </c>
      <c r="G57" s="85"/>
      <c r="H57" s="85"/>
      <c r="I57" s="87"/>
      <c r="J57" s="85"/>
      <c r="K57" s="85"/>
      <c r="L57" s="2"/>
      <c r="M57" s="2"/>
      <c r="N57" s="1"/>
      <c r="O57" s="1"/>
      <c r="P57" s="85"/>
      <c r="Q57" s="88"/>
      <c r="R57" s="3">
        <f>IFERROR(VLOOKUP(TablaMayo[[#This Row],[BARRIO]],SECTOR!$A:$B,2,0),"")</f>
      </c>
      <c r="S57" s="89"/>
      <c r="T57" s="90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17">
        <f>COUNTIF(U57:AY57,"A")</f>
      </c>
      <c r="BA57" s="17">
        <f>COUNTIF(U57:AY57,"F")</f>
      </c>
      <c r="BB57" s="17">
        <f>COUNTIF(U57:AY57,"E")</f>
      </c>
    </row>
    <row r="58" spans="1:54" ht="15.75" customHeight="1" x14ac:dyDescent="0.2">
      <c r="A58" s="84"/>
      <c r="B58" s="85"/>
      <c r="C58" s="85"/>
      <c r="D58" s="85"/>
      <c r="E58" s="86"/>
      <c r="F58" s="16">
        <f>IF(E58="","",DATEDIF(E58,$I$7,"Y"))</f>
      </c>
      <c r="G58" s="85"/>
      <c r="H58" s="85"/>
      <c r="I58" s="87"/>
      <c r="J58" s="85"/>
      <c r="K58" s="85"/>
      <c r="L58" s="2"/>
      <c r="M58" s="2"/>
      <c r="N58" s="1"/>
      <c r="O58" s="1"/>
      <c r="P58" s="85"/>
      <c r="Q58" s="88"/>
      <c r="R58" s="3">
        <f>IFERROR(VLOOKUP(TablaMayo[[#This Row],[BARRIO]],SECTOR!$A:$B,2,0),"")</f>
      </c>
      <c r="S58" s="89"/>
      <c r="T58" s="90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17">
        <f>COUNTIF(U58:AY58,"A")</f>
      </c>
      <c r="BA58" s="17">
        <f>COUNTIF(U58:AY58,"F")</f>
      </c>
      <c r="BB58" s="17">
        <f>COUNTIF(U58:AY58,"E")</f>
      </c>
    </row>
    <row r="59" spans="1:54" ht="15.75" customHeight="1" x14ac:dyDescent="0.2">
      <c r="A59" s="84"/>
      <c r="B59" s="85"/>
      <c r="C59" s="85"/>
      <c r="D59" s="85"/>
      <c r="E59" s="86"/>
      <c r="F59" s="16">
        <f>IF(E59="","",DATEDIF(E59,$I$7,"Y"))</f>
      </c>
      <c r="G59" s="85"/>
      <c r="H59" s="85"/>
      <c r="I59" s="87"/>
      <c r="J59" s="85"/>
      <c r="K59" s="85"/>
      <c r="L59" s="2"/>
      <c r="M59" s="2"/>
      <c r="N59" s="1"/>
      <c r="O59" s="1"/>
      <c r="P59" s="85"/>
      <c r="Q59" s="88"/>
      <c r="R59" s="3">
        <f>IFERROR(VLOOKUP(TablaMayo[[#This Row],[BARRIO]],SECTOR!$A:$B,2,0),"")</f>
      </c>
      <c r="S59" s="89"/>
      <c r="T59" s="90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17">
        <f>COUNTIF(U59:AY59,"A")</f>
      </c>
      <c r="BA59" s="17">
        <f>COUNTIF(U59:AY59,"F")</f>
      </c>
      <c r="BB59" s="17">
        <f>COUNTIF(U59:AY59,"E")</f>
      </c>
    </row>
    <row r="60" spans="1:54" ht="15.75" customHeight="1" x14ac:dyDescent="0.2">
      <c r="A60" s="84"/>
      <c r="B60" s="85"/>
      <c r="C60" s="85"/>
      <c r="D60" s="85"/>
      <c r="E60" s="86"/>
      <c r="F60" s="16">
        <f>IF(E60="","",DATEDIF(E60,$I$7,"Y"))</f>
      </c>
      <c r="G60" s="85"/>
      <c r="H60" s="85"/>
      <c r="I60" s="87"/>
      <c r="J60" s="85"/>
      <c r="K60" s="85"/>
      <c r="L60" s="2"/>
      <c r="M60" s="2"/>
      <c r="N60" s="1"/>
      <c r="O60" s="1"/>
      <c r="P60" s="85"/>
      <c r="Q60" s="88"/>
      <c r="R60" s="3">
        <f>IFERROR(VLOOKUP(TablaMayo[[#This Row],[BARRIO]],SECTOR!$A:$B,2,0),"")</f>
      </c>
      <c r="S60" s="89"/>
      <c r="T60" s="90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17">
        <f>COUNTIF(U60:AY60,"A")</f>
      </c>
      <c r="BA60" s="17">
        <f>COUNTIF(U60:AY60,"F")</f>
      </c>
      <c r="BB60" s="17">
        <f>COUNTIF(U60:AY60,"E")</f>
      </c>
    </row>
    <row r="61" spans="1:54" ht="15.75" customHeight="1" x14ac:dyDescent="0.2">
      <c r="A61" s="84"/>
      <c r="B61" s="85"/>
      <c r="C61" s="85"/>
      <c r="D61" s="85"/>
      <c r="E61" s="86"/>
      <c r="F61" s="16">
        <f>IF(E61="","",DATEDIF(E61,$I$7,"Y"))</f>
      </c>
      <c r="G61" s="85"/>
      <c r="H61" s="85"/>
      <c r="I61" s="87"/>
      <c r="J61" s="85"/>
      <c r="K61" s="85"/>
      <c r="L61" s="2"/>
      <c r="M61" s="2"/>
      <c r="N61" s="1"/>
      <c r="O61" s="1"/>
      <c r="P61" s="85"/>
      <c r="Q61" s="88"/>
      <c r="R61" s="3">
        <f>IFERROR(VLOOKUP(TablaMayo[[#This Row],[BARRIO]],SECTOR!$A:$B,2,0),"")</f>
      </c>
      <c r="S61" s="89"/>
      <c r="T61" s="90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17">
        <f>COUNTIF(U61:AY61,"A")</f>
      </c>
      <c r="BA61" s="17">
        <f>COUNTIF(U61:AY61,"F")</f>
      </c>
      <c r="BB61" s="17">
        <f>COUNTIF(U61:AY61,"E")</f>
      </c>
    </row>
    <row r="62" spans="1:54" ht="15.75" customHeight="1" x14ac:dyDescent="0.2">
      <c r="A62" s="84"/>
      <c r="B62" s="85"/>
      <c r="C62" s="85"/>
      <c r="D62" s="85"/>
      <c r="E62" s="86"/>
      <c r="F62" s="16">
        <f>IF(E62="","",DATEDIF(E62,$I$7,"Y"))</f>
      </c>
      <c r="G62" s="85"/>
      <c r="H62" s="85"/>
      <c r="I62" s="87"/>
      <c r="J62" s="85"/>
      <c r="K62" s="85"/>
      <c r="L62" s="2"/>
      <c r="M62" s="2"/>
      <c r="N62" s="1"/>
      <c r="O62" s="1"/>
      <c r="P62" s="85"/>
      <c r="Q62" s="88"/>
      <c r="R62" s="3">
        <f>IFERROR(VLOOKUP(TablaMayo[[#This Row],[BARRIO]],SECTOR!$A:$B,2,0),"")</f>
      </c>
      <c r="S62" s="89"/>
      <c r="T62" s="90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17">
        <f>COUNTIF(U62:AY62,"A")</f>
      </c>
      <c r="BA62" s="17">
        <f>COUNTIF(U62:AY62,"F")</f>
      </c>
      <c r="BB62" s="17">
        <f>COUNTIF(U62:AY62,"E")</f>
      </c>
    </row>
    <row r="63" spans="1:54" ht="15.75" customHeight="1" x14ac:dyDescent="0.2">
      <c r="A63" s="84"/>
      <c r="B63" s="85"/>
      <c r="C63" s="85"/>
      <c r="D63" s="85"/>
      <c r="E63" s="86"/>
      <c r="F63" s="16">
        <f>IF(E63="","",DATEDIF(E63,$I$7,"Y"))</f>
      </c>
      <c r="G63" s="85"/>
      <c r="H63" s="85"/>
      <c r="I63" s="87"/>
      <c r="J63" s="85"/>
      <c r="K63" s="85"/>
      <c r="L63" s="2"/>
      <c r="M63" s="2"/>
      <c r="N63" s="1"/>
      <c r="O63" s="1"/>
      <c r="P63" s="85"/>
      <c r="Q63" s="88"/>
      <c r="R63" s="3">
        <f>IFERROR(VLOOKUP(TablaMayo[[#This Row],[BARRIO]],SECTOR!$A:$B,2,0),"")</f>
      </c>
      <c r="S63" s="89"/>
      <c r="T63" s="90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17">
        <f>COUNTIF(U63:AY63,"A")</f>
      </c>
      <c r="BA63" s="17">
        <f>COUNTIF(U63:AY63,"F")</f>
      </c>
      <c r="BB63" s="17">
        <f>COUNTIF(U63:AY63,"E")</f>
      </c>
    </row>
    <row r="64" spans="1:54" ht="15.75" customHeight="1" x14ac:dyDescent="0.2">
      <c r="A64" s="84"/>
      <c r="B64" s="85"/>
      <c r="C64" s="85"/>
      <c r="D64" s="85"/>
      <c r="E64" s="86"/>
      <c r="F64" s="16">
        <f>IF(E64="","",DATEDIF(E64,$I$7,"Y"))</f>
      </c>
      <c r="G64" s="85"/>
      <c r="H64" s="85"/>
      <c r="I64" s="87"/>
      <c r="J64" s="85"/>
      <c r="K64" s="85"/>
      <c r="L64" s="2"/>
      <c r="M64" s="2"/>
      <c r="N64" s="1"/>
      <c r="O64" s="1"/>
      <c r="P64" s="85"/>
      <c r="Q64" s="88"/>
      <c r="R64" s="3">
        <f>IFERROR(VLOOKUP(TablaMayo[[#This Row],[BARRIO]],SECTOR!$A:$B,2,0),"")</f>
      </c>
      <c r="S64" s="89"/>
      <c r="T64" s="90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17">
        <f>COUNTIF(U64:AY64,"A")</f>
      </c>
      <c r="BA64" s="17">
        <f>COUNTIF(U64:AY64,"F")</f>
      </c>
      <c r="BB64" s="17">
        <f>COUNTIF(U64:AY64,"E")</f>
      </c>
    </row>
    <row r="65" spans="1:54" ht="15.75" customHeight="1" x14ac:dyDescent="0.2">
      <c r="A65" s="84"/>
      <c r="B65" s="85"/>
      <c r="C65" s="85"/>
      <c r="D65" s="85"/>
      <c r="E65" s="86"/>
      <c r="F65" s="16">
        <f>IF(E65="","",DATEDIF(E65,$I$7,"Y"))</f>
      </c>
      <c r="G65" s="85"/>
      <c r="H65" s="85"/>
      <c r="I65" s="87"/>
      <c r="J65" s="85"/>
      <c r="K65" s="85"/>
      <c r="L65" s="2"/>
      <c r="M65" s="2"/>
      <c r="N65" s="1"/>
      <c r="O65" s="1"/>
      <c r="P65" s="85"/>
      <c r="Q65" s="88"/>
      <c r="R65" s="3">
        <f>IFERROR(VLOOKUP(TablaMayo[[#This Row],[BARRIO]],SECTOR!$A:$B,2,0),"")</f>
      </c>
      <c r="S65" s="89"/>
      <c r="T65" s="90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17">
        <f>COUNTIF(U65:AY65,"A")</f>
      </c>
      <c r="BA65" s="17">
        <f>COUNTIF(U65:AY65,"F")</f>
      </c>
      <c r="BB65" s="17">
        <f>COUNTIF(U65:AY65,"E")</f>
      </c>
    </row>
    <row r="66" spans="1:54" ht="15.75" customHeight="1" x14ac:dyDescent="0.2">
      <c r="A66" s="84"/>
      <c r="B66" s="85"/>
      <c r="C66" s="85"/>
      <c r="D66" s="85"/>
      <c r="E66" s="86"/>
      <c r="F66" s="16">
        <f>IF(E66="","",DATEDIF(E66,$I$7,"Y"))</f>
      </c>
      <c r="G66" s="85"/>
      <c r="H66" s="85"/>
      <c r="I66" s="87"/>
      <c r="J66" s="85"/>
      <c r="K66" s="85"/>
      <c r="L66" s="2"/>
      <c r="M66" s="2"/>
      <c r="N66" s="1"/>
      <c r="O66" s="1"/>
      <c r="P66" s="85"/>
      <c r="Q66" s="88"/>
      <c r="R66" s="3">
        <f>IFERROR(VLOOKUP(TablaMayo[[#This Row],[BARRIO]],SECTOR!$A:$B,2,0),"")</f>
      </c>
      <c r="S66" s="89"/>
      <c r="T66" s="90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17">
        <f>COUNTIF(U66:AY66,"A")</f>
      </c>
      <c r="BA66" s="17">
        <f>COUNTIF(U66:AY66,"F")</f>
      </c>
      <c r="BB66" s="17">
        <f>COUNTIF(U66:AY66,"E")</f>
      </c>
    </row>
    <row r="67" spans="1:54" ht="15.75" customHeight="1" x14ac:dyDescent="0.2">
      <c r="A67" s="84"/>
      <c r="B67" s="91"/>
      <c r="C67" s="91"/>
      <c r="D67" s="91"/>
      <c r="E67" s="92"/>
      <c r="F67" s="16">
        <f>IF(E67="","",DATEDIF(E67,$I$7,"Y"))</f>
      </c>
      <c r="G67" s="91"/>
      <c r="H67" s="91"/>
      <c r="I67" s="93"/>
      <c r="J67" s="91"/>
      <c r="K67" s="91"/>
      <c r="L67" s="2"/>
      <c r="M67" s="2"/>
      <c r="N67" s="1"/>
      <c r="O67" s="1"/>
      <c r="P67" s="85"/>
      <c r="Q67" s="88"/>
      <c r="R67" s="3">
        <f>IFERROR(VLOOKUP(TablaMayo[[#This Row],[BARRIO]],SECTOR!$A:$B,2,0),"")</f>
      </c>
      <c r="S67" s="89"/>
      <c r="T67" s="90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17">
        <f>COUNTIF(U67:AY67,"A")</f>
      </c>
      <c r="BA67" s="17">
        <f>COUNTIF(U67:AY67,"F")</f>
      </c>
      <c r="BB67" s="17">
        <f>COUNTIF(U67:AY67,"E")</f>
      </c>
    </row>
    <row r="68" spans="1:54" ht="15.75" customHeight="1" x14ac:dyDescent="0.2">
      <c r="A68" s="84"/>
      <c r="B68" s="94"/>
      <c r="C68" s="94"/>
      <c r="D68" s="94"/>
      <c r="E68" s="95"/>
      <c r="F68" s="16">
        <f>IF(E68="","",DATEDIF(E68,$I$7,"Y"))</f>
      </c>
      <c r="G68" s="94"/>
      <c r="H68" s="94"/>
      <c r="I68" s="96"/>
      <c r="J68" s="94"/>
      <c r="K68" s="94"/>
      <c r="L68" s="2"/>
      <c r="M68" s="2"/>
      <c r="N68" s="1"/>
      <c r="O68" s="1"/>
      <c r="P68" s="85"/>
      <c r="Q68" s="88"/>
      <c r="R68" s="3">
        <f>IFERROR(VLOOKUP(TablaMayo[[#This Row],[BARRIO]],SECTOR!$A:$B,2,0),"")</f>
      </c>
      <c r="S68" s="89"/>
      <c r="T68" s="90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17">
        <f>COUNTIF(U68:AY68,"A")</f>
      </c>
      <c r="BA68" s="17">
        <f>COUNTIF(U68:AY68,"F")</f>
      </c>
      <c r="BB68" s="17">
        <f>COUNTIF(U68:AY68,"E")</f>
      </c>
    </row>
    <row r="69" spans="1:54" ht="15.75" customHeight="1" x14ac:dyDescent="0.2">
      <c r="A69" s="84"/>
      <c r="B69" s="97"/>
      <c r="C69" s="97"/>
      <c r="D69" s="97"/>
      <c r="E69" s="98"/>
      <c r="F69" s="16">
        <f>IF(E69="","",DATEDIF(E69,$I$7,"Y"))</f>
      </c>
      <c r="G69" s="97"/>
      <c r="H69" s="97"/>
      <c r="I69" s="99"/>
      <c r="J69" s="97"/>
      <c r="K69" s="97"/>
      <c r="L69" s="2"/>
      <c r="M69" s="2"/>
      <c r="N69" s="1"/>
      <c r="O69" s="1"/>
      <c r="P69" s="85"/>
      <c r="Q69" s="88"/>
      <c r="R69" s="3">
        <f>IFERROR(VLOOKUP(TablaMayo[[#This Row],[BARRIO]],SECTOR!$A:$B,2,0),"")</f>
      </c>
      <c r="S69" s="89"/>
      <c r="T69" s="90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5"/>
      <c r="AZ69" s="18">
        <f>COUNTIF(U69:AY69,"A")</f>
      </c>
      <c r="BA69" s="17">
        <f>COUNTIF(U69:AY69,"F")</f>
      </c>
      <c r="BB69" s="17">
        <f>COUNTIF(U69:AY69,"E")</f>
      </c>
    </row>
    <row r="70" spans="1:54" ht="15.75" customHeight="1" x14ac:dyDescent="0.2">
      <c r="A70" s="84"/>
      <c r="B70" s="97"/>
      <c r="C70" s="97"/>
      <c r="D70" s="97"/>
      <c r="E70" s="98"/>
      <c r="F70" s="16">
        <f>IF(E70="","",DATEDIF(E70,$I$7,"Y"))</f>
      </c>
      <c r="G70" s="97"/>
      <c r="H70" s="97"/>
      <c r="I70" s="99"/>
      <c r="J70" s="97"/>
      <c r="K70" s="97"/>
      <c r="L70" s="2"/>
      <c r="M70" s="2"/>
      <c r="N70" s="1"/>
      <c r="O70" s="1"/>
      <c r="P70" s="85"/>
      <c r="Q70" s="88"/>
      <c r="R70" s="3">
        <f>IFERROR(VLOOKUP(TablaMayo[[#This Row],[BARRIO]],SECTOR!$A:$B,2,0),"")</f>
      </c>
      <c r="S70" s="89"/>
      <c r="T70" s="90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6"/>
      <c r="AZ70" s="19">
        <f>COUNTIF(U70:AY70,"A")</f>
      </c>
      <c r="BA70" s="17">
        <f>COUNTIF(U70:AY70,"F")</f>
      </c>
      <c r="BB70" s="17">
        <f>COUNTIF(U70:AY70,"E")</f>
      </c>
    </row>
    <row r="71" spans="1:54" ht="15.75" customHeight="1" x14ac:dyDescent="0.2">
      <c r="A71" s="84"/>
      <c r="B71" s="97"/>
      <c r="C71" s="97"/>
      <c r="D71" s="97"/>
      <c r="E71" s="98"/>
      <c r="F71" s="16">
        <f>IF(E71="","",DATEDIF(E71,$I$7,"Y"))</f>
      </c>
      <c r="G71" s="97"/>
      <c r="H71" s="97"/>
      <c r="I71" s="99"/>
      <c r="J71" s="97"/>
      <c r="K71" s="97"/>
      <c r="L71" s="2"/>
      <c r="M71" s="2"/>
      <c r="N71" s="1"/>
      <c r="O71" s="1"/>
      <c r="P71" s="85"/>
      <c r="Q71" s="88"/>
      <c r="R71" s="3">
        <f>IFERROR(VLOOKUP(TablaMayo[[#This Row],[BARRIO]],SECTOR!$A:$B,2,0),"")</f>
      </c>
      <c r="S71" s="89"/>
      <c r="T71" s="90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6"/>
      <c r="AZ71" s="19">
        <f>COUNTIF(U71:AY71,"A")</f>
      </c>
      <c r="BA71" s="17">
        <f>COUNTIF(U71:AY71,"F")</f>
      </c>
      <c r="BB71" s="17">
        <f>COUNTIF(U71:AY71,"E")</f>
      </c>
    </row>
    <row r="72" spans="1:54" ht="15.75" customHeight="1" x14ac:dyDescent="0.2">
      <c r="A72" s="84"/>
      <c r="B72" s="97"/>
      <c r="C72" s="97"/>
      <c r="D72" s="97"/>
      <c r="E72" s="98"/>
      <c r="F72" s="16">
        <f>IF(E72="","",DATEDIF(E72,$I$7,"Y"))</f>
      </c>
      <c r="G72" s="97"/>
      <c r="H72" s="97"/>
      <c r="I72" s="99"/>
      <c r="J72" s="97"/>
      <c r="K72" s="97"/>
      <c r="L72" s="2"/>
      <c r="M72" s="2"/>
      <c r="N72" s="1"/>
      <c r="O72" s="1"/>
      <c r="P72" s="85"/>
      <c r="Q72" s="88"/>
      <c r="R72" s="3">
        <f>IFERROR(VLOOKUP(TablaMayo[[#This Row],[BARRIO]],SECTOR!$A:$B,2,0),"")</f>
      </c>
      <c r="S72" s="89"/>
      <c r="T72" s="90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6"/>
      <c r="AZ72" s="19">
        <f>COUNTIF(U72:AY72,"A")</f>
      </c>
      <c r="BA72" s="17">
        <f>COUNTIF(U72:AY72,"F")</f>
      </c>
      <c r="BB72" s="17">
        <f>COUNTIF(U72:AY72,"E")</f>
      </c>
    </row>
    <row r="73" spans="1:54" ht="15.75" customHeight="1" x14ac:dyDescent="0.2">
      <c r="A73" s="84"/>
      <c r="B73" s="97"/>
      <c r="C73" s="97"/>
      <c r="D73" s="97"/>
      <c r="E73" s="98"/>
      <c r="F73" s="16">
        <f>IF(E73="","",DATEDIF(E73,$I$7,"Y"))</f>
      </c>
      <c r="G73" s="97"/>
      <c r="H73" s="97"/>
      <c r="I73" s="99"/>
      <c r="J73" s="97"/>
      <c r="K73" s="97"/>
      <c r="L73" s="2"/>
      <c r="M73" s="2"/>
      <c r="N73" s="1"/>
      <c r="O73" s="1"/>
      <c r="P73" s="85"/>
      <c r="Q73" s="88"/>
      <c r="R73" s="3">
        <f>IFERROR(VLOOKUP(TablaMayo[[#This Row],[BARRIO]],SECTOR!$A:$B,2,0),"")</f>
      </c>
      <c r="S73" s="89"/>
      <c r="T73" s="90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6"/>
      <c r="AZ73" s="19">
        <f>COUNTIF(U73:AY73,"A")</f>
      </c>
      <c r="BA73" s="17">
        <f>COUNTIF(U73:AY73,"F")</f>
      </c>
      <c r="BB73" s="17">
        <f>COUNTIF(U73:AY73,"E")</f>
      </c>
    </row>
    <row r="74" spans="1:54" ht="15.75" customHeight="1" x14ac:dyDescent="0.2">
      <c r="A74" s="84"/>
      <c r="B74" s="97"/>
      <c r="C74" s="97"/>
      <c r="D74" s="97"/>
      <c r="E74" s="98"/>
      <c r="F74" s="16">
        <f>IF(E74="","",DATEDIF(E74,$I$7,"Y"))</f>
      </c>
      <c r="G74" s="97"/>
      <c r="H74" s="97"/>
      <c r="I74" s="99"/>
      <c r="J74" s="97"/>
      <c r="K74" s="97"/>
      <c r="L74" s="2"/>
      <c r="M74" s="2"/>
      <c r="N74" s="1"/>
      <c r="O74" s="1"/>
      <c r="P74" s="85"/>
      <c r="Q74" s="88"/>
      <c r="R74" s="3">
        <f>IFERROR(VLOOKUP(TablaMayo[[#This Row],[BARRIO]],SECTOR!$A:$B,2,0),"")</f>
      </c>
      <c r="S74" s="89"/>
      <c r="T74" s="90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6"/>
      <c r="AZ74" s="19">
        <f>COUNTIF(U74:AY74,"A")</f>
      </c>
      <c r="BA74" s="17">
        <f>COUNTIF(U74:AY74,"F")</f>
      </c>
      <c r="BB74" s="17">
        <f>COUNTIF(U74:AY74,"E")</f>
      </c>
    </row>
    <row r="75" spans="1:54" ht="15.75" customHeight="1" x14ac:dyDescent="0.2">
      <c r="A75" s="84"/>
      <c r="B75" s="97"/>
      <c r="C75" s="97"/>
      <c r="D75" s="97"/>
      <c r="E75" s="98"/>
      <c r="F75" s="16">
        <f>IF(E75="","",DATEDIF(E75,$I$7,"Y"))</f>
      </c>
      <c r="G75" s="97"/>
      <c r="H75" s="97"/>
      <c r="I75" s="99"/>
      <c r="J75" s="97"/>
      <c r="K75" s="97"/>
      <c r="L75" s="2"/>
      <c r="M75" s="2"/>
      <c r="N75" s="1"/>
      <c r="O75" s="1"/>
      <c r="P75" s="85"/>
      <c r="Q75" s="88"/>
      <c r="R75" s="3">
        <f>IFERROR(VLOOKUP(TablaMayo[[#This Row],[BARRIO]],SECTOR!$A:$B,2,0),"")</f>
      </c>
      <c r="S75" s="89"/>
      <c r="T75" s="90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6"/>
      <c r="AZ75" s="19">
        <f>COUNTIF(U75:AY75,"A")</f>
      </c>
      <c r="BA75" s="17">
        <f>COUNTIF(U75:AY75,"F")</f>
      </c>
      <c r="BB75" s="17">
        <f>COUNTIF(U75:AY75,"E")</f>
      </c>
    </row>
    <row r="76" spans="1:54" ht="15.75" customHeight="1" x14ac:dyDescent="0.2">
      <c r="A76" s="84"/>
      <c r="B76" s="97"/>
      <c r="C76" s="97"/>
      <c r="D76" s="97"/>
      <c r="E76" s="98"/>
      <c r="F76" s="16">
        <f>IF(E76="","",DATEDIF(E76,$I$7,"Y"))</f>
      </c>
      <c r="G76" s="97"/>
      <c r="H76" s="97"/>
      <c r="I76" s="99"/>
      <c r="J76" s="97"/>
      <c r="K76" s="97"/>
      <c r="L76" s="2"/>
      <c r="M76" s="2"/>
      <c r="N76" s="1"/>
      <c r="O76" s="1"/>
      <c r="P76" s="85"/>
      <c r="Q76" s="88"/>
      <c r="R76" s="3">
        <f>IFERROR(VLOOKUP(TablaMayo[[#This Row],[BARRIO]],SECTOR!$A:$B,2,0),"")</f>
      </c>
      <c r="S76" s="89"/>
      <c r="T76" s="90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6"/>
      <c r="AZ76" s="19">
        <f>COUNTIF(U76:AY76,"A")</f>
      </c>
      <c r="BA76" s="17">
        <f>COUNTIF(U76:AY76,"F")</f>
      </c>
      <c r="BB76" s="17">
        <f>COUNTIF(U76:AY76,"E")</f>
      </c>
    </row>
    <row r="77" spans="1:54" ht="15.75" customHeight="1" x14ac:dyDescent="0.2">
      <c r="A77" s="84"/>
      <c r="B77" s="97"/>
      <c r="C77" s="97"/>
      <c r="D77" s="97"/>
      <c r="E77" s="98"/>
      <c r="F77" s="16">
        <f>IF(E77="","",DATEDIF(E77,$I$7,"Y"))</f>
      </c>
      <c r="G77" s="97"/>
      <c r="H77" s="97"/>
      <c r="I77" s="99"/>
      <c r="J77" s="97"/>
      <c r="K77" s="97"/>
      <c r="L77" s="2"/>
      <c r="M77" s="2"/>
      <c r="N77" s="1"/>
      <c r="O77" s="1"/>
      <c r="P77" s="85"/>
      <c r="Q77" s="88"/>
      <c r="R77" s="3">
        <f>IFERROR(VLOOKUP(TablaMayo[[#This Row],[BARRIO]],SECTOR!$A:$B,2,0),"")</f>
      </c>
      <c r="S77" s="89"/>
      <c r="T77" s="90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6"/>
      <c r="AZ77" s="19">
        <f>COUNTIF(U77:AY77,"A")</f>
      </c>
      <c r="BA77" s="17">
        <f>COUNTIF(U77:AY77,"F")</f>
      </c>
      <c r="BB77" s="17">
        <f>COUNTIF(U77:AY77,"E")</f>
      </c>
    </row>
    <row r="78" spans="1:54" ht="15.75" customHeight="1" x14ac:dyDescent="0.2">
      <c r="A78" s="84"/>
      <c r="B78" s="97"/>
      <c r="C78" s="97"/>
      <c r="D78" s="97"/>
      <c r="E78" s="98"/>
      <c r="F78" s="16">
        <f>IF(E78="","",DATEDIF(E78,$I$7,"Y"))</f>
      </c>
      <c r="G78" s="97"/>
      <c r="H78" s="97"/>
      <c r="I78" s="99"/>
      <c r="J78" s="97"/>
      <c r="K78" s="97"/>
      <c r="L78" s="2"/>
      <c r="M78" s="2"/>
      <c r="N78" s="1"/>
      <c r="O78" s="1"/>
      <c r="P78" s="85"/>
      <c r="Q78" s="88"/>
      <c r="R78" s="3">
        <f>IFERROR(VLOOKUP(TablaMayo[[#This Row],[BARRIO]],SECTOR!$A:$B,2,0),"")</f>
      </c>
      <c r="S78" s="89"/>
      <c r="T78" s="90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6"/>
      <c r="AZ78" s="19">
        <f>COUNTIF(U78:AY78,"A")</f>
      </c>
      <c r="BA78" s="17">
        <f>COUNTIF(U78:AY78,"F")</f>
      </c>
      <c r="BB78" s="17">
        <f>COUNTIF(U78:AY78,"E")</f>
      </c>
    </row>
    <row r="79" spans="1:54" ht="15.75" customHeight="1" x14ac:dyDescent="0.2">
      <c r="A79" s="84"/>
      <c r="B79" s="85"/>
      <c r="C79" s="85"/>
      <c r="D79" s="85"/>
      <c r="E79" s="86"/>
      <c r="F79" s="16">
        <f>IF(E79="","",DATEDIF(E79,$I$7,"Y"))</f>
      </c>
      <c r="G79" s="85"/>
      <c r="H79" s="85"/>
      <c r="I79" s="87"/>
      <c r="J79" s="85"/>
      <c r="K79" s="85"/>
      <c r="L79" s="2"/>
      <c r="M79" s="2"/>
      <c r="N79" s="1"/>
      <c r="O79" s="1"/>
      <c r="P79" s="85"/>
      <c r="Q79" s="88"/>
      <c r="R79" s="3">
        <f>IFERROR(VLOOKUP(TablaMayo[[#This Row],[BARRIO]],SECTOR!$A:$B,2,0),"")</f>
      </c>
      <c r="S79" s="89"/>
      <c r="T79" s="90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6"/>
      <c r="AZ79" s="19">
        <f>COUNTIF(U79:AY79,"A")</f>
      </c>
      <c r="BA79" s="17">
        <f>COUNTIF(U79:AY79,"F")</f>
      </c>
      <c r="BB79" s="17">
        <f>COUNTIF(U79:AY79,"E")</f>
      </c>
    </row>
    <row r="80" spans="1:54" ht="15.75" customHeight="1" x14ac:dyDescent="0.2">
      <c r="A80" s="84"/>
      <c r="B80" s="85"/>
      <c r="C80" s="85"/>
      <c r="D80" s="85"/>
      <c r="E80" s="86"/>
      <c r="F80" s="16">
        <f>IF(E80="","",DATEDIF(E80,$I$7,"Y"))</f>
      </c>
      <c r="G80" s="85"/>
      <c r="H80" s="85"/>
      <c r="I80" s="87"/>
      <c r="J80" s="85"/>
      <c r="K80" s="85"/>
      <c r="L80" s="2"/>
      <c r="M80" s="2"/>
      <c r="N80" s="1"/>
      <c r="O80" s="1"/>
      <c r="P80" s="85"/>
      <c r="Q80" s="88"/>
      <c r="R80" s="3">
        <f>IFERROR(VLOOKUP(TablaMayo[[#This Row],[BARRIO]],SECTOR!$A:$B,2,0),"")</f>
      </c>
      <c r="S80" s="89"/>
      <c r="T80" s="90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6"/>
      <c r="AZ80" s="19">
        <f>COUNTIF(U80:AY80,"A")</f>
      </c>
      <c r="BA80" s="17">
        <f>COUNTIF(U80:AY80,"F")</f>
      </c>
      <c r="BB80" s="17">
        <f>COUNTIF(U80:AY80,"E")</f>
      </c>
    </row>
    <row r="81" spans="1:54" ht="15.75" customHeight="1" x14ac:dyDescent="0.2">
      <c r="A81" s="84"/>
      <c r="B81" s="85"/>
      <c r="C81" s="85"/>
      <c r="D81" s="85"/>
      <c r="E81" s="86"/>
      <c r="F81" s="16">
        <f>IF(E81="","",DATEDIF(E81,$I$7,"Y"))</f>
      </c>
      <c r="G81" s="85"/>
      <c r="H81" s="85"/>
      <c r="I81" s="87"/>
      <c r="J81" s="85"/>
      <c r="K81" s="85"/>
      <c r="L81" s="2"/>
      <c r="M81" s="2"/>
      <c r="N81" s="1"/>
      <c r="O81" s="1"/>
      <c r="P81" s="85"/>
      <c r="Q81" s="88"/>
      <c r="R81" s="3">
        <f>IFERROR(VLOOKUP(TablaMayo[[#This Row],[BARRIO]],SECTOR!$A:$B,2,0),"")</f>
      </c>
      <c r="S81" s="89"/>
      <c r="T81" s="90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6"/>
      <c r="AZ81" s="19">
        <f>COUNTIF(U81:AY81,"A")</f>
      </c>
      <c r="BA81" s="17">
        <f>COUNTIF(U81:AY81,"F")</f>
      </c>
      <c r="BB81" s="17">
        <f>COUNTIF(U81:AY81,"E")</f>
      </c>
    </row>
    <row r="82" spans="1:54" ht="15.75" customHeight="1" x14ac:dyDescent="0.2">
      <c r="A82" s="84"/>
      <c r="B82" s="85"/>
      <c r="C82" s="85"/>
      <c r="D82" s="85"/>
      <c r="E82" s="86"/>
      <c r="F82" s="16">
        <f>IF(E82="","",DATEDIF(E82,$I$7,"Y"))</f>
      </c>
      <c r="G82" s="85"/>
      <c r="H82" s="85"/>
      <c r="I82" s="87"/>
      <c r="J82" s="85"/>
      <c r="K82" s="85"/>
      <c r="L82" s="2"/>
      <c r="M82" s="2"/>
      <c r="N82" s="1"/>
      <c r="O82" s="1"/>
      <c r="P82" s="85"/>
      <c r="Q82" s="88"/>
      <c r="R82" s="3">
        <f>IFERROR(VLOOKUP(TablaMayo[[#This Row],[BARRIO]],SECTOR!$A:$B,2,0),"")</f>
      </c>
      <c r="S82" s="89"/>
      <c r="T82" s="90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6"/>
      <c r="AZ82" s="19">
        <f>COUNTIF(U82:AY82,"A")</f>
      </c>
      <c r="BA82" s="17">
        <f>COUNTIF(U82:AY82,"F")</f>
      </c>
      <c r="BB82" s="17">
        <f>COUNTIF(U82:AY82,"E")</f>
      </c>
    </row>
    <row r="83" spans="1:54" ht="15.75" customHeight="1" x14ac:dyDescent="0.2">
      <c r="A83" s="84"/>
      <c r="B83" s="85"/>
      <c r="C83" s="85"/>
      <c r="D83" s="85"/>
      <c r="E83" s="86"/>
      <c r="F83" s="16">
        <f>IF(E83="","",DATEDIF(E83,$I$7,"Y"))</f>
      </c>
      <c r="G83" s="85"/>
      <c r="H83" s="85"/>
      <c r="I83" s="87"/>
      <c r="J83" s="85"/>
      <c r="K83" s="85"/>
      <c r="L83" s="2"/>
      <c r="M83" s="2"/>
      <c r="N83" s="1"/>
      <c r="O83" s="1"/>
      <c r="P83" s="85"/>
      <c r="Q83" s="88"/>
      <c r="R83" s="3">
        <f>IFERROR(VLOOKUP(TablaMayo[[#This Row],[BARRIO]],SECTOR!$A:$B,2,0),"")</f>
      </c>
      <c r="S83" s="89"/>
      <c r="T83" s="90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6"/>
      <c r="AZ83" s="19">
        <f>COUNTIF(U83:AY83,"A")</f>
      </c>
      <c r="BA83" s="17">
        <f>COUNTIF(U83:AY83,"F")</f>
      </c>
      <c r="BB83" s="17">
        <f>COUNTIF(U83:AY83,"E")</f>
      </c>
    </row>
    <row r="84" spans="1:54" ht="15.75" customHeight="1" x14ac:dyDescent="0.2">
      <c r="A84" s="84"/>
      <c r="B84" s="85"/>
      <c r="C84" s="85"/>
      <c r="D84" s="85"/>
      <c r="E84" s="86"/>
      <c r="F84" s="16">
        <f>IF(E84="","",DATEDIF(E84,$I$7,"Y"))</f>
      </c>
      <c r="G84" s="85"/>
      <c r="H84" s="85"/>
      <c r="I84" s="87"/>
      <c r="J84" s="85"/>
      <c r="K84" s="85"/>
      <c r="L84" s="2"/>
      <c r="M84" s="2"/>
      <c r="N84" s="1"/>
      <c r="O84" s="1"/>
      <c r="P84" s="85"/>
      <c r="Q84" s="88"/>
      <c r="R84" s="3">
        <f>IFERROR(VLOOKUP(TablaMayo[[#This Row],[BARRIO]],SECTOR!$A:$B,2,0),"")</f>
      </c>
      <c r="S84" s="89"/>
      <c r="T84" s="90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6"/>
      <c r="AZ84" s="19">
        <f>COUNTIF(U84:AY84,"A")</f>
      </c>
      <c r="BA84" s="17">
        <f>COUNTIF(U84:AY84,"F")</f>
      </c>
      <c r="BB84" s="17">
        <f>COUNTIF(U84:AY84,"E")</f>
      </c>
    </row>
    <row r="85" spans="1:54" ht="15.75" customHeight="1" x14ac:dyDescent="0.2">
      <c r="A85" s="84"/>
      <c r="B85" s="85"/>
      <c r="C85" s="85"/>
      <c r="D85" s="85"/>
      <c r="E85" s="86"/>
      <c r="F85" s="16">
        <f>IF(E85="","",DATEDIF(E85,$I$7,"Y"))</f>
      </c>
      <c r="G85" s="85"/>
      <c r="H85" s="85"/>
      <c r="I85" s="87"/>
      <c r="J85" s="85"/>
      <c r="K85" s="85"/>
      <c r="L85" s="2"/>
      <c r="M85" s="2"/>
      <c r="N85" s="1"/>
      <c r="O85" s="1"/>
      <c r="P85" s="85"/>
      <c r="Q85" s="88"/>
      <c r="R85" s="3">
        <f>IFERROR(VLOOKUP(TablaMayo[[#This Row],[BARRIO]],SECTOR!$A:$B,2,0),"")</f>
      </c>
      <c r="S85" s="89"/>
      <c r="T85" s="90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6"/>
      <c r="AZ85" s="19">
        <f>COUNTIF(U85:AY85,"A")</f>
      </c>
      <c r="BA85" s="17">
        <f>COUNTIF(U85:AY85,"F")</f>
      </c>
      <c r="BB85" s="17">
        <f>COUNTIF(U85:AY85,"E")</f>
      </c>
    </row>
    <row r="86" spans="1:54" ht="15.75" customHeight="1" x14ac:dyDescent="0.2">
      <c r="A86" s="84"/>
      <c r="B86" s="85"/>
      <c r="C86" s="85"/>
      <c r="D86" s="85"/>
      <c r="E86" s="86"/>
      <c r="F86" s="16">
        <f>IF(E86="","",DATEDIF(E86,$I$7,"Y"))</f>
      </c>
      <c r="G86" s="85"/>
      <c r="H86" s="85"/>
      <c r="I86" s="87"/>
      <c r="J86" s="85"/>
      <c r="K86" s="85"/>
      <c r="L86" s="2"/>
      <c r="M86" s="2"/>
      <c r="N86" s="1"/>
      <c r="O86" s="1"/>
      <c r="P86" s="85"/>
      <c r="Q86" s="88"/>
      <c r="R86" s="3">
        <f>IFERROR(VLOOKUP(TablaMayo[[#This Row],[BARRIO]],SECTOR!$A:$B,2,0),"")</f>
      </c>
      <c r="S86" s="89"/>
      <c r="T86" s="90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6"/>
      <c r="AZ86" s="19">
        <f>COUNTIF(U86:AY86,"A")</f>
      </c>
      <c r="BA86" s="17">
        <f>COUNTIF(U86:AY86,"F")</f>
      </c>
      <c r="BB86" s="17">
        <f>COUNTIF(U86:AY86,"E")</f>
      </c>
    </row>
    <row r="87" spans="1:54" ht="15.75" customHeight="1" x14ac:dyDescent="0.2">
      <c r="A87" s="84"/>
      <c r="B87" s="85"/>
      <c r="C87" s="85"/>
      <c r="D87" s="85"/>
      <c r="E87" s="86"/>
      <c r="F87" s="16">
        <f>IF(E87="","",DATEDIF(E87,$I$7,"Y"))</f>
      </c>
      <c r="G87" s="85"/>
      <c r="H87" s="85"/>
      <c r="I87" s="87"/>
      <c r="J87" s="85"/>
      <c r="K87" s="85"/>
      <c r="L87" s="2"/>
      <c r="M87" s="2"/>
      <c r="N87" s="1"/>
      <c r="O87" s="1"/>
      <c r="P87" s="85"/>
      <c r="Q87" s="88"/>
      <c r="R87" s="3">
        <f>IFERROR(VLOOKUP(TablaMayo[[#This Row],[BARRIO]],SECTOR!$A:$B,2,0),"")</f>
      </c>
      <c r="S87" s="89"/>
      <c r="T87" s="90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6"/>
      <c r="AZ87" s="19">
        <f>COUNTIF(U87:AY87,"A")</f>
      </c>
      <c r="BA87" s="17">
        <f>COUNTIF(U87:AY87,"F")</f>
      </c>
      <c r="BB87" s="17">
        <f>COUNTIF(U87:AY87,"E")</f>
      </c>
    </row>
    <row r="88" spans="1:54" ht="15.75" customHeight="1" x14ac:dyDescent="0.2">
      <c r="A88" s="84"/>
      <c r="B88" s="85"/>
      <c r="C88" s="85"/>
      <c r="D88" s="85"/>
      <c r="E88" s="86"/>
      <c r="F88" s="16">
        <f>IF(E88="","",DATEDIF(E88,$I$7,"Y"))</f>
      </c>
      <c r="G88" s="85"/>
      <c r="H88" s="85"/>
      <c r="I88" s="87"/>
      <c r="J88" s="85"/>
      <c r="K88" s="85"/>
      <c r="L88" s="2"/>
      <c r="M88" s="2"/>
      <c r="N88" s="1"/>
      <c r="O88" s="1"/>
      <c r="P88" s="85"/>
      <c r="Q88" s="88"/>
      <c r="R88" s="3">
        <f>IFERROR(VLOOKUP(TablaMayo[[#This Row],[BARRIO]],SECTOR!$A:$B,2,0),"")</f>
      </c>
      <c r="S88" s="89"/>
      <c r="T88" s="90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6"/>
      <c r="AZ88" s="19">
        <f>COUNTIF(U88:AY88,"A")</f>
      </c>
      <c r="BA88" s="17">
        <f>COUNTIF(U88:AY88,"F")</f>
      </c>
      <c r="BB88" s="17">
        <f>COUNTIF(U88:AY88,"E")</f>
      </c>
    </row>
    <row r="89" spans="1:54" ht="15.75" customHeight="1" x14ac:dyDescent="0.2">
      <c r="A89" s="84"/>
      <c r="B89" s="85"/>
      <c r="C89" s="85"/>
      <c r="D89" s="85"/>
      <c r="E89" s="86"/>
      <c r="F89" s="16">
        <f>IF(E89="","",DATEDIF(E89,$I$7,"Y"))</f>
      </c>
      <c r="G89" s="85"/>
      <c r="H89" s="85"/>
      <c r="I89" s="87"/>
      <c r="J89" s="85"/>
      <c r="K89" s="85"/>
      <c r="L89" s="2"/>
      <c r="M89" s="2"/>
      <c r="N89" s="1"/>
      <c r="O89" s="1"/>
      <c r="P89" s="85"/>
      <c r="Q89" s="88"/>
      <c r="R89" s="3">
        <f>IFERROR(VLOOKUP(TablaMayo[[#This Row],[BARRIO]],SECTOR!$A:$B,2,0),"")</f>
      </c>
      <c r="S89" s="89"/>
      <c r="T89" s="90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6"/>
      <c r="AZ89" s="19">
        <f>COUNTIF(U89:AY89,"A")</f>
      </c>
      <c r="BA89" s="17">
        <f>COUNTIF(U89:AY89,"F")</f>
      </c>
      <c r="BB89" s="17">
        <f>COUNTIF(U89:AY89,"E")</f>
      </c>
    </row>
    <row r="90" spans="1:54" ht="15.75" customHeight="1" x14ac:dyDescent="0.2">
      <c r="A90" s="84"/>
      <c r="B90" s="85"/>
      <c r="C90" s="85"/>
      <c r="D90" s="85"/>
      <c r="E90" s="86"/>
      <c r="F90" s="16">
        <f>IF(E90="","",DATEDIF(E90,$I$7,"Y"))</f>
      </c>
      <c r="G90" s="85"/>
      <c r="H90" s="85"/>
      <c r="I90" s="87"/>
      <c r="J90" s="85"/>
      <c r="K90" s="85"/>
      <c r="L90" s="2"/>
      <c r="M90" s="2"/>
      <c r="N90" s="1"/>
      <c r="O90" s="1"/>
      <c r="P90" s="85"/>
      <c r="Q90" s="88"/>
      <c r="R90" s="3">
        <f>IFERROR(VLOOKUP(TablaMayo[[#This Row],[BARRIO]],SECTOR!$A:$B,2,0),"")</f>
      </c>
      <c r="S90" s="89"/>
      <c r="T90" s="90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6"/>
      <c r="AZ90" s="19">
        <f>COUNTIF(U90:AY90,"A")</f>
      </c>
      <c r="BA90" s="17">
        <f>COUNTIF(U90:AY90,"F")</f>
      </c>
      <c r="BB90" s="17">
        <f>COUNTIF(U90:AY90,"E")</f>
      </c>
    </row>
    <row r="91" spans="1:54" ht="15.75" customHeight="1" x14ac:dyDescent="0.2">
      <c r="A91" s="84"/>
      <c r="B91" s="85"/>
      <c r="C91" s="85"/>
      <c r="D91" s="85"/>
      <c r="E91" s="86"/>
      <c r="F91" s="16">
        <f>IF(E91="","",DATEDIF(E91,$I$7,"Y"))</f>
      </c>
      <c r="G91" s="85"/>
      <c r="H91" s="85"/>
      <c r="I91" s="87"/>
      <c r="J91" s="85"/>
      <c r="K91" s="85"/>
      <c r="L91" s="2"/>
      <c r="M91" s="2"/>
      <c r="N91" s="1"/>
      <c r="O91" s="1"/>
      <c r="P91" s="85"/>
      <c r="Q91" s="88"/>
      <c r="R91" s="3">
        <f>IFERROR(VLOOKUP(TablaMayo[[#This Row],[BARRIO]],SECTOR!$A:$B,2,0),"")</f>
      </c>
      <c r="S91" s="89"/>
      <c r="T91" s="90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6"/>
      <c r="AZ91" s="19">
        <f>COUNTIF(U91:AY91,"A")</f>
      </c>
      <c r="BA91" s="17">
        <f>COUNTIF(U91:AY91,"F")</f>
      </c>
      <c r="BB91" s="17">
        <f>COUNTIF(U91:AY91,"E")</f>
      </c>
    </row>
    <row r="92" spans="1:54" ht="15.75" customHeight="1" x14ac:dyDescent="0.2">
      <c r="A92" s="84"/>
      <c r="B92" s="85"/>
      <c r="C92" s="85"/>
      <c r="D92" s="85"/>
      <c r="E92" s="86"/>
      <c r="F92" s="16">
        <f>IF(E92="","",DATEDIF(E92,$I$7,"Y"))</f>
      </c>
      <c r="G92" s="85"/>
      <c r="H92" s="85"/>
      <c r="I92" s="87"/>
      <c r="J92" s="85"/>
      <c r="K92" s="85"/>
      <c r="L92" s="2"/>
      <c r="M92" s="2"/>
      <c r="N92" s="1"/>
      <c r="O92" s="1"/>
      <c r="P92" s="85"/>
      <c r="Q92" s="88"/>
      <c r="R92" s="3">
        <f>IFERROR(VLOOKUP(TablaMayo[[#This Row],[BARRIO]],SECTOR!$A:$B,2,0),"")</f>
      </c>
      <c r="S92" s="89"/>
      <c r="T92" s="90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6"/>
      <c r="AZ92" s="19">
        <f>COUNTIF(U92:AY92,"A")</f>
      </c>
      <c r="BA92" s="17">
        <f>COUNTIF(U92:AY92,"F")</f>
      </c>
      <c r="BB92" s="17">
        <f>COUNTIF(U92:AY92,"E")</f>
      </c>
    </row>
    <row r="93" spans="1:54" ht="15.75" customHeight="1" x14ac:dyDescent="0.2">
      <c r="A93" s="84"/>
      <c r="B93" s="85"/>
      <c r="C93" s="85"/>
      <c r="D93" s="85"/>
      <c r="E93" s="86"/>
      <c r="F93" s="16">
        <f>IF(E93="","",DATEDIF(E93,$I$7,"Y"))</f>
      </c>
      <c r="G93" s="85"/>
      <c r="H93" s="85"/>
      <c r="I93" s="87"/>
      <c r="J93" s="85"/>
      <c r="K93" s="85"/>
      <c r="L93" s="2"/>
      <c r="M93" s="2"/>
      <c r="N93" s="1"/>
      <c r="O93" s="1"/>
      <c r="P93" s="85"/>
      <c r="Q93" s="88"/>
      <c r="R93" s="3">
        <f>IFERROR(VLOOKUP(TablaMayo[[#This Row],[BARRIO]],SECTOR!$A:$B,2,0),"")</f>
      </c>
      <c r="S93" s="89"/>
      <c r="T93" s="90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6"/>
      <c r="AZ93" s="19">
        <f>COUNTIF(U93:AY93,"A")</f>
      </c>
      <c r="BA93" s="17">
        <f>COUNTIF(U93:AY93,"F")</f>
      </c>
      <c r="BB93" s="17">
        <f>COUNTIF(U93:AY93,"E")</f>
      </c>
    </row>
    <row r="94" spans="1:54" ht="15.75" customHeight="1" x14ac:dyDescent="0.2">
      <c r="A94" s="84"/>
      <c r="B94" s="85"/>
      <c r="C94" s="85"/>
      <c r="D94" s="85"/>
      <c r="E94" s="86"/>
      <c r="F94" s="16">
        <f>IF(E94="","",DATEDIF(E94,$I$7,"Y"))</f>
      </c>
      <c r="G94" s="85"/>
      <c r="H94" s="85"/>
      <c r="I94" s="87"/>
      <c r="J94" s="85"/>
      <c r="K94" s="85"/>
      <c r="L94" s="2"/>
      <c r="M94" s="2"/>
      <c r="N94" s="1"/>
      <c r="O94" s="1"/>
      <c r="P94" s="85"/>
      <c r="Q94" s="88"/>
      <c r="R94" s="3">
        <f>IFERROR(VLOOKUP(TablaMayo[[#This Row],[BARRIO]],SECTOR!$A:$B,2,0),"")</f>
      </c>
      <c r="S94" s="89"/>
      <c r="T94" s="90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6"/>
      <c r="AZ94" s="19">
        <f>COUNTIF(U94:AY94,"A")</f>
      </c>
      <c r="BA94" s="17">
        <f>COUNTIF(U94:AY94,"F")</f>
      </c>
      <c r="BB94" s="17">
        <f>COUNTIF(U94:AY94,"E")</f>
      </c>
    </row>
    <row r="95" spans="1:54" ht="15.75" customHeight="1" x14ac:dyDescent="0.2">
      <c r="A95" s="84"/>
      <c r="B95" s="85"/>
      <c r="C95" s="85"/>
      <c r="D95" s="85"/>
      <c r="E95" s="86"/>
      <c r="F95" s="16">
        <f>IF(E95="","",DATEDIF(E95,$I$7,"Y"))</f>
      </c>
      <c r="G95" s="85"/>
      <c r="H95" s="85"/>
      <c r="I95" s="87"/>
      <c r="J95" s="85"/>
      <c r="K95" s="85"/>
      <c r="L95" s="2"/>
      <c r="M95" s="2"/>
      <c r="N95" s="1"/>
      <c r="O95" s="1"/>
      <c r="P95" s="85"/>
      <c r="Q95" s="88"/>
      <c r="R95" s="3">
        <f>IFERROR(VLOOKUP(TablaMayo[[#This Row],[BARRIO]],SECTOR!$A:$B,2,0),"")</f>
      </c>
      <c r="S95" s="89"/>
      <c r="T95" s="90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6"/>
      <c r="AZ95" s="19">
        <f>COUNTIF(U95:AY95,"A")</f>
      </c>
      <c r="BA95" s="17">
        <f>COUNTIF(U95:AY95,"F")</f>
      </c>
      <c r="BB95" s="17">
        <f>COUNTIF(U95:AY95,"E")</f>
      </c>
    </row>
    <row r="96" spans="1:54" ht="15.75" customHeight="1" x14ac:dyDescent="0.2">
      <c r="A96" s="84"/>
      <c r="B96" s="85"/>
      <c r="C96" s="85"/>
      <c r="D96" s="85"/>
      <c r="E96" s="86"/>
      <c r="F96" s="16">
        <f>IF(E96="","",DATEDIF(E96,$I$7,"Y"))</f>
      </c>
      <c r="G96" s="85"/>
      <c r="H96" s="85"/>
      <c r="I96" s="87"/>
      <c r="J96" s="85"/>
      <c r="K96" s="85"/>
      <c r="L96" s="2"/>
      <c r="M96" s="2"/>
      <c r="N96" s="1"/>
      <c r="O96" s="1"/>
      <c r="P96" s="85"/>
      <c r="Q96" s="88"/>
      <c r="R96" s="3">
        <f>IFERROR(VLOOKUP(TablaMayo[[#This Row],[BARRIO]],SECTOR!$A:$B,2,0),"")</f>
      </c>
      <c r="S96" s="89"/>
      <c r="T96" s="90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7"/>
      <c r="AZ96" s="30">
        <f>COUNTIF(U96:AY96,"A")</f>
      </c>
      <c r="BA96" s="17">
        <f>COUNTIF(U96:AY96,"F")</f>
      </c>
      <c r="BB96" s="17">
        <f>COUNTIF(U96:AY96,"E")</f>
      </c>
    </row>
    <row r="97" spans="1:54" ht="15.75" customHeight="1" x14ac:dyDescent="0.2">
      <c r="A97" s="84"/>
      <c r="B97" s="85"/>
      <c r="C97" s="85"/>
      <c r="D97" s="85"/>
      <c r="E97" s="86"/>
      <c r="F97" s="16">
        <f>IF(E97="","",DATEDIF(E97,$I$7,"Y"))</f>
      </c>
      <c r="G97" s="85"/>
      <c r="H97" s="85"/>
      <c r="I97" s="87"/>
      <c r="J97" s="85"/>
      <c r="K97" s="85"/>
      <c r="L97" s="2"/>
      <c r="M97" s="2"/>
      <c r="N97" s="1"/>
      <c r="O97" s="1"/>
      <c r="P97" s="85"/>
      <c r="Q97" s="88"/>
      <c r="R97" s="3">
        <f>IFERROR(VLOOKUP(TablaMayo[[#This Row],[BARRIO]],SECTOR!$A:$B,2,0),"")</f>
      </c>
      <c r="S97" s="89"/>
      <c r="T97" s="90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6"/>
      <c r="AZ97" s="30">
        <f>COUNTIF(U97:AY97,"A")</f>
      </c>
      <c r="BA97" s="17">
        <f>COUNTIF(U97:AY97,"F")</f>
      </c>
      <c r="BB97" s="17">
        <f>COUNTIF(U97:AY97,"E")</f>
      </c>
    </row>
    <row r="98" spans="1:54" ht="15.75" customHeight="1" x14ac:dyDescent="0.2">
      <c r="A98" s="84"/>
      <c r="B98" s="85"/>
      <c r="C98" s="85"/>
      <c r="D98" s="85"/>
      <c r="E98" s="86"/>
      <c r="F98" s="16">
        <f>IF(E98="","",DATEDIF(E98,$I$7,"Y"))</f>
      </c>
      <c r="G98" s="85"/>
      <c r="H98" s="85"/>
      <c r="I98" s="87"/>
      <c r="J98" s="85"/>
      <c r="K98" s="85"/>
      <c r="L98" s="2"/>
      <c r="M98" s="2"/>
      <c r="N98" s="1"/>
      <c r="O98" s="1"/>
      <c r="P98" s="85"/>
      <c r="Q98" s="88"/>
      <c r="R98" s="3">
        <f>IFERROR(VLOOKUP(TablaMayo[[#This Row],[BARRIO]],SECTOR!$A:$B,2,0),"")</f>
      </c>
      <c r="S98" s="89"/>
      <c r="T98" s="90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6"/>
      <c r="AZ98" s="30">
        <f>COUNTIF(U98:AY98,"A")</f>
      </c>
      <c r="BA98" s="17">
        <f>COUNTIF(U98:AY98,"F")</f>
      </c>
      <c r="BB98" s="17">
        <f>COUNTIF(U98:AY98,"E")</f>
      </c>
    </row>
    <row r="99" spans="1:54" ht="15.75" customHeight="1" x14ac:dyDescent="0.2">
      <c r="A99" s="84"/>
      <c r="B99" s="85"/>
      <c r="C99" s="85"/>
      <c r="D99" s="85"/>
      <c r="E99" s="86"/>
      <c r="F99" s="16">
        <f>IF(E99="","",DATEDIF(E99,$I$7,"Y"))</f>
      </c>
      <c r="G99" s="85"/>
      <c r="H99" s="85"/>
      <c r="I99" s="87"/>
      <c r="J99" s="85"/>
      <c r="K99" s="85"/>
      <c r="L99" s="2"/>
      <c r="M99" s="2"/>
      <c r="N99" s="1"/>
      <c r="O99" s="1"/>
      <c r="P99" s="85"/>
      <c r="Q99" s="88"/>
      <c r="R99" s="3">
        <f>IFERROR(VLOOKUP(TablaMayo[[#This Row],[BARRIO]],SECTOR!$A:$B,2,0),"")</f>
      </c>
      <c r="S99" s="89"/>
      <c r="T99" s="90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6"/>
      <c r="AZ99" s="30">
        <f>COUNTIF(U99:AY99,"A")</f>
      </c>
      <c r="BA99" s="17">
        <f>COUNTIF(U99:AY99,"F")</f>
      </c>
      <c r="BB99" s="17">
        <f>COUNTIF(U99:AY99,"E")</f>
      </c>
    </row>
    <row r="100" spans="1:54" ht="15.75" customHeight="1" x14ac:dyDescent="0.2">
      <c r="A100" s="84"/>
      <c r="B100" s="85"/>
      <c r="C100" s="85"/>
      <c r="D100" s="85"/>
      <c r="E100" s="86"/>
      <c r="F100" s="16">
        <f>IF(E100="","",DATEDIF(E100,$I$7,"Y"))</f>
      </c>
      <c r="G100" s="85"/>
      <c r="H100" s="85"/>
      <c r="I100" s="87"/>
      <c r="J100" s="85"/>
      <c r="K100" s="85"/>
      <c r="L100" s="2"/>
      <c r="M100" s="2"/>
      <c r="N100" s="1"/>
      <c r="O100" s="1"/>
      <c r="P100" s="85"/>
      <c r="Q100" s="88"/>
      <c r="R100" s="3">
        <f>IFERROR(VLOOKUP(TablaMayo[[#This Row],[BARRIO]],SECTOR!$A:$B,2,0),"")</f>
      </c>
      <c r="S100" s="89"/>
      <c r="T100" s="90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6"/>
      <c r="AZ100" s="30">
        <f>COUNTIF(U100:AY100,"A")</f>
      </c>
      <c r="BA100" s="17">
        <f>COUNTIF(U100:AY100,"F")</f>
      </c>
      <c r="BB100" s="17">
        <f>COUNTIF(U100:AY100,"E")</f>
      </c>
    </row>
    <row r="101" spans="1:54" ht="15.75" customHeight="1" x14ac:dyDescent="0.2">
      <c r="A101" s="84"/>
      <c r="B101" s="85"/>
      <c r="C101" s="85"/>
      <c r="D101" s="85"/>
      <c r="E101" s="86"/>
      <c r="F101" s="16">
        <f>IF(E101="","",DATEDIF(E101,$I$7,"Y"))</f>
      </c>
      <c r="G101" s="85"/>
      <c r="H101" s="85"/>
      <c r="I101" s="87"/>
      <c r="J101" s="85"/>
      <c r="K101" s="85"/>
      <c r="L101" s="2"/>
      <c r="M101" s="2"/>
      <c r="N101" s="1"/>
      <c r="O101" s="1"/>
      <c r="P101" s="85"/>
      <c r="Q101" s="88"/>
      <c r="R101" s="3">
        <f>IFERROR(VLOOKUP(TablaMayo[[#This Row],[BARRIO]],SECTOR!$A:$B,2,0),"")</f>
      </c>
      <c r="S101" s="89"/>
      <c r="T101" s="90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6"/>
      <c r="AZ101" s="30">
        <f>COUNTIF(U101:AY101,"A")</f>
      </c>
      <c r="BA101" s="17">
        <f>COUNTIF(U101:AY101,"F")</f>
      </c>
      <c r="BB101" s="17">
        <f>COUNTIF(U101:AY101,"E")</f>
      </c>
    </row>
    <row r="102" spans="1:54" ht="15.75" customHeight="1" x14ac:dyDescent="0.2">
      <c r="A102" s="84"/>
      <c r="B102" s="85"/>
      <c r="C102" s="85"/>
      <c r="D102" s="85"/>
      <c r="E102" s="86"/>
      <c r="F102" s="16">
        <f>IF(E102="","",DATEDIF(E102,$I$7,"Y"))</f>
      </c>
      <c r="G102" s="85"/>
      <c r="H102" s="85"/>
      <c r="I102" s="87"/>
      <c r="J102" s="85"/>
      <c r="K102" s="85"/>
      <c r="L102" s="2"/>
      <c r="M102" s="2"/>
      <c r="N102" s="1"/>
      <c r="O102" s="1"/>
      <c r="P102" s="85"/>
      <c r="Q102" s="88"/>
      <c r="R102" s="3">
        <f>IFERROR(VLOOKUP(TablaMayo[[#This Row],[BARRIO]],SECTOR!$A:$B,2,0),"")</f>
      </c>
      <c r="S102" s="89"/>
      <c r="T102" s="90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6"/>
      <c r="AZ102" s="30">
        <f>COUNTIF(U102:AY102,"A")</f>
      </c>
      <c r="BA102" s="17">
        <f>COUNTIF(U102:AY102,"F")</f>
      </c>
      <c r="BB102" s="17">
        <f>COUNTIF(U102:AY102,"E")</f>
      </c>
    </row>
    <row r="103" spans="1:54" ht="15.75" customHeight="1" x14ac:dyDescent="0.2">
      <c r="A103" s="84"/>
      <c r="B103" s="85"/>
      <c r="C103" s="85"/>
      <c r="D103" s="85"/>
      <c r="E103" s="86"/>
      <c r="F103" s="16">
        <f>IF(E103="","",DATEDIF(E103,$I$7,"Y"))</f>
      </c>
      <c r="G103" s="85"/>
      <c r="H103" s="85"/>
      <c r="I103" s="87"/>
      <c r="J103" s="85"/>
      <c r="K103" s="85"/>
      <c r="L103" s="2"/>
      <c r="M103" s="2"/>
      <c r="N103" s="1"/>
      <c r="O103" s="1"/>
      <c r="P103" s="85"/>
      <c r="Q103" s="88"/>
      <c r="R103" s="3">
        <f>IFERROR(VLOOKUP(TablaMayo[[#This Row],[BARRIO]],SECTOR!$A:$B,2,0),"")</f>
      </c>
      <c r="S103" s="89"/>
      <c r="T103" s="90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6"/>
      <c r="AZ103" s="30">
        <f>COUNTIF(U103:AY103,"A")</f>
      </c>
      <c r="BA103" s="17">
        <f>COUNTIF(U103:AY103,"F")</f>
      </c>
      <c r="BB103" s="17">
        <f>COUNTIF(U103:AY103,"E")</f>
      </c>
    </row>
    <row r="104" spans="1:54" ht="15.75" customHeight="1" x14ac:dyDescent="0.2">
      <c r="A104" s="84"/>
      <c r="B104" s="85"/>
      <c r="C104" s="85"/>
      <c r="D104" s="85"/>
      <c r="E104" s="86"/>
      <c r="F104" s="16">
        <f>IF(E104="","",DATEDIF(E104,$I$7,"Y"))</f>
      </c>
      <c r="G104" s="85"/>
      <c r="H104" s="85"/>
      <c r="I104" s="87"/>
      <c r="J104" s="85"/>
      <c r="K104" s="85"/>
      <c r="L104" s="2"/>
      <c r="M104" s="2"/>
      <c r="N104" s="1"/>
      <c r="O104" s="1"/>
      <c r="P104" s="85"/>
      <c r="Q104" s="88"/>
      <c r="R104" s="3">
        <f>IFERROR(VLOOKUP(TablaMayo[[#This Row],[BARRIO]],SECTOR!$A:$B,2,0),"")</f>
      </c>
      <c r="S104" s="89"/>
      <c r="T104" s="90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6"/>
      <c r="AZ104" s="30">
        <f>COUNTIF(U104:AY104,"A")</f>
      </c>
      <c r="BA104" s="17">
        <f>COUNTIF(U104:AY104,"F")</f>
      </c>
      <c r="BB104" s="17">
        <f>COUNTIF(U104:AY104,"E")</f>
      </c>
    </row>
    <row r="105" spans="1:54" ht="15.75" customHeight="1" x14ac:dyDescent="0.2">
      <c r="A105" s="84"/>
      <c r="B105" s="85"/>
      <c r="C105" s="85"/>
      <c r="D105" s="85"/>
      <c r="E105" s="86"/>
      <c r="F105" s="16">
        <f>IF(E105="","",DATEDIF(E105,$I$7,"Y"))</f>
      </c>
      <c r="G105" s="85"/>
      <c r="H105" s="85"/>
      <c r="I105" s="87"/>
      <c r="J105" s="85"/>
      <c r="K105" s="85"/>
      <c r="L105" s="2"/>
      <c r="M105" s="2"/>
      <c r="N105" s="1"/>
      <c r="O105" s="1"/>
      <c r="P105" s="85"/>
      <c r="Q105" s="88"/>
      <c r="R105" s="3">
        <f>IFERROR(VLOOKUP(TablaMayo[[#This Row],[BARRIO]],SECTOR!$A:$B,2,0),"")</f>
      </c>
      <c r="S105" s="89"/>
      <c r="T105" s="90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6"/>
      <c r="AZ105" s="30">
        <f>COUNTIF(U105:AY105,"A")</f>
      </c>
      <c r="BA105" s="17">
        <f>COUNTIF(U105:AY105,"F")</f>
      </c>
      <c r="BB105" s="17">
        <f>COUNTIF(U105:AY105,"E")</f>
      </c>
    </row>
    <row r="106" spans="1:54" ht="15.75" customHeight="1" x14ac:dyDescent="0.2">
      <c r="A106" s="84"/>
      <c r="B106" s="85"/>
      <c r="C106" s="85"/>
      <c r="D106" s="85"/>
      <c r="E106" s="86"/>
      <c r="F106" s="16">
        <f>IF(E106="","",DATEDIF(E106,$I$7,"Y"))</f>
      </c>
      <c r="G106" s="85"/>
      <c r="H106" s="85"/>
      <c r="I106" s="87"/>
      <c r="J106" s="85"/>
      <c r="K106" s="85"/>
      <c r="L106" s="2"/>
      <c r="M106" s="2"/>
      <c r="N106" s="1"/>
      <c r="O106" s="1"/>
      <c r="P106" s="85"/>
      <c r="Q106" s="88"/>
      <c r="R106" s="3">
        <f>IFERROR(VLOOKUP(TablaMayo[[#This Row],[BARRIO]],SECTOR!$A:$B,2,0),"")</f>
      </c>
      <c r="S106" s="89"/>
      <c r="T106" s="90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6"/>
      <c r="AZ106" s="30">
        <f>COUNTIF(U106:AY106,"A")</f>
      </c>
      <c r="BA106" s="17">
        <f>COUNTIF(U106:AY106,"F")</f>
      </c>
      <c r="BB106" s="17">
        <f>COUNTIF(U106:AY106,"E")</f>
      </c>
    </row>
    <row r="107" spans="1:54" ht="15.75" customHeight="1" x14ac:dyDescent="0.2">
      <c r="A107" s="84"/>
      <c r="B107" s="85"/>
      <c r="C107" s="85"/>
      <c r="D107" s="85"/>
      <c r="E107" s="86"/>
      <c r="F107" s="16">
        <f>IF(E107="","",DATEDIF(E107,$I$7,"Y"))</f>
      </c>
      <c r="G107" s="85"/>
      <c r="H107" s="85"/>
      <c r="I107" s="87"/>
      <c r="J107" s="85"/>
      <c r="K107" s="85"/>
      <c r="L107" s="2"/>
      <c r="M107" s="2"/>
      <c r="N107" s="1"/>
      <c r="O107" s="1"/>
      <c r="P107" s="85"/>
      <c r="Q107" s="88"/>
      <c r="R107" s="3">
        <f>IFERROR(VLOOKUP(TablaMayo[[#This Row],[BARRIO]],SECTOR!$A:$B,2,0),"")</f>
      </c>
      <c r="S107" s="89"/>
      <c r="T107" s="90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6"/>
      <c r="AZ107" s="30">
        <f>COUNTIF(U107:AY107,"A")</f>
      </c>
      <c r="BA107" s="17">
        <f>COUNTIF(U107:AY107,"F")</f>
      </c>
      <c r="BB107" s="17">
        <f>COUNTIF(U107:AY107,"E")</f>
      </c>
    </row>
    <row r="108" spans="1:54" ht="15.75" customHeight="1" x14ac:dyDescent="0.2">
      <c r="A108" s="84"/>
      <c r="B108" s="85"/>
      <c r="C108" s="85"/>
      <c r="D108" s="85"/>
      <c r="E108" s="86"/>
      <c r="F108" s="16">
        <f>IF(E108="","",DATEDIF(E108,$I$7,"Y"))</f>
      </c>
      <c r="G108" s="85"/>
      <c r="H108" s="85"/>
      <c r="I108" s="87"/>
      <c r="J108" s="85"/>
      <c r="K108" s="85"/>
      <c r="L108" s="2"/>
      <c r="M108" s="2"/>
      <c r="N108" s="1"/>
      <c r="O108" s="1"/>
      <c r="P108" s="85"/>
      <c r="Q108" s="88"/>
      <c r="R108" s="3">
        <f>IFERROR(VLOOKUP(TablaMayo[[#This Row],[BARRIO]],SECTOR!$A:$B,2,0),"")</f>
      </c>
      <c r="S108" s="89"/>
      <c r="T108" s="90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6"/>
      <c r="AZ108" s="30">
        <f>COUNTIF(U108:AY108,"A")</f>
      </c>
      <c r="BA108" s="17">
        <f>COUNTIF(U108:AY108,"F")</f>
      </c>
      <c r="BB108" s="17">
        <f>COUNTIF(U108:AY108,"E")</f>
      </c>
    </row>
    <row r="109" spans="1:54" ht="15.75" customHeight="1" x14ac:dyDescent="0.2">
      <c r="A109" s="84"/>
      <c r="B109" s="85"/>
      <c r="C109" s="85"/>
      <c r="D109" s="85"/>
      <c r="E109" s="86"/>
      <c r="F109" s="16">
        <f>IF(E109="","",DATEDIF(E109,$I$7,"Y"))</f>
      </c>
      <c r="G109" s="85"/>
      <c r="H109" s="85"/>
      <c r="I109" s="87"/>
      <c r="J109" s="85"/>
      <c r="K109" s="85"/>
      <c r="L109" s="2"/>
      <c r="M109" s="2"/>
      <c r="N109" s="1"/>
      <c r="O109" s="1"/>
      <c r="P109" s="85"/>
      <c r="Q109" s="88"/>
      <c r="R109" s="3">
        <f>IFERROR(VLOOKUP(TablaMayo[[#This Row],[BARRIO]],SECTOR!$A:$B,2,0),"")</f>
      </c>
      <c r="S109" s="89"/>
      <c r="T109" s="90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6"/>
      <c r="AZ109" s="30">
        <f>COUNTIF(U109:AY109,"A")</f>
      </c>
      <c r="BA109" s="17">
        <f>COUNTIF(U109:AY109,"F")</f>
      </c>
      <c r="BB109" s="17">
        <f>COUNTIF(U109:AY109,"E")</f>
      </c>
    </row>
    <row r="110" spans="1:54" ht="15.75" customHeight="1" x14ac:dyDescent="0.2">
      <c r="A110" s="84"/>
      <c r="B110" s="85"/>
      <c r="C110" s="85"/>
      <c r="D110" s="85"/>
      <c r="E110" s="86"/>
      <c r="F110" s="16">
        <f>IF(E110="","",DATEDIF(E110,$I$7,"Y"))</f>
      </c>
      <c r="G110" s="85"/>
      <c r="H110" s="85"/>
      <c r="I110" s="87"/>
      <c r="J110" s="85"/>
      <c r="K110" s="85"/>
      <c r="L110" s="2"/>
      <c r="M110" s="2"/>
      <c r="N110" s="1"/>
      <c r="O110" s="1"/>
      <c r="P110" s="85"/>
      <c r="Q110" s="88"/>
      <c r="R110" s="3">
        <f>IFERROR(VLOOKUP(TablaMayo[[#This Row],[BARRIO]],SECTOR!$A:$B,2,0),"")</f>
      </c>
      <c r="S110" s="89"/>
      <c r="T110" s="90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6"/>
      <c r="AZ110" s="30">
        <f>COUNTIF(U110:AY110,"A")</f>
      </c>
      <c r="BA110" s="17">
        <f>COUNTIF(U110:AY110,"F")</f>
      </c>
      <c r="BB110" s="17">
        <f>COUNTIF(U110:AY110,"E")</f>
      </c>
    </row>
    <row r="111" spans="1:54" ht="15.75" customHeight="1" x14ac:dyDescent="0.2">
      <c r="A111" s="84"/>
      <c r="B111" s="85"/>
      <c r="C111" s="85"/>
      <c r="D111" s="85"/>
      <c r="E111" s="86"/>
      <c r="F111" s="16">
        <f>IF(E111="","",DATEDIF(E111,$I$7,"Y"))</f>
      </c>
      <c r="G111" s="85"/>
      <c r="H111" s="85"/>
      <c r="I111" s="87"/>
      <c r="J111" s="85"/>
      <c r="K111" s="85"/>
      <c r="L111" s="2"/>
      <c r="M111" s="2"/>
      <c r="N111" s="1"/>
      <c r="O111" s="1"/>
      <c r="P111" s="85"/>
      <c r="Q111" s="88"/>
      <c r="R111" s="3">
        <f>IFERROR(VLOOKUP(TablaMayo[[#This Row],[BARRIO]],SECTOR!$A:$B,2,0),"")</f>
      </c>
      <c r="S111" s="89"/>
      <c r="T111" s="90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6"/>
      <c r="AZ111" s="30">
        <f>COUNTIF(U111:AY111,"A")</f>
      </c>
      <c r="BA111" s="17">
        <f>COUNTIF(U111:AY111,"F")</f>
      </c>
      <c r="BB111" s="17">
        <f>COUNTIF(U111:AY111,"E")</f>
      </c>
    </row>
    <row r="112" spans="1:54" ht="15.75" customHeight="1" x14ac:dyDescent="0.2">
      <c r="A112" s="84"/>
      <c r="B112" s="85"/>
      <c r="C112" s="85"/>
      <c r="D112" s="85"/>
      <c r="E112" s="86"/>
      <c r="F112" s="16">
        <f>IF(E112="","",DATEDIF(E112,$I$7,"Y"))</f>
      </c>
      <c r="G112" s="85"/>
      <c r="H112" s="85"/>
      <c r="I112" s="87"/>
      <c r="J112" s="85"/>
      <c r="K112" s="85"/>
      <c r="L112" s="2"/>
      <c r="M112" s="2"/>
      <c r="N112" s="1"/>
      <c r="O112" s="1"/>
      <c r="P112" s="85"/>
      <c r="Q112" s="88"/>
      <c r="R112" s="3">
        <f>IFERROR(VLOOKUP(TablaMayo[[#This Row],[BARRIO]],SECTOR!$A:$B,2,0),"")</f>
      </c>
      <c r="S112" s="89"/>
      <c r="T112" s="90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6"/>
      <c r="AZ112" s="30">
        <f>COUNTIF(U112:AY112,"A")</f>
      </c>
      <c r="BA112" s="17">
        <f>COUNTIF(U112:AY112,"F")</f>
      </c>
      <c r="BB112" s="17">
        <f>COUNTIF(U112:AY112,"E")</f>
      </c>
    </row>
    <row r="113" spans="1:54" ht="15.75" customHeight="1" x14ac:dyDescent="0.2">
      <c r="A113" s="84"/>
      <c r="B113" s="85"/>
      <c r="C113" s="85"/>
      <c r="D113" s="85"/>
      <c r="E113" s="86"/>
      <c r="F113" s="16">
        <f>IF(E113="","",DATEDIF(E113,$I$7,"Y"))</f>
      </c>
      <c r="G113" s="85"/>
      <c r="H113" s="85"/>
      <c r="I113" s="87"/>
      <c r="J113" s="85"/>
      <c r="K113" s="85"/>
      <c r="L113" s="2"/>
      <c r="M113" s="2"/>
      <c r="N113" s="1"/>
      <c r="O113" s="1"/>
      <c r="P113" s="85"/>
      <c r="Q113" s="88"/>
      <c r="R113" s="3">
        <f>IFERROR(VLOOKUP(TablaMayo[[#This Row],[BARRIO]],SECTOR!$A:$B,2,0),"")</f>
      </c>
      <c r="S113" s="89"/>
      <c r="T113" s="90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6"/>
      <c r="AZ113" s="30">
        <f>COUNTIF(U113:AY113,"A")</f>
      </c>
      <c r="BA113" s="17">
        <f>COUNTIF(U113:AY113,"F")</f>
      </c>
      <c r="BB113" s="17">
        <f>COUNTIF(U113:AY113,"E")</f>
      </c>
    </row>
    <row r="114" spans="1:54" ht="15.75" customHeight="1" x14ac:dyDescent="0.2">
      <c r="A114" s="84"/>
      <c r="B114" s="85"/>
      <c r="C114" s="85"/>
      <c r="D114" s="85"/>
      <c r="E114" s="86"/>
      <c r="F114" s="16">
        <f>IF(E114="","",DATEDIF(E114,$I$7,"Y"))</f>
      </c>
      <c r="G114" s="85"/>
      <c r="H114" s="85"/>
      <c r="I114" s="87"/>
      <c r="J114" s="85"/>
      <c r="K114" s="85"/>
      <c r="L114" s="2"/>
      <c r="M114" s="2"/>
      <c r="N114" s="1"/>
      <c r="O114" s="1"/>
      <c r="P114" s="85"/>
      <c r="Q114" s="88"/>
      <c r="R114" s="3">
        <f>IFERROR(VLOOKUP(TablaMayo[[#This Row],[BARRIO]],SECTOR!$A:$B,2,0),"")</f>
      </c>
      <c r="S114" s="89"/>
      <c r="T114" s="90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6"/>
      <c r="AZ114" s="30">
        <f>COUNTIF(U114:AY114,"A")</f>
      </c>
      <c r="BA114" s="17">
        <f>COUNTIF(U114:AY114,"F")</f>
      </c>
      <c r="BB114" s="17">
        <f>COUNTIF(U114:AY114,"E")</f>
      </c>
    </row>
    <row r="115" spans="1:54" ht="15.75" customHeight="1" x14ac:dyDescent="0.2">
      <c r="A115" s="84"/>
      <c r="B115" s="85"/>
      <c r="C115" s="85"/>
      <c r="D115" s="85"/>
      <c r="E115" s="86"/>
      <c r="F115" s="16">
        <f>IF(E115="","",DATEDIF(E115,$I$7,"Y"))</f>
      </c>
      <c r="G115" s="85"/>
      <c r="H115" s="85"/>
      <c r="I115" s="87"/>
      <c r="J115" s="85"/>
      <c r="K115" s="85"/>
      <c r="L115" s="2"/>
      <c r="M115" s="2"/>
      <c r="N115" s="1"/>
      <c r="O115" s="1"/>
      <c r="P115" s="85"/>
      <c r="Q115" s="88"/>
      <c r="R115" s="3">
        <f>IFERROR(VLOOKUP(TablaMayo[[#This Row],[BARRIO]],SECTOR!$A:$B,2,0),"")</f>
      </c>
      <c r="S115" s="89"/>
      <c r="T115" s="90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6"/>
      <c r="AZ115" s="30">
        <f>COUNTIF(U115:AY115,"A")</f>
      </c>
      <c r="BA115" s="17">
        <f>COUNTIF(U115:AY115,"F")</f>
      </c>
      <c r="BB115" s="17">
        <f>COUNTIF(U115:AY115,"E")</f>
      </c>
    </row>
    <row r="116" spans="1:54" ht="15.75" customHeight="1" x14ac:dyDescent="0.2">
      <c r="A116" s="84"/>
      <c r="B116" s="85"/>
      <c r="C116" s="85"/>
      <c r="D116" s="85"/>
      <c r="E116" s="86"/>
      <c r="F116" s="16">
        <f>IF(E116="","",DATEDIF(E116,$I$7,"Y"))</f>
      </c>
      <c r="G116" s="85"/>
      <c r="H116" s="85"/>
      <c r="I116" s="87"/>
      <c r="J116" s="85"/>
      <c r="K116" s="85"/>
      <c r="L116" s="2"/>
      <c r="M116" s="2"/>
      <c r="N116" s="1"/>
      <c r="O116" s="1"/>
      <c r="P116" s="85"/>
      <c r="Q116" s="88"/>
      <c r="R116" s="3">
        <f>IFERROR(VLOOKUP(TablaMayo[[#This Row],[BARRIO]],SECTOR!$A:$B,2,0),"")</f>
      </c>
      <c r="S116" s="89"/>
      <c r="T116" s="90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6"/>
      <c r="AZ116" s="30">
        <f>COUNTIF(U116:AY116,"A")</f>
      </c>
      <c r="BA116" s="17">
        <f>COUNTIF(U116:AY116,"F")</f>
      </c>
      <c r="BB116" s="17">
        <f>COUNTIF(U116:AY116,"E")</f>
      </c>
    </row>
    <row r="117" spans="1:54" ht="15.75" customHeight="1" x14ac:dyDescent="0.2">
      <c r="A117" s="84"/>
      <c r="B117" s="85"/>
      <c r="C117" s="85"/>
      <c r="D117" s="85"/>
      <c r="E117" s="86"/>
      <c r="F117" s="16">
        <f>IF(E117="","",DATEDIF(E117,$I$7,"Y"))</f>
      </c>
      <c r="G117" s="85"/>
      <c r="H117" s="85"/>
      <c r="I117" s="87"/>
      <c r="J117" s="85"/>
      <c r="K117" s="85"/>
      <c r="L117" s="2"/>
      <c r="M117" s="2"/>
      <c r="N117" s="1"/>
      <c r="O117" s="1"/>
      <c r="P117" s="85"/>
      <c r="Q117" s="88"/>
      <c r="R117" s="3">
        <f>IFERROR(VLOOKUP(TablaMayo[[#This Row],[BARRIO]],SECTOR!$A:$B,2,0),"")</f>
      </c>
      <c r="S117" s="89"/>
      <c r="T117" s="90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6"/>
      <c r="AZ117" s="30">
        <f>COUNTIF(U117:AY117,"A")</f>
      </c>
      <c r="BA117" s="17">
        <f>COUNTIF(U117:AY117,"F")</f>
      </c>
      <c r="BB117" s="17">
        <f>COUNTIF(U117:AY117,"E")</f>
      </c>
    </row>
    <row r="118" spans="1:54" ht="15.75" customHeight="1" x14ac:dyDescent="0.2">
      <c r="A118" s="84"/>
      <c r="B118" s="85"/>
      <c r="C118" s="85"/>
      <c r="D118" s="85"/>
      <c r="E118" s="86"/>
      <c r="F118" s="16">
        <f>IF(E118="","",DATEDIF(E118,$I$7,"Y"))</f>
      </c>
      <c r="G118" s="85"/>
      <c r="H118" s="85"/>
      <c r="I118" s="87"/>
      <c r="J118" s="85"/>
      <c r="K118" s="85"/>
      <c r="L118" s="2"/>
      <c r="M118" s="2"/>
      <c r="N118" s="1"/>
      <c r="O118" s="1"/>
      <c r="P118" s="85"/>
      <c r="Q118" s="88"/>
      <c r="R118" s="3">
        <f>IFERROR(VLOOKUP(TablaMayo[[#This Row],[BARRIO]],SECTOR!$A:$B,2,0),"")</f>
      </c>
      <c r="S118" s="89"/>
      <c r="T118" s="90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6"/>
      <c r="AZ118" s="30">
        <f>COUNTIF(U118:AY118,"A")</f>
      </c>
      <c r="BA118" s="17">
        <f>COUNTIF(U118:AY118,"F")</f>
      </c>
      <c r="BB118" s="17">
        <f>COUNTIF(U118:AY118,"E")</f>
      </c>
    </row>
    <row r="119" spans="1:54" ht="15.75" customHeight="1" x14ac:dyDescent="0.2">
      <c r="A119" s="84"/>
      <c r="B119" s="85"/>
      <c r="C119" s="85"/>
      <c r="D119" s="85"/>
      <c r="E119" s="86"/>
      <c r="F119" s="16">
        <f>IF(E119="","",DATEDIF(E119,$I$7,"Y"))</f>
      </c>
      <c r="G119" s="85"/>
      <c r="H119" s="85"/>
      <c r="I119" s="87"/>
      <c r="J119" s="85"/>
      <c r="K119" s="85"/>
      <c r="L119" s="2"/>
      <c r="M119" s="2"/>
      <c r="N119" s="1"/>
      <c r="O119" s="1"/>
      <c r="P119" s="85"/>
      <c r="Q119" s="88"/>
      <c r="R119" s="3">
        <f>IFERROR(VLOOKUP(TablaMayo[[#This Row],[BARRIO]],SECTOR!$A:$B,2,0),"")</f>
      </c>
      <c r="S119" s="89"/>
      <c r="T119" s="90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6"/>
      <c r="AZ119" s="30">
        <f>COUNTIF(U119:AY119,"A")</f>
      </c>
      <c r="BA119" s="17">
        <f>COUNTIF(U119:AY119,"F")</f>
      </c>
      <c r="BB119" s="17">
        <f>COUNTIF(U119:AY119,"E")</f>
      </c>
    </row>
    <row r="120" spans="1:54" ht="15.75" customHeight="1" x14ac:dyDescent="0.2">
      <c r="A120" s="84"/>
      <c r="B120" s="85"/>
      <c r="C120" s="85"/>
      <c r="D120" s="85"/>
      <c r="E120" s="86"/>
      <c r="F120" s="16">
        <f>IF(E120="","",DATEDIF(E120,$I$7,"Y"))</f>
      </c>
      <c r="G120" s="85"/>
      <c r="H120" s="85"/>
      <c r="I120" s="87"/>
      <c r="J120" s="85"/>
      <c r="K120" s="85"/>
      <c r="L120" s="2"/>
      <c r="M120" s="2"/>
      <c r="N120" s="1"/>
      <c r="O120" s="1"/>
      <c r="P120" s="85"/>
      <c r="Q120" s="88"/>
      <c r="R120" s="3">
        <f>IFERROR(VLOOKUP(TablaMayo[[#This Row],[BARRIO]],SECTOR!$A:$B,2,0),"")</f>
      </c>
      <c r="S120" s="89"/>
      <c r="T120" s="90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6"/>
      <c r="AZ120" s="30">
        <f>COUNTIF(U120:AY120,"A")</f>
      </c>
      <c r="BA120" s="17">
        <f>COUNTIF(U120:AY120,"F")</f>
      </c>
      <c r="BB120" s="17">
        <f>COUNTIF(U120:AY120,"E")</f>
      </c>
    </row>
    <row r="121" spans="1:54" ht="15.75" customHeight="1" x14ac:dyDescent="0.2">
      <c r="A121" s="84"/>
      <c r="B121" s="85"/>
      <c r="C121" s="85"/>
      <c r="D121" s="85"/>
      <c r="E121" s="86"/>
      <c r="F121" s="16">
        <f>IF(E121="","",DATEDIF(E121,$I$7,"Y"))</f>
      </c>
      <c r="G121" s="85"/>
      <c r="H121" s="85"/>
      <c r="I121" s="87"/>
      <c r="J121" s="85"/>
      <c r="K121" s="85"/>
      <c r="L121" s="2"/>
      <c r="M121" s="2"/>
      <c r="N121" s="1"/>
      <c r="O121" s="1"/>
      <c r="P121" s="85"/>
      <c r="Q121" s="88"/>
      <c r="R121" s="3">
        <f>IFERROR(VLOOKUP(TablaMayo[[#This Row],[BARRIO]],SECTOR!$A:$B,2,0),"")</f>
      </c>
      <c r="S121" s="89"/>
      <c r="T121" s="90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6"/>
      <c r="AZ121" s="30">
        <f>COUNTIF(U121:AY121,"A")</f>
      </c>
      <c r="BA121" s="17">
        <f>COUNTIF(U121:AY121,"F")</f>
      </c>
      <c r="BB121" s="17">
        <f>COUNTIF(U121:AY121,"E")</f>
      </c>
    </row>
    <row r="122" spans="1:54" ht="15.75" customHeight="1" x14ac:dyDescent="0.2">
      <c r="A122" s="84"/>
      <c r="B122" s="85"/>
      <c r="C122" s="85"/>
      <c r="D122" s="85"/>
      <c r="E122" s="86"/>
      <c r="F122" s="16">
        <f>IF(E122="","",DATEDIF(E122,$I$7,"Y"))</f>
      </c>
      <c r="G122" s="85"/>
      <c r="H122" s="85"/>
      <c r="I122" s="87"/>
      <c r="J122" s="85"/>
      <c r="K122" s="85"/>
      <c r="L122" s="2"/>
      <c r="M122" s="2"/>
      <c r="N122" s="1"/>
      <c r="O122" s="1"/>
      <c r="P122" s="85"/>
      <c r="Q122" s="88"/>
      <c r="R122" s="3">
        <f>IFERROR(VLOOKUP(TablaMayo[[#This Row],[BARRIO]],SECTOR!$A:$B,2,0),"")</f>
      </c>
      <c r="S122" s="89"/>
      <c r="T122" s="90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30">
        <f>COUNTIF(U122:AY122,"A")</f>
      </c>
      <c r="BA122" s="17">
        <f>COUNTIF(U122:AY122,"F")</f>
      </c>
      <c r="BB122" s="17">
        <f>COUNTIF(U122:AY122,"E")</f>
      </c>
    </row>
    <row r="123" spans="1:54" x14ac:dyDescent="0.2">
      <c r="A123" s="100"/>
      <c r="B123" s="101"/>
      <c r="C123" s="101"/>
      <c r="D123" s="101"/>
      <c r="E123" s="102"/>
      <c r="F123" s="16">
        <f>IF(E123="","",DATEDIF(E123,$I$7,"Y"))</f>
      </c>
      <c r="G123" s="101"/>
      <c r="H123" s="101"/>
      <c r="I123" s="103"/>
      <c r="J123" s="101"/>
      <c r="K123" s="101"/>
      <c r="L123" s="10"/>
      <c r="M123" s="10"/>
      <c r="N123" s="10"/>
      <c r="O123" s="10"/>
      <c r="P123" s="101"/>
      <c r="Q123" s="88"/>
      <c r="R123" s="3">
        <f>IFERROR(VLOOKUP(TablaMayo[[#This Row],[BARRIO]],SECTOR!$A:$B,2,0),"")</f>
      </c>
      <c r="S123" s="104"/>
      <c r="T123" s="10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7"/>
      <c r="AZ123" s="30">
        <f>COUNTIF(U123:AY123,"A")</f>
      </c>
      <c r="BA123" s="32">
        <f>COUNTIF(U123:AY123,"F")</f>
      </c>
      <c r="BB123" s="118">
        <f>COUNTIF(U123:AY123,"E")</f>
      </c>
    </row>
    <row r="124" spans="1:54" x14ac:dyDescent="0.2">
      <c r="A124" s="100"/>
      <c r="B124" s="101"/>
      <c r="C124" s="101"/>
      <c r="D124" s="101"/>
      <c r="E124" s="102"/>
      <c r="F124" s="16">
        <f>IF(E124="","",DATEDIF(E124,$I$7,"Y"))</f>
      </c>
      <c r="G124" s="101"/>
      <c r="H124" s="101"/>
      <c r="I124" s="103"/>
      <c r="J124" s="101"/>
      <c r="K124" s="101"/>
      <c r="L124" s="10"/>
      <c r="M124" s="10"/>
      <c r="N124" s="10"/>
      <c r="O124" s="10"/>
      <c r="P124" s="101"/>
      <c r="Q124" s="88"/>
      <c r="R124" s="3">
        <f>IFERROR(VLOOKUP(TablaMayo[[#This Row],[BARRIO]],SECTOR!$A:$B,2,0),"")</f>
      </c>
      <c r="S124" s="104"/>
      <c r="T124" s="10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7"/>
      <c r="AZ124" s="30">
        <f>COUNTIF(U124:AY124,"A")</f>
      </c>
      <c r="BA124" s="32">
        <f>COUNTIF(U124:AY124,"F")</f>
      </c>
      <c r="BB124" s="118">
        <f>COUNTIF(U124:AY124,"E")</f>
      </c>
    </row>
    <row r="125" spans="1:54" x14ac:dyDescent="0.2">
      <c r="A125" s="100"/>
      <c r="B125" s="106"/>
      <c r="C125" s="101"/>
      <c r="D125" s="101"/>
      <c r="E125" s="102"/>
      <c r="F125" s="16">
        <f>IF(E125="","",DATEDIF(E125,$I$7,"Y"))</f>
      </c>
      <c r="G125" s="101"/>
      <c r="H125" s="101"/>
      <c r="I125" s="103"/>
      <c r="J125" s="101"/>
      <c r="K125" s="101"/>
      <c r="L125" s="10"/>
      <c r="M125" s="10"/>
      <c r="N125" s="10"/>
      <c r="O125" s="10"/>
      <c r="P125" s="101"/>
      <c r="Q125" s="88"/>
      <c r="R125" s="3">
        <f>IFERROR(VLOOKUP(TablaMayo[[#This Row],[BARRIO]],SECTOR!$A:$B,2,0),"")</f>
      </c>
      <c r="S125" s="104"/>
      <c r="T125" s="10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7"/>
      <c r="AZ125" s="30">
        <f>COUNTIF(U125:AY125,"A")</f>
      </c>
      <c r="BA125" s="32">
        <f>COUNTIF(U125:AY125,"F")</f>
      </c>
      <c r="BB125" s="118">
        <f>COUNTIF(U125:AY125,"E")</f>
      </c>
    </row>
    <row r="126" spans="1:54" x14ac:dyDescent="0.2">
      <c r="A126" s="84"/>
      <c r="B126" s="107"/>
      <c r="C126" s="85"/>
      <c r="D126" s="85"/>
      <c r="E126" s="86"/>
      <c r="F126" s="16">
        <f>IF(E126="","",DATEDIF(E126,$I$7,"Y"))</f>
      </c>
      <c r="G126" s="85"/>
      <c r="H126" s="85"/>
      <c r="I126" s="87"/>
      <c r="J126" s="85"/>
      <c r="K126" s="85"/>
      <c r="L126" s="10"/>
      <c r="M126" s="10"/>
      <c r="N126" s="10"/>
      <c r="O126" s="10"/>
      <c r="P126" s="85"/>
      <c r="Q126" s="88"/>
      <c r="R126" s="3">
        <f>IFERROR(VLOOKUP(TablaMayo[[#This Row],[BARRIO]],SECTOR!$A:$B,2,0),"")</f>
      </c>
      <c r="S126" s="89"/>
      <c r="T126" s="90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6"/>
      <c r="AZ126" s="30">
        <f>COUNTIF(U126:AY126,"A")</f>
      </c>
      <c r="BA126" s="32">
        <f>COUNTIF(U126:AY126,"F")</f>
      </c>
      <c r="BB126" s="119">
        <f>COUNTIF(U126:AY126,"E")</f>
      </c>
    </row>
    <row r="127" spans="1:54" x14ac:dyDescent="0.2">
      <c r="A127" s="84"/>
      <c r="B127" s="107"/>
      <c r="C127" s="85"/>
      <c r="D127" s="85"/>
      <c r="E127" s="86"/>
      <c r="F127" s="16">
        <f>IF(E127="","",DATEDIF(E127,$I$7,"Y"))</f>
      </c>
      <c r="G127" s="85"/>
      <c r="H127" s="85"/>
      <c r="I127" s="87"/>
      <c r="J127" s="85"/>
      <c r="K127" s="85"/>
      <c r="L127" s="10"/>
      <c r="M127" s="10"/>
      <c r="N127" s="10"/>
      <c r="O127" s="10"/>
      <c r="P127" s="85"/>
      <c r="Q127" s="88"/>
      <c r="R127" s="3">
        <f>IFERROR(VLOOKUP(TablaMayo[[#This Row],[BARRIO]],SECTOR!$A:$B,2,0),"")</f>
      </c>
      <c r="S127" s="89"/>
      <c r="T127" s="90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6"/>
      <c r="AZ127" s="120">
        <f>COUNTIF(U127:AY127,"A")</f>
      </c>
      <c r="BA127" s="121">
        <f>COUNTIF(U127:AY127,"F")</f>
      </c>
      <c r="BB127" s="119">
        <f>COUNTIF(U127:AY127,"E")</f>
      </c>
    </row>
    <row r="128" spans="1:54" x14ac:dyDescent="0.2">
      <c r="A128" s="84"/>
      <c r="B128" s="107"/>
      <c r="C128" s="85"/>
      <c r="D128" s="85"/>
      <c r="E128" s="86"/>
      <c r="F128" s="16">
        <f>IF(E128="","",DATEDIF(E128,$I$7,"Y"))</f>
      </c>
      <c r="G128" s="85"/>
      <c r="H128" s="85"/>
      <c r="I128" s="87"/>
      <c r="J128" s="85"/>
      <c r="K128" s="85"/>
      <c r="L128" s="10"/>
      <c r="M128" s="10"/>
      <c r="N128" s="10"/>
      <c r="O128" s="10"/>
      <c r="P128" s="85"/>
      <c r="Q128" s="88"/>
      <c r="R128" s="3">
        <f>IFERROR(VLOOKUP(TablaMayo[[#This Row],[BARRIO]],SECTOR!$A:$B,2,0),"")</f>
      </c>
      <c r="S128" s="89"/>
      <c r="T128" s="90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6"/>
      <c r="AZ128" s="120">
        <f>COUNTIF(U128:AY128,"A")</f>
      </c>
      <c r="BA128" s="121">
        <f>COUNTIF(U128:AY128,"F")</f>
      </c>
      <c r="BB128" s="119">
        <f>COUNTIF(U128:AY128,"E")</f>
      </c>
    </row>
    <row r="129" spans="1:54" x14ac:dyDescent="0.2">
      <c r="A129" s="84"/>
      <c r="B129" s="107"/>
      <c r="C129" s="85"/>
      <c r="D129" s="85"/>
      <c r="E129" s="86"/>
      <c r="F129" s="16">
        <f>IF(E129="","",DATEDIF(E129,$I$7,"Y"))</f>
      </c>
      <c r="G129" s="85"/>
      <c r="H129" s="85"/>
      <c r="I129" s="87"/>
      <c r="J129" s="85"/>
      <c r="K129" s="85"/>
      <c r="L129" s="10"/>
      <c r="M129" s="10"/>
      <c r="N129" s="10"/>
      <c r="O129" s="10"/>
      <c r="P129" s="85"/>
      <c r="Q129" s="88"/>
      <c r="R129" s="3">
        <f>IFERROR(VLOOKUP(TablaMayo[[#This Row],[BARRIO]],SECTOR!$A:$B,2,0),"")</f>
      </c>
      <c r="S129" s="89"/>
      <c r="T129" s="90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6"/>
      <c r="AZ129" s="120">
        <f>COUNTIF(U129:AY129,"A")</f>
      </c>
      <c r="BA129" s="121">
        <f>COUNTIF(U129:AY129,"F")</f>
      </c>
      <c r="BB129" s="119">
        <f>COUNTIF(U129:AY129,"E")</f>
      </c>
    </row>
    <row r="130" spans="1:54" x14ac:dyDescent="0.2">
      <c r="A130" s="84"/>
      <c r="B130" s="107"/>
      <c r="C130" s="85"/>
      <c r="D130" s="85"/>
      <c r="E130" s="86"/>
      <c r="F130" s="16">
        <f>IF(E130="","",DATEDIF(E130,$I$7,"Y"))</f>
      </c>
      <c r="G130" s="85"/>
      <c r="H130" s="85"/>
      <c r="I130" s="87"/>
      <c r="J130" s="85"/>
      <c r="K130" s="85"/>
      <c r="L130" s="10"/>
      <c r="M130" s="10"/>
      <c r="N130" s="10"/>
      <c r="O130" s="10"/>
      <c r="P130" s="85"/>
      <c r="Q130" s="88"/>
      <c r="R130" s="3">
        <f>IFERROR(VLOOKUP(TablaMayo[[#This Row],[BARRIO]],SECTOR!$A:$B,2,0),"")</f>
      </c>
      <c r="S130" s="89"/>
      <c r="T130" s="90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6"/>
      <c r="AZ130" s="120">
        <f>COUNTIF(U130:AY130,"A")</f>
      </c>
      <c r="BA130" s="121">
        <f>COUNTIF(U130:AY130,"F")</f>
      </c>
      <c r="BB130" s="119">
        <f>COUNTIF(U130:AY130,"E")</f>
      </c>
    </row>
    <row r="131" spans="1:54" x14ac:dyDescent="0.2">
      <c r="A131" s="84"/>
      <c r="B131" s="107"/>
      <c r="C131" s="85"/>
      <c r="D131" s="85"/>
      <c r="E131" s="86"/>
      <c r="F131" s="16">
        <f>IF(E131="","",DATEDIF(E131,$I$7,"Y"))</f>
      </c>
      <c r="G131" s="85"/>
      <c r="H131" s="85"/>
      <c r="I131" s="87"/>
      <c r="J131" s="85"/>
      <c r="K131" s="85"/>
      <c r="L131" s="10"/>
      <c r="M131" s="10"/>
      <c r="N131" s="10"/>
      <c r="O131" s="10"/>
      <c r="P131" s="85"/>
      <c r="Q131" s="88"/>
      <c r="R131" s="3">
        <f>IFERROR(VLOOKUP(TablaMayo[[#This Row],[BARRIO]],SECTOR!$A:$B,2,0),"")</f>
      </c>
      <c r="S131" s="89"/>
      <c r="T131" s="90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6"/>
      <c r="AZ131" s="120">
        <f>COUNTIF(U131:AY131,"A")</f>
      </c>
      <c r="BA131" s="121">
        <f>COUNTIF(U131:AY131,"F")</f>
      </c>
      <c r="BB131" s="119">
        <f>COUNTIF(U131:AY131,"E")</f>
      </c>
    </row>
    <row r="132" spans="1:54" x14ac:dyDescent="0.2">
      <c r="A132" s="84"/>
      <c r="B132" s="107"/>
      <c r="C132" s="85"/>
      <c r="D132" s="85"/>
      <c r="E132" s="86"/>
      <c r="F132" s="16">
        <f>IF(E132="","",DATEDIF(E132,$I$7,"Y"))</f>
      </c>
      <c r="G132" s="85"/>
      <c r="H132" s="85"/>
      <c r="I132" s="87"/>
      <c r="J132" s="85"/>
      <c r="K132" s="85"/>
      <c r="L132" s="10"/>
      <c r="M132" s="10"/>
      <c r="N132" s="10"/>
      <c r="O132" s="10"/>
      <c r="P132" s="85"/>
      <c r="Q132" s="88"/>
      <c r="R132" s="3">
        <f>IFERROR(VLOOKUP(TablaMayo[[#This Row],[BARRIO]],SECTOR!$A:$B,2,0),"")</f>
      </c>
      <c r="S132" s="89"/>
      <c r="T132" s="90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6"/>
      <c r="AZ132" s="120">
        <f>COUNTIF(U132:AY132,"A")</f>
      </c>
      <c r="BA132" s="121">
        <f>COUNTIF(U132:AY132,"F")</f>
      </c>
      <c r="BB132" s="119">
        <f>COUNTIF(U132:AY132,"E")</f>
      </c>
    </row>
    <row r="133" spans="1:54" x14ac:dyDescent="0.2">
      <c r="A133" s="84"/>
      <c r="B133" s="107"/>
      <c r="C133" s="85"/>
      <c r="D133" s="85"/>
      <c r="E133" s="86"/>
      <c r="F133" s="16">
        <f>IF(E133="","",DATEDIF(E133,$I$7,"Y"))</f>
      </c>
      <c r="G133" s="85"/>
      <c r="H133" s="85"/>
      <c r="I133" s="87"/>
      <c r="J133" s="85"/>
      <c r="K133" s="85"/>
      <c r="L133" s="10"/>
      <c r="M133" s="10"/>
      <c r="N133" s="10"/>
      <c r="O133" s="10"/>
      <c r="P133" s="85"/>
      <c r="Q133" s="88"/>
      <c r="R133" s="3">
        <f>IFERROR(VLOOKUP(TablaMayo[[#This Row],[BARRIO]],SECTOR!$A:$B,2,0),"")</f>
      </c>
      <c r="S133" s="89"/>
      <c r="T133" s="90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6"/>
      <c r="AZ133" s="120">
        <f>COUNTIF(U133:AY133,"A")</f>
      </c>
      <c r="BA133" s="121">
        <f>COUNTIF(U133:AY133,"F")</f>
      </c>
      <c r="BB133" s="119">
        <f>COUNTIF(U133:AY133,"E")</f>
      </c>
    </row>
    <row r="134" spans="1:54" x14ac:dyDescent="0.2">
      <c r="A134" s="84"/>
      <c r="B134" s="107"/>
      <c r="C134" s="85"/>
      <c r="D134" s="85"/>
      <c r="E134" s="86"/>
      <c r="F134" s="16">
        <f>IF(E134="","",DATEDIF(E134,$I$7,"Y"))</f>
      </c>
      <c r="G134" s="85"/>
      <c r="H134" s="85"/>
      <c r="I134" s="87"/>
      <c r="J134" s="85"/>
      <c r="K134" s="85"/>
      <c r="L134" s="10"/>
      <c r="M134" s="10"/>
      <c r="N134" s="10"/>
      <c r="O134" s="10"/>
      <c r="P134" s="85"/>
      <c r="Q134" s="88"/>
      <c r="R134" s="3">
        <f>IFERROR(VLOOKUP(TablaMayo[[#This Row],[BARRIO]],SECTOR!$A:$B,2,0),"")</f>
      </c>
      <c r="S134" s="89"/>
      <c r="T134" s="90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6"/>
      <c r="AZ134" s="120">
        <f>COUNTIF(U134:AY134,"A")</f>
      </c>
      <c r="BA134" s="121">
        <f>COUNTIF(U134:AY134,"F")</f>
      </c>
      <c r="BB134" s="119">
        <f>COUNTIF(U134:AY134,"E")</f>
      </c>
    </row>
    <row r="135" spans="1:54" x14ac:dyDescent="0.2">
      <c r="A135" s="84"/>
      <c r="B135" s="107"/>
      <c r="C135" s="85"/>
      <c r="D135" s="85"/>
      <c r="E135" s="86"/>
      <c r="F135" s="16">
        <f>IF(E135="","",DATEDIF(E135,$I$7,"Y"))</f>
      </c>
      <c r="G135" s="85"/>
      <c r="H135" s="85"/>
      <c r="I135" s="87"/>
      <c r="J135" s="85"/>
      <c r="K135" s="85"/>
      <c r="L135" s="10"/>
      <c r="M135" s="10"/>
      <c r="N135" s="10"/>
      <c r="O135" s="10"/>
      <c r="P135" s="85"/>
      <c r="Q135" s="88"/>
      <c r="R135" s="3">
        <f>IFERROR(VLOOKUP(TablaMayo[[#This Row],[BARRIO]],SECTOR!$A:$B,2,0),"")</f>
      </c>
      <c r="S135" s="89"/>
      <c r="T135" s="90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6"/>
      <c r="AZ135" s="120">
        <f>COUNTIF(U135:AY135,"A")</f>
      </c>
      <c r="BA135" s="121">
        <f>COUNTIF(U135:AY135,"F")</f>
      </c>
      <c r="BB135" s="119">
        <f>COUNTIF(U135:AY135,"E")</f>
      </c>
    </row>
    <row r="136" spans="1:54" x14ac:dyDescent="0.2">
      <c r="A136" s="84"/>
      <c r="B136" s="107"/>
      <c r="C136" s="85"/>
      <c r="D136" s="85"/>
      <c r="E136" s="86"/>
      <c r="F136" s="16">
        <f>IF(E136="","",DATEDIF(E136,$I$7,"Y"))</f>
      </c>
      <c r="G136" s="85"/>
      <c r="H136" s="85"/>
      <c r="I136" s="87"/>
      <c r="J136" s="85"/>
      <c r="K136" s="85"/>
      <c r="L136" s="10"/>
      <c r="M136" s="10"/>
      <c r="N136" s="10"/>
      <c r="O136" s="10"/>
      <c r="P136" s="85"/>
      <c r="Q136" s="88"/>
      <c r="R136" s="3">
        <f>IFERROR(VLOOKUP(TablaMayo[[#This Row],[BARRIO]],SECTOR!$A:$B,2,0),"")</f>
      </c>
      <c r="S136" s="89"/>
      <c r="T136" s="90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6"/>
      <c r="AZ136" s="120">
        <f>COUNTIF(U136:AY136,"A")</f>
      </c>
      <c r="BA136" s="121">
        <f>COUNTIF(U136:AY136,"F")</f>
      </c>
      <c r="BB136" s="119">
        <f>COUNTIF(U136:AY136,"E")</f>
      </c>
    </row>
    <row r="137" spans="1:54" x14ac:dyDescent="0.2">
      <c r="A137" s="84"/>
      <c r="B137" s="107"/>
      <c r="C137" s="85"/>
      <c r="D137" s="85"/>
      <c r="E137" s="86"/>
      <c r="F137" s="16">
        <f>IF(E137="","",DATEDIF(E137,$I$7,"Y"))</f>
      </c>
      <c r="G137" s="85"/>
      <c r="H137" s="85"/>
      <c r="I137" s="87"/>
      <c r="J137" s="85"/>
      <c r="K137" s="85"/>
      <c r="L137" s="10"/>
      <c r="M137" s="10"/>
      <c r="N137" s="10"/>
      <c r="O137" s="10"/>
      <c r="P137" s="85"/>
      <c r="Q137" s="88"/>
      <c r="R137" s="3">
        <f>IFERROR(VLOOKUP(TablaMayo[[#This Row],[BARRIO]],SECTOR!$A:$B,2,0),"")</f>
      </c>
      <c r="S137" s="89"/>
      <c r="T137" s="90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6"/>
      <c r="AZ137" s="120">
        <f>COUNTIF(U137:AY137,"A")</f>
      </c>
      <c r="BA137" s="121">
        <f>COUNTIF(U137:AY137,"F")</f>
      </c>
      <c r="BB137" s="119">
        <f>COUNTIF(U137:AY137,"E")</f>
      </c>
    </row>
    <row r="138" spans="1:54" x14ac:dyDescent="0.2">
      <c r="A138" s="84"/>
      <c r="B138" s="107"/>
      <c r="C138" s="85"/>
      <c r="D138" s="85"/>
      <c r="E138" s="86"/>
      <c r="F138" s="16">
        <f>IF(E138="","",DATEDIF(E138,$I$7,"Y"))</f>
      </c>
      <c r="G138" s="85"/>
      <c r="H138" s="85"/>
      <c r="I138" s="87"/>
      <c r="J138" s="85"/>
      <c r="K138" s="85"/>
      <c r="L138" s="10"/>
      <c r="M138" s="10"/>
      <c r="N138" s="10"/>
      <c r="O138" s="10"/>
      <c r="P138" s="85"/>
      <c r="Q138" s="88"/>
      <c r="R138" s="3">
        <f>IFERROR(VLOOKUP(TablaMayo[[#This Row],[BARRIO]],SECTOR!$A:$B,2,0),"")</f>
      </c>
      <c r="S138" s="89"/>
      <c r="T138" s="90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6"/>
      <c r="AZ138" s="120">
        <f>COUNTIF(U138:AY138,"A")</f>
      </c>
      <c r="BA138" s="121">
        <f>COUNTIF(U138:AY138,"F")</f>
      </c>
      <c r="BB138" s="119">
        <f>COUNTIF(U138:AY138,"E")</f>
      </c>
    </row>
    <row r="139" spans="1:54" x14ac:dyDescent="0.2">
      <c r="A139" s="84"/>
      <c r="B139" s="107"/>
      <c r="C139" s="85"/>
      <c r="D139" s="85"/>
      <c r="E139" s="86"/>
      <c r="F139" s="16">
        <f>IF(E139="","",DATEDIF(E139,$I$7,"Y"))</f>
      </c>
      <c r="G139" s="85"/>
      <c r="H139" s="85"/>
      <c r="I139" s="87"/>
      <c r="J139" s="85"/>
      <c r="K139" s="85"/>
      <c r="L139" s="10"/>
      <c r="M139" s="10"/>
      <c r="N139" s="10"/>
      <c r="O139" s="10"/>
      <c r="P139" s="85"/>
      <c r="Q139" s="88"/>
      <c r="R139" s="3">
        <f>IFERROR(VLOOKUP(TablaMayo[[#This Row],[BARRIO]],SECTOR!$A:$B,2,0),"")</f>
      </c>
      <c r="S139" s="89"/>
      <c r="T139" s="90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6"/>
      <c r="AZ139" s="120">
        <f>COUNTIF(U139:AY139,"A")</f>
      </c>
      <c r="BA139" s="121">
        <f>COUNTIF(U139:AY139,"F")</f>
      </c>
      <c r="BB139" s="119">
        <f>COUNTIF(U139:AY139,"E")</f>
      </c>
    </row>
    <row r="140" spans="1:54" x14ac:dyDescent="0.2">
      <c r="A140" s="84"/>
      <c r="B140" s="107"/>
      <c r="C140" s="85"/>
      <c r="D140" s="85"/>
      <c r="E140" s="86"/>
      <c r="F140" s="16">
        <f>IF(E140="","",DATEDIF(E140,$I$7,"Y"))</f>
      </c>
      <c r="G140" s="85"/>
      <c r="H140" s="85"/>
      <c r="I140" s="87"/>
      <c r="J140" s="85"/>
      <c r="K140" s="85"/>
      <c r="L140" s="10"/>
      <c r="M140" s="10"/>
      <c r="N140" s="10"/>
      <c r="O140" s="10"/>
      <c r="P140" s="85"/>
      <c r="Q140" s="88"/>
      <c r="R140" s="3">
        <f>IFERROR(VLOOKUP(TablaMayo[[#This Row],[BARRIO]],SECTOR!$A:$B,2,0),"")</f>
      </c>
      <c r="S140" s="89"/>
      <c r="T140" s="90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6"/>
      <c r="AZ140" s="120">
        <f>COUNTIF(U140:AY140,"A")</f>
      </c>
      <c r="BA140" s="121">
        <f>COUNTIF(U140:AY140,"F")</f>
      </c>
      <c r="BB140" s="119">
        <f>COUNTIF(U140:AY140,"E")</f>
      </c>
    </row>
    <row r="141" spans="1:54" x14ac:dyDescent="0.2">
      <c r="A141" s="84"/>
      <c r="B141" s="107"/>
      <c r="C141" s="85"/>
      <c r="D141" s="85"/>
      <c r="E141" s="86"/>
      <c r="F141" s="16">
        <f>IF(E141="","",DATEDIF(E141,$I$7,"Y"))</f>
      </c>
      <c r="G141" s="85"/>
      <c r="H141" s="85"/>
      <c r="I141" s="87"/>
      <c r="J141" s="85"/>
      <c r="K141" s="85"/>
      <c r="L141" s="10"/>
      <c r="M141" s="10"/>
      <c r="N141" s="10"/>
      <c r="O141" s="10"/>
      <c r="P141" s="85"/>
      <c r="Q141" s="88"/>
      <c r="R141" s="3">
        <f>IFERROR(VLOOKUP(TablaMayo[[#This Row],[BARRIO]],SECTOR!$A:$B,2,0),"")</f>
      </c>
      <c r="S141" s="89"/>
      <c r="T141" s="90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6"/>
      <c r="AZ141" s="120">
        <f>COUNTIF(U141:AY141,"A")</f>
      </c>
      <c r="BA141" s="121">
        <f>COUNTIF(U141:AY141,"F")</f>
      </c>
      <c r="BB141" s="119">
        <f>COUNTIF(U141:AY141,"E")</f>
      </c>
    </row>
    <row r="142" spans="1:54" x14ac:dyDescent="0.2">
      <c r="A142" s="84"/>
      <c r="B142" s="107"/>
      <c r="C142" s="85"/>
      <c r="D142" s="85"/>
      <c r="E142" s="86"/>
      <c r="F142" s="16">
        <f>IF(E142="","",DATEDIF(E142,$I$7,"Y"))</f>
      </c>
      <c r="G142" s="85"/>
      <c r="H142" s="85"/>
      <c r="I142" s="87"/>
      <c r="J142" s="85"/>
      <c r="K142" s="85"/>
      <c r="L142" s="10"/>
      <c r="M142" s="10"/>
      <c r="N142" s="10"/>
      <c r="O142" s="10"/>
      <c r="P142" s="85"/>
      <c r="Q142" s="88"/>
      <c r="R142" s="3">
        <f>IFERROR(VLOOKUP(TablaMayo[[#This Row],[BARRIO]],SECTOR!$A:$B,2,0),"")</f>
      </c>
      <c r="S142" s="89"/>
      <c r="T142" s="90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6"/>
      <c r="AZ142" s="120">
        <f>COUNTIF(U142:AY142,"A")</f>
      </c>
      <c r="BA142" s="121">
        <f>COUNTIF(U142:AY142,"F")</f>
      </c>
      <c r="BB142" s="119">
        <f>COUNTIF(U142:AY142,"E")</f>
      </c>
    </row>
    <row r="143" spans="1:54" x14ac:dyDescent="0.2">
      <c r="A143" s="84"/>
      <c r="B143" s="107"/>
      <c r="C143" s="85"/>
      <c r="D143" s="85"/>
      <c r="E143" s="86"/>
      <c r="F143" s="16">
        <f>IF(E143="","",DATEDIF(E143,$I$7,"Y"))</f>
      </c>
      <c r="G143" s="85"/>
      <c r="H143" s="85"/>
      <c r="I143" s="87"/>
      <c r="J143" s="85"/>
      <c r="K143" s="85"/>
      <c r="L143" s="10"/>
      <c r="M143" s="10"/>
      <c r="N143" s="10"/>
      <c r="O143" s="10"/>
      <c r="P143" s="85"/>
      <c r="Q143" s="88"/>
      <c r="R143" s="3">
        <f>IFERROR(VLOOKUP(TablaMayo[[#This Row],[BARRIO]],SECTOR!$A:$B,2,0),"")</f>
      </c>
      <c r="S143" s="89"/>
      <c r="T143" s="90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6"/>
      <c r="AZ143" s="120">
        <f>COUNTIF(U143:AY143,"A")</f>
      </c>
      <c r="BA143" s="121">
        <f>COUNTIF(U143:AY143,"F")</f>
      </c>
      <c r="BB143" s="119">
        <f>COUNTIF(U143:AY143,"E")</f>
      </c>
    </row>
    <row r="144" spans="1:54" x14ac:dyDescent="0.2">
      <c r="A144" s="84"/>
      <c r="B144" s="107"/>
      <c r="C144" s="85"/>
      <c r="D144" s="85"/>
      <c r="E144" s="86"/>
      <c r="F144" s="16">
        <f>IF(E144="","",DATEDIF(E144,$I$7,"Y"))</f>
      </c>
      <c r="G144" s="85"/>
      <c r="H144" s="85"/>
      <c r="I144" s="87"/>
      <c r="J144" s="85"/>
      <c r="K144" s="85"/>
      <c r="L144" s="10"/>
      <c r="M144" s="10"/>
      <c r="N144" s="10"/>
      <c r="O144" s="10"/>
      <c r="P144" s="85"/>
      <c r="Q144" s="88"/>
      <c r="R144" s="3">
        <f>IFERROR(VLOOKUP(TablaMayo[[#This Row],[BARRIO]],SECTOR!$A:$B,2,0),"")</f>
      </c>
      <c r="S144" s="89"/>
      <c r="T144" s="90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6"/>
      <c r="AZ144" s="120">
        <f>COUNTIF(U144:AY144,"A")</f>
      </c>
      <c r="BA144" s="121">
        <f>COUNTIF(U144:AY144,"F")</f>
      </c>
      <c r="BB144" s="119">
        <f>COUNTIF(U144:AY144,"E")</f>
      </c>
    </row>
    <row r="145" spans="1:54" x14ac:dyDescent="0.2">
      <c r="A145" s="84"/>
      <c r="B145" s="107"/>
      <c r="C145" s="85"/>
      <c r="D145" s="85"/>
      <c r="E145" s="86"/>
      <c r="F145" s="16">
        <f>IF(E145="","",DATEDIF(E145,$I$7,"Y"))</f>
      </c>
      <c r="G145" s="85"/>
      <c r="H145" s="85"/>
      <c r="I145" s="87"/>
      <c r="J145" s="85"/>
      <c r="K145" s="85"/>
      <c r="L145" s="10"/>
      <c r="M145" s="10"/>
      <c r="N145" s="10"/>
      <c r="O145" s="10"/>
      <c r="P145" s="85"/>
      <c r="Q145" s="88"/>
      <c r="R145" s="3">
        <f>IFERROR(VLOOKUP(TablaMayo[[#This Row],[BARRIO]],SECTOR!$A:$B,2,0),"")</f>
      </c>
      <c r="S145" s="89"/>
      <c r="T145" s="90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6"/>
      <c r="AZ145" s="120">
        <f>COUNTIF(U145:AY145,"A")</f>
      </c>
      <c r="BA145" s="121">
        <f>COUNTIF(U145:AY145,"F")</f>
      </c>
      <c r="BB145" s="119">
        <f>COUNTIF(U145:AY145,"E")</f>
      </c>
    </row>
    <row r="146" spans="1:54" x14ac:dyDescent="0.2">
      <c r="A146" s="84"/>
      <c r="B146" s="107"/>
      <c r="C146" s="85"/>
      <c r="D146" s="85"/>
      <c r="E146" s="86"/>
      <c r="F146" s="16">
        <f>IF(E146="","",DATEDIF(E146,$I$7,"Y"))</f>
      </c>
      <c r="G146" s="85"/>
      <c r="H146" s="85"/>
      <c r="I146" s="87"/>
      <c r="J146" s="85"/>
      <c r="K146" s="85"/>
      <c r="L146" s="10"/>
      <c r="M146" s="10"/>
      <c r="N146" s="10"/>
      <c r="O146" s="10"/>
      <c r="P146" s="85"/>
      <c r="Q146" s="88"/>
      <c r="R146" s="3">
        <f>IFERROR(VLOOKUP(TablaMayo[[#This Row],[BARRIO]],SECTOR!$A:$B,2,0),"")</f>
      </c>
      <c r="S146" s="89"/>
      <c r="T146" s="90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6"/>
      <c r="AZ146" s="120">
        <f>COUNTIF(U146:AY146,"A")</f>
      </c>
      <c r="BA146" s="121">
        <f>COUNTIF(U146:AY146,"F")</f>
      </c>
      <c r="BB146" s="119">
        <f>COUNTIF(U146:AY146,"E")</f>
      </c>
    </row>
    <row r="147" spans="1:54" x14ac:dyDescent="0.2">
      <c r="A147" s="84"/>
      <c r="B147" s="107"/>
      <c r="C147" s="85"/>
      <c r="D147" s="85"/>
      <c r="E147" s="86"/>
      <c r="F147" s="16">
        <f>IF(E147="","",DATEDIF(E147,$I$7,"Y"))</f>
      </c>
      <c r="G147" s="85"/>
      <c r="H147" s="85"/>
      <c r="I147" s="87"/>
      <c r="J147" s="85"/>
      <c r="K147" s="85"/>
      <c r="L147" s="10"/>
      <c r="M147" s="10"/>
      <c r="N147" s="10"/>
      <c r="O147" s="10"/>
      <c r="P147" s="85"/>
      <c r="Q147" s="88"/>
      <c r="R147" s="3">
        <f>IFERROR(VLOOKUP(TablaMayo[[#This Row],[BARRIO]],SECTOR!$A:$B,2,0),"")</f>
      </c>
      <c r="S147" s="89"/>
      <c r="T147" s="90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6"/>
      <c r="AZ147" s="120">
        <f>COUNTIF(U147:AY147,"A")</f>
      </c>
      <c r="BA147" s="121">
        <f>COUNTIF(U147:AY147,"F")</f>
      </c>
      <c r="BB147" s="119">
        <f>COUNTIF(U147:AY147,"E")</f>
      </c>
    </row>
    <row r="148" spans="1:54" x14ac:dyDescent="0.2">
      <c r="A148" s="84"/>
      <c r="B148" s="107"/>
      <c r="C148" s="85"/>
      <c r="D148" s="85"/>
      <c r="E148" s="86"/>
      <c r="F148" s="16">
        <f>IF(E148="","",DATEDIF(E148,$I$7,"Y"))</f>
      </c>
      <c r="G148" s="85"/>
      <c r="H148" s="85"/>
      <c r="I148" s="87"/>
      <c r="J148" s="85"/>
      <c r="K148" s="85"/>
      <c r="L148" s="10"/>
      <c r="M148" s="10"/>
      <c r="N148" s="10"/>
      <c r="O148" s="10"/>
      <c r="P148" s="85"/>
      <c r="Q148" s="88"/>
      <c r="R148" s="3">
        <f>IFERROR(VLOOKUP(TablaMayo[[#This Row],[BARRIO]],SECTOR!$A:$B,2,0),"")</f>
      </c>
      <c r="S148" s="89"/>
      <c r="T148" s="90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6"/>
      <c r="AZ148" s="120">
        <f>COUNTIF(U148:AY148,"A")</f>
      </c>
      <c r="BA148" s="121">
        <f>COUNTIF(U148:AY148,"F")</f>
      </c>
      <c r="BB148" s="119">
        <f>COUNTIF(U148:AY148,"E")</f>
      </c>
    </row>
    <row r="149" spans="1:54" x14ac:dyDescent="0.2">
      <c r="A149" s="84"/>
      <c r="B149" s="107"/>
      <c r="C149" s="85"/>
      <c r="D149" s="85"/>
      <c r="E149" s="86"/>
      <c r="F149" s="16">
        <f>IF(E149="","",DATEDIF(E149,$I$7,"Y"))</f>
      </c>
      <c r="G149" s="85"/>
      <c r="H149" s="85"/>
      <c r="I149" s="87"/>
      <c r="J149" s="85"/>
      <c r="K149" s="85"/>
      <c r="L149" s="10"/>
      <c r="M149" s="10"/>
      <c r="N149" s="10"/>
      <c r="O149" s="10"/>
      <c r="P149" s="85"/>
      <c r="Q149" s="88"/>
      <c r="R149" s="3">
        <f>IFERROR(VLOOKUP(TablaMayo[[#This Row],[BARRIO]],SECTOR!$A:$B,2,0),"")</f>
      </c>
      <c r="S149" s="89"/>
      <c r="T149" s="90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6"/>
      <c r="AZ149" s="120">
        <f>COUNTIF(U149:AY149,"A")</f>
      </c>
      <c r="BA149" s="121">
        <f>COUNTIF(U149:AY149,"F")</f>
      </c>
      <c r="BB149" s="119">
        <f>COUNTIF(U149:AY149,"E")</f>
      </c>
    </row>
    <row r="150" spans="1:54" x14ac:dyDescent="0.2">
      <c r="A150" s="84"/>
      <c r="B150" s="107"/>
      <c r="C150" s="85"/>
      <c r="D150" s="85"/>
      <c r="E150" s="86"/>
      <c r="F150" s="16">
        <f>IF(E150="","",DATEDIF(E150,$I$7,"Y"))</f>
      </c>
      <c r="G150" s="85"/>
      <c r="H150" s="85"/>
      <c r="I150" s="87"/>
      <c r="J150" s="85"/>
      <c r="K150" s="85"/>
      <c r="L150" s="10"/>
      <c r="M150" s="10"/>
      <c r="N150" s="10"/>
      <c r="O150" s="10"/>
      <c r="P150" s="85"/>
      <c r="Q150" s="88"/>
      <c r="R150" s="3">
        <f>IFERROR(VLOOKUP(TablaMayo[[#This Row],[BARRIO]],SECTOR!$A:$B,2,0),"")</f>
      </c>
      <c r="S150" s="89"/>
      <c r="T150" s="90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6"/>
      <c r="AZ150" s="120">
        <f>COUNTIF(U150:AY150,"A")</f>
      </c>
      <c r="BA150" s="121">
        <f>COUNTIF(U150:AY150,"F")</f>
      </c>
      <c r="BB150" s="119">
        <f>COUNTIF(U150:AY150,"E")</f>
      </c>
    </row>
    <row r="151" spans="1:54" x14ac:dyDescent="0.2">
      <c r="A151" s="84"/>
      <c r="B151" s="107"/>
      <c r="C151" s="85"/>
      <c r="D151" s="85"/>
      <c r="E151" s="86"/>
      <c r="F151" s="16">
        <f>IF(E151="","",DATEDIF(E151,$I$7,"Y"))</f>
      </c>
      <c r="G151" s="85"/>
      <c r="H151" s="85"/>
      <c r="I151" s="87"/>
      <c r="J151" s="85"/>
      <c r="K151" s="85"/>
      <c r="L151" s="10"/>
      <c r="M151" s="10"/>
      <c r="N151" s="10"/>
      <c r="O151" s="10"/>
      <c r="P151" s="85"/>
      <c r="Q151" s="88"/>
      <c r="R151" s="3">
        <f>IFERROR(VLOOKUP(TablaMayo[[#This Row],[BARRIO]],SECTOR!$A:$B,2,0),"")</f>
      </c>
      <c r="S151" s="89"/>
      <c r="T151" s="90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6"/>
      <c r="AZ151" s="120">
        <f>COUNTIF(U151:AY151,"A")</f>
      </c>
      <c r="BA151" s="121">
        <f>COUNTIF(U151:AY151,"F")</f>
      </c>
      <c r="BB151" s="119">
        <f>COUNTIF(U151:AY151,"E")</f>
      </c>
    </row>
    <row r="152" spans="1:54" x14ac:dyDescent="0.2">
      <c r="A152" s="84"/>
      <c r="B152" s="107"/>
      <c r="C152" s="85"/>
      <c r="D152" s="85"/>
      <c r="E152" s="86"/>
      <c r="F152" s="16">
        <f>IF(E152="","",DATEDIF(E152,$I$7,"Y"))</f>
      </c>
      <c r="G152" s="85"/>
      <c r="H152" s="85"/>
      <c r="I152" s="87"/>
      <c r="J152" s="85"/>
      <c r="K152" s="85"/>
      <c r="L152" s="10"/>
      <c r="M152" s="10"/>
      <c r="N152" s="10"/>
      <c r="O152" s="10"/>
      <c r="P152" s="85"/>
      <c r="Q152" s="88"/>
      <c r="R152" s="3">
        <f>IFERROR(VLOOKUP(TablaMayo[[#This Row],[BARRIO]],SECTOR!$A:$B,2,0),"")</f>
      </c>
      <c r="S152" s="89"/>
      <c r="T152" s="90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6"/>
      <c r="AZ152" s="120">
        <f>COUNTIF(U152:AY152,"A")</f>
      </c>
      <c r="BA152" s="121">
        <f>COUNTIF(U152:AY152,"F")</f>
      </c>
      <c r="BB152" s="119">
        <f>COUNTIF(U152:AY152,"E")</f>
      </c>
    </row>
    <row r="153" spans="1:54" x14ac:dyDescent="0.2">
      <c r="A153" s="84"/>
      <c r="B153" s="107"/>
      <c r="C153" s="85"/>
      <c r="D153" s="85"/>
      <c r="E153" s="86"/>
      <c r="F153" s="16">
        <f>IF(E153="","",DATEDIF(E153,$I$7,"Y"))</f>
      </c>
      <c r="G153" s="85"/>
      <c r="H153" s="85"/>
      <c r="I153" s="87"/>
      <c r="J153" s="85"/>
      <c r="K153" s="85"/>
      <c r="L153" s="10"/>
      <c r="M153" s="10"/>
      <c r="N153" s="10"/>
      <c r="O153" s="10"/>
      <c r="P153" s="85"/>
      <c r="Q153" s="88"/>
      <c r="R153" s="3">
        <f>IFERROR(VLOOKUP(TablaMayo[[#This Row],[BARRIO]],SECTOR!$A:$B,2,0),"")</f>
      </c>
      <c r="S153" s="89"/>
      <c r="T153" s="90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6"/>
      <c r="AZ153" s="120">
        <f>COUNTIF(U153:AY153,"A")</f>
      </c>
      <c r="BA153" s="121">
        <f>COUNTIF(U153:AY153,"F")</f>
      </c>
      <c r="BB153" s="119">
        <f>COUNTIF(U153:AY153,"E")</f>
      </c>
    </row>
    <row r="154" spans="1:54" x14ac:dyDescent="0.2">
      <c r="A154" s="84"/>
      <c r="B154" s="107"/>
      <c r="C154" s="85"/>
      <c r="D154" s="85"/>
      <c r="E154" s="86"/>
      <c r="F154" s="16">
        <f>IF(E154="","",DATEDIF(E154,$I$7,"Y"))</f>
      </c>
      <c r="G154" s="85"/>
      <c r="H154" s="85"/>
      <c r="I154" s="87"/>
      <c r="J154" s="85"/>
      <c r="K154" s="85"/>
      <c r="L154" s="10"/>
      <c r="M154" s="10"/>
      <c r="N154" s="10"/>
      <c r="O154" s="10"/>
      <c r="P154" s="85"/>
      <c r="Q154" s="88"/>
      <c r="R154" s="3">
        <f>IFERROR(VLOOKUP(TablaMayo[[#This Row],[BARRIO]],SECTOR!$A:$B,2,0),"")</f>
      </c>
      <c r="S154" s="89"/>
      <c r="T154" s="90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6"/>
      <c r="AZ154" s="120">
        <f>COUNTIF(U154:AY154,"A")</f>
      </c>
      <c r="BA154" s="121">
        <f>COUNTIF(U154:AY154,"F")</f>
      </c>
      <c r="BB154" s="119">
        <f>COUNTIF(U154:AY154,"E")</f>
      </c>
    </row>
    <row r="155" spans="1:54" x14ac:dyDescent="0.2">
      <c r="A155" s="84"/>
      <c r="B155" s="107"/>
      <c r="C155" s="85"/>
      <c r="D155" s="85"/>
      <c r="E155" s="86"/>
      <c r="F155" s="16">
        <f>IF(E155="","",DATEDIF(E155,$I$7,"Y"))</f>
      </c>
      <c r="G155" s="85"/>
      <c r="H155" s="85"/>
      <c r="I155" s="87"/>
      <c r="J155" s="85"/>
      <c r="K155" s="85"/>
      <c r="L155" s="10"/>
      <c r="M155" s="10"/>
      <c r="N155" s="10"/>
      <c r="O155" s="10"/>
      <c r="P155" s="85"/>
      <c r="Q155" s="88"/>
      <c r="R155" s="3">
        <f>IFERROR(VLOOKUP(TablaMayo[[#This Row],[BARRIO]],SECTOR!$A:$B,2,0),"")</f>
      </c>
      <c r="S155" s="89"/>
      <c r="T155" s="90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6"/>
      <c r="AZ155" s="120">
        <f>COUNTIF(U155:AY155,"A")</f>
      </c>
      <c r="BA155" s="121">
        <f>COUNTIF(U155:AY155,"F")</f>
      </c>
      <c r="BB155" s="119">
        <f>COUNTIF(U155:AY155,"E")</f>
      </c>
    </row>
    <row r="156" spans="1:54" x14ac:dyDescent="0.2">
      <c r="A156" s="84"/>
      <c r="B156" s="107"/>
      <c r="C156" s="85"/>
      <c r="D156" s="85"/>
      <c r="E156" s="86"/>
      <c r="F156" s="16">
        <f>IF(E156="","",DATEDIF(E156,$I$7,"Y"))</f>
      </c>
      <c r="G156" s="85"/>
      <c r="H156" s="85"/>
      <c r="I156" s="87"/>
      <c r="J156" s="85"/>
      <c r="K156" s="85"/>
      <c r="L156" s="10"/>
      <c r="M156" s="10"/>
      <c r="N156" s="10"/>
      <c r="O156" s="10"/>
      <c r="P156" s="85"/>
      <c r="Q156" s="88"/>
      <c r="R156" s="3">
        <f>IFERROR(VLOOKUP(TablaMayo[[#This Row],[BARRIO]],SECTOR!$A:$B,2,0),"")</f>
      </c>
      <c r="S156" s="89"/>
      <c r="T156" s="90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6"/>
      <c r="AZ156" s="120">
        <f>COUNTIF(U156:AY156,"A")</f>
      </c>
      <c r="BA156" s="121">
        <f>COUNTIF(U156:AY156,"F")</f>
      </c>
      <c r="BB156" s="119">
        <f>COUNTIF(U156:AY156,"E")</f>
      </c>
    </row>
    <row r="157" spans="1:54" x14ac:dyDescent="0.2">
      <c r="A157" s="84"/>
      <c r="B157" s="107"/>
      <c r="C157" s="85"/>
      <c r="D157" s="85"/>
      <c r="E157" s="86"/>
      <c r="F157" s="16">
        <f>IF(E157="","",DATEDIF(E157,$I$7,"Y"))</f>
      </c>
      <c r="G157" s="85"/>
      <c r="H157" s="85"/>
      <c r="I157" s="87"/>
      <c r="J157" s="85"/>
      <c r="K157" s="85"/>
      <c r="L157" s="10"/>
      <c r="M157" s="10"/>
      <c r="N157" s="10"/>
      <c r="O157" s="10"/>
      <c r="P157" s="85"/>
      <c r="Q157" s="88"/>
      <c r="R157" s="3">
        <f>IFERROR(VLOOKUP(TablaMayo[[#This Row],[BARRIO]],SECTOR!$A:$B,2,0),"")</f>
      </c>
      <c r="S157" s="89"/>
      <c r="T157" s="90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6"/>
      <c r="AZ157" s="120">
        <f>COUNTIF(U157:AY157,"A")</f>
      </c>
      <c r="BA157" s="121">
        <f>COUNTIF(U157:AY157,"F")</f>
      </c>
      <c r="BB157" s="119">
        <f>COUNTIF(U157:AY157,"E")</f>
      </c>
    </row>
    <row r="158" spans="1:54" x14ac:dyDescent="0.2">
      <c r="A158" s="84"/>
      <c r="B158" s="107"/>
      <c r="C158" s="85"/>
      <c r="D158" s="85"/>
      <c r="E158" s="86"/>
      <c r="F158" s="16">
        <f>IF(E158="","",DATEDIF(E158,$I$7,"Y"))</f>
      </c>
      <c r="G158" s="85"/>
      <c r="H158" s="85"/>
      <c r="I158" s="87"/>
      <c r="J158" s="85"/>
      <c r="K158" s="85"/>
      <c r="L158" s="10"/>
      <c r="M158" s="10"/>
      <c r="N158" s="10"/>
      <c r="O158" s="10"/>
      <c r="P158" s="85"/>
      <c r="Q158" s="88"/>
      <c r="R158" s="3">
        <f>IFERROR(VLOOKUP(TablaMayo[[#This Row],[BARRIO]],SECTOR!$A:$B,2,0),"")</f>
      </c>
      <c r="S158" s="89"/>
      <c r="T158" s="90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6"/>
      <c r="AZ158" s="120">
        <f>COUNTIF(U158:AY158,"A")</f>
      </c>
      <c r="BA158" s="121">
        <f>COUNTIF(U158:AY158,"F")</f>
      </c>
      <c r="BB158" s="119">
        <f>COUNTIF(U158:AY158,"E")</f>
      </c>
    </row>
    <row r="159" spans="1:54" x14ac:dyDescent="0.2">
      <c r="A159" s="84"/>
      <c r="B159" s="107"/>
      <c r="C159" s="85"/>
      <c r="D159" s="85"/>
      <c r="E159" s="86"/>
      <c r="F159" s="16">
        <f>IF(E159="","",DATEDIF(E159,$I$7,"Y"))</f>
      </c>
      <c r="G159" s="85"/>
      <c r="H159" s="85"/>
      <c r="I159" s="87"/>
      <c r="J159" s="85"/>
      <c r="K159" s="85"/>
      <c r="L159" s="10"/>
      <c r="M159" s="10"/>
      <c r="N159" s="10"/>
      <c r="O159" s="10"/>
      <c r="P159" s="85"/>
      <c r="Q159" s="88"/>
      <c r="R159" s="3">
        <f>IFERROR(VLOOKUP(TablaMayo[[#This Row],[BARRIO]],SECTOR!$A:$B,2,0),"")</f>
      </c>
      <c r="S159" s="89"/>
      <c r="T159" s="90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6"/>
      <c r="AZ159" s="120">
        <f>COUNTIF(U159:AY159,"A")</f>
      </c>
      <c r="BA159" s="121">
        <f>COUNTIF(U159:AY159,"F")</f>
      </c>
      <c r="BB159" s="119">
        <f>COUNTIF(U159:AY159,"E")</f>
      </c>
    </row>
    <row r="160" spans="1:54" x14ac:dyDescent="0.2">
      <c r="A160" s="84"/>
      <c r="B160" s="107"/>
      <c r="C160" s="85"/>
      <c r="D160" s="85"/>
      <c r="E160" s="86"/>
      <c r="F160" s="16">
        <f>IF(E160="","",DATEDIF(E160,$I$7,"Y"))</f>
      </c>
      <c r="G160" s="85"/>
      <c r="H160" s="85"/>
      <c r="I160" s="87"/>
      <c r="J160" s="85"/>
      <c r="K160" s="85"/>
      <c r="L160" s="10"/>
      <c r="M160" s="10"/>
      <c r="N160" s="10"/>
      <c r="O160" s="10"/>
      <c r="P160" s="85"/>
      <c r="Q160" s="88"/>
      <c r="R160" s="3">
        <f>IFERROR(VLOOKUP(TablaMayo[[#This Row],[BARRIO]],SECTOR!$A:$B,2,0),"")</f>
      </c>
      <c r="S160" s="89"/>
      <c r="T160" s="90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6"/>
      <c r="AZ160" s="120">
        <f>COUNTIF(U160:AY160,"A")</f>
      </c>
      <c r="BA160" s="121">
        <f>COUNTIF(U160:AY160,"F")</f>
      </c>
      <c r="BB160" s="119">
        <f>COUNTIF(U160:AY160,"E")</f>
      </c>
    </row>
    <row r="161" spans="1:54" x14ac:dyDescent="0.2">
      <c r="A161" s="84"/>
      <c r="B161" s="107"/>
      <c r="C161" s="85"/>
      <c r="D161" s="85"/>
      <c r="E161" s="86"/>
      <c r="F161" s="16">
        <f>IF(E161="","",DATEDIF(E161,$I$7,"Y"))</f>
      </c>
      <c r="G161" s="85"/>
      <c r="H161" s="85"/>
      <c r="I161" s="87"/>
      <c r="J161" s="85"/>
      <c r="K161" s="85"/>
      <c r="L161" s="10"/>
      <c r="M161" s="10"/>
      <c r="N161" s="10"/>
      <c r="O161" s="10"/>
      <c r="P161" s="85"/>
      <c r="Q161" s="88"/>
      <c r="R161" s="3">
        <f>IFERROR(VLOOKUP(TablaMayo[[#This Row],[BARRIO]],SECTOR!$A:$B,2,0),"")</f>
      </c>
      <c r="S161" s="89"/>
      <c r="T161" s="90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6"/>
      <c r="AZ161" s="120">
        <f>COUNTIF(U161:AY161,"A")</f>
      </c>
      <c r="BA161" s="121">
        <f>COUNTIF(U161:AY161,"F")</f>
      </c>
      <c r="BB161" s="119">
        <f>COUNTIF(U161:AY161,"E")</f>
      </c>
    </row>
    <row r="162" spans="1:54" x14ac:dyDescent="0.2">
      <c r="A162" s="84"/>
      <c r="B162" s="107"/>
      <c r="C162" s="85"/>
      <c r="D162" s="85"/>
      <c r="E162" s="86"/>
      <c r="F162" s="16">
        <f>IF(E162="","",DATEDIF(E162,$I$7,"Y"))</f>
      </c>
      <c r="G162" s="85"/>
      <c r="H162" s="85"/>
      <c r="I162" s="87"/>
      <c r="J162" s="85"/>
      <c r="K162" s="85"/>
      <c r="L162" s="10"/>
      <c r="M162" s="10"/>
      <c r="N162" s="10"/>
      <c r="O162" s="10"/>
      <c r="P162" s="85"/>
      <c r="Q162" s="88"/>
      <c r="R162" s="3">
        <f>IFERROR(VLOOKUP(TablaMayo[[#This Row],[BARRIO]],SECTOR!$A:$B,2,0),"")</f>
      </c>
      <c r="S162" s="89"/>
      <c r="T162" s="90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6"/>
      <c r="AZ162" s="120">
        <f>COUNTIF(U162:AY162,"A")</f>
      </c>
      <c r="BA162" s="121">
        <f>COUNTIF(U162:AY162,"F")</f>
      </c>
      <c r="BB162" s="119">
        <f>COUNTIF(U162:AY162,"E")</f>
      </c>
    </row>
    <row r="163" spans="1:54" x14ac:dyDescent="0.2">
      <c r="A163" s="84"/>
      <c r="B163" s="107"/>
      <c r="C163" s="85"/>
      <c r="D163" s="85"/>
      <c r="E163" s="86"/>
      <c r="F163" s="16">
        <f>IF(E163="","",DATEDIF(E163,$I$7,"Y"))</f>
      </c>
      <c r="G163" s="85"/>
      <c r="H163" s="85"/>
      <c r="I163" s="87"/>
      <c r="J163" s="85"/>
      <c r="K163" s="85"/>
      <c r="L163" s="10"/>
      <c r="M163" s="10"/>
      <c r="N163" s="10"/>
      <c r="O163" s="10"/>
      <c r="P163" s="85"/>
      <c r="Q163" s="88"/>
      <c r="R163" s="3">
        <f>IFERROR(VLOOKUP(TablaMayo[[#This Row],[BARRIO]],SECTOR!$A:$B,2,0),"")</f>
      </c>
      <c r="S163" s="89"/>
      <c r="T163" s="90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6"/>
      <c r="AZ163" s="120">
        <f>COUNTIF(U163:AY163,"A")</f>
      </c>
      <c r="BA163" s="121">
        <f>COUNTIF(U163:AY163,"F")</f>
      </c>
      <c r="BB163" s="119">
        <f>COUNTIF(U163:AY163,"E")</f>
      </c>
    </row>
    <row r="164" spans="1:54" x14ac:dyDescent="0.2">
      <c r="A164" s="84"/>
      <c r="B164" s="107"/>
      <c r="C164" s="85"/>
      <c r="D164" s="85"/>
      <c r="E164" s="86"/>
      <c r="F164" s="16">
        <f>IF(E164="","",DATEDIF(E164,$I$7,"Y"))</f>
      </c>
      <c r="G164" s="85"/>
      <c r="H164" s="85"/>
      <c r="I164" s="87"/>
      <c r="J164" s="85"/>
      <c r="K164" s="85"/>
      <c r="L164" s="10"/>
      <c r="M164" s="10"/>
      <c r="N164" s="10"/>
      <c r="O164" s="10"/>
      <c r="P164" s="85"/>
      <c r="Q164" s="88"/>
      <c r="R164" s="3">
        <f>IFERROR(VLOOKUP(TablaMayo[[#This Row],[BARRIO]],SECTOR!$A:$B,2,0),"")</f>
      </c>
      <c r="S164" s="89"/>
      <c r="T164" s="90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6"/>
      <c r="AZ164" s="120">
        <f>COUNTIF(U164:AY164,"A")</f>
      </c>
      <c r="BA164" s="121">
        <f>COUNTIF(U164:AY164,"F")</f>
      </c>
      <c r="BB164" s="119">
        <f>COUNTIF(U164:AY164,"E")</f>
      </c>
    </row>
    <row r="165" spans="1:54" x14ac:dyDescent="0.2">
      <c r="A165" s="84"/>
      <c r="B165" s="107"/>
      <c r="C165" s="85"/>
      <c r="D165" s="85"/>
      <c r="E165" s="86"/>
      <c r="F165" s="16">
        <f>IF(E165="","",DATEDIF(E165,$I$7,"Y"))</f>
      </c>
      <c r="G165" s="85"/>
      <c r="H165" s="85"/>
      <c r="I165" s="87"/>
      <c r="J165" s="85"/>
      <c r="K165" s="85"/>
      <c r="L165" s="10"/>
      <c r="M165" s="10"/>
      <c r="N165" s="10"/>
      <c r="O165" s="10"/>
      <c r="P165" s="85"/>
      <c r="Q165" s="88"/>
      <c r="R165" s="3">
        <f>IFERROR(VLOOKUP(TablaMayo[[#This Row],[BARRIO]],SECTOR!$A:$B,2,0),"")</f>
      </c>
      <c r="S165" s="89"/>
      <c r="T165" s="90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6"/>
      <c r="AZ165" s="120">
        <f>COUNTIF(U165:AY165,"A")</f>
      </c>
      <c r="BA165" s="121">
        <f>COUNTIF(U165:AY165,"F")</f>
      </c>
      <c r="BB165" s="119">
        <f>COUNTIF(U165:AY165,"E")</f>
      </c>
    </row>
    <row r="166" spans="1:54" x14ac:dyDescent="0.2">
      <c r="A166" s="84"/>
      <c r="B166" s="107"/>
      <c r="C166" s="85"/>
      <c r="D166" s="85"/>
      <c r="E166" s="86"/>
      <c r="F166" s="16">
        <f>IF(E166="","",DATEDIF(E166,$I$7,"Y"))</f>
      </c>
      <c r="G166" s="85"/>
      <c r="H166" s="85"/>
      <c r="I166" s="87"/>
      <c r="J166" s="85"/>
      <c r="K166" s="85"/>
      <c r="L166" s="10"/>
      <c r="M166" s="10"/>
      <c r="N166" s="10"/>
      <c r="O166" s="10"/>
      <c r="P166" s="85"/>
      <c r="Q166" s="88"/>
      <c r="R166" s="3">
        <f>IFERROR(VLOOKUP(TablaMayo[[#This Row],[BARRIO]],SECTOR!$A:$B,2,0),"")</f>
      </c>
      <c r="S166" s="89"/>
      <c r="T166" s="90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6"/>
      <c r="AZ166" s="120">
        <f>COUNTIF(U166:AY166,"A")</f>
      </c>
      <c r="BA166" s="121">
        <f>COUNTIF(U166:AY166,"F")</f>
      </c>
      <c r="BB166" s="119">
        <f>COUNTIF(U166:AY166,"E")</f>
      </c>
    </row>
    <row r="167" spans="1:54" x14ac:dyDescent="0.2">
      <c r="A167" s="84"/>
      <c r="B167" s="107"/>
      <c r="C167" s="85"/>
      <c r="D167" s="85"/>
      <c r="E167" s="86"/>
      <c r="F167" s="16">
        <f>IF(E167="","",DATEDIF(E167,$I$7,"Y"))</f>
      </c>
      <c r="G167" s="85"/>
      <c r="H167" s="85"/>
      <c r="I167" s="87"/>
      <c r="J167" s="85"/>
      <c r="K167" s="85"/>
      <c r="L167" s="10"/>
      <c r="M167" s="10"/>
      <c r="N167" s="10"/>
      <c r="O167" s="10"/>
      <c r="P167" s="85"/>
      <c r="Q167" s="88"/>
      <c r="R167" s="3">
        <f>IFERROR(VLOOKUP(TablaMayo[[#This Row],[BARRIO]],SECTOR!$A:$B,2,0),"")</f>
      </c>
      <c r="S167" s="89"/>
      <c r="T167" s="90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6"/>
      <c r="AZ167" s="120">
        <f>COUNTIF(U167:AY167,"A")</f>
      </c>
      <c r="BA167" s="121">
        <f>COUNTIF(U167:AY167,"F")</f>
      </c>
      <c r="BB167" s="119">
        <f>COUNTIF(U167:AY167,"E")</f>
      </c>
    </row>
    <row r="168" spans="1:54" x14ac:dyDescent="0.2">
      <c r="A168" s="84"/>
      <c r="B168" s="107"/>
      <c r="C168" s="85"/>
      <c r="D168" s="85"/>
      <c r="E168" s="86"/>
      <c r="F168" s="16">
        <f>IF(E168="","",DATEDIF(E168,$I$7,"Y"))</f>
      </c>
      <c r="G168" s="85"/>
      <c r="H168" s="85"/>
      <c r="I168" s="87"/>
      <c r="J168" s="85"/>
      <c r="K168" s="85"/>
      <c r="L168" s="2"/>
      <c r="M168" s="2"/>
      <c r="N168" s="10"/>
      <c r="O168" s="2"/>
      <c r="P168" s="85"/>
      <c r="Q168" s="88"/>
      <c r="R168" s="3">
        <f>IFERROR(VLOOKUP(TablaMayo[[#This Row],[BARRIO]],SECTOR!$A:$B,2,0),"")</f>
      </c>
      <c r="S168" s="89"/>
      <c r="T168" s="90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6"/>
      <c r="AZ168" s="120">
        <f>COUNTIF(U168:AY168,"A")</f>
      </c>
      <c r="BA168" s="121">
        <f>COUNTIF(U168:AY168,"F")</f>
      </c>
      <c r="BB168" s="119">
        <f>COUNTIF(U168:AY168,"E")</f>
      </c>
    </row>
    <row r="169" spans="1:54" x14ac:dyDescent="0.2">
      <c r="A169" s="84"/>
      <c r="B169" s="85"/>
      <c r="C169" s="85"/>
      <c r="D169" s="85"/>
      <c r="E169" s="86"/>
      <c r="F169" s="16">
        <f>IF(E169="","",DATEDIF(E169,$I$7,"Y"))</f>
      </c>
      <c r="G169" s="85"/>
      <c r="H169" s="85"/>
      <c r="I169" s="87"/>
      <c r="J169" s="85"/>
      <c r="K169" s="85"/>
      <c r="L169" s="10"/>
      <c r="M169" s="10"/>
      <c r="N169" s="10"/>
      <c r="O169" s="10"/>
      <c r="P169" s="85"/>
      <c r="Q169" s="88"/>
      <c r="R169" s="3">
        <f>IFERROR(VLOOKUP(TablaMayo[[#This Row],[BARRIO]],SECTOR!$A:$B,2,0),"")</f>
      </c>
      <c r="S169" s="89"/>
      <c r="T169" s="90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6"/>
      <c r="AZ169" s="30">
        <f>COUNTIF(U169:AY169,"A")</f>
      </c>
      <c r="BA169" s="32">
        <f>COUNTIF(U169:AY169,"F")</f>
      </c>
      <c r="BB169" s="119">
        <f>COUNTIF(U169:AY169,"E")</f>
      </c>
    </row>
    <row r="170" spans="1:54" x14ac:dyDescent="0.2">
      <c r="A170" s="84"/>
      <c r="B170" s="85"/>
      <c r="C170" s="85"/>
      <c r="D170" s="85"/>
      <c r="E170" s="86"/>
      <c r="F170" s="16">
        <f>IF(E170="","",DATEDIF(E170,$I$7,"Y"))</f>
      </c>
      <c r="G170" s="85"/>
      <c r="H170" s="85"/>
      <c r="I170" s="87"/>
      <c r="J170" s="85"/>
      <c r="K170" s="85"/>
      <c r="L170" s="10"/>
      <c r="M170" s="10"/>
      <c r="N170" s="10"/>
      <c r="O170" s="10"/>
      <c r="P170" s="85"/>
      <c r="Q170" s="88"/>
      <c r="R170" s="3">
        <f>IFERROR(VLOOKUP(TablaMayo[[#This Row],[BARRIO]],SECTOR!$A:$B,2,0),"")</f>
      </c>
      <c r="S170" s="89"/>
      <c r="T170" s="90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6"/>
      <c r="AZ170" s="120">
        <f>COUNTIF(U170:AY170,"A")</f>
      </c>
      <c r="BA170" s="121">
        <f>COUNTIF(U170:AY170,"F")</f>
      </c>
      <c r="BB170" s="119">
        <f>COUNTIF(U170:AY170,"E")</f>
      </c>
    </row>
    <row r="171" spans="1:54" x14ac:dyDescent="0.2">
      <c r="A171" s="84"/>
      <c r="B171" s="85"/>
      <c r="C171" s="85"/>
      <c r="D171" s="85"/>
      <c r="E171" s="86"/>
      <c r="F171" s="16">
        <f>IF(E171="","",DATEDIF(E171,$I$7,"Y"))</f>
      </c>
      <c r="G171" s="85"/>
      <c r="H171" s="85"/>
      <c r="I171" s="87"/>
      <c r="J171" s="85"/>
      <c r="K171" s="85"/>
      <c r="L171" s="10"/>
      <c r="M171" s="10"/>
      <c r="N171" s="10"/>
      <c r="O171" s="10"/>
      <c r="P171" s="85"/>
      <c r="Q171" s="88"/>
      <c r="R171" s="3">
        <f>IFERROR(VLOOKUP(TablaMayo[[#This Row],[BARRIO]],SECTOR!$A:$B,2,0),"")</f>
      </c>
      <c r="S171" s="89"/>
      <c r="T171" s="90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6"/>
      <c r="AZ171" s="120">
        <f>COUNTIF(U171:AY171,"A")</f>
      </c>
      <c r="BA171" s="121">
        <f>COUNTIF(U171:AY171,"F")</f>
      </c>
      <c r="BB171" s="119">
        <f>COUNTIF(U171:AY171,"E")</f>
      </c>
    </row>
    <row r="172" spans="1:54" x14ac:dyDescent="0.2">
      <c r="A172" s="84"/>
      <c r="B172" s="85"/>
      <c r="C172" s="85"/>
      <c r="D172" s="85"/>
      <c r="E172" s="86"/>
      <c r="F172" s="16">
        <f>IF(E172="","",DATEDIF(E172,$I$7,"Y"))</f>
      </c>
      <c r="G172" s="85"/>
      <c r="H172" s="85"/>
      <c r="I172" s="87"/>
      <c r="J172" s="85"/>
      <c r="K172" s="85"/>
      <c r="L172" s="10"/>
      <c r="M172" s="10"/>
      <c r="N172" s="10"/>
      <c r="O172" s="10"/>
      <c r="P172" s="85"/>
      <c r="Q172" s="88"/>
      <c r="R172" s="3">
        <f>IFERROR(VLOOKUP(TablaMayo[[#This Row],[BARRIO]],SECTOR!$A:$B,2,0),"")</f>
      </c>
      <c r="S172" s="89"/>
      <c r="T172" s="90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6"/>
      <c r="AZ172" s="120">
        <f>COUNTIF(U172:AY172,"A")</f>
      </c>
      <c r="BA172" s="121">
        <f>COUNTIF(U172:AY172,"F")</f>
      </c>
      <c r="BB172" s="119">
        <f>COUNTIF(U172:AY172,"E")</f>
      </c>
    </row>
    <row r="173" spans="1:54" x14ac:dyDescent="0.2">
      <c r="A173" s="84"/>
      <c r="B173" s="85"/>
      <c r="C173" s="85"/>
      <c r="D173" s="85"/>
      <c r="E173" s="86"/>
      <c r="F173" s="16">
        <f>IF(E173="","",DATEDIF(E173,$I$7,"Y"))</f>
      </c>
      <c r="G173" s="85"/>
      <c r="H173" s="85"/>
      <c r="I173" s="87"/>
      <c r="J173" s="85"/>
      <c r="K173" s="85"/>
      <c r="L173" s="10"/>
      <c r="M173" s="10"/>
      <c r="N173" s="10"/>
      <c r="O173" s="10"/>
      <c r="P173" s="85"/>
      <c r="Q173" s="88"/>
      <c r="R173" s="3">
        <f>IFERROR(VLOOKUP(TablaMayo[[#This Row],[BARRIO]],SECTOR!$A:$B,2,0),"")</f>
      </c>
      <c r="S173" s="89"/>
      <c r="T173" s="90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6"/>
      <c r="AZ173" s="120">
        <f>COUNTIF(U173:AY173,"A")</f>
      </c>
      <c r="BA173" s="121">
        <f>COUNTIF(U173:AY173,"F")</f>
      </c>
      <c r="BB173" s="119">
        <f>COUNTIF(U173:AY173,"E")</f>
      </c>
    </row>
    <row r="174" spans="1:54" x14ac:dyDescent="0.2">
      <c r="A174" s="84"/>
      <c r="B174" s="85"/>
      <c r="C174" s="85"/>
      <c r="D174" s="85"/>
      <c r="E174" s="86"/>
      <c r="F174" s="16">
        <f>IF(E174="","",DATEDIF(E174,$I$7,"Y"))</f>
      </c>
      <c r="G174" s="85"/>
      <c r="H174" s="85"/>
      <c r="I174" s="87"/>
      <c r="J174" s="85"/>
      <c r="K174" s="85"/>
      <c r="L174" s="10"/>
      <c r="M174" s="10"/>
      <c r="N174" s="10"/>
      <c r="O174" s="10"/>
      <c r="P174" s="85"/>
      <c r="Q174" s="88"/>
      <c r="R174" s="3">
        <f>IFERROR(VLOOKUP(TablaMayo[[#This Row],[BARRIO]],SECTOR!$A:$B,2,0),"")</f>
      </c>
      <c r="S174" s="89"/>
      <c r="T174" s="90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6"/>
      <c r="AZ174" s="120">
        <f>COUNTIF(U174:AY174,"A")</f>
      </c>
      <c r="BA174" s="121">
        <f>COUNTIF(U174:AY174,"F")</f>
      </c>
      <c r="BB174" s="119">
        <f>COUNTIF(U174:AY174,"E")</f>
      </c>
    </row>
    <row r="175" spans="1:54" x14ac:dyDescent="0.2">
      <c r="A175" s="84"/>
      <c r="B175" s="85"/>
      <c r="C175" s="85"/>
      <c r="D175" s="85"/>
      <c r="E175" s="86"/>
      <c r="F175" s="16">
        <f>IF(E175="","",DATEDIF(E175,$I$7,"Y"))</f>
      </c>
      <c r="G175" s="85"/>
      <c r="H175" s="85"/>
      <c r="I175" s="87"/>
      <c r="J175" s="85"/>
      <c r="K175" s="85"/>
      <c r="L175" s="10"/>
      <c r="M175" s="10"/>
      <c r="N175" s="10"/>
      <c r="O175" s="10"/>
      <c r="P175" s="85"/>
      <c r="Q175" s="88"/>
      <c r="R175" s="3">
        <f>IFERROR(VLOOKUP(TablaMayo[[#This Row],[BARRIO]],SECTOR!$A:$B,2,0),"")</f>
      </c>
      <c r="S175" s="89"/>
      <c r="T175" s="90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6"/>
      <c r="AZ175" s="120">
        <f>COUNTIF(U175:AY175,"A")</f>
      </c>
      <c r="BA175" s="121">
        <f>COUNTIF(U175:AY175,"F")</f>
      </c>
      <c r="BB175" s="119">
        <f>COUNTIF(U175:AY175,"E")</f>
      </c>
    </row>
    <row r="176" spans="1:54" x14ac:dyDescent="0.2">
      <c r="A176" s="84"/>
      <c r="B176" s="85"/>
      <c r="C176" s="85"/>
      <c r="D176" s="85"/>
      <c r="E176" s="86"/>
      <c r="F176" s="16">
        <f>IF(E176="","",DATEDIF(E176,$I$7,"Y"))</f>
      </c>
      <c r="G176" s="85"/>
      <c r="H176" s="85"/>
      <c r="I176" s="87"/>
      <c r="J176" s="85"/>
      <c r="K176" s="85"/>
      <c r="L176" s="10"/>
      <c r="M176" s="10"/>
      <c r="N176" s="10"/>
      <c r="O176" s="10"/>
      <c r="P176" s="85"/>
      <c r="Q176" s="88"/>
      <c r="R176" s="3">
        <f>IFERROR(VLOOKUP(TablaMayo[[#This Row],[BARRIO]],SECTOR!$A:$B,2,0),"")</f>
      </c>
      <c r="S176" s="89"/>
      <c r="T176" s="90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6"/>
      <c r="AZ176" s="120">
        <f>COUNTIF(U176:AY176,"A")</f>
      </c>
      <c r="BA176" s="121">
        <f>COUNTIF(U176:AY176,"F")</f>
      </c>
      <c r="BB176" s="119">
        <f>COUNTIF(U176:AY176,"E")</f>
      </c>
    </row>
    <row r="177" spans="1:54" x14ac:dyDescent="0.2">
      <c r="A177" s="84"/>
      <c r="B177" s="85"/>
      <c r="C177" s="85"/>
      <c r="D177" s="85"/>
      <c r="E177" s="86"/>
      <c r="F177" s="16">
        <f>IF(E177="","",DATEDIF(E177,$I$7,"Y"))</f>
      </c>
      <c r="G177" s="85"/>
      <c r="H177" s="85"/>
      <c r="I177" s="87"/>
      <c r="J177" s="85"/>
      <c r="K177" s="85"/>
      <c r="L177" s="10"/>
      <c r="M177" s="10"/>
      <c r="N177" s="10"/>
      <c r="O177" s="10"/>
      <c r="P177" s="85"/>
      <c r="Q177" s="88"/>
      <c r="R177" s="3">
        <f>IFERROR(VLOOKUP(TablaMayo[[#This Row],[BARRIO]],SECTOR!$A:$B,2,0),"")</f>
      </c>
      <c r="S177" s="89"/>
      <c r="T177" s="90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6"/>
      <c r="AZ177" s="120">
        <f>COUNTIF(U177:AY177,"A")</f>
      </c>
      <c r="BA177" s="121">
        <f>COUNTIF(U177:AY177,"F")</f>
      </c>
      <c r="BB177" s="119">
        <f>COUNTIF(U177:AY177,"E")</f>
      </c>
    </row>
    <row r="178" spans="1:54" x14ac:dyDescent="0.2">
      <c r="A178" s="84"/>
      <c r="B178" s="85"/>
      <c r="C178" s="85"/>
      <c r="D178" s="85"/>
      <c r="E178" s="86"/>
      <c r="F178" s="16">
        <f>IF(E178="","",DATEDIF(E178,$I$7,"Y"))</f>
      </c>
      <c r="G178" s="85"/>
      <c r="H178" s="85"/>
      <c r="I178" s="87"/>
      <c r="J178" s="85"/>
      <c r="K178" s="85"/>
      <c r="L178" s="10"/>
      <c r="M178" s="10"/>
      <c r="N178" s="10"/>
      <c r="O178" s="10"/>
      <c r="P178" s="85"/>
      <c r="Q178" s="88"/>
      <c r="R178" s="3">
        <f>IFERROR(VLOOKUP(TablaMayo[[#This Row],[BARRIO]],SECTOR!$A:$B,2,0),"")</f>
      </c>
      <c r="S178" s="89"/>
      <c r="T178" s="90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6"/>
      <c r="AZ178" s="120">
        <f>COUNTIF(U178:AY178,"A")</f>
      </c>
      <c r="BA178" s="121">
        <f>COUNTIF(U178:AY178,"F")</f>
      </c>
      <c r="BB178" s="119">
        <f>COUNTIF(U178:AY178,"E")</f>
      </c>
    </row>
    <row r="179" spans="1:54" x14ac:dyDescent="0.2">
      <c r="A179" s="84"/>
      <c r="B179" s="85"/>
      <c r="C179" s="85"/>
      <c r="D179" s="85"/>
      <c r="E179" s="86"/>
      <c r="F179" s="16">
        <f>IF(E179="","",DATEDIF(E179,$I$7,"Y"))</f>
      </c>
      <c r="G179" s="85"/>
      <c r="H179" s="85"/>
      <c r="I179" s="87"/>
      <c r="J179" s="85"/>
      <c r="K179" s="85"/>
      <c r="L179" s="10"/>
      <c r="M179" s="10"/>
      <c r="N179" s="10"/>
      <c r="O179" s="10"/>
      <c r="P179" s="85"/>
      <c r="Q179" s="88"/>
      <c r="R179" s="3">
        <f>IFERROR(VLOOKUP(TablaMayo[[#This Row],[BARRIO]],SECTOR!$A:$B,2,0),"")</f>
      </c>
      <c r="S179" s="89"/>
      <c r="T179" s="90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6"/>
      <c r="AZ179" s="120">
        <f>COUNTIF(U179:AY179,"A")</f>
      </c>
      <c r="BA179" s="121">
        <f>COUNTIF(U179:AY179,"F")</f>
      </c>
      <c r="BB179" s="119">
        <f>COUNTIF(U179:AY179,"E")</f>
      </c>
    </row>
    <row r="180" spans="1:54" x14ac:dyDescent="0.2">
      <c r="A180" s="84"/>
      <c r="B180" s="85"/>
      <c r="C180" s="85"/>
      <c r="D180" s="85"/>
      <c r="E180" s="86"/>
      <c r="F180" s="16">
        <f>IF(E180="","",DATEDIF(E180,$I$7,"Y"))</f>
      </c>
      <c r="G180" s="85"/>
      <c r="H180" s="85"/>
      <c r="I180" s="87"/>
      <c r="J180" s="85"/>
      <c r="K180" s="85"/>
      <c r="L180" s="10"/>
      <c r="M180" s="10"/>
      <c r="N180" s="10"/>
      <c r="O180" s="10"/>
      <c r="P180" s="85"/>
      <c r="Q180" s="88"/>
      <c r="R180" s="3">
        <f>IFERROR(VLOOKUP(TablaMayo[[#This Row],[BARRIO]],SECTOR!$A:$B,2,0),"")</f>
      </c>
      <c r="S180" s="89"/>
      <c r="T180" s="90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6"/>
      <c r="AZ180" s="120">
        <f>COUNTIF(U180:AY180,"A")</f>
      </c>
      <c r="BA180" s="121">
        <f>COUNTIF(U180:AY180,"F")</f>
      </c>
      <c r="BB180" s="119">
        <f>COUNTIF(U180:AY180,"E")</f>
      </c>
    </row>
    <row r="181" spans="1:54" x14ac:dyDescent="0.2">
      <c r="A181" s="84"/>
      <c r="B181" s="85"/>
      <c r="C181" s="85"/>
      <c r="D181" s="85"/>
      <c r="E181" s="86"/>
      <c r="F181" s="16">
        <f>IF(E181="","",DATEDIF(E181,$I$7,"Y"))</f>
      </c>
      <c r="G181" s="85"/>
      <c r="H181" s="85"/>
      <c r="I181" s="87"/>
      <c r="J181" s="85"/>
      <c r="K181" s="85"/>
      <c r="L181" s="10"/>
      <c r="M181" s="10"/>
      <c r="N181" s="10"/>
      <c r="O181" s="10"/>
      <c r="P181" s="85"/>
      <c r="Q181" s="88"/>
      <c r="R181" s="3">
        <f>IFERROR(VLOOKUP(TablaMayo[[#This Row],[BARRIO]],SECTOR!$A:$B,2,0),"")</f>
      </c>
      <c r="S181" s="89"/>
      <c r="T181" s="90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6"/>
      <c r="AZ181" s="120">
        <f>COUNTIF(U181:AY181,"A")</f>
      </c>
      <c r="BA181" s="121">
        <f>COUNTIF(U181:AY181,"F")</f>
      </c>
      <c r="BB181" s="119">
        <f>COUNTIF(U181:AY181,"E")</f>
      </c>
    </row>
    <row r="182" spans="1:54" x14ac:dyDescent="0.2">
      <c r="A182" s="84"/>
      <c r="B182" s="85"/>
      <c r="C182" s="85"/>
      <c r="D182" s="85"/>
      <c r="E182" s="86"/>
      <c r="F182" s="16">
        <f>IF(E182="","",DATEDIF(E182,$I$7,"Y"))</f>
      </c>
      <c r="G182" s="85"/>
      <c r="H182" s="85"/>
      <c r="I182" s="87"/>
      <c r="J182" s="85"/>
      <c r="K182" s="85"/>
      <c r="L182" s="10"/>
      <c r="M182" s="10"/>
      <c r="N182" s="10"/>
      <c r="O182" s="10"/>
      <c r="P182" s="85"/>
      <c r="Q182" s="88"/>
      <c r="R182" s="3">
        <f>IFERROR(VLOOKUP(TablaMayo[[#This Row],[BARRIO]],SECTOR!$A:$B,2,0),"")</f>
      </c>
      <c r="S182" s="89"/>
      <c r="T182" s="90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6"/>
      <c r="AZ182" s="120">
        <f>COUNTIF(U182:AY182,"A")</f>
      </c>
      <c r="BA182" s="121">
        <f>COUNTIF(U182:AY182,"F")</f>
      </c>
      <c r="BB182" s="119">
        <f>COUNTIF(U182:AY182,"E")</f>
      </c>
    </row>
    <row r="183" spans="1:54" x14ac:dyDescent="0.2">
      <c r="A183" s="84"/>
      <c r="B183" s="85"/>
      <c r="C183" s="85"/>
      <c r="D183" s="85"/>
      <c r="E183" s="86"/>
      <c r="F183" s="16">
        <f>IF(E183="","",DATEDIF(E183,$I$7,"Y"))</f>
      </c>
      <c r="G183" s="85"/>
      <c r="H183" s="85"/>
      <c r="I183" s="87"/>
      <c r="J183" s="85"/>
      <c r="K183" s="85"/>
      <c r="L183" s="10"/>
      <c r="M183" s="10"/>
      <c r="N183" s="10"/>
      <c r="O183" s="10"/>
      <c r="P183" s="85"/>
      <c r="Q183" s="88"/>
      <c r="R183" s="3">
        <f>IFERROR(VLOOKUP(TablaMayo[[#This Row],[BARRIO]],SECTOR!$A:$B,2,0),"")</f>
      </c>
      <c r="S183" s="89"/>
      <c r="T183" s="90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6"/>
      <c r="AZ183" s="120">
        <f>COUNTIF(U183:AY183,"A")</f>
      </c>
      <c r="BA183" s="121">
        <f>COUNTIF(U183:AY183,"F")</f>
      </c>
      <c r="BB183" s="119">
        <f>COUNTIF(U183:AY183,"E")</f>
      </c>
    </row>
    <row r="184" spans="1:54" x14ac:dyDescent="0.2">
      <c r="A184" s="84"/>
      <c r="B184" s="85"/>
      <c r="C184" s="85"/>
      <c r="D184" s="85"/>
      <c r="E184" s="86"/>
      <c r="F184" s="16">
        <f>IF(E184="","",DATEDIF(E184,$I$7,"Y"))</f>
      </c>
      <c r="G184" s="85"/>
      <c r="H184" s="85"/>
      <c r="I184" s="87"/>
      <c r="J184" s="85"/>
      <c r="K184" s="85"/>
      <c r="L184" s="10"/>
      <c r="M184" s="10"/>
      <c r="N184" s="10"/>
      <c r="O184" s="10"/>
      <c r="P184" s="85"/>
      <c r="Q184" s="88"/>
      <c r="R184" s="3">
        <f>IFERROR(VLOOKUP(TablaMayo[[#This Row],[BARRIO]],SECTOR!$A:$B,2,0),"")</f>
      </c>
      <c r="S184" s="89"/>
      <c r="T184" s="90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6"/>
      <c r="AZ184" s="120">
        <f>COUNTIF(U184:AY184,"A")</f>
      </c>
      <c r="BA184" s="121">
        <f>COUNTIF(U184:AY184,"F")</f>
      </c>
      <c r="BB184" s="119">
        <f>COUNTIF(U184:AY184,"E")</f>
      </c>
    </row>
    <row r="185" spans="1:54" x14ac:dyDescent="0.2">
      <c r="A185" s="84"/>
      <c r="B185" s="85"/>
      <c r="C185" s="85"/>
      <c r="D185" s="85"/>
      <c r="E185" s="86"/>
      <c r="F185" s="16">
        <f>IF(E185="","",DATEDIF(E185,$I$7,"Y"))</f>
      </c>
      <c r="G185" s="85"/>
      <c r="H185" s="85"/>
      <c r="I185" s="87"/>
      <c r="J185" s="85"/>
      <c r="K185" s="85"/>
      <c r="L185" s="10"/>
      <c r="M185" s="10"/>
      <c r="N185" s="10"/>
      <c r="O185" s="10"/>
      <c r="P185" s="85"/>
      <c r="Q185" s="88"/>
      <c r="R185" s="3">
        <f>IFERROR(VLOOKUP(TablaMayo[[#This Row],[BARRIO]],SECTOR!$A:$B,2,0),"")</f>
      </c>
      <c r="S185" s="89"/>
      <c r="T185" s="90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6"/>
      <c r="AZ185" s="120">
        <f>COUNTIF(U185:AY185,"A")</f>
      </c>
      <c r="BA185" s="121">
        <f>COUNTIF(U185:AY185,"F")</f>
      </c>
      <c r="BB185" s="119">
        <f>COUNTIF(U185:AY185,"E")</f>
      </c>
    </row>
    <row r="186" spans="1:54" x14ac:dyDescent="0.2">
      <c r="A186" s="84"/>
      <c r="B186" s="85"/>
      <c r="C186" s="85"/>
      <c r="D186" s="85"/>
      <c r="E186" s="86"/>
      <c r="F186" s="16">
        <f>IF(E186="","",DATEDIF(E186,$I$7,"Y"))</f>
      </c>
      <c r="G186" s="85"/>
      <c r="H186" s="85"/>
      <c r="I186" s="87"/>
      <c r="J186" s="85"/>
      <c r="K186" s="85"/>
      <c r="L186" s="10"/>
      <c r="M186" s="10"/>
      <c r="N186" s="10"/>
      <c r="O186" s="10"/>
      <c r="P186" s="85"/>
      <c r="Q186" s="88"/>
      <c r="R186" s="3">
        <f>IFERROR(VLOOKUP(TablaMayo[[#This Row],[BARRIO]],SECTOR!$A:$B,2,0),"")</f>
      </c>
      <c r="S186" s="89"/>
      <c r="T186" s="90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6"/>
      <c r="AZ186" s="120">
        <f>COUNTIF(U186:AY186,"A")</f>
      </c>
      <c r="BA186" s="121">
        <f>COUNTIF(U186:AY186,"F")</f>
      </c>
      <c r="BB186" s="119">
        <f>COUNTIF(U186:AY186,"E")</f>
      </c>
    </row>
    <row r="187" spans="1:54" x14ac:dyDescent="0.2">
      <c r="A187" s="84"/>
      <c r="B187" s="85"/>
      <c r="C187" s="85"/>
      <c r="D187" s="85"/>
      <c r="E187" s="86"/>
      <c r="F187" s="16">
        <f>IF(E187="","",DATEDIF(E187,$I$7,"Y"))</f>
      </c>
      <c r="G187" s="85"/>
      <c r="H187" s="85"/>
      <c r="I187" s="87"/>
      <c r="J187" s="85"/>
      <c r="K187" s="85"/>
      <c r="L187" s="10"/>
      <c r="M187" s="10"/>
      <c r="N187" s="10"/>
      <c r="O187" s="10"/>
      <c r="P187" s="85"/>
      <c r="Q187" s="88"/>
      <c r="R187" s="3">
        <f>IFERROR(VLOOKUP(TablaMayo[[#This Row],[BARRIO]],SECTOR!$A:$B,2,0),"")</f>
      </c>
      <c r="S187" s="89"/>
      <c r="T187" s="90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6"/>
      <c r="AZ187" s="120">
        <f>COUNTIF(U187:AY187,"A")</f>
      </c>
      <c r="BA187" s="121">
        <f>COUNTIF(U187:AY187,"F")</f>
      </c>
      <c r="BB187" s="119">
        <f>COUNTIF(U187:AY187,"E")</f>
      </c>
    </row>
    <row r="188" spans="1:54" x14ac:dyDescent="0.2">
      <c r="A188" s="84"/>
      <c r="B188" s="85"/>
      <c r="C188" s="85"/>
      <c r="D188" s="85"/>
      <c r="E188" s="86"/>
      <c r="F188" s="16">
        <f>IF(E188="","",DATEDIF(E188,$I$7,"Y"))</f>
      </c>
      <c r="G188" s="85"/>
      <c r="H188" s="85"/>
      <c r="I188" s="87"/>
      <c r="J188" s="85"/>
      <c r="K188" s="85"/>
      <c r="L188" s="10"/>
      <c r="M188" s="10"/>
      <c r="N188" s="10"/>
      <c r="O188" s="10"/>
      <c r="P188" s="85"/>
      <c r="Q188" s="88"/>
      <c r="R188" s="3">
        <f>IFERROR(VLOOKUP(TablaMayo[[#This Row],[BARRIO]],SECTOR!$A:$B,2,0),"")</f>
      </c>
      <c r="S188" s="89"/>
      <c r="T188" s="90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6"/>
      <c r="AZ188" s="120">
        <f>COUNTIF(U188:AY188,"A")</f>
      </c>
      <c r="BA188" s="121">
        <f>COUNTIF(U188:AY188,"F")</f>
      </c>
      <c r="BB188" s="119">
        <f>COUNTIF(U188:AY188,"E")</f>
      </c>
    </row>
    <row r="189" spans="1:54" x14ac:dyDescent="0.2">
      <c r="A189" s="84"/>
      <c r="B189" s="85"/>
      <c r="C189" s="85"/>
      <c r="D189" s="85"/>
      <c r="E189" s="86"/>
      <c r="F189" s="16">
        <f>IF(E189="","",DATEDIF(E189,$I$7,"Y"))</f>
      </c>
      <c r="G189" s="85"/>
      <c r="H189" s="85"/>
      <c r="I189" s="87"/>
      <c r="J189" s="85"/>
      <c r="K189" s="85"/>
      <c r="L189" s="10"/>
      <c r="M189" s="10"/>
      <c r="N189" s="10"/>
      <c r="O189" s="10"/>
      <c r="P189" s="85"/>
      <c r="Q189" s="88"/>
      <c r="R189" s="3">
        <f>IFERROR(VLOOKUP(TablaMayo[[#This Row],[BARRIO]],SECTOR!$A:$B,2,0),"")</f>
      </c>
      <c r="S189" s="89"/>
      <c r="T189" s="90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6"/>
      <c r="AZ189" s="120">
        <f>COUNTIF(U189:AY189,"A")</f>
      </c>
      <c r="BA189" s="121">
        <f>COUNTIF(U189:AY189,"F")</f>
      </c>
      <c r="BB189" s="119">
        <f>COUNTIF(U189:AY189,"E")</f>
      </c>
    </row>
    <row r="190" spans="1:54" x14ac:dyDescent="0.2">
      <c r="A190" s="84"/>
      <c r="B190" s="85"/>
      <c r="C190" s="85"/>
      <c r="D190" s="85"/>
      <c r="E190" s="86"/>
      <c r="F190" s="16">
        <f>IF(E190="","",DATEDIF(E190,$I$7,"Y"))</f>
      </c>
      <c r="G190" s="85"/>
      <c r="H190" s="85"/>
      <c r="I190" s="87"/>
      <c r="J190" s="85"/>
      <c r="K190" s="85"/>
      <c r="L190" s="10"/>
      <c r="M190" s="10"/>
      <c r="N190" s="10"/>
      <c r="O190" s="10"/>
      <c r="P190" s="85"/>
      <c r="Q190" s="88"/>
      <c r="R190" s="3">
        <f>IFERROR(VLOOKUP(TablaMayo[[#This Row],[BARRIO]],SECTOR!$A:$B,2,0),"")</f>
      </c>
      <c r="S190" s="89"/>
      <c r="T190" s="90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6"/>
      <c r="AZ190" s="120">
        <f>COUNTIF(U190:AY190,"A")</f>
      </c>
      <c r="BA190" s="121">
        <f>COUNTIF(U190:AY190,"F")</f>
      </c>
      <c r="BB190" s="119">
        <f>COUNTIF(U190:AY190,"E")</f>
      </c>
    </row>
    <row r="191" spans="1:54" x14ac:dyDescent="0.2">
      <c r="A191" s="84"/>
      <c r="B191" s="85"/>
      <c r="C191" s="85"/>
      <c r="D191" s="85"/>
      <c r="E191" s="86"/>
      <c r="F191" s="16">
        <f>IF(E191="","",DATEDIF(E191,$I$7,"Y"))</f>
      </c>
      <c r="G191" s="85"/>
      <c r="H191" s="85"/>
      <c r="I191" s="87"/>
      <c r="J191" s="85"/>
      <c r="K191" s="85"/>
      <c r="L191" s="10"/>
      <c r="M191" s="10"/>
      <c r="N191" s="10"/>
      <c r="O191" s="10"/>
      <c r="P191" s="85"/>
      <c r="Q191" s="88"/>
      <c r="R191" s="3">
        <f>IFERROR(VLOOKUP(TablaMayo[[#This Row],[BARRIO]],SECTOR!$A:$B,2,0),"")</f>
      </c>
      <c r="S191" s="89"/>
      <c r="T191" s="90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6"/>
      <c r="AZ191" s="120">
        <f>COUNTIF(U191:AY191,"A")</f>
      </c>
      <c r="BA191" s="121">
        <f>COUNTIF(U191:AY191,"F")</f>
      </c>
      <c r="BB191" s="119">
        <f>COUNTIF(U191:AY191,"E")</f>
      </c>
    </row>
    <row r="192" spans="1:54" x14ac:dyDescent="0.2">
      <c r="A192" s="84"/>
      <c r="B192" s="85"/>
      <c r="C192" s="85"/>
      <c r="D192" s="85"/>
      <c r="E192" s="86"/>
      <c r="F192" s="16">
        <f>IF(E192="","",DATEDIF(E192,$I$7,"Y"))</f>
      </c>
      <c r="G192" s="85"/>
      <c r="H192" s="85"/>
      <c r="I192" s="87"/>
      <c r="J192" s="85"/>
      <c r="K192" s="85"/>
      <c r="L192" s="10"/>
      <c r="M192" s="10"/>
      <c r="N192" s="10"/>
      <c r="O192" s="10"/>
      <c r="P192" s="85"/>
      <c r="Q192" s="88"/>
      <c r="R192" s="3">
        <f>IFERROR(VLOOKUP(TablaMayo[[#This Row],[BARRIO]],SECTOR!$A:$B,2,0),"")</f>
      </c>
      <c r="S192" s="89"/>
      <c r="T192" s="90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6"/>
      <c r="AZ192" s="120">
        <f>COUNTIF(U192:AY192,"A")</f>
      </c>
      <c r="BA192" s="121">
        <f>COUNTIF(U192:AY192,"F")</f>
      </c>
      <c r="BB192" s="119">
        <f>COUNTIF(U192:AY192,"E")</f>
      </c>
    </row>
    <row r="193" spans="1:54" x14ac:dyDescent="0.2">
      <c r="A193" s="84"/>
      <c r="B193" s="85"/>
      <c r="C193" s="85"/>
      <c r="D193" s="85"/>
      <c r="E193" s="86"/>
      <c r="F193" s="16">
        <f>IF(E193="","",DATEDIF(E193,$I$7,"Y"))</f>
      </c>
      <c r="G193" s="85"/>
      <c r="H193" s="85"/>
      <c r="I193" s="87"/>
      <c r="J193" s="85"/>
      <c r="K193" s="85"/>
      <c r="L193" s="10"/>
      <c r="M193" s="10"/>
      <c r="N193" s="10"/>
      <c r="O193" s="10"/>
      <c r="P193" s="85"/>
      <c r="Q193" s="88"/>
      <c r="R193" s="3">
        <f>IFERROR(VLOOKUP(TablaMayo[[#This Row],[BARRIO]],SECTOR!$A:$B,2,0),"")</f>
      </c>
      <c r="S193" s="89"/>
      <c r="T193" s="90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6"/>
      <c r="AZ193" s="120">
        <f>COUNTIF(U193:AY193,"A")</f>
      </c>
      <c r="BA193" s="121">
        <f>COUNTIF(U193:AY193,"F")</f>
      </c>
      <c r="BB193" s="119">
        <f>COUNTIF(U193:AY193,"E")</f>
      </c>
    </row>
    <row r="194" spans="1:54" x14ac:dyDescent="0.2">
      <c r="A194" s="84"/>
      <c r="B194" s="85"/>
      <c r="C194" s="85"/>
      <c r="D194" s="85"/>
      <c r="E194" s="86"/>
      <c r="F194" s="16">
        <f>IF(E194="","",DATEDIF(E194,$I$7,"Y"))</f>
      </c>
      <c r="G194" s="85"/>
      <c r="H194" s="85"/>
      <c r="I194" s="87"/>
      <c r="J194" s="85"/>
      <c r="K194" s="85"/>
      <c r="L194" s="10"/>
      <c r="M194" s="10"/>
      <c r="N194" s="10"/>
      <c r="O194" s="10"/>
      <c r="P194" s="85"/>
      <c r="Q194" s="88"/>
      <c r="R194" s="3">
        <f>IFERROR(VLOOKUP(TablaMayo[[#This Row],[BARRIO]],SECTOR!$A:$B,2,0),"")</f>
      </c>
      <c r="S194" s="89"/>
      <c r="T194" s="90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6"/>
      <c r="AZ194" s="120">
        <f>COUNTIF(U194:AY194,"A")</f>
      </c>
      <c r="BA194" s="121">
        <f>COUNTIF(U194:AY194,"F")</f>
      </c>
      <c r="BB194" s="119">
        <f>COUNTIF(U194:AY194,"E")</f>
      </c>
    </row>
    <row r="195" spans="1:54" x14ac:dyDescent="0.2">
      <c r="A195" s="84"/>
      <c r="B195" s="85"/>
      <c r="C195" s="85"/>
      <c r="D195" s="85"/>
      <c r="E195" s="86"/>
      <c r="F195" s="16">
        <f>IF(E195="","",DATEDIF(E195,$I$7,"Y"))</f>
      </c>
      <c r="G195" s="85"/>
      <c r="H195" s="85"/>
      <c r="I195" s="87"/>
      <c r="J195" s="85"/>
      <c r="K195" s="85"/>
      <c r="L195" s="10"/>
      <c r="M195" s="10"/>
      <c r="N195" s="10"/>
      <c r="O195" s="10"/>
      <c r="P195" s="85"/>
      <c r="Q195" s="88"/>
      <c r="R195" s="3">
        <f>IFERROR(VLOOKUP(TablaMayo[[#This Row],[BARRIO]],SECTOR!$A:$B,2,0),"")</f>
      </c>
      <c r="S195" s="89"/>
      <c r="T195" s="90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6"/>
      <c r="AZ195" s="120">
        <f>COUNTIF(U195:AY195,"A")</f>
      </c>
      <c r="BA195" s="121">
        <f>COUNTIF(U195:AY195,"F")</f>
      </c>
      <c r="BB195" s="119">
        <f>COUNTIF(U195:AY195,"E")</f>
      </c>
    </row>
    <row r="196" spans="1:54" x14ac:dyDescent="0.2">
      <c r="A196" s="84"/>
      <c r="B196" s="85"/>
      <c r="C196" s="85"/>
      <c r="D196" s="85"/>
      <c r="E196" s="86"/>
      <c r="F196" s="16">
        <f>IF(E196="","",DATEDIF(E196,$I$7,"Y"))</f>
      </c>
      <c r="G196" s="85"/>
      <c r="H196" s="85"/>
      <c r="I196" s="87"/>
      <c r="J196" s="85"/>
      <c r="K196" s="85"/>
      <c r="L196" s="10"/>
      <c r="M196" s="10"/>
      <c r="N196" s="10"/>
      <c r="O196" s="10"/>
      <c r="P196" s="85"/>
      <c r="Q196" s="88"/>
      <c r="R196" s="3">
        <f>IFERROR(VLOOKUP(TablaMayo[[#This Row],[BARRIO]],SECTOR!$A:$B,2,0),"")</f>
      </c>
      <c r="S196" s="89"/>
      <c r="T196" s="90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6"/>
      <c r="AZ196" s="120">
        <f>COUNTIF(U196:AY196,"A")</f>
      </c>
      <c r="BA196" s="121">
        <f>COUNTIF(U196:AY196,"F")</f>
      </c>
      <c r="BB196" s="119">
        <f>COUNTIF(U196:AY196,"E")</f>
      </c>
    </row>
    <row r="197" spans="1:54" x14ac:dyDescent="0.2">
      <c r="A197" s="84"/>
      <c r="B197" s="85"/>
      <c r="C197" s="85"/>
      <c r="D197" s="85"/>
      <c r="E197" s="86"/>
      <c r="F197" s="16">
        <f>IF(E197="","",DATEDIF(E197,$I$7,"Y"))</f>
      </c>
      <c r="G197" s="85"/>
      <c r="H197" s="85"/>
      <c r="I197" s="87"/>
      <c r="J197" s="85"/>
      <c r="K197" s="85"/>
      <c r="L197" s="10"/>
      <c r="M197" s="10"/>
      <c r="N197" s="10"/>
      <c r="O197" s="10"/>
      <c r="P197" s="85"/>
      <c r="Q197" s="88"/>
      <c r="R197" s="3">
        <f>IFERROR(VLOOKUP(TablaMayo[[#This Row],[BARRIO]],SECTOR!$A:$B,2,0),"")</f>
      </c>
      <c r="S197" s="89"/>
      <c r="T197" s="90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6"/>
      <c r="AZ197" s="120">
        <f>COUNTIF(U197:AY197,"A")</f>
      </c>
      <c r="BA197" s="121">
        <f>COUNTIF(U197:AY197,"F")</f>
      </c>
      <c r="BB197" s="119">
        <f>COUNTIF(U197:AY197,"E")</f>
      </c>
    </row>
    <row r="198" spans="1:54" x14ac:dyDescent="0.2">
      <c r="A198" s="84"/>
      <c r="B198" s="85"/>
      <c r="C198" s="85"/>
      <c r="D198" s="85"/>
      <c r="E198" s="86"/>
      <c r="F198" s="16">
        <f>IF(E198="","",DATEDIF(E198,$I$7,"Y"))</f>
      </c>
      <c r="G198" s="85"/>
      <c r="H198" s="85"/>
      <c r="I198" s="87"/>
      <c r="J198" s="85"/>
      <c r="K198" s="85"/>
      <c r="L198" s="10"/>
      <c r="M198" s="10"/>
      <c r="N198" s="10"/>
      <c r="O198" s="10"/>
      <c r="P198" s="85"/>
      <c r="Q198" s="88"/>
      <c r="R198" s="3">
        <f>IFERROR(VLOOKUP(TablaMayo[[#This Row],[BARRIO]],SECTOR!$A:$B,2,0),"")</f>
      </c>
      <c r="S198" s="89"/>
      <c r="T198" s="90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6"/>
      <c r="AZ198" s="120">
        <f>COUNTIF(U198:AY198,"A")</f>
      </c>
      <c r="BA198" s="121">
        <f>COUNTIF(U198:AY198,"F")</f>
      </c>
      <c r="BB198" s="119">
        <f>COUNTIF(U198:AY198,"E")</f>
      </c>
    </row>
    <row r="199" spans="1:54" x14ac:dyDescent="0.2">
      <c r="A199" s="84"/>
      <c r="B199" s="85"/>
      <c r="C199" s="85"/>
      <c r="D199" s="85"/>
      <c r="E199" s="86"/>
      <c r="F199" s="16">
        <f>IF(E199="","",DATEDIF(E199,$I$7,"Y"))</f>
      </c>
      <c r="G199" s="85"/>
      <c r="H199" s="85"/>
      <c r="I199" s="87"/>
      <c r="J199" s="85"/>
      <c r="K199" s="85"/>
      <c r="L199" s="10"/>
      <c r="M199" s="10"/>
      <c r="N199" s="10"/>
      <c r="O199" s="10"/>
      <c r="P199" s="85"/>
      <c r="Q199" s="88"/>
      <c r="R199" s="3">
        <f>IFERROR(VLOOKUP(TablaMayo[[#This Row],[BARRIO]],SECTOR!$A:$B,2,0),"")</f>
      </c>
      <c r="S199" s="89"/>
      <c r="T199" s="90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6"/>
      <c r="AZ199" s="120">
        <f>COUNTIF(U199:AY199,"A")</f>
      </c>
      <c r="BA199" s="121">
        <f>COUNTIF(U199:AY199,"F")</f>
      </c>
      <c r="BB199" s="119">
        <f>COUNTIF(U199:AY199,"E")</f>
      </c>
    </row>
    <row r="200" spans="1:54" x14ac:dyDescent="0.2">
      <c r="A200" s="84"/>
      <c r="B200" s="85"/>
      <c r="C200" s="85"/>
      <c r="D200" s="85"/>
      <c r="E200" s="86"/>
      <c r="F200" s="16">
        <f>IF(E200="","",DATEDIF(E200,$I$7,"Y"))</f>
      </c>
      <c r="G200" s="85"/>
      <c r="H200" s="85"/>
      <c r="I200" s="87"/>
      <c r="J200" s="85"/>
      <c r="K200" s="85"/>
      <c r="L200" s="10"/>
      <c r="M200" s="10"/>
      <c r="N200" s="10"/>
      <c r="O200" s="10"/>
      <c r="P200" s="85"/>
      <c r="Q200" s="88"/>
      <c r="R200" s="3">
        <f>IFERROR(VLOOKUP(TablaMayo[[#This Row],[BARRIO]],SECTOR!$A:$B,2,0),"")</f>
      </c>
      <c r="S200" s="89"/>
      <c r="T200" s="90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6"/>
      <c r="AZ200" s="120">
        <f>COUNTIF(U200:AY200,"A")</f>
      </c>
      <c r="BA200" s="121">
        <f>COUNTIF(U200:AY200,"F")</f>
      </c>
      <c r="BB200" s="119">
        <f>COUNTIF(U200:AY200,"E")</f>
      </c>
    </row>
    <row r="201" spans="1:54" x14ac:dyDescent="0.2">
      <c r="A201" s="84"/>
      <c r="B201" s="85"/>
      <c r="C201" s="85"/>
      <c r="D201" s="85"/>
      <c r="E201" s="86"/>
      <c r="F201" s="16">
        <f>IF(E201="","",DATEDIF(E201,$I$7,"Y"))</f>
      </c>
      <c r="G201" s="85"/>
      <c r="H201" s="85"/>
      <c r="I201" s="87"/>
      <c r="J201" s="85"/>
      <c r="K201" s="85"/>
      <c r="L201" s="10"/>
      <c r="M201" s="10"/>
      <c r="N201" s="10"/>
      <c r="O201" s="10"/>
      <c r="P201" s="85"/>
      <c r="Q201" s="88"/>
      <c r="R201" s="3">
        <f>IFERROR(VLOOKUP(TablaMayo[[#This Row],[BARRIO]],SECTOR!$A:$B,2,0),"")</f>
      </c>
      <c r="S201" s="89"/>
      <c r="T201" s="90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6"/>
      <c r="AZ201" s="120">
        <f>COUNTIF(U201:AY201,"A")</f>
      </c>
      <c r="BA201" s="121">
        <f>COUNTIF(U201:AY201,"F")</f>
      </c>
      <c r="BB201" s="119">
        <f>COUNTIF(U201:AY201,"E")</f>
      </c>
    </row>
    <row r="202" spans="1:54" x14ac:dyDescent="0.2">
      <c r="A202" s="84"/>
      <c r="B202" s="85"/>
      <c r="C202" s="85"/>
      <c r="D202" s="85"/>
      <c r="E202" s="86"/>
      <c r="F202" s="16">
        <f>IF(E202="","",DATEDIF(E202,$I$7,"Y"))</f>
      </c>
      <c r="G202" s="85"/>
      <c r="H202" s="85"/>
      <c r="I202" s="87"/>
      <c r="J202" s="85"/>
      <c r="K202" s="85"/>
      <c r="L202" s="10"/>
      <c r="M202" s="10"/>
      <c r="N202" s="10"/>
      <c r="O202" s="10"/>
      <c r="P202" s="85"/>
      <c r="Q202" s="88"/>
      <c r="R202" s="3">
        <f>IFERROR(VLOOKUP(TablaMayo[[#This Row],[BARRIO]],SECTOR!$A:$B,2,0),"")</f>
      </c>
      <c r="S202" s="89"/>
      <c r="T202" s="90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6"/>
      <c r="AZ202" s="120">
        <f>COUNTIF(U202:AY202,"A")</f>
      </c>
      <c r="BA202" s="121">
        <f>COUNTIF(U202:AY202,"F")</f>
      </c>
      <c r="BB202" s="119">
        <f>COUNTIF(U202:AY202,"E")</f>
      </c>
    </row>
    <row r="203" spans="1:54" x14ac:dyDescent="0.2">
      <c r="A203" s="84"/>
      <c r="B203" s="85"/>
      <c r="C203" s="85"/>
      <c r="D203" s="85"/>
      <c r="E203" s="86"/>
      <c r="F203" s="16">
        <f>IF(E203="","",DATEDIF(E203,$I$7,"Y"))</f>
      </c>
      <c r="G203" s="85"/>
      <c r="H203" s="85"/>
      <c r="I203" s="87"/>
      <c r="J203" s="85"/>
      <c r="K203" s="85"/>
      <c r="L203" s="10"/>
      <c r="M203" s="10"/>
      <c r="N203" s="10"/>
      <c r="O203" s="10"/>
      <c r="P203" s="85"/>
      <c r="Q203" s="88"/>
      <c r="R203" s="3">
        <f>IFERROR(VLOOKUP(TablaMayo[[#This Row],[BARRIO]],SECTOR!$A:$B,2,0),"")</f>
      </c>
      <c r="S203" s="89"/>
      <c r="T203" s="90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6"/>
      <c r="AZ203" s="120">
        <f>COUNTIF(U203:AY203,"A")</f>
      </c>
      <c r="BA203" s="121">
        <f>COUNTIF(U203:AY203,"F")</f>
      </c>
      <c r="BB203" s="119">
        <f>COUNTIF(U203:AY203,"E")</f>
      </c>
    </row>
    <row r="204" spans="1:54" x14ac:dyDescent="0.2">
      <c r="A204" s="84"/>
      <c r="B204" s="85"/>
      <c r="C204" s="85"/>
      <c r="D204" s="85"/>
      <c r="E204" s="86"/>
      <c r="F204" s="16">
        <f>IF(E204="","",DATEDIF(E204,$I$7,"Y"))</f>
      </c>
      <c r="G204" s="85"/>
      <c r="H204" s="85"/>
      <c r="I204" s="87"/>
      <c r="J204" s="85"/>
      <c r="K204" s="85"/>
      <c r="L204" s="10"/>
      <c r="M204" s="10"/>
      <c r="N204" s="10"/>
      <c r="O204" s="10"/>
      <c r="P204" s="85"/>
      <c r="Q204" s="88"/>
      <c r="R204" s="3">
        <f>IFERROR(VLOOKUP(TablaMayo[[#This Row],[BARRIO]],SECTOR!$A:$B,2,0),"")</f>
      </c>
      <c r="S204" s="89"/>
      <c r="T204" s="90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6"/>
      <c r="AZ204" s="120">
        <f>COUNTIF(U204:AY204,"A")</f>
      </c>
      <c r="BA204" s="121">
        <f>COUNTIF(U204:AY204,"F")</f>
      </c>
      <c r="BB204" s="119">
        <f>COUNTIF(U204:AY204,"E")</f>
      </c>
    </row>
    <row r="205" spans="1:54" x14ac:dyDescent="0.2">
      <c r="A205" s="84"/>
      <c r="B205" s="85"/>
      <c r="C205" s="85"/>
      <c r="D205" s="85"/>
      <c r="E205" s="86"/>
      <c r="F205" s="16">
        <f>IF(E205="","",DATEDIF(E205,$I$7,"Y"))</f>
      </c>
      <c r="G205" s="85"/>
      <c r="H205" s="85"/>
      <c r="I205" s="87"/>
      <c r="J205" s="85"/>
      <c r="K205" s="85"/>
      <c r="L205" s="10"/>
      <c r="M205" s="10"/>
      <c r="N205" s="10"/>
      <c r="O205" s="10"/>
      <c r="P205" s="85"/>
      <c r="Q205" s="88"/>
      <c r="R205" s="3">
        <f>IFERROR(VLOOKUP(TablaMayo[[#This Row],[BARRIO]],SECTOR!$A:$B,2,0),"")</f>
      </c>
      <c r="S205" s="89"/>
      <c r="T205" s="90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6"/>
      <c r="AZ205" s="120">
        <f>COUNTIF(U205:AY205,"A")</f>
      </c>
      <c r="BA205" s="121">
        <f>COUNTIF(U205:AY205,"F")</f>
      </c>
      <c r="BB205" s="119">
        <f>COUNTIF(U205:AY205,"E")</f>
      </c>
    </row>
    <row r="206" spans="1:54" x14ac:dyDescent="0.2">
      <c r="A206" s="84"/>
      <c r="B206" s="85"/>
      <c r="C206" s="85"/>
      <c r="D206" s="85"/>
      <c r="E206" s="86"/>
      <c r="F206" s="16">
        <f>IF(E206="","",DATEDIF(E206,$I$7,"Y"))</f>
      </c>
      <c r="G206" s="85"/>
      <c r="H206" s="85"/>
      <c r="I206" s="87"/>
      <c r="J206" s="85"/>
      <c r="K206" s="85"/>
      <c r="L206" s="10"/>
      <c r="M206" s="10"/>
      <c r="N206" s="10"/>
      <c r="O206" s="10"/>
      <c r="P206" s="85"/>
      <c r="Q206" s="88"/>
      <c r="R206" s="3">
        <f>IFERROR(VLOOKUP(TablaMayo[[#This Row],[BARRIO]],SECTOR!$A:$B,2,0),"")</f>
      </c>
      <c r="S206" s="89"/>
      <c r="T206" s="90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6"/>
      <c r="AZ206" s="120">
        <f>COUNTIF(U206:AY206,"A")</f>
      </c>
      <c r="BA206" s="121">
        <f>COUNTIF(U206:AY206,"F")</f>
      </c>
      <c r="BB206" s="119">
        <f>COUNTIF(U206:AY206,"E")</f>
      </c>
    </row>
    <row r="207" spans="1:54" x14ac:dyDescent="0.2">
      <c r="A207" s="84"/>
      <c r="B207" s="85"/>
      <c r="C207" s="85"/>
      <c r="D207" s="85"/>
      <c r="E207" s="86"/>
      <c r="F207" s="16">
        <f>IF(E207="","",DATEDIF(E207,$I$7,"Y"))</f>
      </c>
      <c r="G207" s="85"/>
      <c r="H207" s="85"/>
      <c r="I207" s="87"/>
      <c r="J207" s="85"/>
      <c r="K207" s="85"/>
      <c r="L207" s="10"/>
      <c r="M207" s="10"/>
      <c r="N207" s="10"/>
      <c r="O207" s="10"/>
      <c r="P207" s="85"/>
      <c r="Q207" s="88"/>
      <c r="R207" s="3">
        <f>IFERROR(VLOOKUP(TablaMayo[[#This Row],[BARRIO]],SECTOR!$A:$B,2,0),"")</f>
      </c>
      <c r="S207" s="89"/>
      <c r="T207" s="90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6"/>
      <c r="AZ207" s="120">
        <f>COUNTIF(U207:AY207,"A")</f>
      </c>
      <c r="BA207" s="121">
        <f>COUNTIF(U207:AY207,"F")</f>
      </c>
      <c r="BB207" s="119">
        <f>COUNTIF(U207:AY207,"E")</f>
      </c>
    </row>
    <row r="208" spans="1:54" x14ac:dyDescent="0.2">
      <c r="A208" s="84"/>
      <c r="B208" s="85"/>
      <c r="C208" s="85"/>
      <c r="D208" s="85"/>
      <c r="E208" s="86"/>
      <c r="F208" s="16">
        <f>IF(E208="","",DATEDIF(E208,$I$7,"Y"))</f>
      </c>
      <c r="G208" s="85"/>
      <c r="H208" s="85"/>
      <c r="I208" s="87"/>
      <c r="J208" s="85"/>
      <c r="K208" s="85"/>
      <c r="L208" s="10"/>
      <c r="M208" s="10"/>
      <c r="N208" s="10"/>
      <c r="O208" s="10"/>
      <c r="P208" s="85"/>
      <c r="Q208" s="88"/>
      <c r="R208" s="3">
        <f>IFERROR(VLOOKUP(TablaMayo[[#This Row],[BARRIO]],SECTOR!$A:$B,2,0),"")</f>
      </c>
      <c r="S208" s="89"/>
      <c r="T208" s="90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6"/>
      <c r="AZ208" s="120">
        <f>COUNTIF(U208:AY208,"A")</f>
      </c>
      <c r="BA208" s="121">
        <f>COUNTIF(U208:AY208,"F")</f>
      </c>
      <c r="BB208" s="119">
        <f>COUNTIF(U208:AY208,"E")</f>
      </c>
    </row>
    <row r="209" spans="1:54" x14ac:dyDescent="0.2">
      <c r="A209" s="84"/>
      <c r="B209" s="85"/>
      <c r="C209" s="85"/>
      <c r="D209" s="85"/>
      <c r="E209" s="86"/>
      <c r="F209" s="16">
        <f>IF(E209="","",DATEDIF(E209,$I$7,"Y"))</f>
      </c>
      <c r="G209" s="85"/>
      <c r="H209" s="85"/>
      <c r="I209" s="87"/>
      <c r="J209" s="85"/>
      <c r="K209" s="85"/>
      <c r="L209" s="10"/>
      <c r="M209" s="10"/>
      <c r="N209" s="10"/>
      <c r="O209" s="10"/>
      <c r="P209" s="85"/>
      <c r="Q209" s="88"/>
      <c r="R209" s="3">
        <f>IFERROR(VLOOKUP(TablaMayo[[#This Row],[BARRIO]],SECTOR!$A:$B,2,0),"")</f>
      </c>
      <c r="S209" s="89"/>
      <c r="T209" s="90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6"/>
      <c r="AZ209" s="120">
        <f>COUNTIF(U209:AY209,"A")</f>
      </c>
      <c r="BA209" s="121">
        <f>COUNTIF(U209:AY209,"F")</f>
      </c>
      <c r="BB209" s="119">
        <f>COUNTIF(U209:AY209,"E")</f>
      </c>
    </row>
    <row r="210" spans="1:54" x14ac:dyDescent="0.2">
      <c r="A210" s="84"/>
      <c r="B210" s="85"/>
      <c r="C210" s="85"/>
      <c r="D210" s="85"/>
      <c r="E210" s="86"/>
      <c r="F210" s="16">
        <f>IF(E210="","",DATEDIF(E210,$I$7,"Y"))</f>
      </c>
      <c r="G210" s="85"/>
      <c r="H210" s="85"/>
      <c r="I210" s="87"/>
      <c r="J210" s="85"/>
      <c r="K210" s="85"/>
      <c r="L210" s="10"/>
      <c r="M210" s="10"/>
      <c r="N210" s="10"/>
      <c r="O210" s="10"/>
      <c r="P210" s="85"/>
      <c r="Q210" s="88"/>
      <c r="R210" s="3">
        <f>IFERROR(VLOOKUP(TablaMayo[[#This Row],[BARRIO]],SECTOR!$A:$B,2,0),"")</f>
      </c>
      <c r="S210" s="89"/>
      <c r="T210" s="90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6"/>
      <c r="AZ210" s="120">
        <f>COUNTIF(U210:AY210,"A")</f>
      </c>
      <c r="BA210" s="121">
        <f>COUNTIF(U210:AY210,"F")</f>
      </c>
      <c r="BB210" s="119">
        <f>COUNTIF(U210:AY210,"E")</f>
      </c>
    </row>
    <row r="211" spans="1:54" x14ac:dyDescent="0.2">
      <c r="A211" s="84"/>
      <c r="B211" s="85"/>
      <c r="C211" s="85"/>
      <c r="D211" s="85"/>
      <c r="E211" s="86"/>
      <c r="F211" s="16">
        <f>IF(E211="","",DATEDIF(E211,$I$7,"Y"))</f>
      </c>
      <c r="G211" s="85"/>
      <c r="H211" s="85"/>
      <c r="I211" s="87"/>
      <c r="J211" s="85"/>
      <c r="K211" s="85"/>
      <c r="L211" s="10"/>
      <c r="M211" s="10"/>
      <c r="N211" s="10"/>
      <c r="O211" s="10"/>
      <c r="P211" s="85"/>
      <c r="Q211" s="88"/>
      <c r="R211" s="3">
        <f>IFERROR(VLOOKUP(TablaMayo[[#This Row],[BARRIO]],SECTOR!$A:$B,2,0),"")</f>
      </c>
      <c r="S211" s="89"/>
      <c r="T211" s="90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6"/>
      <c r="AZ211" s="120">
        <f>COUNTIF(U211:AY211,"A")</f>
      </c>
      <c r="BA211" s="121">
        <f>COUNTIF(U211:AY211,"F")</f>
      </c>
      <c r="BB211" s="119">
        <f>COUNTIF(U211:AY211,"E")</f>
      </c>
    </row>
    <row r="212" spans="1:54" x14ac:dyDescent="0.2">
      <c r="A212" s="84"/>
      <c r="B212" s="85"/>
      <c r="C212" s="85"/>
      <c r="D212" s="85"/>
      <c r="E212" s="86"/>
      <c r="F212" s="16">
        <f>IF(E212="","",DATEDIF(E212,$I$7,"Y"))</f>
      </c>
      <c r="G212" s="85"/>
      <c r="H212" s="85"/>
      <c r="I212" s="87"/>
      <c r="J212" s="85"/>
      <c r="K212" s="85"/>
      <c r="L212" s="10"/>
      <c r="M212" s="10"/>
      <c r="N212" s="10"/>
      <c r="O212" s="10"/>
      <c r="P212" s="85"/>
      <c r="Q212" s="88"/>
      <c r="R212" s="3">
        <f>IFERROR(VLOOKUP(TablaMayo[[#This Row],[BARRIO]],SECTOR!$A:$B,2,0),"")</f>
      </c>
      <c r="S212" s="89"/>
      <c r="T212" s="90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6"/>
      <c r="AZ212" s="120">
        <f>COUNTIF(U212:AY212,"A")</f>
      </c>
      <c r="BA212" s="121">
        <f>COUNTIF(U212:AY212,"F")</f>
      </c>
      <c r="BB212" s="119">
        <f>COUNTIF(U212:AY212,"E")</f>
      </c>
    </row>
    <row r="213" spans="1:54" x14ac:dyDescent="0.2">
      <c r="A213" s="84"/>
      <c r="B213" s="85"/>
      <c r="C213" s="85"/>
      <c r="D213" s="85"/>
      <c r="E213" s="86"/>
      <c r="F213" s="16">
        <f>IF(E213="","",DATEDIF(E213,$I$7,"Y"))</f>
      </c>
      <c r="G213" s="85"/>
      <c r="H213" s="85"/>
      <c r="I213" s="87"/>
      <c r="J213" s="85"/>
      <c r="K213" s="85"/>
      <c r="L213" s="10"/>
      <c r="M213" s="10"/>
      <c r="N213" s="10"/>
      <c r="O213" s="10"/>
      <c r="P213" s="85"/>
      <c r="Q213" s="88"/>
      <c r="R213" s="3">
        <f>IFERROR(VLOOKUP(TablaMayo[[#This Row],[BARRIO]],SECTOR!$A:$B,2,0),"")</f>
      </c>
      <c r="S213" s="89"/>
      <c r="T213" s="90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6"/>
      <c r="AZ213" s="120">
        <f>COUNTIF(U213:AY213,"A")</f>
      </c>
      <c r="BA213" s="121">
        <f>COUNTIF(U213:AY213,"F")</f>
      </c>
      <c r="BB213" s="119">
        <f>COUNTIF(U213:AY213,"E")</f>
      </c>
    </row>
    <row r="214" spans="1:54" x14ac:dyDescent="0.2">
      <c r="A214" s="84"/>
      <c r="B214" s="85"/>
      <c r="C214" s="85"/>
      <c r="D214" s="85"/>
      <c r="E214" s="86"/>
      <c r="F214" s="16">
        <f>IF(E214="","",DATEDIF(E214,$I$7,"Y"))</f>
      </c>
      <c r="G214" s="85"/>
      <c r="H214" s="85"/>
      <c r="I214" s="87"/>
      <c r="J214" s="85"/>
      <c r="K214" s="85"/>
      <c r="L214" s="10"/>
      <c r="M214" s="10"/>
      <c r="N214" s="10"/>
      <c r="O214" s="10"/>
      <c r="P214" s="85"/>
      <c r="Q214" s="88"/>
      <c r="R214" s="3">
        <f>IFERROR(VLOOKUP(TablaMayo[[#This Row],[BARRIO]],SECTOR!$A:$B,2,0),"")</f>
      </c>
      <c r="S214" s="89"/>
      <c r="T214" s="90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6"/>
      <c r="AZ214" s="120">
        <f>COUNTIF(U214:AY214,"A")</f>
      </c>
      <c r="BA214" s="121">
        <f>COUNTIF(U214:AY214,"F")</f>
      </c>
      <c r="BB214" s="119">
        <f>COUNTIF(U214:AY214,"E")</f>
      </c>
    </row>
    <row r="215" spans="1:54" x14ac:dyDescent="0.2">
      <c r="A215" s="84"/>
      <c r="B215" s="85"/>
      <c r="C215" s="85"/>
      <c r="D215" s="85"/>
      <c r="E215" s="86"/>
      <c r="F215" s="16">
        <f>IF(E215="","",DATEDIF(E215,$I$7,"Y"))</f>
      </c>
      <c r="G215" s="85"/>
      <c r="H215" s="85"/>
      <c r="I215" s="87"/>
      <c r="J215" s="85"/>
      <c r="K215" s="85"/>
      <c r="L215" s="10"/>
      <c r="M215" s="10"/>
      <c r="N215" s="10"/>
      <c r="O215" s="10"/>
      <c r="P215" s="85"/>
      <c r="Q215" s="88"/>
      <c r="R215" s="3">
        <f>IFERROR(VLOOKUP(TablaMayo[[#This Row],[BARRIO]],SECTOR!$A:$B,2,0),"")</f>
      </c>
      <c r="S215" s="89"/>
      <c r="T215" s="90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6"/>
      <c r="AZ215" s="120">
        <f>COUNTIF(U215:AY215,"A")</f>
      </c>
      <c r="BA215" s="121">
        <f>COUNTIF(U215:AY215,"F")</f>
      </c>
      <c r="BB215" s="119">
        <f>COUNTIF(U215:AY215,"E")</f>
      </c>
    </row>
    <row r="216" spans="1:54" x14ac:dyDescent="0.2">
      <c r="A216" s="84"/>
      <c r="B216" s="85"/>
      <c r="C216" s="85"/>
      <c r="D216" s="85"/>
      <c r="E216" s="86"/>
      <c r="F216" s="16">
        <f>IF(E216="","",DATEDIF(E216,$I$7,"Y"))</f>
      </c>
      <c r="G216" s="85"/>
      <c r="H216" s="85"/>
      <c r="I216" s="87"/>
      <c r="J216" s="85"/>
      <c r="K216" s="85"/>
      <c r="L216" s="10"/>
      <c r="M216" s="10"/>
      <c r="N216" s="10"/>
      <c r="O216" s="10"/>
      <c r="P216" s="85"/>
      <c r="Q216" s="88"/>
      <c r="R216" s="3">
        <f>IFERROR(VLOOKUP(TablaMayo[[#This Row],[BARRIO]],SECTOR!$A:$B,2,0),"")</f>
      </c>
      <c r="S216" s="89"/>
      <c r="T216" s="90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6"/>
      <c r="AZ216" s="120">
        <f>COUNTIF(U216:AY216,"A")</f>
      </c>
      <c r="BA216" s="121">
        <f>COUNTIF(U216:AY216,"F")</f>
      </c>
      <c r="BB216" s="119">
        <f>COUNTIF(U216:AY216,"E")</f>
      </c>
    </row>
    <row r="217" spans="1:54" x14ac:dyDescent="0.2">
      <c r="A217" s="84"/>
      <c r="B217" s="85"/>
      <c r="C217" s="85"/>
      <c r="D217" s="85"/>
      <c r="E217" s="86"/>
      <c r="F217" s="16">
        <f>IF(E217="","",DATEDIF(E217,$I$7,"Y"))</f>
      </c>
      <c r="G217" s="85"/>
      <c r="H217" s="85"/>
      <c r="I217" s="87"/>
      <c r="J217" s="85"/>
      <c r="K217" s="85"/>
      <c r="L217" s="10"/>
      <c r="M217" s="10"/>
      <c r="N217" s="10"/>
      <c r="O217" s="10"/>
      <c r="P217" s="85"/>
      <c r="Q217" s="88"/>
      <c r="R217" s="3">
        <f>IFERROR(VLOOKUP(TablaMayo[[#This Row],[BARRIO]],SECTOR!$A:$B,2,0),"")</f>
      </c>
      <c r="S217" s="89"/>
      <c r="T217" s="90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6"/>
      <c r="AZ217" s="120">
        <f>COUNTIF(U217:AY217,"A")</f>
      </c>
      <c r="BA217" s="121">
        <f>COUNTIF(U217:AY217,"F")</f>
      </c>
      <c r="BB217" s="119">
        <f>COUNTIF(U217:AY217,"E")</f>
      </c>
    </row>
    <row r="218" spans="1:54" x14ac:dyDescent="0.2">
      <c r="A218" s="84"/>
      <c r="B218" s="85"/>
      <c r="C218" s="85"/>
      <c r="D218" s="85"/>
      <c r="E218" s="86"/>
      <c r="F218" s="16">
        <f>IF(E218="","",DATEDIF(E218,$I$7,"Y"))</f>
      </c>
      <c r="G218" s="85"/>
      <c r="H218" s="85"/>
      <c r="I218" s="87"/>
      <c r="J218" s="85"/>
      <c r="K218" s="85"/>
      <c r="L218" s="10"/>
      <c r="M218" s="10"/>
      <c r="N218" s="10"/>
      <c r="O218" s="10"/>
      <c r="P218" s="85"/>
      <c r="Q218" s="88"/>
      <c r="R218" s="3">
        <f>IFERROR(VLOOKUP(TablaMayo[[#This Row],[BARRIO]],SECTOR!$A:$B,2,0),"")</f>
      </c>
      <c r="S218" s="89"/>
      <c r="T218" s="90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6"/>
      <c r="AZ218" s="120">
        <f>COUNTIF(U218:AY218,"A")</f>
      </c>
      <c r="BA218" s="121">
        <f>COUNTIF(U218:AY218,"F")</f>
      </c>
      <c r="BB218" s="119">
        <f>COUNTIF(U218:AY218,"E")</f>
      </c>
    </row>
    <row r="219" spans="1:54" x14ac:dyDescent="0.2">
      <c r="A219" s="84"/>
      <c r="B219" s="85"/>
      <c r="C219" s="85"/>
      <c r="D219" s="85"/>
      <c r="E219" s="86"/>
      <c r="F219" s="16">
        <f>IF(E219="","",DATEDIF(E219,$I$7,"Y"))</f>
      </c>
      <c r="G219" s="85"/>
      <c r="H219" s="85"/>
      <c r="I219" s="87"/>
      <c r="J219" s="85"/>
      <c r="K219" s="85"/>
      <c r="L219" s="10"/>
      <c r="M219" s="10"/>
      <c r="N219" s="10"/>
      <c r="O219" s="10"/>
      <c r="P219" s="85"/>
      <c r="Q219" s="88"/>
      <c r="R219" s="3">
        <f>IFERROR(VLOOKUP(TablaMayo[[#This Row],[BARRIO]],SECTOR!$A:$B,2,0),"")</f>
      </c>
      <c r="S219" s="89"/>
      <c r="T219" s="90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6"/>
      <c r="AZ219" s="120">
        <f>COUNTIF(U219:AY219,"A")</f>
      </c>
      <c r="BA219" s="121">
        <f>COUNTIF(U219:AY219,"F")</f>
      </c>
      <c r="BB219" s="119">
        <f>COUNTIF(U219:AY219,"E")</f>
      </c>
    </row>
    <row r="220" spans="1:54" x14ac:dyDescent="0.2">
      <c r="A220" s="84"/>
      <c r="B220" s="85"/>
      <c r="C220" s="85"/>
      <c r="D220" s="85"/>
      <c r="E220" s="86"/>
      <c r="F220" s="16">
        <f>IF(E220="","",DATEDIF(E220,$I$7,"Y"))</f>
      </c>
      <c r="G220" s="85"/>
      <c r="H220" s="85"/>
      <c r="I220" s="87"/>
      <c r="J220" s="85"/>
      <c r="K220" s="85"/>
      <c r="L220" s="10"/>
      <c r="M220" s="10"/>
      <c r="N220" s="10"/>
      <c r="O220" s="10"/>
      <c r="P220" s="85"/>
      <c r="Q220" s="88"/>
      <c r="R220" s="3">
        <f>IFERROR(VLOOKUP(TablaMayo[[#This Row],[BARRIO]],SECTOR!$A:$B,2,0),"")</f>
      </c>
      <c r="S220" s="89"/>
      <c r="T220" s="90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6"/>
      <c r="AZ220" s="120">
        <f>COUNTIF(U220:AY220,"A")</f>
      </c>
      <c r="BA220" s="121">
        <f>COUNTIF(U220:AY220,"F")</f>
      </c>
      <c r="BB220" s="119">
        <f>COUNTIF(U220:AY220,"E")</f>
      </c>
    </row>
    <row r="221" spans="1:54" x14ac:dyDescent="0.2">
      <c r="A221" s="84"/>
      <c r="B221" s="85"/>
      <c r="C221" s="85"/>
      <c r="D221" s="85"/>
      <c r="E221" s="86"/>
      <c r="F221" s="16">
        <f>IF(E221="","",DATEDIF(E221,$I$7,"Y"))</f>
      </c>
      <c r="G221" s="85"/>
      <c r="H221" s="85"/>
      <c r="I221" s="87"/>
      <c r="J221" s="85"/>
      <c r="K221" s="85"/>
      <c r="L221" s="10"/>
      <c r="M221" s="10"/>
      <c r="N221" s="10"/>
      <c r="O221" s="10"/>
      <c r="P221" s="85"/>
      <c r="Q221" s="88"/>
      <c r="R221" s="3">
        <f>IFERROR(VLOOKUP(TablaMayo[[#This Row],[BARRIO]],SECTOR!$A:$B,2,0),"")</f>
      </c>
      <c r="S221" s="89"/>
      <c r="T221" s="90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6"/>
      <c r="AZ221" s="120">
        <f>COUNTIF(U221:AY221,"A")</f>
      </c>
      <c r="BA221" s="121">
        <f>COUNTIF(U221:AY221,"F")</f>
      </c>
      <c r="BB221" s="119">
        <f>COUNTIF(U221:AY221,"E")</f>
      </c>
    </row>
    <row r="222" spans="1:54" x14ac:dyDescent="0.2">
      <c r="A222" s="84"/>
      <c r="B222" s="85"/>
      <c r="C222" s="85"/>
      <c r="D222" s="85"/>
      <c r="E222" s="86"/>
      <c r="F222" s="16">
        <f>IF(E222="","",DATEDIF(E222,$I$7,"Y"))</f>
      </c>
      <c r="G222" s="85"/>
      <c r="H222" s="85"/>
      <c r="I222" s="87"/>
      <c r="J222" s="85"/>
      <c r="K222" s="85"/>
      <c r="L222" s="10"/>
      <c r="M222" s="10"/>
      <c r="N222" s="10"/>
      <c r="O222" s="10"/>
      <c r="P222" s="85"/>
      <c r="Q222" s="88"/>
      <c r="R222" s="3">
        <f>IFERROR(VLOOKUP(TablaMayo[[#This Row],[BARRIO]],SECTOR!$A:$B,2,0),"")</f>
      </c>
      <c r="S222" s="89"/>
      <c r="T222" s="90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6"/>
      <c r="AZ222" s="120">
        <f>COUNTIF(U222:AY222,"A")</f>
      </c>
      <c r="BA222" s="121">
        <f>COUNTIF(U222:AY222,"F")</f>
      </c>
      <c r="BB222" s="119">
        <f>COUNTIF(U222:AY222,"E")</f>
      </c>
    </row>
    <row r="223" spans="1:54" x14ac:dyDescent="0.2">
      <c r="A223" s="84"/>
      <c r="B223" s="85"/>
      <c r="C223" s="85"/>
      <c r="D223" s="85"/>
      <c r="E223" s="86"/>
      <c r="F223" s="16">
        <f>IF(E223="","",DATEDIF(E223,$I$7,"Y"))</f>
      </c>
      <c r="G223" s="85"/>
      <c r="H223" s="85"/>
      <c r="I223" s="87"/>
      <c r="J223" s="85"/>
      <c r="K223" s="85"/>
      <c r="L223" s="10"/>
      <c r="M223" s="10"/>
      <c r="N223" s="10"/>
      <c r="O223" s="10"/>
      <c r="P223" s="85"/>
      <c r="Q223" s="88"/>
      <c r="R223" s="3">
        <f>IFERROR(VLOOKUP(TablaMayo[[#This Row],[BARRIO]],SECTOR!$A:$B,2,0),"")</f>
      </c>
      <c r="S223" s="89"/>
      <c r="T223" s="90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6"/>
      <c r="AZ223" s="120">
        <f>COUNTIF(U223:AY223,"A")</f>
      </c>
      <c r="BA223" s="121">
        <f>COUNTIF(U223:AY223,"F")</f>
      </c>
      <c r="BB223" s="119">
        <f>COUNTIF(U223:AY223,"E")</f>
      </c>
    </row>
    <row r="224" spans="1:54" x14ac:dyDescent="0.2">
      <c r="A224" s="84"/>
      <c r="B224" s="85"/>
      <c r="C224" s="85"/>
      <c r="D224" s="85"/>
      <c r="E224" s="86"/>
      <c r="F224" s="16">
        <f>IF(E224="","",DATEDIF(E224,$I$7,"Y"))</f>
      </c>
      <c r="G224" s="85"/>
      <c r="H224" s="85"/>
      <c r="I224" s="87"/>
      <c r="J224" s="85"/>
      <c r="K224" s="85"/>
      <c r="L224" s="10"/>
      <c r="M224" s="10"/>
      <c r="N224" s="10"/>
      <c r="O224" s="10"/>
      <c r="P224" s="85"/>
      <c r="Q224" s="88"/>
      <c r="R224" s="3">
        <f>IFERROR(VLOOKUP(TablaMayo[[#This Row],[BARRIO]],SECTOR!$A:$B,2,0),"")</f>
      </c>
      <c r="S224" s="89"/>
      <c r="T224" s="90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6"/>
      <c r="AZ224" s="120">
        <f>COUNTIF(U224:AY224,"A")</f>
      </c>
      <c r="BA224" s="121">
        <f>COUNTIF(U224:AY224,"F")</f>
      </c>
      <c r="BB224" s="119">
        <f>COUNTIF(U224:AY224,"E")</f>
      </c>
    </row>
    <row r="225" spans="1:54" x14ac:dyDescent="0.2">
      <c r="A225" s="84"/>
      <c r="B225" s="85"/>
      <c r="C225" s="85"/>
      <c r="D225" s="85"/>
      <c r="E225" s="86"/>
      <c r="F225" s="16">
        <f>IF(E225="","",DATEDIF(E225,$I$7,"Y"))</f>
      </c>
      <c r="G225" s="85"/>
      <c r="H225" s="85"/>
      <c r="I225" s="87"/>
      <c r="J225" s="85"/>
      <c r="K225" s="85"/>
      <c r="L225" s="10"/>
      <c r="M225" s="10"/>
      <c r="N225" s="10"/>
      <c r="O225" s="10"/>
      <c r="P225" s="85"/>
      <c r="Q225" s="88"/>
      <c r="R225" s="3">
        <f>IFERROR(VLOOKUP(TablaMayo[[#This Row],[BARRIO]],SECTOR!$A:$B,2,0),"")</f>
      </c>
      <c r="S225" s="89"/>
      <c r="T225" s="90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6"/>
      <c r="AZ225" s="120">
        <f>COUNTIF(U225:AY225,"A")</f>
      </c>
      <c r="BA225" s="121">
        <f>COUNTIF(U225:AY225,"F")</f>
      </c>
      <c r="BB225" s="119">
        <f>COUNTIF(U225:AY225,"E")</f>
      </c>
    </row>
    <row r="226" spans="1:54" x14ac:dyDescent="0.2">
      <c r="A226" s="84"/>
      <c r="B226" s="85"/>
      <c r="C226" s="85"/>
      <c r="D226" s="85"/>
      <c r="E226" s="86"/>
      <c r="F226" s="16">
        <f>IF(E226="","",DATEDIF(E226,$I$7,"Y"))</f>
      </c>
      <c r="G226" s="85"/>
      <c r="H226" s="85"/>
      <c r="I226" s="87"/>
      <c r="J226" s="85"/>
      <c r="K226" s="85"/>
      <c r="L226" s="10"/>
      <c r="M226" s="10"/>
      <c r="N226" s="10"/>
      <c r="O226" s="10"/>
      <c r="P226" s="85"/>
      <c r="Q226" s="88"/>
      <c r="R226" s="3">
        <f>IFERROR(VLOOKUP(TablaMayo[[#This Row],[BARRIO]],SECTOR!$A:$B,2,0),"")</f>
      </c>
      <c r="S226" s="89"/>
      <c r="T226" s="90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6"/>
      <c r="AZ226" s="120">
        <f>COUNTIF(U226:AY226,"A")</f>
      </c>
      <c r="BA226" s="121">
        <f>COUNTIF(U226:AY226,"F")</f>
      </c>
      <c r="BB226" s="119">
        <f>COUNTIF(U226:AY226,"E")</f>
      </c>
    </row>
    <row r="227" spans="1:54" x14ac:dyDescent="0.2">
      <c r="A227" s="84"/>
      <c r="B227" s="85"/>
      <c r="C227" s="85"/>
      <c r="D227" s="85"/>
      <c r="E227" s="86"/>
      <c r="F227" s="16">
        <f>IF(E227="","",DATEDIF(E227,$I$7,"Y"))</f>
      </c>
      <c r="G227" s="85"/>
      <c r="H227" s="85"/>
      <c r="I227" s="87"/>
      <c r="J227" s="85"/>
      <c r="K227" s="85"/>
      <c r="L227" s="10"/>
      <c r="M227" s="10"/>
      <c r="N227" s="10"/>
      <c r="O227" s="10"/>
      <c r="P227" s="85"/>
      <c r="Q227" s="88"/>
      <c r="R227" s="3">
        <f>IFERROR(VLOOKUP(TablaMayo[[#This Row],[BARRIO]],SECTOR!$A:$B,2,0),"")</f>
      </c>
      <c r="S227" s="89"/>
      <c r="T227" s="90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6"/>
      <c r="AZ227" s="120">
        <f>COUNTIF(U227:AY227,"A")</f>
      </c>
      <c r="BA227" s="121">
        <f>COUNTIF(U227:AY227,"F")</f>
      </c>
      <c r="BB227" s="119">
        <f>COUNTIF(U227:AY227,"E")</f>
      </c>
    </row>
    <row r="228" spans="1:54" x14ac:dyDescent="0.2">
      <c r="A228" s="84"/>
      <c r="B228" s="85"/>
      <c r="C228" s="85"/>
      <c r="D228" s="85"/>
      <c r="E228" s="86"/>
      <c r="F228" s="16">
        <f>IF(E228="","",DATEDIF(E228,$I$7,"Y"))</f>
      </c>
      <c r="G228" s="85"/>
      <c r="H228" s="85"/>
      <c r="I228" s="87"/>
      <c r="J228" s="85"/>
      <c r="K228" s="85"/>
      <c r="L228" s="10"/>
      <c r="M228" s="10"/>
      <c r="N228" s="10"/>
      <c r="O228" s="10"/>
      <c r="P228" s="85"/>
      <c r="Q228" s="88"/>
      <c r="R228" s="3">
        <f>IFERROR(VLOOKUP(TablaMayo[[#This Row],[BARRIO]],SECTOR!$A:$B,2,0),"")</f>
      </c>
      <c r="S228" s="89"/>
      <c r="T228" s="90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6"/>
      <c r="AZ228" s="120">
        <f>COUNTIF(U228:AY228,"A")</f>
      </c>
      <c r="BA228" s="121">
        <f>COUNTIF(U228:AY228,"F")</f>
      </c>
      <c r="BB228" s="119">
        <f>COUNTIF(U228:AY228,"E")</f>
      </c>
    </row>
    <row r="229" spans="1:54" x14ac:dyDescent="0.2">
      <c r="A229" s="84"/>
      <c r="B229" s="85"/>
      <c r="C229" s="85"/>
      <c r="D229" s="85"/>
      <c r="E229" s="86"/>
      <c r="F229" s="16">
        <f>IF(E229="","",DATEDIF(E229,$I$7,"Y"))</f>
      </c>
      <c r="G229" s="85"/>
      <c r="H229" s="85"/>
      <c r="I229" s="87"/>
      <c r="J229" s="85"/>
      <c r="K229" s="85"/>
      <c r="L229" s="10"/>
      <c r="M229" s="10"/>
      <c r="N229" s="10"/>
      <c r="O229" s="10"/>
      <c r="P229" s="85"/>
      <c r="Q229" s="88"/>
      <c r="R229" s="3">
        <f>IFERROR(VLOOKUP(TablaMayo[[#This Row],[BARRIO]],SECTOR!$A:$B,2,0),"")</f>
      </c>
      <c r="S229" s="89"/>
      <c r="T229" s="90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6"/>
      <c r="AZ229" s="120">
        <f>COUNTIF(U229:AY229,"A")</f>
      </c>
      <c r="BA229" s="121">
        <f>COUNTIF(U229:AY229,"F")</f>
      </c>
      <c r="BB229" s="119">
        <f>COUNTIF(U229:AY229,"E")</f>
      </c>
    </row>
    <row r="230" spans="1:54" x14ac:dyDescent="0.2">
      <c r="A230" s="84"/>
      <c r="B230" s="85"/>
      <c r="C230" s="85"/>
      <c r="D230" s="85"/>
      <c r="E230" s="86"/>
      <c r="F230" s="16">
        <f>IF(E230="","",DATEDIF(E230,$I$7,"Y"))</f>
      </c>
      <c r="G230" s="85"/>
      <c r="H230" s="85"/>
      <c r="I230" s="87"/>
      <c r="J230" s="85"/>
      <c r="K230" s="85"/>
      <c r="L230" s="10"/>
      <c r="M230" s="10"/>
      <c r="N230" s="10"/>
      <c r="O230" s="10"/>
      <c r="P230" s="85"/>
      <c r="Q230" s="88"/>
      <c r="R230" s="3">
        <f>IFERROR(VLOOKUP(TablaMayo[[#This Row],[BARRIO]],SECTOR!$A:$B,2,0),"")</f>
      </c>
      <c r="S230" s="89"/>
      <c r="T230" s="90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6"/>
      <c r="AZ230" s="120">
        <f>COUNTIF(U230:AY230,"A")</f>
      </c>
      <c r="BA230" s="121">
        <f>COUNTIF(U230:AY230,"F")</f>
      </c>
      <c r="BB230" s="119">
        <f>COUNTIF(U230:AY230,"E")</f>
      </c>
    </row>
    <row r="231" spans="1:54" x14ac:dyDescent="0.2">
      <c r="A231" s="84"/>
      <c r="B231" s="85"/>
      <c r="C231" s="85"/>
      <c r="D231" s="85"/>
      <c r="E231" s="86"/>
      <c r="F231" s="16">
        <f>IF(E231="","",DATEDIF(E231,$I$7,"Y"))</f>
      </c>
      <c r="G231" s="85"/>
      <c r="H231" s="85"/>
      <c r="I231" s="87"/>
      <c r="J231" s="85"/>
      <c r="K231" s="85"/>
      <c r="L231" s="10"/>
      <c r="M231" s="10"/>
      <c r="N231" s="10"/>
      <c r="O231" s="10"/>
      <c r="P231" s="85"/>
      <c r="Q231" s="88"/>
      <c r="R231" s="3">
        <f>IFERROR(VLOOKUP(TablaMayo[[#This Row],[BARRIO]],SECTOR!$A:$B,2,0),"")</f>
      </c>
      <c r="S231" s="89"/>
      <c r="T231" s="90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6"/>
      <c r="AZ231" s="120">
        <f>COUNTIF(U231:AY231,"A")</f>
      </c>
      <c r="BA231" s="121">
        <f>COUNTIF(U231:AY231,"F")</f>
      </c>
      <c r="BB231" s="119">
        <f>COUNTIF(U231:AY231,"E")</f>
      </c>
    </row>
    <row r="232" spans="1:54" x14ac:dyDescent="0.2">
      <c r="A232" s="84"/>
      <c r="B232" s="85"/>
      <c r="C232" s="85"/>
      <c r="D232" s="85"/>
      <c r="E232" s="86"/>
      <c r="F232" s="16">
        <f>IF(E232="","",DATEDIF(E232,$I$7,"Y"))</f>
      </c>
      <c r="G232" s="85"/>
      <c r="H232" s="85"/>
      <c r="I232" s="87"/>
      <c r="J232" s="85"/>
      <c r="K232" s="85"/>
      <c r="L232" s="10"/>
      <c r="M232" s="10"/>
      <c r="N232" s="10"/>
      <c r="O232" s="10"/>
      <c r="P232" s="85"/>
      <c r="Q232" s="88"/>
      <c r="R232" s="3">
        <f>IFERROR(VLOOKUP(TablaMayo[[#This Row],[BARRIO]],SECTOR!$A:$B,2,0),"")</f>
      </c>
      <c r="S232" s="89"/>
      <c r="T232" s="90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6"/>
      <c r="AZ232" s="120">
        <f>COUNTIF(U232:AY232,"A")</f>
      </c>
      <c r="BA232" s="121">
        <f>COUNTIF(U232:AY232,"F")</f>
      </c>
      <c r="BB232" s="119">
        <f>COUNTIF(U232:AY232,"E")</f>
      </c>
    </row>
    <row r="233" spans="1:54" x14ac:dyDescent="0.2">
      <c r="A233" s="84"/>
      <c r="B233" s="85"/>
      <c r="C233" s="85"/>
      <c r="D233" s="85"/>
      <c r="E233" s="86"/>
      <c r="F233" s="16">
        <f>IF(E233="","",DATEDIF(E233,$I$7,"Y"))</f>
      </c>
      <c r="G233" s="85"/>
      <c r="H233" s="85"/>
      <c r="I233" s="87"/>
      <c r="J233" s="85"/>
      <c r="K233" s="85"/>
      <c r="L233" s="10"/>
      <c r="M233" s="10"/>
      <c r="N233" s="10"/>
      <c r="O233" s="10"/>
      <c r="P233" s="85"/>
      <c r="Q233" s="88"/>
      <c r="R233" s="3">
        <f>IFERROR(VLOOKUP(TablaMayo[[#This Row],[BARRIO]],SECTOR!$A:$B,2,0),"")</f>
      </c>
      <c r="S233" s="89"/>
      <c r="T233" s="90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6"/>
      <c r="AZ233" s="120">
        <f>COUNTIF(U233:AY233,"A")</f>
      </c>
      <c r="BA233" s="121">
        <f>COUNTIF(U233:AY233,"F")</f>
      </c>
      <c r="BB233" s="119">
        <f>COUNTIF(U233:AY233,"E")</f>
      </c>
    </row>
    <row r="234" spans="1:54" x14ac:dyDescent="0.2">
      <c r="A234" s="84"/>
      <c r="B234" s="85"/>
      <c r="C234" s="85"/>
      <c r="D234" s="85"/>
      <c r="E234" s="86"/>
      <c r="F234" s="16">
        <f>IF(E234="","",DATEDIF(E234,$I$7,"Y"))</f>
      </c>
      <c r="G234" s="85"/>
      <c r="H234" s="85"/>
      <c r="I234" s="87"/>
      <c r="J234" s="85"/>
      <c r="K234" s="85"/>
      <c r="L234" s="10"/>
      <c r="M234" s="10"/>
      <c r="N234" s="10"/>
      <c r="O234" s="10"/>
      <c r="P234" s="85"/>
      <c r="Q234" s="88"/>
      <c r="R234" s="3">
        <f>IFERROR(VLOOKUP(TablaMayo[[#This Row],[BARRIO]],SECTOR!$A:$B,2,0),"")</f>
      </c>
      <c r="S234" s="89"/>
      <c r="T234" s="90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6"/>
      <c r="AZ234" s="120">
        <f>COUNTIF(U234:AY234,"A")</f>
      </c>
      <c r="BA234" s="121">
        <f>COUNTIF(U234:AY234,"F")</f>
      </c>
      <c r="BB234" s="119">
        <f>COUNTIF(U234:AY234,"E")</f>
      </c>
    </row>
    <row r="235" spans="1:54" x14ac:dyDescent="0.2">
      <c r="A235" s="84"/>
      <c r="B235" s="85"/>
      <c r="C235" s="85"/>
      <c r="D235" s="85"/>
      <c r="E235" s="86"/>
      <c r="F235" s="16">
        <f>IF(E235="","",DATEDIF(E235,$I$7,"Y"))</f>
      </c>
      <c r="G235" s="85"/>
      <c r="H235" s="85"/>
      <c r="I235" s="87"/>
      <c r="J235" s="85"/>
      <c r="K235" s="85"/>
      <c r="L235" s="10"/>
      <c r="M235" s="10"/>
      <c r="N235" s="10"/>
      <c r="O235" s="10"/>
      <c r="P235" s="85"/>
      <c r="Q235" s="88"/>
      <c r="R235" s="3">
        <f>IFERROR(VLOOKUP(TablaMayo[[#This Row],[BARRIO]],SECTOR!$A:$B,2,0),"")</f>
      </c>
      <c r="S235" s="89"/>
      <c r="T235" s="90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6"/>
      <c r="AZ235" s="120">
        <f>COUNTIF(U235:AY235,"A")</f>
      </c>
      <c r="BA235" s="121">
        <f>COUNTIF(U235:AY235,"F")</f>
      </c>
      <c r="BB235" s="119">
        <f>COUNTIF(U235:AY235,"E")</f>
      </c>
    </row>
    <row r="236" spans="1:54" x14ac:dyDescent="0.2">
      <c r="A236" s="84"/>
      <c r="B236" s="85"/>
      <c r="C236" s="85"/>
      <c r="D236" s="85"/>
      <c r="E236" s="86"/>
      <c r="F236" s="16">
        <f>IF(E236="","",DATEDIF(E236,$I$7,"Y"))</f>
      </c>
      <c r="G236" s="85"/>
      <c r="H236" s="85"/>
      <c r="I236" s="87"/>
      <c r="J236" s="85"/>
      <c r="K236" s="85"/>
      <c r="L236" s="10"/>
      <c r="M236" s="10"/>
      <c r="N236" s="10"/>
      <c r="O236" s="10"/>
      <c r="P236" s="85"/>
      <c r="Q236" s="88"/>
      <c r="R236" s="3">
        <f>IFERROR(VLOOKUP(TablaMayo[[#This Row],[BARRIO]],SECTOR!$A:$B,2,0),"")</f>
      </c>
      <c r="S236" s="89"/>
      <c r="T236" s="90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6"/>
      <c r="AZ236" s="120">
        <f>COUNTIF(U236:AY236,"A")</f>
      </c>
      <c r="BA236" s="121">
        <f>COUNTIF(U236:AY236,"F")</f>
      </c>
      <c r="BB236" s="119">
        <f>COUNTIF(U236:AY236,"E")</f>
      </c>
    </row>
    <row r="237" spans="1:54" x14ac:dyDescent="0.2">
      <c r="A237" s="84"/>
      <c r="B237" s="85"/>
      <c r="C237" s="85"/>
      <c r="D237" s="85"/>
      <c r="E237" s="86"/>
      <c r="F237" s="16">
        <f>IF(E237="","",DATEDIF(E237,$I$7,"Y"))</f>
      </c>
      <c r="G237" s="85"/>
      <c r="H237" s="85"/>
      <c r="I237" s="87"/>
      <c r="J237" s="85"/>
      <c r="K237" s="85"/>
      <c r="L237" s="10"/>
      <c r="M237" s="10"/>
      <c r="N237" s="10"/>
      <c r="O237" s="10"/>
      <c r="P237" s="85"/>
      <c r="Q237" s="88"/>
      <c r="R237" s="3">
        <f>IFERROR(VLOOKUP(TablaMayo[[#This Row],[BARRIO]],SECTOR!$A:$B,2,0),"")</f>
      </c>
      <c r="S237" s="89"/>
      <c r="T237" s="90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6"/>
      <c r="AZ237" s="120">
        <f>COUNTIF(U237:AY237,"A")</f>
      </c>
      <c r="BA237" s="121">
        <f>COUNTIF(U237:AY237,"F")</f>
      </c>
      <c r="BB237" s="119">
        <f>COUNTIF(U237:AY237,"E")</f>
      </c>
    </row>
    <row r="238" spans="1:54" x14ac:dyDescent="0.2">
      <c r="A238" s="84"/>
      <c r="B238" s="85"/>
      <c r="C238" s="85"/>
      <c r="D238" s="85"/>
      <c r="E238" s="86"/>
      <c r="F238" s="16">
        <f>IF(E238="","",DATEDIF(E238,$I$7,"Y"))</f>
      </c>
      <c r="G238" s="85"/>
      <c r="H238" s="85"/>
      <c r="I238" s="87"/>
      <c r="J238" s="85"/>
      <c r="K238" s="85"/>
      <c r="L238" s="10"/>
      <c r="M238" s="10"/>
      <c r="N238" s="10"/>
      <c r="O238" s="10"/>
      <c r="P238" s="85"/>
      <c r="Q238" s="88"/>
      <c r="R238" s="3">
        <f>IFERROR(VLOOKUP(TablaMayo[[#This Row],[BARRIO]],SECTOR!$A:$B,2,0),"")</f>
      </c>
      <c r="S238" s="89"/>
      <c r="T238" s="90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6"/>
      <c r="AZ238" s="120">
        <f>COUNTIF(U238:AY238,"A")</f>
      </c>
      <c r="BA238" s="121">
        <f>COUNTIF(U238:AY238,"F")</f>
      </c>
      <c r="BB238" s="119">
        <f>COUNTIF(U238:AY238,"E")</f>
      </c>
    </row>
    <row r="239" spans="1:54" x14ac:dyDescent="0.2">
      <c r="A239" s="84"/>
      <c r="B239" s="85"/>
      <c r="C239" s="85"/>
      <c r="D239" s="85"/>
      <c r="E239" s="86"/>
      <c r="F239" s="16">
        <f>IF(E239="","",DATEDIF(E239,$I$7,"Y"))</f>
      </c>
      <c r="G239" s="85"/>
      <c r="H239" s="85"/>
      <c r="I239" s="87"/>
      <c r="J239" s="85"/>
      <c r="K239" s="85"/>
      <c r="L239" s="10"/>
      <c r="M239" s="10"/>
      <c r="N239" s="10"/>
      <c r="O239" s="10"/>
      <c r="P239" s="85"/>
      <c r="Q239" s="88"/>
      <c r="R239" s="3">
        <f>IFERROR(VLOOKUP(TablaMayo[[#This Row],[BARRIO]],SECTOR!$A:$B,2,0),"")</f>
      </c>
      <c r="S239" s="89"/>
      <c r="T239" s="90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6"/>
      <c r="AZ239" s="120">
        <f>COUNTIF(U239:AY239,"A")</f>
      </c>
      <c r="BA239" s="121">
        <f>COUNTIF(U239:AY239,"F")</f>
      </c>
      <c r="BB239" s="119">
        <f>COUNTIF(U239:AY239,"E")</f>
      </c>
    </row>
    <row r="240" spans="1:54" x14ac:dyDescent="0.2">
      <c r="A240" s="84"/>
      <c r="B240" s="85"/>
      <c r="C240" s="85"/>
      <c r="D240" s="85"/>
      <c r="E240" s="86"/>
      <c r="F240" s="16">
        <f>IF(E240="","",DATEDIF(E240,$I$7,"Y"))</f>
      </c>
      <c r="G240" s="85"/>
      <c r="H240" s="85"/>
      <c r="I240" s="87"/>
      <c r="J240" s="85"/>
      <c r="K240" s="85"/>
      <c r="L240" s="10"/>
      <c r="M240" s="10"/>
      <c r="N240" s="10"/>
      <c r="O240" s="10"/>
      <c r="P240" s="85"/>
      <c r="Q240" s="88"/>
      <c r="R240" s="3">
        <f>IFERROR(VLOOKUP(TablaMayo[[#This Row],[BARRIO]],SECTOR!$A:$B,2,0),"")</f>
      </c>
      <c r="S240" s="89"/>
      <c r="T240" s="90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6"/>
      <c r="AZ240" s="120">
        <f>COUNTIF(U240:AY240,"A")</f>
      </c>
      <c r="BA240" s="121">
        <f>COUNTIF(U240:AY240,"F")</f>
      </c>
      <c r="BB240" s="119">
        <f>COUNTIF(U240:AY240,"E")</f>
      </c>
    </row>
    <row r="241" spans="1:54" x14ac:dyDescent="0.2">
      <c r="A241" s="84"/>
      <c r="B241" s="85"/>
      <c r="C241" s="85"/>
      <c r="D241" s="85"/>
      <c r="E241" s="86"/>
      <c r="F241" s="16">
        <f>IF(E241="","",DATEDIF(E241,$I$7,"Y"))</f>
      </c>
      <c r="G241" s="85"/>
      <c r="H241" s="85"/>
      <c r="I241" s="87"/>
      <c r="J241" s="85"/>
      <c r="K241" s="85"/>
      <c r="L241" s="10"/>
      <c r="M241" s="10"/>
      <c r="N241" s="10"/>
      <c r="O241" s="10"/>
      <c r="P241" s="85"/>
      <c r="Q241" s="88"/>
      <c r="R241" s="3">
        <f>IFERROR(VLOOKUP(TablaMayo[[#This Row],[BARRIO]],SECTOR!$A:$B,2,0),"")</f>
      </c>
      <c r="S241" s="89"/>
      <c r="T241" s="90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6"/>
      <c r="AZ241" s="120">
        <f>COUNTIF(U241:AY241,"A")</f>
      </c>
      <c r="BA241" s="121">
        <f>COUNTIF(U241:AY241,"F")</f>
      </c>
      <c r="BB241" s="119">
        <f>COUNTIF(U241:AY241,"E")</f>
      </c>
    </row>
    <row r="242" spans="1:54" x14ac:dyDescent="0.2">
      <c r="A242" s="84"/>
      <c r="B242" s="85"/>
      <c r="C242" s="85"/>
      <c r="D242" s="85"/>
      <c r="E242" s="86"/>
      <c r="F242" s="16">
        <f>IF(E242="","",DATEDIF(E242,$I$7,"Y"))</f>
      </c>
      <c r="G242" s="85"/>
      <c r="H242" s="85"/>
      <c r="I242" s="87"/>
      <c r="J242" s="85"/>
      <c r="K242" s="85"/>
      <c r="L242" s="10"/>
      <c r="M242" s="10"/>
      <c r="N242" s="10"/>
      <c r="O242" s="10"/>
      <c r="P242" s="85"/>
      <c r="Q242" s="88"/>
      <c r="R242" s="3">
        <f>IFERROR(VLOOKUP(TablaMayo[[#This Row],[BARRIO]],SECTOR!$A:$B,2,0),"")</f>
      </c>
      <c r="S242" s="89"/>
      <c r="T242" s="90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6"/>
      <c r="AZ242" s="120">
        <f>COUNTIF(U242:AY242,"A")</f>
      </c>
      <c r="BA242" s="121">
        <f>COUNTIF(U242:AY242,"F")</f>
      </c>
      <c r="BB242" s="119">
        <f>COUNTIF(U242:AY242,"E")</f>
      </c>
    </row>
    <row r="243" spans="1:54" x14ac:dyDescent="0.2">
      <c r="A243" s="84"/>
      <c r="B243" s="85"/>
      <c r="C243" s="85"/>
      <c r="D243" s="85"/>
      <c r="E243" s="86"/>
      <c r="F243" s="16">
        <f>IF(E243="","",DATEDIF(E243,$I$7,"Y"))</f>
      </c>
      <c r="G243" s="85"/>
      <c r="H243" s="85"/>
      <c r="I243" s="87"/>
      <c r="J243" s="85"/>
      <c r="K243" s="85"/>
      <c r="L243" s="10"/>
      <c r="M243" s="10"/>
      <c r="N243" s="10"/>
      <c r="O243" s="10"/>
      <c r="P243" s="85"/>
      <c r="Q243" s="88"/>
      <c r="R243" s="3">
        <f>IFERROR(VLOOKUP(TablaMayo[[#This Row],[BARRIO]],SECTOR!$A:$B,2,0),"")</f>
      </c>
      <c r="S243" s="89"/>
      <c r="T243" s="90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6"/>
      <c r="AZ243" s="120">
        <f>COUNTIF(U243:AY243,"A")</f>
      </c>
      <c r="BA243" s="121">
        <f>COUNTIF(U243:AY243,"F")</f>
      </c>
      <c r="BB243" s="119">
        <f>COUNTIF(U243:AY243,"E")</f>
      </c>
    </row>
    <row r="244" spans="1:54" x14ac:dyDescent="0.2">
      <c r="A244" s="84"/>
      <c r="B244" s="85"/>
      <c r="C244" s="85"/>
      <c r="D244" s="85"/>
      <c r="E244" s="86"/>
      <c r="F244" s="16">
        <f>IF(E244="","",DATEDIF(E244,$I$7,"Y"))</f>
      </c>
      <c r="G244" s="85"/>
      <c r="H244" s="85"/>
      <c r="I244" s="87"/>
      <c r="J244" s="85"/>
      <c r="K244" s="85"/>
      <c r="L244" s="10"/>
      <c r="M244" s="10"/>
      <c r="N244" s="10"/>
      <c r="O244" s="10"/>
      <c r="P244" s="85"/>
      <c r="Q244" s="88"/>
      <c r="R244" s="3">
        <f>IFERROR(VLOOKUP(TablaMayo[[#This Row],[BARRIO]],SECTOR!$A:$B,2,0),"")</f>
      </c>
      <c r="S244" s="89"/>
      <c r="T244" s="90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6"/>
      <c r="AZ244" s="120">
        <f>COUNTIF(U244:AY244,"A")</f>
      </c>
      <c r="BA244" s="121">
        <f>COUNTIF(U244:AY244,"F")</f>
      </c>
      <c r="BB244" s="119">
        <f>COUNTIF(U244:AY244,"E")</f>
      </c>
    </row>
    <row r="245" spans="1:54" x14ac:dyDescent="0.2">
      <c r="A245" s="84"/>
      <c r="B245" s="85"/>
      <c r="C245" s="85"/>
      <c r="D245" s="85"/>
      <c r="E245" s="86"/>
      <c r="F245" s="16">
        <f>IF(E245="","",DATEDIF(E245,$I$7,"Y"))</f>
      </c>
      <c r="G245" s="85"/>
      <c r="H245" s="85"/>
      <c r="I245" s="87"/>
      <c r="J245" s="85"/>
      <c r="K245" s="85"/>
      <c r="L245" s="10"/>
      <c r="M245" s="10"/>
      <c r="N245" s="10"/>
      <c r="O245" s="10"/>
      <c r="P245" s="85"/>
      <c r="Q245" s="88"/>
      <c r="R245" s="3">
        <f>IFERROR(VLOOKUP(TablaMayo[[#This Row],[BARRIO]],SECTOR!$A:$B,2,0),"")</f>
      </c>
      <c r="S245" s="89"/>
      <c r="T245" s="90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6"/>
      <c r="AZ245" s="120">
        <f>COUNTIF(U245:AY245,"A")</f>
      </c>
      <c r="BA245" s="121">
        <f>COUNTIF(U245:AY245,"F")</f>
      </c>
      <c r="BB245" s="119">
        <f>COUNTIF(U245:AY245,"E")</f>
      </c>
    </row>
    <row r="246" spans="1:54" x14ac:dyDescent="0.2">
      <c r="A246" s="84"/>
      <c r="B246" s="85"/>
      <c r="C246" s="85"/>
      <c r="D246" s="85"/>
      <c r="E246" s="86"/>
      <c r="F246" s="16">
        <f>IF(E246="","",DATEDIF(E246,$I$7,"Y"))</f>
      </c>
      <c r="G246" s="85"/>
      <c r="H246" s="85"/>
      <c r="I246" s="87"/>
      <c r="J246" s="85"/>
      <c r="K246" s="85"/>
      <c r="L246" s="10"/>
      <c r="M246" s="10"/>
      <c r="N246" s="10"/>
      <c r="O246" s="10"/>
      <c r="P246" s="85"/>
      <c r="Q246" s="88"/>
      <c r="R246" s="3">
        <f>IFERROR(VLOOKUP(TablaMayo[[#This Row],[BARRIO]],SECTOR!$A:$B,2,0),"")</f>
      </c>
      <c r="S246" s="89"/>
      <c r="T246" s="90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6"/>
      <c r="AZ246" s="120">
        <f>COUNTIF(U246:AY246,"A")</f>
      </c>
      <c r="BA246" s="121">
        <f>COUNTIF(U246:AY246,"F")</f>
      </c>
      <c r="BB246" s="119">
        <f>COUNTIF(U246:AY246,"E")</f>
      </c>
    </row>
    <row r="247" spans="1:54" x14ac:dyDescent="0.2">
      <c r="A247" s="84"/>
      <c r="B247" s="85"/>
      <c r="C247" s="85"/>
      <c r="D247" s="85"/>
      <c r="E247" s="86"/>
      <c r="F247" s="16">
        <f>IF(E247="","",DATEDIF(E247,$I$7,"Y"))</f>
      </c>
      <c r="G247" s="85"/>
      <c r="H247" s="85"/>
      <c r="I247" s="87"/>
      <c r="J247" s="85"/>
      <c r="K247" s="85"/>
      <c r="L247" s="10"/>
      <c r="M247" s="10"/>
      <c r="N247" s="10"/>
      <c r="O247" s="10"/>
      <c r="P247" s="85"/>
      <c r="Q247" s="88"/>
      <c r="R247" s="3">
        <f>IFERROR(VLOOKUP(TablaMayo[[#This Row],[BARRIO]],SECTOR!$A:$B,2,0),"")</f>
      </c>
      <c r="S247" s="89"/>
      <c r="T247" s="90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6"/>
      <c r="AZ247" s="120">
        <f>COUNTIF(U247:AY247,"A")</f>
      </c>
      <c r="BA247" s="121">
        <f>COUNTIF(U247:AY247,"F")</f>
      </c>
      <c r="BB247" s="119">
        <f>COUNTIF(U247:AY247,"E")</f>
      </c>
    </row>
    <row r="248" spans="1:54" x14ac:dyDescent="0.2">
      <c r="A248" s="84"/>
      <c r="B248" s="85"/>
      <c r="C248" s="85"/>
      <c r="D248" s="85"/>
      <c r="E248" s="86"/>
      <c r="F248" s="16">
        <f>IF(E248="","",DATEDIF(E248,$I$7,"Y"))</f>
      </c>
      <c r="G248" s="85"/>
      <c r="H248" s="85"/>
      <c r="I248" s="87"/>
      <c r="J248" s="85"/>
      <c r="K248" s="85"/>
      <c r="L248" s="10"/>
      <c r="M248" s="10"/>
      <c r="N248" s="10"/>
      <c r="O248" s="10"/>
      <c r="P248" s="85"/>
      <c r="Q248" s="88"/>
      <c r="R248" s="3">
        <f>IFERROR(VLOOKUP(TablaMayo[[#This Row],[BARRIO]],SECTOR!$A:$B,2,0),"")</f>
      </c>
      <c r="S248" s="89"/>
      <c r="T248" s="90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6"/>
      <c r="AZ248" s="120">
        <f>COUNTIF(U248:AY248,"A")</f>
      </c>
      <c r="BA248" s="121">
        <f>COUNTIF(U248:AY248,"F")</f>
      </c>
      <c r="BB248" s="119">
        <f>COUNTIF(U248:AY248,"E")</f>
      </c>
    </row>
    <row r="249" spans="1:54" x14ac:dyDescent="0.2">
      <c r="A249" s="84"/>
      <c r="B249" s="85"/>
      <c r="C249" s="85"/>
      <c r="D249" s="85"/>
      <c r="E249" s="86"/>
      <c r="F249" s="16">
        <f>IF(E249="","",DATEDIF(E249,$I$7,"Y"))</f>
      </c>
      <c r="G249" s="85"/>
      <c r="H249" s="85"/>
      <c r="I249" s="87"/>
      <c r="J249" s="85"/>
      <c r="K249" s="85"/>
      <c r="L249" s="10"/>
      <c r="M249" s="10"/>
      <c r="N249" s="10"/>
      <c r="O249" s="10"/>
      <c r="P249" s="85"/>
      <c r="Q249" s="88"/>
      <c r="R249" s="3">
        <f>IFERROR(VLOOKUP(TablaMayo[[#This Row],[BARRIO]],SECTOR!$A:$B,2,0),"")</f>
      </c>
      <c r="S249" s="89"/>
      <c r="T249" s="90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6"/>
      <c r="AZ249" s="120">
        <f>COUNTIF(U249:AY249,"A")</f>
      </c>
      <c r="BA249" s="121">
        <f>COUNTIF(U249:AY249,"F")</f>
      </c>
      <c r="BB249" s="119">
        <f>COUNTIF(U249:AY249,"E")</f>
      </c>
    </row>
    <row r="250" spans="1:54" x14ac:dyDescent="0.2">
      <c r="A250" s="84"/>
      <c r="B250" s="85"/>
      <c r="C250" s="85"/>
      <c r="D250" s="85"/>
      <c r="E250" s="86"/>
      <c r="F250" s="16">
        <f>IF(E250="","",DATEDIF(E250,$I$7,"Y"))</f>
      </c>
      <c r="G250" s="85"/>
      <c r="H250" s="85"/>
      <c r="I250" s="87"/>
      <c r="J250" s="85"/>
      <c r="K250" s="85"/>
      <c r="L250" s="10"/>
      <c r="M250" s="10"/>
      <c r="N250" s="10"/>
      <c r="O250" s="10"/>
      <c r="P250" s="85"/>
      <c r="Q250" s="88"/>
      <c r="R250" s="3">
        <f>IFERROR(VLOOKUP(TablaMayo[[#This Row],[BARRIO]],SECTOR!$A:$B,2,0),"")</f>
      </c>
      <c r="S250" s="89"/>
      <c r="T250" s="90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6"/>
      <c r="AZ250" s="120">
        <f>COUNTIF(U250:AY250,"A")</f>
      </c>
      <c r="BA250" s="121">
        <f>COUNTIF(U250:AY250,"F")</f>
      </c>
      <c r="BB250" s="119">
        <f>COUNTIF(U250:AY250,"E")</f>
      </c>
    </row>
    <row r="251" spans="1:54" x14ac:dyDescent="0.2">
      <c r="A251" s="84"/>
      <c r="B251" s="85"/>
      <c r="C251" s="85"/>
      <c r="D251" s="85"/>
      <c r="E251" s="86"/>
      <c r="F251" s="16">
        <f>IF(E251="","",DATEDIF(E251,$I$7,"Y"))</f>
      </c>
      <c r="G251" s="85"/>
      <c r="H251" s="85"/>
      <c r="I251" s="87"/>
      <c r="J251" s="85"/>
      <c r="K251" s="85"/>
      <c r="L251" s="10"/>
      <c r="M251" s="10"/>
      <c r="N251" s="10"/>
      <c r="O251" s="10"/>
      <c r="P251" s="85"/>
      <c r="Q251" s="88"/>
      <c r="R251" s="3">
        <f>IFERROR(VLOOKUP(TablaMayo[[#This Row],[BARRIO]],SECTOR!$A:$B,2,0),"")</f>
      </c>
      <c r="S251" s="89"/>
      <c r="T251" s="90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6"/>
      <c r="AZ251" s="120">
        <f>COUNTIF(U251:AY251,"A")</f>
      </c>
      <c r="BA251" s="121">
        <f>COUNTIF(U251:AY251,"F")</f>
      </c>
      <c r="BB251" s="119">
        <f>COUNTIF(U251:AY251,"E")</f>
      </c>
    </row>
    <row r="252" spans="1:54" x14ac:dyDescent="0.2">
      <c r="A252" s="84"/>
      <c r="B252" s="85"/>
      <c r="C252" s="85"/>
      <c r="D252" s="85"/>
      <c r="E252" s="86"/>
      <c r="F252" s="16">
        <f>IF(E252="","",DATEDIF(E252,$I$7,"Y"))</f>
      </c>
      <c r="G252" s="85"/>
      <c r="H252" s="85"/>
      <c r="I252" s="87"/>
      <c r="J252" s="85"/>
      <c r="K252" s="85"/>
      <c r="L252" s="10"/>
      <c r="M252" s="10"/>
      <c r="N252" s="10"/>
      <c r="O252" s="10"/>
      <c r="P252" s="85"/>
      <c r="Q252" s="88"/>
      <c r="R252" s="3">
        <f>IFERROR(VLOOKUP(TablaMayo[[#This Row],[BARRIO]],SECTOR!$A:$B,2,0),"")</f>
      </c>
      <c r="S252" s="89"/>
      <c r="T252" s="90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6"/>
      <c r="AZ252" s="120">
        <f>COUNTIF(U252:AY252,"A")</f>
      </c>
      <c r="BA252" s="121">
        <f>COUNTIF(U252:AY252,"F")</f>
      </c>
      <c r="BB252" s="119">
        <f>COUNTIF(U252:AY252,"E")</f>
      </c>
    </row>
    <row r="253" spans="1:54" x14ac:dyDescent="0.2">
      <c r="A253" s="84"/>
      <c r="B253" s="85"/>
      <c r="C253" s="85"/>
      <c r="D253" s="85"/>
      <c r="E253" s="86"/>
      <c r="F253" s="16">
        <f>IF(E253="","",DATEDIF(E253,$I$7,"Y"))</f>
      </c>
      <c r="G253" s="85"/>
      <c r="H253" s="85"/>
      <c r="I253" s="87"/>
      <c r="J253" s="85"/>
      <c r="K253" s="85"/>
      <c r="L253" s="10"/>
      <c r="M253" s="10"/>
      <c r="N253" s="10"/>
      <c r="O253" s="10"/>
      <c r="P253" s="85"/>
      <c r="Q253" s="88"/>
      <c r="R253" s="3">
        <f>IFERROR(VLOOKUP(TablaMayo[[#This Row],[BARRIO]],SECTOR!$A:$B,2,0),"")</f>
      </c>
      <c r="S253" s="89"/>
      <c r="T253" s="90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6"/>
      <c r="AZ253" s="120">
        <f>COUNTIF(U253:AY253,"A")</f>
      </c>
      <c r="BA253" s="121">
        <f>COUNTIF(U253:AY253,"F")</f>
      </c>
      <c r="BB253" s="119">
        <f>COUNTIF(U253:AY253,"E")</f>
      </c>
    </row>
    <row r="254" spans="1:54" x14ac:dyDescent="0.2">
      <c r="A254" s="84"/>
      <c r="B254" s="85"/>
      <c r="C254" s="85"/>
      <c r="D254" s="85"/>
      <c r="E254" s="86"/>
      <c r="F254" s="16">
        <f>IF(E254="","",DATEDIF(E254,$I$7,"Y"))</f>
      </c>
      <c r="G254" s="85"/>
      <c r="H254" s="85"/>
      <c r="I254" s="87"/>
      <c r="J254" s="85"/>
      <c r="K254" s="85"/>
      <c r="L254" s="10"/>
      <c r="M254" s="10"/>
      <c r="N254" s="10"/>
      <c r="O254" s="10"/>
      <c r="P254" s="85"/>
      <c r="Q254" s="88"/>
      <c r="R254" s="3">
        <f>IFERROR(VLOOKUP(TablaMayo[[#This Row],[BARRIO]],SECTOR!$A:$B,2,0),"")</f>
      </c>
      <c r="S254" s="89"/>
      <c r="T254" s="90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6"/>
      <c r="AZ254" s="120">
        <f>COUNTIF(U254:AY254,"A")</f>
      </c>
      <c r="BA254" s="121">
        <f>COUNTIF(U254:AY254,"F")</f>
      </c>
      <c r="BB254" s="119">
        <f>COUNTIF(U254:AY254,"E")</f>
      </c>
    </row>
    <row r="255" spans="1:54" x14ac:dyDescent="0.2">
      <c r="A255" s="84"/>
      <c r="B255" s="85"/>
      <c r="C255" s="85"/>
      <c r="D255" s="85"/>
      <c r="E255" s="86"/>
      <c r="F255" s="16">
        <f>IF(E255="","",DATEDIF(E255,$I$7,"Y"))</f>
      </c>
      <c r="G255" s="85"/>
      <c r="H255" s="85"/>
      <c r="I255" s="87"/>
      <c r="J255" s="85"/>
      <c r="K255" s="85"/>
      <c r="L255" s="10"/>
      <c r="M255" s="10"/>
      <c r="N255" s="10"/>
      <c r="O255" s="10"/>
      <c r="P255" s="85"/>
      <c r="Q255" s="88"/>
      <c r="R255" s="3">
        <f>IFERROR(VLOOKUP(TablaMayo[[#This Row],[BARRIO]],SECTOR!$A:$B,2,0),"")</f>
      </c>
      <c r="S255" s="89"/>
      <c r="T255" s="90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6"/>
      <c r="AZ255" s="120">
        <f>COUNTIF(U255:AY255,"A")</f>
      </c>
      <c r="BA255" s="121">
        <f>COUNTIF(U255:AY255,"F")</f>
      </c>
      <c r="BB255" s="119">
        <f>COUNTIF(U255:AY255,"E")</f>
      </c>
    </row>
    <row r="256" spans="1:54" x14ac:dyDescent="0.2">
      <c r="A256" s="84"/>
      <c r="B256" s="85"/>
      <c r="C256" s="85"/>
      <c r="D256" s="85"/>
      <c r="E256" s="86"/>
      <c r="F256" s="16">
        <f>IF(E256="","",DATEDIF(E256,$I$7,"Y"))</f>
      </c>
      <c r="G256" s="85"/>
      <c r="H256" s="85"/>
      <c r="I256" s="87"/>
      <c r="J256" s="85"/>
      <c r="K256" s="85"/>
      <c r="L256" s="10"/>
      <c r="M256" s="10"/>
      <c r="N256" s="10"/>
      <c r="O256" s="10"/>
      <c r="P256" s="85"/>
      <c r="Q256" s="88"/>
      <c r="R256" s="3">
        <f>IFERROR(VLOOKUP(TablaMayo[[#This Row],[BARRIO]],SECTOR!$A:$B,2,0),"")</f>
      </c>
      <c r="S256" s="89"/>
      <c r="T256" s="90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6"/>
      <c r="AZ256" s="120">
        <f>COUNTIF(U256:AY256,"A")</f>
      </c>
      <c r="BA256" s="121">
        <f>COUNTIF(U256:AY256,"F")</f>
      </c>
      <c r="BB256" s="119">
        <f>COUNTIF(U256:AY256,"E")</f>
      </c>
    </row>
    <row r="257" spans="1:54" x14ac:dyDescent="0.2">
      <c r="A257" s="84"/>
      <c r="B257" s="85"/>
      <c r="C257" s="85"/>
      <c r="D257" s="85"/>
      <c r="E257" s="86"/>
      <c r="F257" s="16">
        <f>IF(E257="","",DATEDIF(E257,$I$7,"Y"))</f>
      </c>
      <c r="G257" s="85"/>
      <c r="H257" s="85"/>
      <c r="I257" s="87"/>
      <c r="J257" s="85"/>
      <c r="K257" s="85"/>
      <c r="L257" s="10"/>
      <c r="M257" s="10"/>
      <c r="N257" s="10"/>
      <c r="O257" s="10"/>
      <c r="P257" s="85"/>
      <c r="Q257" s="88"/>
      <c r="R257" s="3">
        <f>IFERROR(VLOOKUP(TablaMayo[[#This Row],[BARRIO]],SECTOR!$A:$B,2,0),"")</f>
      </c>
      <c r="S257" s="89"/>
      <c r="T257" s="90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6"/>
      <c r="AZ257" s="120">
        <f>COUNTIF(U257:AY257,"A")</f>
      </c>
      <c r="BA257" s="121">
        <f>COUNTIF(U257:AY257,"F")</f>
      </c>
      <c r="BB257" s="119">
        <f>COUNTIF(U257:AY257,"E")</f>
      </c>
    </row>
    <row r="258" spans="1:54" x14ac:dyDescent="0.2">
      <c r="A258" s="84"/>
      <c r="B258" s="85"/>
      <c r="C258" s="85"/>
      <c r="D258" s="85"/>
      <c r="E258" s="86"/>
      <c r="F258" s="16">
        <f>IF(E258="","",DATEDIF(E258,$I$7,"Y"))</f>
      </c>
      <c r="G258" s="85"/>
      <c r="H258" s="85"/>
      <c r="I258" s="87"/>
      <c r="J258" s="85"/>
      <c r="K258" s="85"/>
      <c r="L258" s="10"/>
      <c r="M258" s="10"/>
      <c r="N258" s="10"/>
      <c r="O258" s="10"/>
      <c r="P258" s="85"/>
      <c r="Q258" s="88"/>
      <c r="R258" s="3">
        <f>IFERROR(VLOOKUP(TablaMayo[[#This Row],[BARRIO]],SECTOR!$A:$B,2,0),"")</f>
      </c>
      <c r="S258" s="89"/>
      <c r="T258" s="90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6"/>
      <c r="AZ258" s="120">
        <f>COUNTIF(U258:AY258,"A")</f>
      </c>
      <c r="BA258" s="121">
        <f>COUNTIF(U258:AY258,"F")</f>
      </c>
      <c r="BB258" s="119">
        <f>COUNTIF(U258:AY258,"E")</f>
      </c>
    </row>
    <row r="259" spans="1:54" x14ac:dyDescent="0.2">
      <c r="A259" s="84"/>
      <c r="B259" s="85"/>
      <c r="C259" s="85"/>
      <c r="D259" s="85"/>
      <c r="E259" s="86"/>
      <c r="F259" s="16">
        <f>IF(E259="","",DATEDIF(E259,$I$7,"Y"))</f>
      </c>
      <c r="G259" s="85"/>
      <c r="H259" s="85"/>
      <c r="I259" s="87"/>
      <c r="J259" s="85"/>
      <c r="K259" s="85"/>
      <c r="L259" s="10"/>
      <c r="M259" s="10"/>
      <c r="N259" s="10"/>
      <c r="O259" s="10"/>
      <c r="P259" s="85"/>
      <c r="Q259" s="88"/>
      <c r="R259" s="3">
        <f>IFERROR(VLOOKUP(TablaMayo[[#This Row],[BARRIO]],SECTOR!$A:$B,2,0),"")</f>
      </c>
      <c r="S259" s="89"/>
      <c r="T259" s="90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6"/>
      <c r="AZ259" s="120">
        <f>COUNTIF(U259:AY259,"A")</f>
      </c>
      <c r="BA259" s="121">
        <f>COUNTIF(U259:AY259,"F")</f>
      </c>
      <c r="BB259" s="119">
        <f>COUNTIF(U259:AY259,"E")</f>
      </c>
    </row>
    <row r="260" spans="1:54" x14ac:dyDescent="0.2">
      <c r="A260" s="84"/>
      <c r="B260" s="85"/>
      <c r="C260" s="85"/>
      <c r="D260" s="85"/>
      <c r="E260" s="86"/>
      <c r="F260" s="16">
        <f>IF(E260="","",DATEDIF(E260,$I$7,"Y"))</f>
      </c>
      <c r="G260" s="85"/>
      <c r="H260" s="85"/>
      <c r="I260" s="87"/>
      <c r="J260" s="85"/>
      <c r="K260" s="85"/>
      <c r="L260" s="10"/>
      <c r="M260" s="10"/>
      <c r="N260" s="10"/>
      <c r="O260" s="10"/>
      <c r="P260" s="85"/>
      <c r="Q260" s="88"/>
      <c r="R260" s="3">
        <f>IFERROR(VLOOKUP(TablaMayo[[#This Row],[BARRIO]],SECTOR!$A:$B,2,0),"")</f>
      </c>
      <c r="S260" s="89"/>
      <c r="T260" s="90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6"/>
      <c r="AZ260" s="120">
        <f>COUNTIF(U260:AY260,"A")</f>
      </c>
      <c r="BA260" s="121">
        <f>COUNTIF(U260:AY260,"F")</f>
      </c>
      <c r="BB260" s="119">
        <f>COUNTIF(U260:AY260,"E")</f>
      </c>
    </row>
    <row r="261" spans="1:54" x14ac:dyDescent="0.2">
      <c r="A261" s="84"/>
      <c r="B261" s="85"/>
      <c r="C261" s="85"/>
      <c r="D261" s="85"/>
      <c r="E261" s="86"/>
      <c r="F261" s="16">
        <f>IF(E261="","",DATEDIF(E261,$I$7,"Y"))</f>
      </c>
      <c r="G261" s="85"/>
      <c r="H261" s="85"/>
      <c r="I261" s="87"/>
      <c r="J261" s="85"/>
      <c r="K261" s="85"/>
      <c r="L261" s="10"/>
      <c r="M261" s="10"/>
      <c r="N261" s="10"/>
      <c r="O261" s="10"/>
      <c r="P261" s="85"/>
      <c r="Q261" s="88"/>
      <c r="R261" s="3">
        <f>IFERROR(VLOOKUP(TablaMayo[[#This Row],[BARRIO]],SECTOR!$A:$B,2,0),"")</f>
      </c>
      <c r="S261" s="89"/>
      <c r="T261" s="90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6"/>
      <c r="AZ261" s="120">
        <f>COUNTIF(U261:AY261,"A")</f>
      </c>
      <c r="BA261" s="121">
        <f>COUNTIF(U261:AY261,"F")</f>
      </c>
      <c r="BB261" s="119">
        <f>COUNTIF(U261:AY261,"E")</f>
      </c>
    </row>
    <row r="262" spans="1:54" x14ac:dyDescent="0.2">
      <c r="A262" s="84"/>
      <c r="B262" s="85"/>
      <c r="C262" s="85"/>
      <c r="D262" s="85"/>
      <c r="E262" s="86"/>
      <c r="F262" s="16">
        <f>IF(E262="","",DATEDIF(E262,$I$7,"Y"))</f>
      </c>
      <c r="G262" s="85"/>
      <c r="H262" s="85"/>
      <c r="I262" s="87"/>
      <c r="J262" s="85"/>
      <c r="K262" s="85"/>
      <c r="L262" s="10"/>
      <c r="M262" s="10"/>
      <c r="N262" s="10"/>
      <c r="O262" s="10"/>
      <c r="P262" s="85"/>
      <c r="Q262" s="88"/>
      <c r="R262" s="3">
        <f>IFERROR(VLOOKUP(TablaMayo[[#This Row],[BARRIO]],SECTOR!$A:$B,2,0),"")</f>
      </c>
      <c r="S262" s="89"/>
      <c r="T262" s="90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6"/>
      <c r="AZ262" s="120">
        <f>COUNTIF(U262:AY262,"A")</f>
      </c>
      <c r="BA262" s="121">
        <f>COUNTIF(U262:AY262,"F")</f>
      </c>
      <c r="BB262" s="119">
        <f>COUNTIF(U262:AY262,"E")</f>
      </c>
    </row>
    <row r="263" spans="1:54" x14ac:dyDescent="0.2">
      <c r="A263" s="84"/>
      <c r="B263" s="85"/>
      <c r="C263" s="85"/>
      <c r="D263" s="85"/>
      <c r="E263" s="86"/>
      <c r="F263" s="16">
        <f>IF(E263="","",DATEDIF(E263,$I$7,"Y"))</f>
      </c>
      <c r="G263" s="85"/>
      <c r="H263" s="85"/>
      <c r="I263" s="87"/>
      <c r="J263" s="85"/>
      <c r="K263" s="85"/>
      <c r="L263" s="10"/>
      <c r="M263" s="10"/>
      <c r="N263" s="10"/>
      <c r="O263" s="10"/>
      <c r="P263" s="85"/>
      <c r="Q263" s="88"/>
      <c r="R263" s="3">
        <f>IFERROR(VLOOKUP(TablaMayo[[#This Row],[BARRIO]],SECTOR!$A:$B,2,0),"")</f>
      </c>
      <c r="S263" s="89"/>
      <c r="T263" s="90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6"/>
      <c r="AZ263" s="120">
        <f>COUNTIF(U263:AY263,"A")</f>
      </c>
      <c r="BA263" s="121">
        <f>COUNTIF(U263:AY263,"F")</f>
      </c>
      <c r="BB263" s="119">
        <f>COUNTIF(U263:AY263,"E")</f>
      </c>
    </row>
    <row r="264" spans="1:54" x14ac:dyDescent="0.2">
      <c r="A264" s="84"/>
      <c r="B264" s="85"/>
      <c r="C264" s="85"/>
      <c r="D264" s="85"/>
      <c r="E264" s="86"/>
      <c r="F264" s="16">
        <f>IF(E264="","",DATEDIF(E264,$I$7,"Y"))</f>
      </c>
      <c r="G264" s="85"/>
      <c r="H264" s="85"/>
      <c r="I264" s="87"/>
      <c r="J264" s="85"/>
      <c r="K264" s="85"/>
      <c r="L264" s="10"/>
      <c r="M264" s="10"/>
      <c r="N264" s="10"/>
      <c r="O264" s="10"/>
      <c r="P264" s="85"/>
      <c r="Q264" s="88"/>
      <c r="R264" s="3">
        <f>IFERROR(VLOOKUP(TablaMayo[[#This Row],[BARRIO]],SECTOR!$A:$B,2,0),"")</f>
      </c>
      <c r="S264" s="89"/>
      <c r="T264" s="90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6"/>
      <c r="AZ264" s="120">
        <f>COUNTIF(U264:AY264,"A")</f>
      </c>
      <c r="BA264" s="121">
        <f>COUNTIF(U264:AY264,"F")</f>
      </c>
      <c r="BB264" s="119">
        <f>COUNTIF(U264:AY264,"E")</f>
      </c>
    </row>
    <row r="265" spans="1:54" x14ac:dyDescent="0.2">
      <c r="A265" s="84"/>
      <c r="B265" s="85"/>
      <c r="C265" s="85"/>
      <c r="D265" s="85"/>
      <c r="E265" s="86"/>
      <c r="F265" s="16">
        <f>IF(E265="","",DATEDIF(E265,$I$7,"Y"))</f>
      </c>
      <c r="G265" s="85"/>
      <c r="H265" s="85"/>
      <c r="I265" s="87"/>
      <c r="J265" s="85"/>
      <c r="K265" s="85"/>
      <c r="L265" s="10"/>
      <c r="M265" s="10"/>
      <c r="N265" s="10"/>
      <c r="O265" s="10"/>
      <c r="P265" s="85"/>
      <c r="Q265" s="88"/>
      <c r="R265" s="3">
        <f>IFERROR(VLOOKUP(TablaMayo[[#This Row],[BARRIO]],SECTOR!$A:$B,2,0),"")</f>
      </c>
      <c r="S265" s="89"/>
      <c r="T265" s="90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6"/>
      <c r="AZ265" s="120">
        <f>COUNTIF(U265:AY265,"A")</f>
      </c>
      <c r="BA265" s="121">
        <f>COUNTIF(U265:AY265,"F")</f>
      </c>
      <c r="BB265" s="119">
        <f>COUNTIF(U265:AY265,"E")</f>
      </c>
    </row>
    <row r="266" spans="1:54" x14ac:dyDescent="0.2">
      <c r="A266" s="84"/>
      <c r="B266" s="85"/>
      <c r="C266" s="85"/>
      <c r="D266" s="85"/>
      <c r="E266" s="86"/>
      <c r="F266" s="16">
        <f>IF(E266="","",DATEDIF(E266,$I$7,"Y"))</f>
      </c>
      <c r="G266" s="85"/>
      <c r="H266" s="85"/>
      <c r="I266" s="87"/>
      <c r="J266" s="85"/>
      <c r="K266" s="85"/>
      <c r="L266" s="10"/>
      <c r="M266" s="10"/>
      <c r="N266" s="10"/>
      <c r="O266" s="10"/>
      <c r="P266" s="85"/>
      <c r="Q266" s="88"/>
      <c r="R266" s="3">
        <f>IFERROR(VLOOKUP(TablaMayo[[#This Row],[BARRIO]],SECTOR!$A:$B,2,0),"")</f>
      </c>
      <c r="S266" s="89"/>
      <c r="T266" s="90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6"/>
      <c r="AZ266" s="120">
        <f>COUNTIF(U266:AY266,"A")</f>
      </c>
      <c r="BA266" s="121">
        <f>COUNTIF(U266:AY266,"F")</f>
      </c>
      <c r="BB266" s="119">
        <f>COUNTIF(U266:AY266,"E")</f>
      </c>
    </row>
    <row r="267" spans="1:54" x14ac:dyDescent="0.2">
      <c r="A267" s="84"/>
      <c r="B267" s="85"/>
      <c r="C267" s="85"/>
      <c r="D267" s="85"/>
      <c r="E267" s="86"/>
      <c r="F267" s="16">
        <f>IF(E267="","",DATEDIF(E267,$I$7,"Y"))</f>
      </c>
      <c r="G267" s="85"/>
      <c r="H267" s="85"/>
      <c r="I267" s="87"/>
      <c r="J267" s="85"/>
      <c r="K267" s="85"/>
      <c r="L267" s="10"/>
      <c r="M267" s="10"/>
      <c r="N267" s="10"/>
      <c r="O267" s="10"/>
      <c r="P267" s="85"/>
      <c r="Q267" s="88"/>
      <c r="R267" s="3">
        <f>IFERROR(VLOOKUP(TablaMayo[[#This Row],[BARRIO]],SECTOR!$A:$B,2,0),"")</f>
      </c>
      <c r="S267" s="89"/>
      <c r="T267" s="90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6"/>
      <c r="AZ267" s="120">
        <f>COUNTIF(U267:AY267,"A")</f>
      </c>
      <c r="BA267" s="121">
        <f>COUNTIF(U267:AY267,"F")</f>
      </c>
      <c r="BB267" s="119">
        <f>COUNTIF(U267:AY267,"E")</f>
      </c>
    </row>
    <row r="268" spans="1:54" x14ac:dyDescent="0.2">
      <c r="A268" s="84"/>
      <c r="B268" s="85"/>
      <c r="C268" s="85"/>
      <c r="D268" s="85"/>
      <c r="E268" s="86"/>
      <c r="F268" s="16">
        <f>IF(E268="","",DATEDIF(E268,$I$7,"Y"))</f>
      </c>
      <c r="G268" s="85"/>
      <c r="H268" s="85"/>
      <c r="I268" s="87"/>
      <c r="J268" s="85"/>
      <c r="K268" s="85"/>
      <c r="L268" s="10"/>
      <c r="M268" s="10"/>
      <c r="N268" s="10"/>
      <c r="O268" s="10"/>
      <c r="P268" s="85"/>
      <c r="Q268" s="88"/>
      <c r="R268" s="3">
        <f>IFERROR(VLOOKUP(TablaMayo[[#This Row],[BARRIO]],SECTOR!$A:$B,2,0),"")</f>
      </c>
      <c r="S268" s="89"/>
      <c r="T268" s="90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6"/>
      <c r="AZ268" s="120">
        <f>COUNTIF(U268:AY268,"A")</f>
      </c>
      <c r="BA268" s="121">
        <f>COUNTIF(U268:AY268,"F")</f>
      </c>
      <c r="BB268" s="119">
        <f>COUNTIF(U268:AY268,"E")</f>
      </c>
    </row>
    <row r="269" spans="1:54" x14ac:dyDescent="0.2">
      <c r="A269" s="84"/>
      <c r="B269" s="85"/>
      <c r="C269" s="85"/>
      <c r="D269" s="85"/>
      <c r="E269" s="86"/>
      <c r="F269" s="16">
        <f>IF(E269="","",DATEDIF(E269,$I$7,"Y"))</f>
      </c>
      <c r="G269" s="85"/>
      <c r="H269" s="85"/>
      <c r="I269" s="87"/>
      <c r="J269" s="85"/>
      <c r="K269" s="85"/>
      <c r="L269" s="10"/>
      <c r="M269" s="10"/>
      <c r="N269" s="10"/>
      <c r="O269" s="10"/>
      <c r="P269" s="85"/>
      <c r="Q269" s="88"/>
      <c r="R269" s="3">
        <f>IFERROR(VLOOKUP(TablaMayo[[#This Row],[BARRIO]],SECTOR!$A:$B,2,0),"")</f>
      </c>
      <c r="S269" s="89"/>
      <c r="T269" s="90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6"/>
      <c r="AZ269" s="120">
        <f>COUNTIF(U269:AY269,"A")</f>
      </c>
      <c r="BA269" s="121">
        <f>COUNTIF(U269:AY269,"F")</f>
      </c>
      <c r="BB269" s="119">
        <f>COUNTIF(U269:AY269,"E")</f>
      </c>
    </row>
    <row r="270" spans="1:54" x14ac:dyDescent="0.2">
      <c r="A270" s="84"/>
      <c r="B270" s="85"/>
      <c r="C270" s="85"/>
      <c r="D270" s="85"/>
      <c r="E270" s="86"/>
      <c r="F270" s="16">
        <f>IF(E270="","",DATEDIF(E270,$I$7,"Y"))</f>
      </c>
      <c r="G270" s="85"/>
      <c r="H270" s="85"/>
      <c r="I270" s="87"/>
      <c r="J270" s="85"/>
      <c r="K270" s="85"/>
      <c r="L270" s="10"/>
      <c r="M270" s="10"/>
      <c r="N270" s="10"/>
      <c r="O270" s="10"/>
      <c r="P270" s="85"/>
      <c r="Q270" s="88"/>
      <c r="R270" s="3">
        <f>IFERROR(VLOOKUP(TablaMayo[[#This Row],[BARRIO]],SECTOR!$A:$B,2,0),"")</f>
      </c>
      <c r="S270" s="89"/>
      <c r="T270" s="90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6"/>
      <c r="AZ270" s="120">
        <f>COUNTIF(U270:AY270,"A")</f>
      </c>
      <c r="BA270" s="121">
        <f>COUNTIF(U270:AY270,"F")</f>
      </c>
      <c r="BB270" s="119">
        <f>COUNTIF(U270:AY270,"E")</f>
      </c>
    </row>
    <row r="271" spans="1:54" x14ac:dyDescent="0.2">
      <c r="A271" s="84"/>
      <c r="B271" s="85"/>
      <c r="C271" s="85"/>
      <c r="D271" s="85"/>
      <c r="E271" s="86"/>
      <c r="F271" s="16">
        <f>IF(E271="","",DATEDIF(E271,$I$7,"Y"))</f>
      </c>
      <c r="G271" s="85"/>
      <c r="H271" s="85"/>
      <c r="I271" s="87"/>
      <c r="J271" s="85"/>
      <c r="K271" s="85"/>
      <c r="L271" s="10"/>
      <c r="M271" s="10"/>
      <c r="N271" s="10"/>
      <c r="O271" s="10"/>
      <c r="P271" s="85"/>
      <c r="Q271" s="88"/>
      <c r="R271" s="3">
        <f>IFERROR(VLOOKUP(TablaMayo[[#This Row],[BARRIO]],SECTOR!$A:$B,2,0),"")</f>
      </c>
      <c r="S271" s="89"/>
      <c r="T271" s="90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6"/>
      <c r="AZ271" s="120">
        <f>COUNTIF(U271:AY271,"A")</f>
      </c>
      <c r="BA271" s="121">
        <f>COUNTIF(U271:AY271,"F")</f>
      </c>
      <c r="BB271" s="119">
        <f>COUNTIF(U271:AY271,"E")</f>
      </c>
    </row>
    <row r="272" spans="1:54" x14ac:dyDescent="0.2">
      <c r="A272" s="84"/>
      <c r="B272" s="85"/>
      <c r="C272" s="85"/>
      <c r="D272" s="85"/>
      <c r="E272" s="86"/>
      <c r="F272" s="16">
        <f>IF(E272="","",DATEDIF(E272,$I$7,"Y"))</f>
      </c>
      <c r="G272" s="85"/>
      <c r="H272" s="85"/>
      <c r="I272" s="87"/>
      <c r="J272" s="85"/>
      <c r="K272" s="85"/>
      <c r="L272" s="10"/>
      <c r="M272" s="10"/>
      <c r="N272" s="10"/>
      <c r="O272" s="10"/>
      <c r="P272" s="85"/>
      <c r="Q272" s="88"/>
      <c r="R272" s="3">
        <f>IFERROR(VLOOKUP(TablaMayo[[#This Row],[BARRIO]],SECTOR!$A:$B,2,0),"")</f>
      </c>
      <c r="S272" s="89"/>
      <c r="T272" s="90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6"/>
      <c r="AZ272" s="120">
        <f>COUNTIF(U272:AY272,"A")</f>
      </c>
      <c r="BA272" s="121">
        <f>COUNTIF(U272:AY272,"F")</f>
      </c>
      <c r="BB272" s="119">
        <f>COUNTIF(U272:AY272,"E")</f>
      </c>
    </row>
    <row r="273" spans="1:54" x14ac:dyDescent="0.2">
      <c r="A273" s="84"/>
      <c r="B273" s="85"/>
      <c r="C273" s="85"/>
      <c r="D273" s="85"/>
      <c r="E273" s="86"/>
      <c r="F273" s="16">
        <f>IF(E273="","",DATEDIF(E273,$I$7,"Y"))</f>
      </c>
      <c r="G273" s="85"/>
      <c r="H273" s="85"/>
      <c r="I273" s="87"/>
      <c r="J273" s="85"/>
      <c r="K273" s="85"/>
      <c r="L273" s="10"/>
      <c r="M273" s="10"/>
      <c r="N273" s="10"/>
      <c r="O273" s="10"/>
      <c r="P273" s="85"/>
      <c r="Q273" s="88"/>
      <c r="R273" s="3">
        <f>IFERROR(VLOOKUP(TablaMayo[[#This Row],[BARRIO]],SECTOR!$A:$B,2,0),"")</f>
      </c>
      <c r="S273" s="89"/>
      <c r="T273" s="90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6"/>
      <c r="AZ273" s="120">
        <f>COUNTIF(U273:AY273,"A")</f>
      </c>
      <c r="BA273" s="121">
        <f>COUNTIF(U273:AY273,"F")</f>
      </c>
      <c r="BB273" s="119">
        <f>COUNTIF(U273:AY273,"E")</f>
      </c>
    </row>
    <row r="274" spans="1:54" x14ac:dyDescent="0.2">
      <c r="A274" s="84"/>
      <c r="B274" s="85"/>
      <c r="C274" s="85"/>
      <c r="D274" s="85"/>
      <c r="E274" s="86"/>
      <c r="F274" s="16">
        <f>IF(E274="","",DATEDIF(E274,$I$7,"Y"))</f>
      </c>
      <c r="G274" s="85"/>
      <c r="H274" s="85"/>
      <c r="I274" s="87"/>
      <c r="J274" s="85"/>
      <c r="K274" s="85"/>
      <c r="L274" s="10"/>
      <c r="M274" s="10"/>
      <c r="N274" s="10"/>
      <c r="O274" s="10"/>
      <c r="P274" s="85"/>
      <c r="Q274" s="88"/>
      <c r="R274" s="3">
        <f>IFERROR(VLOOKUP(TablaMayo[[#This Row],[BARRIO]],SECTOR!$A:$B,2,0),"")</f>
      </c>
      <c r="S274" s="89"/>
      <c r="T274" s="90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6"/>
      <c r="AZ274" s="120">
        <f>COUNTIF(U274:AY274,"A")</f>
      </c>
      <c r="BA274" s="121">
        <f>COUNTIF(U274:AY274,"F")</f>
      </c>
      <c r="BB274" s="119">
        <f>COUNTIF(U274:AY274,"E")</f>
      </c>
    </row>
    <row r="275" spans="1:54" x14ac:dyDescent="0.2">
      <c r="A275" s="84"/>
      <c r="B275" s="85"/>
      <c r="C275" s="85"/>
      <c r="D275" s="85"/>
      <c r="E275" s="86"/>
      <c r="F275" s="16">
        <f>IF(E275="","",DATEDIF(E275,$I$7,"Y"))</f>
      </c>
      <c r="G275" s="85"/>
      <c r="H275" s="85"/>
      <c r="I275" s="87"/>
      <c r="J275" s="85"/>
      <c r="K275" s="85"/>
      <c r="L275" s="10"/>
      <c r="M275" s="10"/>
      <c r="N275" s="10"/>
      <c r="O275" s="10"/>
      <c r="P275" s="85"/>
      <c r="Q275" s="88"/>
      <c r="R275" s="3">
        <f>IFERROR(VLOOKUP(TablaMayo[[#This Row],[BARRIO]],SECTOR!$A:$B,2,0),"")</f>
      </c>
      <c r="S275" s="89"/>
      <c r="T275" s="90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6"/>
      <c r="AZ275" s="120">
        <f>COUNTIF(U275:AY275,"A")</f>
      </c>
      <c r="BA275" s="121">
        <f>COUNTIF(U275:AY275,"F")</f>
      </c>
      <c r="BB275" s="119">
        <f>COUNTIF(U275:AY275,"E")</f>
      </c>
    </row>
    <row r="276" spans="1:54" x14ac:dyDescent="0.2">
      <c r="A276" s="84"/>
      <c r="B276" s="85"/>
      <c r="C276" s="85"/>
      <c r="D276" s="85"/>
      <c r="E276" s="86"/>
      <c r="F276" s="16">
        <f>IF(E276="","",DATEDIF(E276,$I$7,"Y"))</f>
      </c>
      <c r="G276" s="85"/>
      <c r="H276" s="85"/>
      <c r="I276" s="87"/>
      <c r="J276" s="85"/>
      <c r="K276" s="85"/>
      <c r="L276" s="10"/>
      <c r="M276" s="10"/>
      <c r="N276" s="10"/>
      <c r="O276" s="10"/>
      <c r="P276" s="85"/>
      <c r="Q276" s="88"/>
      <c r="R276" s="3">
        <f>IFERROR(VLOOKUP(TablaMayo[[#This Row],[BARRIO]],SECTOR!$A:$B,2,0),"")</f>
      </c>
      <c r="S276" s="89"/>
      <c r="T276" s="90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6"/>
      <c r="AZ276" s="120">
        <f>COUNTIF(U276:AY276,"A")</f>
      </c>
      <c r="BA276" s="121">
        <f>COUNTIF(U276:AY276,"F")</f>
      </c>
      <c r="BB276" s="119">
        <f>COUNTIF(U276:AY276,"E")</f>
      </c>
    </row>
    <row r="277" spans="1:54" x14ac:dyDescent="0.2">
      <c r="A277" s="84"/>
      <c r="B277" s="85"/>
      <c r="C277" s="85"/>
      <c r="D277" s="85"/>
      <c r="E277" s="86"/>
      <c r="F277" s="16">
        <f>IF(E277="","",DATEDIF(E277,$I$7,"Y"))</f>
      </c>
      <c r="G277" s="85"/>
      <c r="H277" s="85"/>
      <c r="I277" s="87"/>
      <c r="J277" s="85"/>
      <c r="K277" s="85"/>
      <c r="L277" s="10"/>
      <c r="M277" s="10"/>
      <c r="N277" s="10"/>
      <c r="O277" s="10"/>
      <c r="P277" s="85"/>
      <c r="Q277" s="88"/>
      <c r="R277" s="3">
        <f>IFERROR(VLOOKUP(TablaMayo[[#This Row],[BARRIO]],SECTOR!$A:$B,2,0),"")</f>
      </c>
      <c r="S277" s="89"/>
      <c r="T277" s="90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6"/>
      <c r="AZ277" s="120">
        <f>COUNTIF(U277:AY277,"A")</f>
      </c>
      <c r="BA277" s="121">
        <f>COUNTIF(U277:AY277,"F")</f>
      </c>
      <c r="BB277" s="119">
        <f>COUNTIF(U277:AY277,"E")</f>
      </c>
    </row>
    <row r="278" spans="1:54" x14ac:dyDescent="0.2">
      <c r="A278" s="84"/>
      <c r="B278" s="85"/>
      <c r="C278" s="85"/>
      <c r="D278" s="85"/>
      <c r="E278" s="86"/>
      <c r="F278" s="16">
        <f>IF(E278="","",DATEDIF(E278,$I$7,"Y"))</f>
      </c>
      <c r="G278" s="85"/>
      <c r="H278" s="85"/>
      <c r="I278" s="87"/>
      <c r="J278" s="85"/>
      <c r="K278" s="85"/>
      <c r="L278" s="10"/>
      <c r="M278" s="10"/>
      <c r="N278" s="10"/>
      <c r="O278" s="10"/>
      <c r="P278" s="85"/>
      <c r="Q278" s="88"/>
      <c r="R278" s="3">
        <f>IFERROR(VLOOKUP(TablaMayo[[#This Row],[BARRIO]],SECTOR!$A:$B,2,0),"")</f>
      </c>
      <c r="S278" s="89"/>
      <c r="T278" s="90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6"/>
      <c r="AZ278" s="120">
        <f>COUNTIF(U278:AY278,"A")</f>
      </c>
      <c r="BA278" s="121">
        <f>COUNTIF(U278:AY278,"F")</f>
      </c>
      <c r="BB278" s="119">
        <f>COUNTIF(U278:AY278,"E")</f>
      </c>
    </row>
    <row r="279" spans="1:54" x14ac:dyDescent="0.2">
      <c r="A279" s="84"/>
      <c r="B279" s="85"/>
      <c r="C279" s="85"/>
      <c r="D279" s="85"/>
      <c r="E279" s="86"/>
      <c r="F279" s="16">
        <f>IF(E279="","",DATEDIF(E279,$I$7,"Y"))</f>
      </c>
      <c r="G279" s="85"/>
      <c r="H279" s="85"/>
      <c r="I279" s="87"/>
      <c r="J279" s="85"/>
      <c r="K279" s="85"/>
      <c r="L279" s="10"/>
      <c r="M279" s="10"/>
      <c r="N279" s="10"/>
      <c r="O279" s="10"/>
      <c r="P279" s="85"/>
      <c r="Q279" s="88"/>
      <c r="R279" s="3">
        <f>IFERROR(VLOOKUP(TablaMayo[[#This Row],[BARRIO]],SECTOR!$A:$B,2,0),"")</f>
      </c>
      <c r="S279" s="89"/>
      <c r="T279" s="90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6"/>
      <c r="AZ279" s="120">
        <f>COUNTIF(U279:AY279,"A")</f>
      </c>
      <c r="BA279" s="121">
        <f>COUNTIF(U279:AY279,"F")</f>
      </c>
      <c r="BB279" s="119">
        <f>COUNTIF(U279:AY279,"E")</f>
      </c>
    </row>
    <row r="280" spans="1:54" x14ac:dyDescent="0.2">
      <c r="A280" s="84"/>
      <c r="B280" s="85"/>
      <c r="C280" s="85"/>
      <c r="D280" s="85"/>
      <c r="E280" s="86"/>
      <c r="F280" s="16">
        <f>IF(E280="","",DATEDIF(E280,$I$7,"Y"))</f>
      </c>
      <c r="G280" s="85"/>
      <c r="H280" s="85"/>
      <c r="I280" s="87"/>
      <c r="J280" s="85"/>
      <c r="K280" s="85"/>
      <c r="L280" s="10"/>
      <c r="M280" s="10"/>
      <c r="N280" s="10"/>
      <c r="O280" s="10"/>
      <c r="P280" s="85"/>
      <c r="Q280" s="88"/>
      <c r="R280" s="3">
        <f>IFERROR(VLOOKUP(TablaMayo[[#This Row],[BARRIO]],SECTOR!$A:$B,2,0),"")</f>
      </c>
      <c r="S280" s="89"/>
      <c r="T280" s="90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6"/>
      <c r="AZ280" s="120">
        <f>COUNTIF(U280:AY280,"A")</f>
      </c>
      <c r="BA280" s="121">
        <f>COUNTIF(U280:AY280,"F")</f>
      </c>
      <c r="BB280" s="119">
        <f>COUNTIF(U280:AY280,"E")</f>
      </c>
    </row>
    <row r="281" spans="1:54" x14ac:dyDescent="0.2">
      <c r="A281" s="84"/>
      <c r="B281" s="85"/>
      <c r="C281" s="85"/>
      <c r="D281" s="85"/>
      <c r="E281" s="86"/>
      <c r="F281" s="16">
        <f>IF(E281="","",DATEDIF(E281,$I$7,"Y"))</f>
      </c>
      <c r="G281" s="85"/>
      <c r="H281" s="85"/>
      <c r="I281" s="87"/>
      <c r="J281" s="85"/>
      <c r="K281" s="85"/>
      <c r="L281" s="10"/>
      <c r="M281" s="10"/>
      <c r="N281" s="10"/>
      <c r="O281" s="10"/>
      <c r="P281" s="85"/>
      <c r="Q281" s="88"/>
      <c r="R281" s="3">
        <f>IFERROR(VLOOKUP(TablaMayo[[#This Row],[BARRIO]],SECTOR!$A:$B,2,0),"")</f>
      </c>
      <c r="S281" s="89"/>
      <c r="T281" s="90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6"/>
      <c r="AZ281" s="120">
        <f>COUNTIF(U281:AY281,"A")</f>
      </c>
      <c r="BA281" s="121">
        <f>COUNTIF(U281:AY281,"F")</f>
      </c>
      <c r="BB281" s="119">
        <f>COUNTIF(U281:AY281,"E")</f>
      </c>
    </row>
    <row r="282" spans="1:54" x14ac:dyDescent="0.2">
      <c r="A282" s="84"/>
      <c r="B282" s="85"/>
      <c r="C282" s="85"/>
      <c r="D282" s="85"/>
      <c r="E282" s="86"/>
      <c r="F282" s="16">
        <f>IF(E282="","",DATEDIF(E282,$I$7,"Y"))</f>
      </c>
      <c r="G282" s="85"/>
      <c r="H282" s="85"/>
      <c r="I282" s="87"/>
      <c r="J282" s="85"/>
      <c r="K282" s="85"/>
      <c r="L282" s="10"/>
      <c r="M282" s="10"/>
      <c r="N282" s="10"/>
      <c r="O282" s="10"/>
      <c r="P282" s="85"/>
      <c r="Q282" s="88"/>
      <c r="R282" s="3">
        <f>IFERROR(VLOOKUP(TablaMayo[[#This Row],[BARRIO]],SECTOR!$A:$B,2,0),"")</f>
      </c>
      <c r="S282" s="89"/>
      <c r="T282" s="90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6"/>
      <c r="AZ282" s="120">
        <f>COUNTIF(U282:AY282,"A")</f>
      </c>
      <c r="BA282" s="121">
        <f>COUNTIF(U282:AY282,"F")</f>
      </c>
      <c r="BB282" s="119">
        <f>COUNTIF(U282:AY282,"E")</f>
      </c>
    </row>
    <row r="283" spans="1:54" x14ac:dyDescent="0.2">
      <c r="A283" s="84"/>
      <c r="B283" s="85"/>
      <c r="C283" s="85"/>
      <c r="D283" s="85"/>
      <c r="E283" s="86"/>
      <c r="F283" s="16">
        <f>IF(E283="","",DATEDIF(E283,$I$7,"Y"))</f>
      </c>
      <c r="G283" s="85"/>
      <c r="H283" s="85"/>
      <c r="I283" s="87"/>
      <c r="J283" s="85"/>
      <c r="K283" s="85"/>
      <c r="L283" s="10"/>
      <c r="M283" s="10"/>
      <c r="N283" s="10"/>
      <c r="O283" s="10"/>
      <c r="P283" s="85"/>
      <c r="Q283" s="88"/>
      <c r="R283" s="3">
        <f>IFERROR(VLOOKUP(TablaMayo[[#This Row],[BARRIO]],SECTOR!$A:$B,2,0),"")</f>
      </c>
      <c r="S283" s="89"/>
      <c r="T283" s="90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6"/>
      <c r="AZ283" s="120">
        <f>COUNTIF(U283:AY283,"A")</f>
      </c>
      <c r="BA283" s="121">
        <f>COUNTIF(U283:AY283,"F")</f>
      </c>
      <c r="BB283" s="119">
        <f>COUNTIF(U283:AY283,"E")</f>
      </c>
    </row>
    <row r="284" spans="1:54" x14ac:dyDescent="0.2">
      <c r="A284" s="84"/>
      <c r="B284" s="85"/>
      <c r="C284" s="85"/>
      <c r="D284" s="85"/>
      <c r="E284" s="86"/>
      <c r="F284" s="16">
        <f>IF(E284="","",DATEDIF(E284,$I$7,"Y"))</f>
      </c>
      <c r="G284" s="85"/>
      <c r="H284" s="85"/>
      <c r="I284" s="87"/>
      <c r="J284" s="85"/>
      <c r="K284" s="85"/>
      <c r="L284" s="10"/>
      <c r="M284" s="10"/>
      <c r="N284" s="10"/>
      <c r="O284" s="10"/>
      <c r="P284" s="85"/>
      <c r="Q284" s="88"/>
      <c r="R284" s="3">
        <f>IFERROR(VLOOKUP(TablaMayo[[#This Row],[BARRIO]],SECTOR!$A:$B,2,0),"")</f>
      </c>
      <c r="S284" s="89"/>
      <c r="T284" s="90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6"/>
      <c r="AZ284" s="120">
        <f>COUNTIF(U284:AY284,"A")</f>
      </c>
      <c r="BA284" s="121">
        <f>COUNTIF(U284:AY284,"F")</f>
      </c>
      <c r="BB284" s="119">
        <f>COUNTIF(U284:AY284,"E")</f>
      </c>
    </row>
    <row r="285" spans="1:54" x14ac:dyDescent="0.2">
      <c r="A285" s="84"/>
      <c r="B285" s="85"/>
      <c r="C285" s="85"/>
      <c r="D285" s="85"/>
      <c r="E285" s="86"/>
      <c r="F285" s="16">
        <f>IF(E285="","",DATEDIF(E285,$I$7,"Y"))</f>
      </c>
      <c r="G285" s="85"/>
      <c r="H285" s="85"/>
      <c r="I285" s="87"/>
      <c r="J285" s="85"/>
      <c r="K285" s="85"/>
      <c r="L285" s="10"/>
      <c r="M285" s="10"/>
      <c r="N285" s="10"/>
      <c r="O285" s="10"/>
      <c r="P285" s="85"/>
      <c r="Q285" s="88"/>
      <c r="R285" s="3">
        <f>IFERROR(VLOOKUP(TablaMayo[[#This Row],[BARRIO]],SECTOR!$A:$B,2,0),"")</f>
      </c>
      <c r="S285" s="89"/>
      <c r="T285" s="90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6"/>
      <c r="AZ285" s="120">
        <f>COUNTIF(U285:AY285,"A")</f>
      </c>
      <c r="BA285" s="121">
        <f>COUNTIF(U285:AY285,"F")</f>
      </c>
      <c r="BB285" s="119">
        <f>COUNTIF(U285:AY285,"E")</f>
      </c>
    </row>
    <row r="286" spans="1:54" x14ac:dyDescent="0.2">
      <c r="A286" s="84"/>
      <c r="B286" s="85"/>
      <c r="C286" s="85"/>
      <c r="D286" s="85"/>
      <c r="E286" s="86"/>
      <c r="F286" s="16">
        <f>IF(E286="","",DATEDIF(E286,$I$7,"Y"))</f>
      </c>
      <c r="G286" s="85"/>
      <c r="H286" s="85"/>
      <c r="I286" s="87"/>
      <c r="J286" s="85"/>
      <c r="K286" s="85"/>
      <c r="L286" s="10"/>
      <c r="M286" s="10"/>
      <c r="N286" s="10"/>
      <c r="O286" s="10"/>
      <c r="P286" s="85"/>
      <c r="Q286" s="88"/>
      <c r="R286" s="3">
        <f>IFERROR(VLOOKUP(TablaMayo[[#This Row],[BARRIO]],SECTOR!$A:$B,2,0),"")</f>
      </c>
      <c r="S286" s="89"/>
      <c r="T286" s="90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6"/>
      <c r="AZ286" s="120">
        <f>COUNTIF(U286:AY286,"A")</f>
      </c>
      <c r="BA286" s="121">
        <f>COUNTIF(U286:AY286,"F")</f>
      </c>
      <c r="BB286" s="119">
        <f>COUNTIF(U286:AY286,"E")</f>
      </c>
    </row>
    <row r="287" spans="1:54" x14ac:dyDescent="0.2">
      <c r="A287" s="84"/>
      <c r="B287" s="85"/>
      <c r="C287" s="85"/>
      <c r="D287" s="85"/>
      <c r="E287" s="86"/>
      <c r="F287" s="16">
        <f>IF(E287="","",DATEDIF(E287,$I$7,"Y"))</f>
      </c>
      <c r="G287" s="85"/>
      <c r="H287" s="85"/>
      <c r="I287" s="87"/>
      <c r="J287" s="85"/>
      <c r="K287" s="85"/>
      <c r="L287" s="10"/>
      <c r="M287" s="10"/>
      <c r="N287" s="10"/>
      <c r="O287" s="10"/>
      <c r="P287" s="85"/>
      <c r="Q287" s="88"/>
      <c r="R287" s="3">
        <f>IFERROR(VLOOKUP(TablaMayo[[#This Row],[BARRIO]],SECTOR!$A:$B,2,0),"")</f>
      </c>
      <c r="S287" s="89"/>
      <c r="T287" s="90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6"/>
      <c r="AZ287" s="120">
        <f>COUNTIF(U287:AY287,"A")</f>
      </c>
      <c r="BA287" s="121">
        <f>COUNTIF(U287:AY287,"F")</f>
      </c>
      <c r="BB287" s="119">
        <f>COUNTIF(U287:AY287,"E")</f>
      </c>
    </row>
    <row r="288" spans="1:54" x14ac:dyDescent="0.2">
      <c r="A288" s="84"/>
      <c r="B288" s="85"/>
      <c r="C288" s="85"/>
      <c r="D288" s="85"/>
      <c r="E288" s="86"/>
      <c r="F288" s="16">
        <f>IF(E288="","",DATEDIF(E288,$I$7,"Y"))</f>
      </c>
      <c r="G288" s="85"/>
      <c r="H288" s="85"/>
      <c r="I288" s="87"/>
      <c r="J288" s="85"/>
      <c r="K288" s="85"/>
      <c r="L288" s="10"/>
      <c r="M288" s="10"/>
      <c r="N288" s="10"/>
      <c r="O288" s="10"/>
      <c r="P288" s="85"/>
      <c r="Q288" s="88"/>
      <c r="R288" s="3">
        <f>IFERROR(VLOOKUP(TablaMayo[[#This Row],[BARRIO]],SECTOR!$A:$B,2,0),"")</f>
      </c>
      <c r="S288" s="89"/>
      <c r="T288" s="90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6"/>
      <c r="AZ288" s="120">
        <f>COUNTIF(U288:AY288,"A")</f>
      </c>
      <c r="BA288" s="121">
        <f>COUNTIF(U288:AY288,"F")</f>
      </c>
      <c r="BB288" s="119">
        <f>COUNTIF(U288:AY288,"E")</f>
      </c>
    </row>
    <row r="289" spans="1:54" x14ac:dyDescent="0.2">
      <c r="A289" s="84"/>
      <c r="B289" s="85"/>
      <c r="C289" s="85"/>
      <c r="D289" s="85"/>
      <c r="E289" s="86"/>
      <c r="F289" s="16">
        <f>IF(E289="","",DATEDIF(E289,$I$7,"Y"))</f>
      </c>
      <c r="G289" s="85"/>
      <c r="H289" s="85"/>
      <c r="I289" s="87"/>
      <c r="J289" s="85"/>
      <c r="K289" s="85"/>
      <c r="L289" s="10"/>
      <c r="M289" s="10"/>
      <c r="N289" s="10"/>
      <c r="O289" s="10"/>
      <c r="P289" s="85"/>
      <c r="Q289" s="88"/>
      <c r="R289" s="3">
        <f>IFERROR(VLOOKUP(TablaMayo[[#This Row],[BARRIO]],SECTOR!$A:$B,2,0),"")</f>
      </c>
      <c r="S289" s="89"/>
      <c r="T289" s="90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6"/>
      <c r="AZ289" s="120">
        <f>COUNTIF(U289:AY289,"A")</f>
      </c>
      <c r="BA289" s="121">
        <f>COUNTIF(U289:AY289,"F")</f>
      </c>
      <c r="BB289" s="119">
        <f>COUNTIF(U289:AY289,"E")</f>
      </c>
    </row>
    <row r="290" spans="1:54" x14ac:dyDescent="0.2">
      <c r="A290" s="84"/>
      <c r="B290" s="85"/>
      <c r="C290" s="85"/>
      <c r="D290" s="85"/>
      <c r="E290" s="86"/>
      <c r="F290" s="16">
        <f>IF(E290="","",DATEDIF(E290,$I$7,"Y"))</f>
      </c>
      <c r="G290" s="85"/>
      <c r="H290" s="85"/>
      <c r="I290" s="87"/>
      <c r="J290" s="85"/>
      <c r="K290" s="85"/>
      <c r="L290" s="10"/>
      <c r="M290" s="10"/>
      <c r="N290" s="10"/>
      <c r="O290" s="10"/>
      <c r="P290" s="85"/>
      <c r="Q290" s="88"/>
      <c r="R290" s="3">
        <f>IFERROR(VLOOKUP(TablaMayo[[#This Row],[BARRIO]],SECTOR!$A:$B,2,0),"")</f>
      </c>
      <c r="S290" s="89"/>
      <c r="T290" s="90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6"/>
      <c r="AZ290" s="120">
        <f>COUNTIF(U290:AY290,"A")</f>
      </c>
      <c r="BA290" s="121">
        <f>COUNTIF(U290:AY290,"F")</f>
      </c>
      <c r="BB290" s="119">
        <f>COUNTIF(U290:AY290,"E")</f>
      </c>
    </row>
    <row r="291" spans="1:54" x14ac:dyDescent="0.2">
      <c r="A291" s="84"/>
      <c r="B291" s="85"/>
      <c r="C291" s="85"/>
      <c r="D291" s="85"/>
      <c r="E291" s="86"/>
      <c r="F291" s="16">
        <f>IF(E291="","",DATEDIF(E291,$I$7,"Y"))</f>
      </c>
      <c r="G291" s="85"/>
      <c r="H291" s="85"/>
      <c r="I291" s="87"/>
      <c r="J291" s="85"/>
      <c r="K291" s="85"/>
      <c r="L291" s="10"/>
      <c r="M291" s="10"/>
      <c r="N291" s="10"/>
      <c r="O291" s="10"/>
      <c r="P291" s="85"/>
      <c r="Q291" s="88"/>
      <c r="R291" s="3">
        <f>IFERROR(VLOOKUP(TablaMayo[[#This Row],[BARRIO]],SECTOR!$A:$B,2,0),"")</f>
      </c>
      <c r="S291" s="89"/>
      <c r="T291" s="90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6"/>
      <c r="AZ291" s="120">
        <f>COUNTIF(U291:AY291,"A")</f>
      </c>
      <c r="BA291" s="121">
        <f>COUNTIF(U291:AY291,"F")</f>
      </c>
      <c r="BB291" s="119">
        <f>COUNTIF(U291:AY291,"E")</f>
      </c>
    </row>
    <row r="292" spans="1:54" x14ac:dyDescent="0.2">
      <c r="A292" s="84"/>
      <c r="B292" s="85"/>
      <c r="C292" s="85"/>
      <c r="D292" s="85"/>
      <c r="E292" s="86"/>
      <c r="F292" s="16">
        <f>IF(E292="","",DATEDIF(E292,$I$7,"Y"))</f>
      </c>
      <c r="G292" s="85"/>
      <c r="H292" s="85"/>
      <c r="I292" s="87"/>
      <c r="J292" s="85"/>
      <c r="K292" s="85"/>
      <c r="L292" s="10"/>
      <c r="M292" s="10"/>
      <c r="N292" s="10"/>
      <c r="O292" s="10"/>
      <c r="P292" s="85"/>
      <c r="Q292" s="88"/>
      <c r="R292" s="3">
        <f>IFERROR(VLOOKUP(TablaMayo[[#This Row],[BARRIO]],SECTOR!$A:$B,2,0),"")</f>
      </c>
      <c r="S292" s="89"/>
      <c r="T292" s="90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6"/>
      <c r="AZ292" s="120">
        <f>COUNTIF(U292:AY292,"A")</f>
      </c>
      <c r="BA292" s="121">
        <f>COUNTIF(U292:AY292,"F")</f>
      </c>
      <c r="BB292" s="119">
        <f>COUNTIF(U292:AY292,"E")</f>
      </c>
    </row>
    <row r="293" spans="1:54" x14ac:dyDescent="0.2">
      <c r="A293" s="84"/>
      <c r="B293" s="85"/>
      <c r="C293" s="85"/>
      <c r="D293" s="85"/>
      <c r="E293" s="86"/>
      <c r="F293" s="16">
        <f>IF(E293="","",DATEDIF(E293,$I$7,"Y"))</f>
      </c>
      <c r="G293" s="85"/>
      <c r="H293" s="85"/>
      <c r="I293" s="87"/>
      <c r="J293" s="85"/>
      <c r="K293" s="85"/>
      <c r="L293" s="10"/>
      <c r="M293" s="10"/>
      <c r="N293" s="10"/>
      <c r="O293" s="10"/>
      <c r="P293" s="85"/>
      <c r="Q293" s="88"/>
      <c r="R293" s="3">
        <f>IFERROR(VLOOKUP(TablaMayo[[#This Row],[BARRIO]],SECTOR!$A:$B,2,0),"")</f>
      </c>
      <c r="S293" s="89"/>
      <c r="T293" s="90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6"/>
      <c r="AZ293" s="120">
        <f>COUNTIF(U293:AY293,"A")</f>
      </c>
      <c r="BA293" s="121">
        <f>COUNTIF(U293:AY293,"F")</f>
      </c>
      <c r="BB293" s="119">
        <f>COUNTIF(U293:AY293,"E")</f>
      </c>
    </row>
    <row r="294" spans="1:54" x14ac:dyDescent="0.2">
      <c r="A294" s="84"/>
      <c r="B294" s="85"/>
      <c r="C294" s="85"/>
      <c r="D294" s="85"/>
      <c r="E294" s="86"/>
      <c r="F294" s="16">
        <f>IF(E294="","",DATEDIF(E294,$I$7,"Y"))</f>
      </c>
      <c r="G294" s="85"/>
      <c r="H294" s="85"/>
      <c r="I294" s="87"/>
      <c r="J294" s="85"/>
      <c r="K294" s="85"/>
      <c r="L294" s="10"/>
      <c r="M294" s="10"/>
      <c r="N294" s="10"/>
      <c r="O294" s="10"/>
      <c r="P294" s="85"/>
      <c r="Q294" s="88"/>
      <c r="R294" s="3">
        <f>IFERROR(VLOOKUP(TablaMayo[[#This Row],[BARRIO]],SECTOR!$A:$B,2,0),"")</f>
      </c>
      <c r="S294" s="89"/>
      <c r="T294" s="90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6"/>
      <c r="AZ294" s="120">
        <f>COUNTIF(U294:AY294,"A")</f>
      </c>
      <c r="BA294" s="121">
        <f>COUNTIF(U294:AY294,"F")</f>
      </c>
      <c r="BB294" s="119">
        <f>COUNTIF(U294:AY294,"E")</f>
      </c>
    </row>
    <row r="295" spans="1:54" x14ac:dyDescent="0.2">
      <c r="A295" s="84"/>
      <c r="B295" s="85"/>
      <c r="C295" s="85"/>
      <c r="D295" s="85"/>
      <c r="E295" s="86"/>
      <c r="F295" s="16">
        <f>IF(E295="","",DATEDIF(E295,$I$7,"Y"))</f>
      </c>
      <c r="G295" s="85"/>
      <c r="H295" s="85"/>
      <c r="I295" s="87"/>
      <c r="J295" s="85"/>
      <c r="K295" s="85"/>
      <c r="L295" s="10"/>
      <c r="M295" s="10"/>
      <c r="N295" s="10"/>
      <c r="O295" s="10"/>
      <c r="P295" s="85"/>
      <c r="Q295" s="88"/>
      <c r="R295" s="3">
        <f>IFERROR(VLOOKUP(TablaMayo[[#This Row],[BARRIO]],SECTOR!$A:$B,2,0),"")</f>
      </c>
      <c r="S295" s="89"/>
      <c r="T295" s="90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6"/>
      <c r="AZ295" s="120">
        <f>COUNTIF(U295:AY295,"A")</f>
      </c>
      <c r="BA295" s="121">
        <f>COUNTIF(U295:AY295,"F")</f>
      </c>
      <c r="BB295" s="119">
        <f>COUNTIF(U295:AY295,"E")</f>
      </c>
    </row>
    <row r="296" spans="1:54" x14ac:dyDescent="0.2">
      <c r="A296" s="84"/>
      <c r="B296" s="85"/>
      <c r="C296" s="85"/>
      <c r="D296" s="85"/>
      <c r="E296" s="86"/>
      <c r="F296" s="16">
        <f>IF(E296="","",DATEDIF(E296,$I$7,"Y"))</f>
      </c>
      <c r="G296" s="85"/>
      <c r="H296" s="85"/>
      <c r="I296" s="87"/>
      <c r="J296" s="85"/>
      <c r="K296" s="85"/>
      <c r="L296" s="10"/>
      <c r="M296" s="10"/>
      <c r="N296" s="10"/>
      <c r="O296" s="10"/>
      <c r="P296" s="85"/>
      <c r="Q296" s="88"/>
      <c r="R296" s="3">
        <f>IFERROR(VLOOKUP(TablaMayo[[#This Row],[BARRIO]],SECTOR!$A:$B,2,0),"")</f>
      </c>
      <c r="S296" s="89"/>
      <c r="T296" s="90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6"/>
      <c r="AZ296" s="120">
        <f>COUNTIF(U296:AY296,"A")</f>
      </c>
      <c r="BA296" s="121">
        <f>COUNTIF(U296:AY296,"F")</f>
      </c>
      <c r="BB296" s="119">
        <f>COUNTIF(U296:AY296,"E")</f>
      </c>
    </row>
    <row r="297" spans="1:54" x14ac:dyDescent="0.2">
      <c r="A297" s="84"/>
      <c r="B297" s="85"/>
      <c r="C297" s="85"/>
      <c r="D297" s="85"/>
      <c r="E297" s="86"/>
      <c r="F297" s="16">
        <f>IF(E297="","",DATEDIF(E297,$I$7,"Y"))</f>
      </c>
      <c r="G297" s="85"/>
      <c r="H297" s="85"/>
      <c r="I297" s="87"/>
      <c r="J297" s="85"/>
      <c r="K297" s="85"/>
      <c r="L297" s="10"/>
      <c r="M297" s="10"/>
      <c r="N297" s="10"/>
      <c r="O297" s="10"/>
      <c r="P297" s="85"/>
      <c r="Q297" s="88"/>
      <c r="R297" s="3">
        <f>IFERROR(VLOOKUP(TablaMayo[[#This Row],[BARRIO]],SECTOR!$A:$B,2,0),"")</f>
      </c>
      <c r="S297" s="89"/>
      <c r="T297" s="90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6"/>
      <c r="AZ297" s="120">
        <f>COUNTIF(U297:AY297,"A")</f>
      </c>
      <c r="BA297" s="121">
        <f>COUNTIF(U297:AY297,"F")</f>
      </c>
      <c r="BB297" s="119">
        <f>COUNTIF(U297:AY297,"E")</f>
      </c>
    </row>
    <row r="298" spans="1:54" x14ac:dyDescent="0.2">
      <c r="A298" s="84"/>
      <c r="B298" s="85"/>
      <c r="C298" s="85"/>
      <c r="D298" s="85"/>
      <c r="E298" s="86"/>
      <c r="F298" s="16">
        <f>IF(E298="","",DATEDIF(E298,$I$7,"Y"))</f>
      </c>
      <c r="G298" s="85"/>
      <c r="H298" s="85"/>
      <c r="I298" s="87"/>
      <c r="J298" s="85"/>
      <c r="K298" s="85"/>
      <c r="L298" s="10"/>
      <c r="M298" s="10"/>
      <c r="N298" s="10"/>
      <c r="O298" s="10"/>
      <c r="P298" s="85"/>
      <c r="Q298" s="88"/>
      <c r="R298" s="3">
        <f>IFERROR(VLOOKUP(TablaMayo[[#This Row],[BARRIO]],SECTOR!$A:$B,2,0),"")</f>
      </c>
      <c r="S298" s="89"/>
      <c r="T298" s="90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6"/>
      <c r="AZ298" s="120">
        <f>COUNTIF(U298:AY298,"A")</f>
      </c>
      <c r="BA298" s="121">
        <f>COUNTIF(U298:AY298,"F")</f>
      </c>
      <c r="BB298" s="119">
        <f>COUNTIF(U298:AY298,"E")</f>
      </c>
    </row>
    <row r="299" spans="1:54" x14ac:dyDescent="0.2">
      <c r="A299" s="84"/>
      <c r="B299" s="85"/>
      <c r="C299" s="85"/>
      <c r="D299" s="85"/>
      <c r="E299" s="86"/>
      <c r="F299" s="16">
        <f>IF(E299="","",DATEDIF(E299,$I$7,"Y"))</f>
      </c>
      <c r="G299" s="85"/>
      <c r="H299" s="85"/>
      <c r="I299" s="87"/>
      <c r="J299" s="85"/>
      <c r="K299" s="85"/>
      <c r="L299" s="10"/>
      <c r="M299" s="10"/>
      <c r="N299" s="10"/>
      <c r="O299" s="10"/>
      <c r="P299" s="85"/>
      <c r="Q299" s="88"/>
      <c r="R299" s="3">
        <f>IFERROR(VLOOKUP(TablaMayo[[#This Row],[BARRIO]],SECTOR!$A:$B,2,0),"")</f>
      </c>
      <c r="S299" s="89"/>
      <c r="T299" s="90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6"/>
      <c r="AZ299" s="120">
        <f>COUNTIF(U299:AY299,"A")</f>
      </c>
      <c r="BA299" s="121">
        <f>COUNTIF(U299:AY299,"F")</f>
      </c>
      <c r="BB299" s="119">
        <f>COUNTIF(U299:AY299,"E")</f>
      </c>
    </row>
    <row r="300" spans="1:54" x14ac:dyDescent="0.2">
      <c r="A300" s="84"/>
      <c r="B300" s="85"/>
      <c r="C300" s="85"/>
      <c r="D300" s="85"/>
      <c r="E300" s="86"/>
      <c r="F300" s="16">
        <f>IF(E300="","",DATEDIF(E300,$I$7,"Y"))</f>
      </c>
      <c r="G300" s="85"/>
      <c r="H300" s="85"/>
      <c r="I300" s="87"/>
      <c r="J300" s="85"/>
      <c r="K300" s="85"/>
      <c r="L300" s="10"/>
      <c r="M300" s="10"/>
      <c r="N300" s="10"/>
      <c r="O300" s="10"/>
      <c r="P300" s="85"/>
      <c r="Q300" s="88"/>
      <c r="R300" s="3">
        <f>IFERROR(VLOOKUP(TablaMayo[[#This Row],[BARRIO]],SECTOR!$A:$B,2,0),"")</f>
      </c>
      <c r="S300" s="89"/>
      <c r="T300" s="90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6"/>
      <c r="AZ300" s="120">
        <f>COUNTIF(U300:AY300,"A")</f>
      </c>
      <c r="BA300" s="121">
        <f>COUNTIF(U300:AY300,"F")</f>
      </c>
      <c r="BB300" s="119">
        <f>COUNTIF(U300:AY300,"E")</f>
      </c>
    </row>
    <row r="301" spans="1:54" x14ac:dyDescent="0.2">
      <c r="A301" s="84"/>
      <c r="B301" s="85"/>
      <c r="C301" s="85"/>
      <c r="D301" s="85"/>
      <c r="E301" s="86"/>
      <c r="F301" s="16">
        <f>IF(E301="","",DATEDIF(E301,$I$7,"Y"))</f>
      </c>
      <c r="G301" s="85"/>
      <c r="H301" s="85"/>
      <c r="I301" s="87"/>
      <c r="J301" s="85"/>
      <c r="K301" s="85"/>
      <c r="L301" s="10"/>
      <c r="M301" s="10"/>
      <c r="N301" s="10"/>
      <c r="O301" s="10"/>
      <c r="P301" s="85"/>
      <c r="Q301" s="88"/>
      <c r="R301" s="3">
        <f>IFERROR(VLOOKUP(TablaMayo[[#This Row],[BARRIO]],SECTOR!$A:$B,2,0),"")</f>
      </c>
      <c r="S301" s="89"/>
      <c r="T301" s="90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6"/>
      <c r="AZ301" s="120">
        <f>COUNTIF(U301:AY301,"A")</f>
      </c>
      <c r="BA301" s="121">
        <f>COUNTIF(U301:AY301,"F")</f>
      </c>
      <c r="BB301" s="119">
        <f>COUNTIF(U301:AY301,"E")</f>
      </c>
    </row>
    <row r="302" spans="1:54" x14ac:dyDescent="0.2">
      <c r="A302" s="84"/>
      <c r="B302" s="85"/>
      <c r="C302" s="85"/>
      <c r="D302" s="85"/>
      <c r="E302" s="86"/>
      <c r="F302" s="16">
        <f>IF(E302="","",DATEDIF(E302,$I$7,"Y"))</f>
      </c>
      <c r="G302" s="85"/>
      <c r="H302" s="85"/>
      <c r="I302" s="87"/>
      <c r="J302" s="85"/>
      <c r="K302" s="85"/>
      <c r="L302" s="10"/>
      <c r="M302" s="10"/>
      <c r="N302" s="10"/>
      <c r="O302" s="10"/>
      <c r="P302" s="85"/>
      <c r="Q302" s="88"/>
      <c r="R302" s="3">
        <f>IFERROR(VLOOKUP(TablaMayo[[#This Row],[BARRIO]],SECTOR!$A:$B,2,0),"")</f>
      </c>
      <c r="S302" s="89"/>
      <c r="T302" s="90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6"/>
      <c r="AZ302" s="120">
        <f>COUNTIF(U302:AY302,"A")</f>
      </c>
      <c r="BA302" s="121">
        <f>COUNTIF(U302:AY302,"F")</f>
      </c>
      <c r="BB302" s="119">
        <f>COUNTIF(U302:AY302,"E")</f>
      </c>
    </row>
    <row r="303" spans="1:54" x14ac:dyDescent="0.2">
      <c r="A303" s="84"/>
      <c r="B303" s="85"/>
      <c r="C303" s="85"/>
      <c r="D303" s="85"/>
      <c r="E303" s="86"/>
      <c r="F303" s="16">
        <f>IF(E303="","",DATEDIF(E303,$I$7,"Y"))</f>
      </c>
      <c r="G303" s="85"/>
      <c r="H303" s="85"/>
      <c r="I303" s="87"/>
      <c r="J303" s="85"/>
      <c r="K303" s="85"/>
      <c r="L303" s="10"/>
      <c r="M303" s="10"/>
      <c r="N303" s="10"/>
      <c r="O303" s="10"/>
      <c r="P303" s="85"/>
      <c r="Q303" s="88"/>
      <c r="R303" s="3">
        <f>IFERROR(VLOOKUP(TablaMayo[[#This Row],[BARRIO]],SECTOR!$A:$B,2,0),"")</f>
      </c>
      <c r="S303" s="89"/>
      <c r="T303" s="90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6"/>
      <c r="AZ303" s="120">
        <f>COUNTIF(U303:AY303,"A")</f>
      </c>
      <c r="BA303" s="121">
        <f>COUNTIF(U303:AY303,"F")</f>
      </c>
      <c r="BB303" s="119">
        <f>COUNTIF(U303:AY303,"E")</f>
      </c>
    </row>
    <row r="304" spans="1:54" x14ac:dyDescent="0.2">
      <c r="A304" s="84"/>
      <c r="B304" s="85"/>
      <c r="C304" s="85"/>
      <c r="D304" s="85"/>
      <c r="E304" s="86"/>
      <c r="F304" s="16">
        <f>IF(E304="","",DATEDIF(E304,$I$7,"Y"))</f>
      </c>
      <c r="G304" s="85"/>
      <c r="H304" s="85"/>
      <c r="I304" s="87"/>
      <c r="J304" s="85"/>
      <c r="K304" s="85"/>
      <c r="L304" s="10"/>
      <c r="M304" s="10"/>
      <c r="N304" s="10"/>
      <c r="O304" s="10"/>
      <c r="P304" s="85"/>
      <c r="Q304" s="88"/>
      <c r="R304" s="3">
        <f>IFERROR(VLOOKUP(TablaMayo[[#This Row],[BARRIO]],SECTOR!$A:$B,2,0),"")</f>
      </c>
      <c r="S304" s="89"/>
      <c r="T304" s="90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6"/>
      <c r="AZ304" s="120">
        <f>COUNTIF(U304:AY304,"A")</f>
      </c>
      <c r="BA304" s="121">
        <f>COUNTIF(U304:AY304,"F")</f>
      </c>
      <c r="BB304" s="119">
        <f>COUNTIF(U304:AY304,"E")</f>
      </c>
    </row>
    <row r="305" spans="1:54" x14ac:dyDescent="0.2">
      <c r="A305" s="84"/>
      <c r="B305" s="85"/>
      <c r="C305" s="85"/>
      <c r="D305" s="85"/>
      <c r="E305" s="86"/>
      <c r="F305" s="16">
        <f>IF(E305="","",DATEDIF(E305,$I$7,"Y"))</f>
      </c>
      <c r="G305" s="85"/>
      <c r="H305" s="85"/>
      <c r="I305" s="87"/>
      <c r="J305" s="85"/>
      <c r="K305" s="85"/>
      <c r="L305" s="10"/>
      <c r="M305" s="10"/>
      <c r="N305" s="10"/>
      <c r="O305" s="10"/>
      <c r="P305" s="85"/>
      <c r="Q305" s="88"/>
      <c r="R305" s="3">
        <f>IFERROR(VLOOKUP(TablaMayo[[#This Row],[BARRIO]],SECTOR!$A:$B,2,0),"")</f>
      </c>
      <c r="S305" s="89"/>
      <c r="T305" s="90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6"/>
      <c r="AZ305" s="120">
        <f>COUNTIF(U305:AY305,"A")</f>
      </c>
      <c r="BA305" s="121">
        <f>COUNTIF(U305:AY305,"F")</f>
      </c>
      <c r="BB305" s="119">
        <f>COUNTIF(U305:AY305,"E")</f>
      </c>
    </row>
    <row r="306" spans="1:54" x14ac:dyDescent="0.2">
      <c r="A306" s="84"/>
      <c r="B306" s="85"/>
      <c r="C306" s="85"/>
      <c r="D306" s="85"/>
      <c r="E306" s="86"/>
      <c r="F306" s="16">
        <f>IF(E306="","",DATEDIF(E306,$I$7,"Y"))</f>
      </c>
      <c r="G306" s="85"/>
      <c r="H306" s="85"/>
      <c r="I306" s="87"/>
      <c r="J306" s="85"/>
      <c r="K306" s="85"/>
      <c r="L306" s="10"/>
      <c r="M306" s="10"/>
      <c r="N306" s="10"/>
      <c r="O306" s="10"/>
      <c r="P306" s="85"/>
      <c r="Q306" s="88"/>
      <c r="R306" s="3">
        <f>IFERROR(VLOOKUP(TablaMayo[[#This Row],[BARRIO]],SECTOR!$A:$B,2,0),"")</f>
      </c>
      <c r="S306" s="89"/>
      <c r="T306" s="90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6"/>
      <c r="AZ306" s="120">
        <f>COUNTIF(U306:AY306,"A")</f>
      </c>
      <c r="BA306" s="121">
        <f>COUNTIF(U306:AY306,"F")</f>
      </c>
      <c r="BB306" s="119">
        <f>COUNTIF(U306:AY306,"E")</f>
      </c>
    </row>
    <row r="307" spans="1:54" x14ac:dyDescent="0.2">
      <c r="A307" s="84"/>
      <c r="B307" s="85"/>
      <c r="C307" s="85"/>
      <c r="D307" s="85"/>
      <c r="E307" s="86"/>
      <c r="F307" s="16">
        <f>IF(E307="","",DATEDIF(E307,$I$7,"Y"))</f>
      </c>
      <c r="G307" s="85"/>
      <c r="H307" s="85"/>
      <c r="I307" s="87"/>
      <c r="J307" s="85"/>
      <c r="K307" s="85"/>
      <c r="L307" s="10"/>
      <c r="M307" s="10"/>
      <c r="N307" s="10"/>
      <c r="O307" s="10"/>
      <c r="P307" s="85"/>
      <c r="Q307" s="88"/>
      <c r="R307" s="3">
        <f>IFERROR(VLOOKUP(TablaMayo[[#This Row],[BARRIO]],SECTOR!$A:$B,2,0),"")</f>
      </c>
      <c r="S307" s="89"/>
      <c r="T307" s="90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6"/>
      <c r="AZ307" s="120">
        <f>COUNTIF(U307:AY307,"A")</f>
      </c>
      <c r="BA307" s="121">
        <f>COUNTIF(U307:AY307,"F")</f>
      </c>
      <c r="BB307" s="119">
        <f>COUNTIF(U307:AY307,"E")</f>
      </c>
    </row>
    <row r="308" spans="1:54" x14ac:dyDescent="0.2">
      <c r="A308" s="84"/>
      <c r="B308" s="85"/>
      <c r="C308" s="85"/>
      <c r="D308" s="85"/>
      <c r="E308" s="86"/>
      <c r="F308" s="16">
        <f>IF(E308="","",DATEDIF(E308,$I$7,"Y"))</f>
      </c>
      <c r="G308" s="85"/>
      <c r="H308" s="85"/>
      <c r="I308" s="87"/>
      <c r="J308" s="85"/>
      <c r="K308" s="85"/>
      <c r="L308" s="10"/>
      <c r="M308" s="10"/>
      <c r="N308" s="10"/>
      <c r="O308" s="10"/>
      <c r="P308" s="85"/>
      <c r="Q308" s="88"/>
      <c r="R308" s="3">
        <f>IFERROR(VLOOKUP(TablaMayo[[#This Row],[BARRIO]],SECTOR!$A:$B,2,0),"")</f>
      </c>
      <c r="S308" s="89"/>
      <c r="T308" s="90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6"/>
      <c r="AZ308" s="120">
        <f>COUNTIF(U308:AY308,"A")</f>
      </c>
      <c r="BA308" s="121">
        <f>COUNTIF(U308:AY308,"F")</f>
      </c>
      <c r="BB308" s="119">
        <f>COUNTIF(U308:AY308,"E")</f>
      </c>
    </row>
    <row r="309" spans="1:54" x14ac:dyDescent="0.2">
      <c r="A309" s="84"/>
      <c r="B309" s="85"/>
      <c r="C309" s="85"/>
      <c r="D309" s="85"/>
      <c r="E309" s="86"/>
      <c r="F309" s="16">
        <f>IF(E309="","",DATEDIF(E309,$I$7,"Y"))</f>
      </c>
      <c r="G309" s="85"/>
      <c r="H309" s="85"/>
      <c r="I309" s="87"/>
      <c r="J309" s="85"/>
      <c r="K309" s="85"/>
      <c r="L309" s="10"/>
      <c r="M309" s="10"/>
      <c r="N309" s="10"/>
      <c r="O309" s="10"/>
      <c r="P309" s="85"/>
      <c r="Q309" s="88"/>
      <c r="R309" s="3">
        <f>IFERROR(VLOOKUP(TablaMayo[[#This Row],[BARRIO]],SECTOR!$A:$B,2,0),"")</f>
      </c>
      <c r="S309" s="89"/>
      <c r="T309" s="90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6"/>
      <c r="AZ309" s="120">
        <f>COUNTIF(U309:AY309,"A")</f>
      </c>
      <c r="BA309" s="121">
        <f>COUNTIF(U309:AY309,"F")</f>
      </c>
      <c r="BB309" s="119">
        <f>COUNTIF(U309:AY309,"E")</f>
      </c>
    </row>
    <row r="310" spans="1:54" x14ac:dyDescent="0.2">
      <c r="A310" s="84"/>
      <c r="B310" s="85"/>
      <c r="C310" s="85"/>
      <c r="D310" s="85"/>
      <c r="E310" s="86"/>
      <c r="F310" s="16">
        <f>IF(E310="","",DATEDIF(E310,$I$7,"Y"))</f>
      </c>
      <c r="G310" s="85"/>
      <c r="H310" s="85"/>
      <c r="I310" s="87"/>
      <c r="J310" s="85"/>
      <c r="K310" s="85"/>
      <c r="L310" s="10"/>
      <c r="M310" s="10"/>
      <c r="N310" s="10"/>
      <c r="O310" s="10"/>
      <c r="P310" s="85"/>
      <c r="Q310" s="88"/>
      <c r="R310" s="3">
        <f>IFERROR(VLOOKUP(TablaMayo[[#This Row],[BARRIO]],SECTOR!$A:$B,2,0),"")</f>
      </c>
      <c r="S310" s="89"/>
      <c r="T310" s="90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6"/>
      <c r="AZ310" s="120">
        <f>COUNTIF(U310:AY310,"A")</f>
      </c>
      <c r="BA310" s="121">
        <f>COUNTIF(U310:AY310,"F")</f>
      </c>
      <c r="BB310" s="119">
        <f>COUNTIF(U310:AY310,"E")</f>
      </c>
    </row>
    <row r="311" spans="1:54" x14ac:dyDescent="0.2">
      <c r="A311" s="84"/>
      <c r="B311" s="85"/>
      <c r="C311" s="85"/>
      <c r="D311" s="85"/>
      <c r="E311" s="86"/>
      <c r="F311" s="16">
        <f>IF(E311="","",DATEDIF(E311,$I$7,"Y"))</f>
      </c>
      <c r="G311" s="85"/>
      <c r="H311" s="85"/>
      <c r="I311" s="87"/>
      <c r="J311" s="85"/>
      <c r="K311" s="85"/>
      <c r="L311" s="10"/>
      <c r="M311" s="10"/>
      <c r="N311" s="10"/>
      <c r="O311" s="10"/>
      <c r="P311" s="85"/>
      <c r="Q311" s="88"/>
      <c r="R311" s="3">
        <f>IFERROR(VLOOKUP(TablaMayo[[#This Row],[BARRIO]],SECTOR!$A:$B,2,0),"")</f>
      </c>
      <c r="S311" s="89"/>
      <c r="T311" s="90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6"/>
      <c r="AZ311" s="120">
        <f>COUNTIF(U311:AY311,"A")</f>
      </c>
      <c r="BA311" s="121">
        <f>COUNTIF(U311:AY311,"F")</f>
      </c>
      <c r="BB311" s="119">
        <f>COUNTIF(U311:AY311,"E")</f>
      </c>
    </row>
    <row r="312" spans="1:54" x14ac:dyDescent="0.2">
      <c r="A312" s="84"/>
      <c r="B312" s="85"/>
      <c r="C312" s="85"/>
      <c r="D312" s="85"/>
      <c r="E312" s="86"/>
      <c r="F312" s="16">
        <f>IF(E312="","",DATEDIF(E312,$I$7,"Y"))</f>
      </c>
      <c r="G312" s="85"/>
      <c r="H312" s="85"/>
      <c r="I312" s="87"/>
      <c r="J312" s="85"/>
      <c r="K312" s="85"/>
      <c r="L312" s="10"/>
      <c r="M312" s="10"/>
      <c r="N312" s="10"/>
      <c r="O312" s="10"/>
      <c r="P312" s="85"/>
      <c r="Q312" s="88"/>
      <c r="R312" s="3">
        <f>IFERROR(VLOOKUP(TablaMayo[[#This Row],[BARRIO]],SECTOR!$A:$B,2,0),"")</f>
      </c>
      <c r="S312" s="89"/>
      <c r="T312" s="90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6"/>
      <c r="AZ312" s="120">
        <f>COUNTIF(U312:AY312,"A")</f>
      </c>
      <c r="BA312" s="121">
        <f>COUNTIF(U312:AY312,"F")</f>
      </c>
      <c r="BB312" s="119">
        <f>COUNTIF(U312:AY312,"E")</f>
      </c>
    </row>
    <row r="313" spans="1:54" x14ac:dyDescent="0.2">
      <c r="A313" s="84"/>
      <c r="B313" s="85"/>
      <c r="C313" s="85"/>
      <c r="D313" s="85"/>
      <c r="E313" s="86"/>
      <c r="F313" s="16">
        <f>IF(E313="","",DATEDIF(E313,$I$7,"Y"))</f>
      </c>
      <c r="G313" s="85"/>
      <c r="H313" s="85"/>
      <c r="I313" s="87"/>
      <c r="J313" s="85"/>
      <c r="K313" s="85"/>
      <c r="L313" s="10"/>
      <c r="M313" s="10"/>
      <c r="N313" s="10"/>
      <c r="O313" s="10"/>
      <c r="P313" s="85"/>
      <c r="Q313" s="88"/>
      <c r="R313" s="3">
        <f>IFERROR(VLOOKUP(TablaMayo[[#This Row],[BARRIO]],SECTOR!$A:$B,2,0),"")</f>
      </c>
      <c r="S313" s="89"/>
      <c r="T313" s="90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6"/>
      <c r="AZ313" s="120">
        <f>COUNTIF(U313:AY313,"A")</f>
      </c>
      <c r="BA313" s="121">
        <f>COUNTIF(U313:AY313,"F")</f>
      </c>
      <c r="BB313" s="119">
        <f>COUNTIF(U313:AY313,"E")</f>
      </c>
    </row>
    <row r="314" spans="1:54" x14ac:dyDescent="0.2">
      <c r="A314" s="84"/>
      <c r="B314" s="85"/>
      <c r="C314" s="85"/>
      <c r="D314" s="85"/>
      <c r="E314" s="86"/>
      <c r="F314" s="16">
        <f>IF(E314="","",DATEDIF(E314,$I$7,"Y"))</f>
      </c>
      <c r="G314" s="85"/>
      <c r="H314" s="85"/>
      <c r="I314" s="87"/>
      <c r="J314" s="85"/>
      <c r="K314" s="85"/>
      <c r="L314" s="10"/>
      <c r="M314" s="10"/>
      <c r="N314" s="10"/>
      <c r="O314" s="10"/>
      <c r="P314" s="85"/>
      <c r="Q314" s="88"/>
      <c r="R314" s="3">
        <f>IFERROR(VLOOKUP(TablaMayo[[#This Row],[BARRIO]],SECTOR!$A:$B,2,0),"")</f>
      </c>
      <c r="S314" s="89"/>
      <c r="T314" s="90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6"/>
      <c r="AZ314" s="120">
        <f>COUNTIF(U314:AY314,"A")</f>
      </c>
      <c r="BA314" s="121">
        <f>COUNTIF(U314:AY314,"F")</f>
      </c>
      <c r="BB314" s="119">
        <f>COUNTIF(U314:AY314,"E")</f>
      </c>
    </row>
    <row r="315" spans="1:54" x14ac:dyDescent="0.2">
      <c r="A315" s="84"/>
      <c r="B315" s="85"/>
      <c r="C315" s="85"/>
      <c r="D315" s="85"/>
      <c r="E315" s="86"/>
      <c r="F315" s="16">
        <f>IF(E315="","",DATEDIF(E315,$I$7,"Y"))</f>
      </c>
      <c r="G315" s="85"/>
      <c r="H315" s="85"/>
      <c r="I315" s="87"/>
      <c r="J315" s="85"/>
      <c r="K315" s="85"/>
      <c r="L315" s="10"/>
      <c r="M315" s="10"/>
      <c r="N315" s="10"/>
      <c r="O315" s="10"/>
      <c r="P315" s="85"/>
      <c r="Q315" s="88"/>
      <c r="R315" s="3">
        <f>IFERROR(VLOOKUP(TablaMayo[[#This Row],[BARRIO]],SECTOR!$A:$B,2,0),"")</f>
      </c>
      <c r="S315" s="89"/>
      <c r="T315" s="90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6"/>
      <c r="AZ315" s="120">
        <f>COUNTIF(U315:AY315,"A")</f>
      </c>
      <c r="BA315" s="121">
        <f>COUNTIF(U315:AY315,"F")</f>
      </c>
      <c r="BB315" s="119">
        <f>COUNTIF(U315:AY315,"E")</f>
      </c>
    </row>
    <row r="316" spans="1:54" x14ac:dyDescent="0.2">
      <c r="A316" s="84"/>
      <c r="B316" s="85"/>
      <c r="C316" s="85"/>
      <c r="D316" s="85"/>
      <c r="E316" s="86"/>
      <c r="F316" s="16">
        <f>IF(E316="","",DATEDIF(E316,$I$7,"Y"))</f>
      </c>
      <c r="G316" s="85"/>
      <c r="H316" s="85"/>
      <c r="I316" s="87"/>
      <c r="J316" s="85"/>
      <c r="K316" s="85"/>
      <c r="L316" s="10"/>
      <c r="M316" s="10"/>
      <c r="N316" s="10"/>
      <c r="O316" s="10"/>
      <c r="P316" s="85"/>
      <c r="Q316" s="88"/>
      <c r="R316" s="3">
        <f>IFERROR(VLOOKUP(TablaMayo[[#This Row],[BARRIO]],SECTOR!$A:$B,2,0),"")</f>
      </c>
      <c r="S316" s="89"/>
      <c r="T316" s="90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6"/>
      <c r="AZ316" s="120">
        <f>COUNTIF(U316:AY316,"A")</f>
      </c>
      <c r="BA316" s="121">
        <f>COUNTIF(U316:AY316,"F")</f>
      </c>
      <c r="BB316" s="119">
        <f>COUNTIF(U316:AY316,"E")</f>
      </c>
    </row>
    <row r="317" spans="1:54" x14ac:dyDescent="0.2">
      <c r="A317" s="84"/>
      <c r="B317" s="85"/>
      <c r="C317" s="85"/>
      <c r="D317" s="85"/>
      <c r="E317" s="86"/>
      <c r="F317" s="16">
        <f>IF(E317="","",DATEDIF(E317,$I$7,"Y"))</f>
      </c>
      <c r="G317" s="85"/>
      <c r="H317" s="85"/>
      <c r="I317" s="87"/>
      <c r="J317" s="85"/>
      <c r="K317" s="85"/>
      <c r="L317" s="10"/>
      <c r="M317" s="10"/>
      <c r="N317" s="10"/>
      <c r="O317" s="10"/>
      <c r="P317" s="85"/>
      <c r="Q317" s="88"/>
      <c r="R317" s="3">
        <f>IFERROR(VLOOKUP(TablaMayo[[#This Row],[BARRIO]],SECTOR!$A:$B,2,0),"")</f>
      </c>
      <c r="S317" s="89"/>
      <c r="T317" s="90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6"/>
      <c r="AZ317" s="120">
        <f>COUNTIF(U317:AY317,"A")</f>
      </c>
      <c r="BA317" s="121">
        <f>COUNTIF(U317:AY317,"F")</f>
      </c>
      <c r="BB317" s="119">
        <f>COUNTIF(U317:AY317,"E")</f>
      </c>
    </row>
    <row r="318" spans="1:54" x14ac:dyDescent="0.2">
      <c r="A318" s="84"/>
      <c r="B318" s="85"/>
      <c r="C318" s="85"/>
      <c r="D318" s="85"/>
      <c r="E318" s="86"/>
      <c r="F318" s="16">
        <f>IF(E318="","",DATEDIF(E318,$I$7,"Y"))</f>
      </c>
      <c r="G318" s="85"/>
      <c r="H318" s="85"/>
      <c r="I318" s="87"/>
      <c r="J318" s="85"/>
      <c r="K318" s="85"/>
      <c r="L318" s="10"/>
      <c r="M318" s="10"/>
      <c r="N318" s="10"/>
      <c r="O318" s="10"/>
      <c r="P318" s="85"/>
      <c r="Q318" s="88"/>
      <c r="R318" s="3">
        <f>IFERROR(VLOOKUP(TablaMayo[[#This Row],[BARRIO]],SECTOR!$A:$B,2,0),"")</f>
      </c>
      <c r="S318" s="89"/>
      <c r="T318" s="90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6"/>
      <c r="AZ318" s="120">
        <f>COUNTIF(U318:AY318,"A")</f>
      </c>
      <c r="BA318" s="121">
        <f>COUNTIF(U318:AY318,"F")</f>
      </c>
      <c r="BB318" s="119">
        <f>COUNTIF(U318:AY318,"E")</f>
      </c>
    </row>
    <row r="319" spans="1:54" x14ac:dyDescent="0.2">
      <c r="A319" s="84"/>
      <c r="B319" s="85"/>
      <c r="C319" s="85"/>
      <c r="D319" s="85"/>
      <c r="E319" s="86"/>
      <c r="F319" s="16">
        <f>IF(E319="","",DATEDIF(E319,$I$7,"Y"))</f>
      </c>
      <c r="G319" s="85"/>
      <c r="H319" s="85"/>
      <c r="I319" s="87"/>
      <c r="J319" s="85"/>
      <c r="K319" s="85"/>
      <c r="L319" s="10"/>
      <c r="M319" s="10"/>
      <c r="N319" s="10"/>
      <c r="O319" s="10"/>
      <c r="P319" s="85"/>
      <c r="Q319" s="88"/>
      <c r="R319" s="3">
        <f>IFERROR(VLOOKUP(TablaMayo[[#This Row],[BARRIO]],SECTOR!$A:$B,2,0),"")</f>
      </c>
      <c r="S319" s="89"/>
      <c r="T319" s="90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6"/>
      <c r="AZ319" s="120">
        <f>COUNTIF(U319:AY319,"A")</f>
      </c>
      <c r="BA319" s="121">
        <f>COUNTIF(U319:AY319,"F")</f>
      </c>
      <c r="BB319" s="119">
        <f>COUNTIF(U319:AY319,"E")</f>
      </c>
    </row>
    <row r="320" spans="1:54" x14ac:dyDescent="0.2">
      <c r="A320" s="84"/>
      <c r="B320" s="85"/>
      <c r="C320" s="85"/>
      <c r="D320" s="85"/>
      <c r="E320" s="86"/>
      <c r="F320" s="16">
        <f>IF(E320="","",DATEDIF(E320,$I$7,"Y"))</f>
      </c>
      <c r="G320" s="85"/>
      <c r="H320" s="85"/>
      <c r="I320" s="87"/>
      <c r="J320" s="85"/>
      <c r="K320" s="85"/>
      <c r="L320" s="10"/>
      <c r="M320" s="10"/>
      <c r="N320" s="10"/>
      <c r="O320" s="10"/>
      <c r="P320" s="85"/>
      <c r="Q320" s="88"/>
      <c r="R320" s="3">
        <f>IFERROR(VLOOKUP(TablaMayo[[#This Row],[BARRIO]],SECTOR!$A:$B,2,0),"")</f>
      </c>
      <c r="S320" s="89"/>
      <c r="T320" s="90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6"/>
      <c r="AZ320" s="120">
        <f>COUNTIF(U320:AY320,"A")</f>
      </c>
      <c r="BA320" s="121">
        <f>COUNTIF(U320:AY320,"F")</f>
      </c>
      <c r="BB320" s="119">
        <f>COUNTIF(U320:AY320,"E")</f>
      </c>
    </row>
    <row r="321" spans="1:54" x14ac:dyDescent="0.2">
      <c r="A321" s="84"/>
      <c r="B321" s="85"/>
      <c r="C321" s="85"/>
      <c r="D321" s="85"/>
      <c r="E321" s="86"/>
      <c r="F321" s="16">
        <f>IF(E321="","",DATEDIF(E321,$I$7,"Y"))</f>
      </c>
      <c r="G321" s="85"/>
      <c r="H321" s="85"/>
      <c r="I321" s="87"/>
      <c r="J321" s="85"/>
      <c r="K321" s="85"/>
      <c r="L321" s="10"/>
      <c r="M321" s="10"/>
      <c r="N321" s="10"/>
      <c r="O321" s="10"/>
      <c r="P321" s="85"/>
      <c r="Q321" s="88"/>
      <c r="R321" s="3">
        <f>IFERROR(VLOOKUP(TablaMayo[[#This Row],[BARRIO]],SECTOR!$A:$B,2,0),"")</f>
      </c>
      <c r="S321" s="89"/>
      <c r="T321" s="90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6"/>
      <c r="AZ321" s="120">
        <f>COUNTIF(U321:AY321,"A")</f>
      </c>
      <c r="BA321" s="121">
        <f>COUNTIF(U321:AY321,"F")</f>
      </c>
      <c r="BB321" s="119">
        <f>COUNTIF(U321:AY321,"E")</f>
      </c>
    </row>
    <row r="322" spans="1:54" x14ac:dyDescent="0.2">
      <c r="A322" s="84"/>
      <c r="B322" s="85"/>
      <c r="C322" s="85"/>
      <c r="D322" s="85"/>
      <c r="E322" s="86"/>
      <c r="F322" s="16">
        <f>IF(E322="","",DATEDIF(E322,$I$7,"Y"))</f>
      </c>
      <c r="G322" s="85"/>
      <c r="H322" s="85"/>
      <c r="I322" s="87"/>
      <c r="J322" s="85"/>
      <c r="K322" s="85"/>
      <c r="L322" s="10"/>
      <c r="M322" s="10"/>
      <c r="N322" s="10"/>
      <c r="O322" s="10"/>
      <c r="P322" s="85"/>
      <c r="Q322" s="88"/>
      <c r="R322" s="3">
        <f>IFERROR(VLOOKUP(TablaMayo[[#This Row],[BARRIO]],SECTOR!$A:$B,2,0),"")</f>
      </c>
      <c r="S322" s="89"/>
      <c r="T322" s="90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6"/>
      <c r="AZ322" s="120">
        <f>COUNTIF(U322:AY322,"A")</f>
      </c>
      <c r="BA322" s="121">
        <f>COUNTIF(U322:AY322,"F")</f>
      </c>
      <c r="BB322" s="119">
        <f>COUNTIF(U322:AY322,"E")</f>
      </c>
    </row>
    <row r="323" spans="1:54" x14ac:dyDescent="0.2">
      <c r="A323" s="84"/>
      <c r="B323" s="85"/>
      <c r="C323" s="85"/>
      <c r="D323" s="85"/>
      <c r="E323" s="86"/>
      <c r="F323" s="16">
        <f>IF(E323="","",DATEDIF(E323,$I$7,"Y"))</f>
      </c>
      <c r="G323" s="85"/>
      <c r="H323" s="85"/>
      <c r="I323" s="87"/>
      <c r="J323" s="85"/>
      <c r="K323" s="85"/>
      <c r="L323" s="10"/>
      <c r="M323" s="10"/>
      <c r="N323" s="10"/>
      <c r="O323" s="10"/>
      <c r="P323" s="85"/>
      <c r="Q323" s="88"/>
      <c r="R323" s="3">
        <f>IFERROR(VLOOKUP(TablaMayo[[#This Row],[BARRIO]],SECTOR!$A:$B,2,0),"")</f>
      </c>
      <c r="S323" s="89"/>
      <c r="T323" s="90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6"/>
      <c r="AZ323" s="120">
        <f>COUNTIF(U323:AY323,"A")</f>
      </c>
      <c r="BA323" s="121">
        <f>COUNTIF(U323:AY323,"F")</f>
      </c>
      <c r="BB323" s="119">
        <f>COUNTIF(U323:AY323,"E")</f>
      </c>
    </row>
    <row r="324" spans="1:54" x14ac:dyDescent="0.2">
      <c r="A324" s="84"/>
      <c r="B324" s="85"/>
      <c r="C324" s="85"/>
      <c r="D324" s="85"/>
      <c r="E324" s="86"/>
      <c r="F324" s="16">
        <f>IF(E324="","",DATEDIF(E324,$I$7,"Y"))</f>
      </c>
      <c r="G324" s="85"/>
      <c r="H324" s="85"/>
      <c r="I324" s="87"/>
      <c r="J324" s="85"/>
      <c r="K324" s="85"/>
      <c r="L324" s="10"/>
      <c r="M324" s="10"/>
      <c r="N324" s="10"/>
      <c r="O324" s="10"/>
      <c r="P324" s="85"/>
      <c r="Q324" s="88"/>
      <c r="R324" s="3">
        <f>IFERROR(VLOOKUP(TablaMayo[[#This Row],[BARRIO]],SECTOR!$A:$B,2,0),"")</f>
      </c>
      <c r="S324" s="89"/>
      <c r="T324" s="90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6"/>
      <c r="AZ324" s="120">
        <f>COUNTIF(U324:AY324,"A")</f>
      </c>
      <c r="BA324" s="121">
        <f>COUNTIF(U324:AY324,"F")</f>
      </c>
      <c r="BB324" s="119">
        <f>COUNTIF(U324:AY324,"E")</f>
      </c>
    </row>
    <row r="325" spans="1:54" x14ac:dyDescent="0.2">
      <c r="A325" s="84"/>
      <c r="B325" s="85"/>
      <c r="C325" s="85"/>
      <c r="D325" s="85"/>
      <c r="E325" s="86"/>
      <c r="F325" s="16">
        <f>IF(E325="","",DATEDIF(E325,$I$7,"Y"))</f>
      </c>
      <c r="G325" s="85"/>
      <c r="H325" s="85"/>
      <c r="I325" s="87"/>
      <c r="J325" s="85"/>
      <c r="K325" s="85"/>
      <c r="L325" s="10"/>
      <c r="M325" s="10"/>
      <c r="N325" s="10"/>
      <c r="O325" s="10"/>
      <c r="P325" s="85"/>
      <c r="Q325" s="88"/>
      <c r="R325" s="3">
        <f>IFERROR(VLOOKUP(TablaMayo[[#This Row],[BARRIO]],SECTOR!$A:$B,2,0),"")</f>
      </c>
      <c r="S325" s="89"/>
      <c r="T325" s="90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6"/>
      <c r="AZ325" s="120">
        <f>COUNTIF(U325:AY325,"A")</f>
      </c>
      <c r="BA325" s="121">
        <f>COUNTIF(U325:AY325,"F")</f>
      </c>
      <c r="BB325" s="119">
        <f>COUNTIF(U325:AY325,"E")</f>
      </c>
    </row>
    <row r="326" spans="1:54" x14ac:dyDescent="0.2">
      <c r="A326" s="84"/>
      <c r="B326" s="85"/>
      <c r="C326" s="85"/>
      <c r="D326" s="85"/>
      <c r="E326" s="86"/>
      <c r="F326" s="16">
        <f>IF(E326="","",DATEDIF(E326,$I$7,"Y"))</f>
      </c>
      <c r="G326" s="85"/>
      <c r="H326" s="85"/>
      <c r="I326" s="87"/>
      <c r="J326" s="85"/>
      <c r="K326" s="85"/>
      <c r="L326" s="10"/>
      <c r="M326" s="10"/>
      <c r="N326" s="10"/>
      <c r="O326" s="10"/>
      <c r="P326" s="85"/>
      <c r="Q326" s="88"/>
      <c r="R326" s="3">
        <f>IFERROR(VLOOKUP(TablaMayo[[#This Row],[BARRIO]],SECTOR!$A:$B,2,0),"")</f>
      </c>
      <c r="S326" s="89"/>
      <c r="T326" s="90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6"/>
      <c r="AZ326" s="120">
        <f>COUNTIF(U326:AY326,"A")</f>
      </c>
      <c r="BA326" s="121">
        <f>COUNTIF(U326:AY326,"F")</f>
      </c>
      <c r="BB326" s="119">
        <f>COUNTIF(U326:AY326,"E")</f>
      </c>
    </row>
    <row r="327" spans="1:54" x14ac:dyDescent="0.2">
      <c r="A327" s="84"/>
      <c r="B327" s="85"/>
      <c r="C327" s="85"/>
      <c r="D327" s="85"/>
      <c r="E327" s="86"/>
      <c r="F327" s="16">
        <f>IF(E327="","",DATEDIF(E327,$I$7,"Y"))</f>
      </c>
      <c r="G327" s="85"/>
      <c r="H327" s="85"/>
      <c r="I327" s="87"/>
      <c r="J327" s="85"/>
      <c r="K327" s="85"/>
      <c r="L327" s="10"/>
      <c r="M327" s="10"/>
      <c r="N327" s="10"/>
      <c r="O327" s="10"/>
      <c r="P327" s="85"/>
      <c r="Q327" s="88"/>
      <c r="R327" s="3">
        <f>IFERROR(VLOOKUP(TablaMayo[[#This Row],[BARRIO]],SECTOR!$A:$B,2,0),"")</f>
      </c>
      <c r="S327" s="89"/>
      <c r="T327" s="90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6"/>
      <c r="AZ327" s="120">
        <f>COUNTIF(U327:AY327,"A")</f>
      </c>
      <c r="BA327" s="121">
        <f>COUNTIF(U327:AY327,"F")</f>
      </c>
      <c r="BB327" s="119">
        <f>COUNTIF(U327:AY327,"E")</f>
      </c>
    </row>
    <row r="328" spans="1:54" x14ac:dyDescent="0.2">
      <c r="A328" s="84"/>
      <c r="B328" s="85"/>
      <c r="C328" s="85"/>
      <c r="D328" s="85"/>
      <c r="E328" s="86"/>
      <c r="F328" s="16">
        <f>IF(E328="","",DATEDIF(E328,$I$7,"Y"))</f>
      </c>
      <c r="G328" s="85"/>
      <c r="H328" s="85"/>
      <c r="I328" s="87"/>
      <c r="J328" s="85"/>
      <c r="K328" s="85"/>
      <c r="L328" s="10"/>
      <c r="M328" s="10"/>
      <c r="N328" s="10"/>
      <c r="O328" s="10"/>
      <c r="P328" s="85"/>
      <c r="Q328" s="88"/>
      <c r="R328" s="3">
        <f>IFERROR(VLOOKUP(TablaMayo[[#This Row],[BARRIO]],SECTOR!$A:$B,2,0),"")</f>
      </c>
      <c r="S328" s="89"/>
      <c r="T328" s="90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6"/>
      <c r="AZ328" s="120">
        <f>COUNTIF(U328:AY328,"A")</f>
      </c>
      <c r="BA328" s="121">
        <f>COUNTIF(U328:AY328,"F")</f>
      </c>
      <c r="BB328" s="119">
        <f>COUNTIF(U328:AY328,"E")</f>
      </c>
    </row>
    <row r="329" spans="1:54" x14ac:dyDescent="0.2">
      <c r="A329" s="84"/>
      <c r="B329" s="85"/>
      <c r="C329" s="85"/>
      <c r="D329" s="85"/>
      <c r="E329" s="86"/>
      <c r="F329" s="16">
        <f>IF(E329="","",DATEDIF(E329,$I$7,"Y"))</f>
      </c>
      <c r="G329" s="85"/>
      <c r="H329" s="85"/>
      <c r="I329" s="87"/>
      <c r="J329" s="85"/>
      <c r="K329" s="85"/>
      <c r="L329" s="10"/>
      <c r="M329" s="10"/>
      <c r="N329" s="10"/>
      <c r="O329" s="10"/>
      <c r="P329" s="85"/>
      <c r="Q329" s="88"/>
      <c r="R329" s="3">
        <f>IFERROR(VLOOKUP(TablaMayo[[#This Row],[BARRIO]],SECTOR!$A:$B,2,0),"")</f>
      </c>
      <c r="S329" s="89"/>
      <c r="T329" s="90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6"/>
      <c r="AZ329" s="120">
        <f>COUNTIF(U329:AY329,"A")</f>
      </c>
      <c r="BA329" s="121">
        <f>COUNTIF(U329:AY329,"F")</f>
      </c>
      <c r="BB329" s="119">
        <f>COUNTIF(U329:AY329,"E")</f>
      </c>
    </row>
    <row r="330" spans="1:54" x14ac:dyDescent="0.2">
      <c r="A330" s="84"/>
      <c r="B330" s="85"/>
      <c r="C330" s="85"/>
      <c r="D330" s="85"/>
      <c r="E330" s="86"/>
      <c r="F330" s="16">
        <f>IF(E330="","",DATEDIF(E330,$I$7,"Y"))</f>
      </c>
      <c r="G330" s="85"/>
      <c r="H330" s="85"/>
      <c r="I330" s="87"/>
      <c r="J330" s="85"/>
      <c r="K330" s="85"/>
      <c r="L330" s="10"/>
      <c r="M330" s="10"/>
      <c r="N330" s="10"/>
      <c r="O330" s="10"/>
      <c r="P330" s="85"/>
      <c r="Q330" s="88"/>
      <c r="R330" s="3">
        <f>IFERROR(VLOOKUP(TablaMayo[[#This Row],[BARRIO]],SECTOR!$A:$B,2,0),"")</f>
      </c>
      <c r="S330" s="89"/>
      <c r="T330" s="90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6"/>
      <c r="AZ330" s="120">
        <f>COUNTIF(U330:AY330,"A")</f>
      </c>
      <c r="BA330" s="121">
        <f>COUNTIF(U330:AY330,"F")</f>
      </c>
      <c r="BB330" s="119">
        <f>COUNTIF(U330:AY330,"E")</f>
      </c>
    </row>
    <row r="331" spans="1:54" x14ac:dyDescent="0.2">
      <c r="A331" s="84"/>
      <c r="B331" s="85"/>
      <c r="C331" s="85"/>
      <c r="D331" s="85"/>
      <c r="E331" s="86"/>
      <c r="F331" s="16">
        <f>IF(E331="","",DATEDIF(E331,$I$7,"Y"))</f>
      </c>
      <c r="G331" s="85"/>
      <c r="H331" s="85"/>
      <c r="I331" s="87"/>
      <c r="J331" s="85"/>
      <c r="K331" s="85"/>
      <c r="L331" s="10"/>
      <c r="M331" s="10"/>
      <c r="N331" s="10"/>
      <c r="O331" s="10"/>
      <c r="P331" s="85"/>
      <c r="Q331" s="88"/>
      <c r="R331" s="3">
        <f>IFERROR(VLOOKUP(TablaMayo[[#This Row],[BARRIO]],SECTOR!$A:$B,2,0),"")</f>
      </c>
      <c r="S331" s="89"/>
      <c r="T331" s="90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6"/>
      <c r="AZ331" s="120">
        <f>COUNTIF(U331:AY331,"A")</f>
      </c>
      <c r="BA331" s="121">
        <f>COUNTIF(U331:AY331,"F")</f>
      </c>
      <c r="BB331" s="119">
        <f>COUNTIF(U331:AY331,"E")</f>
      </c>
    </row>
    <row r="332" spans="1:54" x14ac:dyDescent="0.2">
      <c r="A332" s="84"/>
      <c r="B332" s="85"/>
      <c r="C332" s="85"/>
      <c r="D332" s="85"/>
      <c r="E332" s="86"/>
      <c r="F332" s="16">
        <f>IF(E332="","",DATEDIF(E332,$I$7,"Y"))</f>
      </c>
      <c r="G332" s="85"/>
      <c r="H332" s="85"/>
      <c r="I332" s="87"/>
      <c r="J332" s="85"/>
      <c r="K332" s="85"/>
      <c r="L332" s="10"/>
      <c r="M332" s="10"/>
      <c r="N332" s="10"/>
      <c r="O332" s="10"/>
      <c r="P332" s="85"/>
      <c r="Q332" s="88"/>
      <c r="R332" s="3">
        <f>IFERROR(VLOOKUP(TablaMayo[[#This Row],[BARRIO]],SECTOR!$A:$B,2,0),"")</f>
      </c>
      <c r="S332" s="89"/>
      <c r="T332" s="90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6"/>
      <c r="AZ332" s="120">
        <f>COUNTIF(U332:AY332,"A")</f>
      </c>
      <c r="BA332" s="121">
        <f>COUNTIF(U332:AY332,"F")</f>
      </c>
      <c r="BB332" s="119">
        <f>COUNTIF(U332:AY332,"E")</f>
      </c>
    </row>
    <row r="333" spans="1:54" x14ac:dyDescent="0.2">
      <c r="A333" s="84"/>
      <c r="B333" s="85"/>
      <c r="C333" s="85"/>
      <c r="D333" s="85"/>
      <c r="E333" s="86"/>
      <c r="F333" s="16">
        <f>IF(E333="","",DATEDIF(E333,$I$7,"Y"))</f>
      </c>
      <c r="G333" s="85"/>
      <c r="H333" s="85"/>
      <c r="I333" s="87"/>
      <c r="J333" s="85"/>
      <c r="K333" s="85"/>
      <c r="L333" s="10"/>
      <c r="M333" s="10"/>
      <c r="N333" s="10"/>
      <c r="O333" s="10"/>
      <c r="P333" s="85"/>
      <c r="Q333" s="88"/>
      <c r="R333" s="3">
        <f>IFERROR(VLOOKUP(TablaMayo[[#This Row],[BARRIO]],SECTOR!$A:$B,2,0),"")</f>
      </c>
      <c r="S333" s="89"/>
      <c r="T333" s="90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6"/>
      <c r="AZ333" s="120">
        <f>COUNTIF(U333:AY333,"A")</f>
      </c>
      <c r="BA333" s="121">
        <f>COUNTIF(U333:AY333,"F")</f>
      </c>
      <c r="BB333" s="119">
        <f>COUNTIF(U333:AY333,"E")</f>
      </c>
    </row>
    <row r="334" spans="1:54" x14ac:dyDescent="0.2">
      <c r="A334" s="84"/>
      <c r="B334" s="85"/>
      <c r="C334" s="85"/>
      <c r="D334" s="85"/>
      <c r="E334" s="86"/>
      <c r="F334" s="16">
        <f>IF(E334="","",DATEDIF(E334,$I$7,"Y"))</f>
      </c>
      <c r="G334" s="85"/>
      <c r="H334" s="85"/>
      <c r="I334" s="87"/>
      <c r="J334" s="85"/>
      <c r="K334" s="85"/>
      <c r="L334" s="10"/>
      <c r="M334" s="10"/>
      <c r="N334" s="10"/>
      <c r="O334" s="10"/>
      <c r="P334" s="85"/>
      <c r="Q334" s="88"/>
      <c r="R334" s="3">
        <f>IFERROR(VLOOKUP(TablaMayo[[#This Row],[BARRIO]],SECTOR!$A:$B,2,0),"")</f>
      </c>
      <c r="S334" s="89"/>
      <c r="T334" s="90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6"/>
      <c r="AZ334" s="120">
        <f>COUNTIF(U334:AY334,"A")</f>
      </c>
      <c r="BA334" s="121">
        <f>COUNTIF(U334:AY334,"F")</f>
      </c>
      <c r="BB334" s="119">
        <f>COUNTIF(U334:AY334,"E")</f>
      </c>
    </row>
    <row r="335" spans="1:54" x14ac:dyDescent="0.2">
      <c r="A335" s="84"/>
      <c r="B335" s="85"/>
      <c r="C335" s="85"/>
      <c r="D335" s="85"/>
      <c r="E335" s="86"/>
      <c r="F335" s="16">
        <f>IF(E335="","",DATEDIF(E335,$I$7,"Y"))</f>
      </c>
      <c r="G335" s="85"/>
      <c r="H335" s="85"/>
      <c r="I335" s="87"/>
      <c r="J335" s="85"/>
      <c r="K335" s="85"/>
      <c r="L335" s="10"/>
      <c r="M335" s="10"/>
      <c r="N335" s="10"/>
      <c r="O335" s="10"/>
      <c r="P335" s="85"/>
      <c r="Q335" s="88"/>
      <c r="R335" s="3">
        <f>IFERROR(VLOOKUP(TablaMayo[[#This Row],[BARRIO]],SECTOR!$A:$B,2,0),"")</f>
      </c>
      <c r="S335" s="89"/>
      <c r="T335" s="90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6"/>
      <c r="AZ335" s="120">
        <f>COUNTIF(U335:AY335,"A")</f>
      </c>
      <c r="BA335" s="121">
        <f>COUNTIF(U335:AY335,"F")</f>
      </c>
      <c r="BB335" s="119">
        <f>COUNTIF(U335:AY335,"E")</f>
      </c>
    </row>
    <row r="336" spans="1:54" x14ac:dyDescent="0.2">
      <c r="A336" s="84"/>
      <c r="B336" s="85"/>
      <c r="C336" s="85"/>
      <c r="D336" s="85"/>
      <c r="E336" s="86"/>
      <c r="F336" s="16">
        <f>IF(E336="","",DATEDIF(E336,$I$7,"Y"))</f>
      </c>
      <c r="G336" s="85"/>
      <c r="H336" s="85"/>
      <c r="I336" s="87"/>
      <c r="J336" s="85"/>
      <c r="K336" s="85"/>
      <c r="L336" s="10"/>
      <c r="M336" s="10"/>
      <c r="N336" s="10"/>
      <c r="O336" s="10"/>
      <c r="P336" s="85"/>
      <c r="Q336" s="88"/>
      <c r="R336" s="3">
        <f>IFERROR(VLOOKUP(TablaMayo[[#This Row],[BARRIO]],SECTOR!$A:$B,2,0),"")</f>
      </c>
      <c r="S336" s="89"/>
      <c r="T336" s="90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6"/>
      <c r="AZ336" s="120">
        <f>COUNTIF(U336:AY336,"A")</f>
      </c>
      <c r="BA336" s="121">
        <f>COUNTIF(U336:AY336,"F")</f>
      </c>
      <c r="BB336" s="119">
        <f>COUNTIF(U336:AY336,"E")</f>
      </c>
    </row>
    <row r="337" spans="1:54" x14ac:dyDescent="0.2">
      <c r="A337" s="84"/>
      <c r="B337" s="85"/>
      <c r="C337" s="85"/>
      <c r="D337" s="85"/>
      <c r="E337" s="86"/>
      <c r="F337" s="16">
        <f>IF(E337="","",DATEDIF(E337,$I$7,"Y"))</f>
      </c>
      <c r="G337" s="85"/>
      <c r="H337" s="85"/>
      <c r="I337" s="87"/>
      <c r="J337" s="85"/>
      <c r="K337" s="85"/>
      <c r="L337" s="10"/>
      <c r="M337" s="10"/>
      <c r="N337" s="10"/>
      <c r="O337" s="10"/>
      <c r="P337" s="85"/>
      <c r="Q337" s="88"/>
      <c r="R337" s="3">
        <f>IFERROR(VLOOKUP(TablaMayo[[#This Row],[BARRIO]],SECTOR!$A:$B,2,0),"")</f>
      </c>
      <c r="S337" s="89"/>
      <c r="T337" s="90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6"/>
      <c r="AZ337" s="120">
        <f>COUNTIF(U337:AY337,"A")</f>
      </c>
      <c r="BA337" s="121">
        <f>COUNTIF(U337:AY337,"F")</f>
      </c>
      <c r="BB337" s="119">
        <f>COUNTIF(U337:AY337,"E")</f>
      </c>
    </row>
    <row r="338" spans="1:54" x14ac:dyDescent="0.2">
      <c r="A338" s="84"/>
      <c r="B338" s="85"/>
      <c r="C338" s="85"/>
      <c r="D338" s="85"/>
      <c r="E338" s="86"/>
      <c r="F338" s="16">
        <f>IF(E338="","",DATEDIF(E338,$I$7,"Y"))</f>
      </c>
      <c r="G338" s="85"/>
      <c r="H338" s="85"/>
      <c r="I338" s="87"/>
      <c r="J338" s="85"/>
      <c r="K338" s="85"/>
      <c r="L338" s="10"/>
      <c r="M338" s="10"/>
      <c r="N338" s="10"/>
      <c r="O338" s="10"/>
      <c r="P338" s="85"/>
      <c r="Q338" s="88"/>
      <c r="R338" s="3">
        <f>IFERROR(VLOOKUP(TablaMayo[[#This Row],[BARRIO]],SECTOR!$A:$B,2,0),"")</f>
      </c>
      <c r="S338" s="89"/>
      <c r="T338" s="90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6"/>
      <c r="AZ338" s="120">
        <f>COUNTIF(U338:AY338,"A")</f>
      </c>
      <c r="BA338" s="121">
        <f>COUNTIF(U338:AY338,"F")</f>
      </c>
      <c r="BB338" s="119">
        <f>COUNTIF(U338:AY338,"E")</f>
      </c>
    </row>
    <row r="339" spans="1:54" x14ac:dyDescent="0.2">
      <c r="A339" s="84"/>
      <c r="B339" s="85"/>
      <c r="C339" s="85"/>
      <c r="D339" s="85"/>
      <c r="E339" s="86"/>
      <c r="F339" s="16">
        <f>IF(E339="","",DATEDIF(E339,$I$7,"Y"))</f>
      </c>
      <c r="G339" s="85"/>
      <c r="H339" s="85"/>
      <c r="I339" s="87"/>
      <c r="J339" s="85"/>
      <c r="K339" s="85"/>
      <c r="L339" s="10"/>
      <c r="M339" s="10"/>
      <c r="N339" s="10"/>
      <c r="O339" s="10"/>
      <c r="P339" s="85"/>
      <c r="Q339" s="88"/>
      <c r="R339" s="3">
        <f>IFERROR(VLOOKUP(TablaMayo[[#This Row],[BARRIO]],SECTOR!$A:$B,2,0),"")</f>
      </c>
      <c r="S339" s="89"/>
      <c r="T339" s="90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6"/>
      <c r="AZ339" s="120">
        <f>COUNTIF(U339:AY339,"A")</f>
      </c>
      <c r="BA339" s="121">
        <f>COUNTIF(U339:AY339,"F")</f>
      </c>
      <c r="BB339" s="119">
        <f>COUNTIF(U339:AY339,"E")</f>
      </c>
    </row>
    <row r="340" spans="1:54" x14ac:dyDescent="0.2">
      <c r="A340" s="84"/>
      <c r="B340" s="85"/>
      <c r="C340" s="85"/>
      <c r="D340" s="85"/>
      <c r="E340" s="86"/>
      <c r="F340" s="16">
        <f>IF(E340="","",DATEDIF(E340,$I$7,"Y"))</f>
      </c>
      <c r="G340" s="85"/>
      <c r="H340" s="85"/>
      <c r="I340" s="87"/>
      <c r="J340" s="85"/>
      <c r="K340" s="85"/>
      <c r="L340" s="10"/>
      <c r="M340" s="10"/>
      <c r="N340" s="10"/>
      <c r="O340" s="10"/>
      <c r="P340" s="85"/>
      <c r="Q340" s="88"/>
      <c r="R340" s="3">
        <f>IFERROR(VLOOKUP(TablaMayo[[#This Row],[BARRIO]],SECTOR!$A:$B,2,0),"")</f>
      </c>
      <c r="S340" s="89"/>
      <c r="T340" s="90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6"/>
      <c r="AZ340" s="120">
        <f>COUNTIF(U340:AY340,"A")</f>
      </c>
      <c r="BA340" s="121">
        <f>COUNTIF(U340:AY340,"F")</f>
      </c>
      <c r="BB340" s="119">
        <f>COUNTIF(U340:AY340,"E")</f>
      </c>
    </row>
    <row r="341" spans="1:54" x14ac:dyDescent="0.2">
      <c r="A341" s="84"/>
      <c r="B341" s="85"/>
      <c r="C341" s="85"/>
      <c r="D341" s="85"/>
      <c r="E341" s="86"/>
      <c r="F341" s="16">
        <f>IF(E341="","",DATEDIF(E341,$I$7,"Y"))</f>
      </c>
      <c r="G341" s="85"/>
      <c r="H341" s="85"/>
      <c r="I341" s="87"/>
      <c r="J341" s="85"/>
      <c r="K341" s="85"/>
      <c r="L341" s="10"/>
      <c r="M341" s="10"/>
      <c r="N341" s="10"/>
      <c r="O341" s="10"/>
      <c r="P341" s="85"/>
      <c r="Q341" s="88"/>
      <c r="R341" s="3">
        <f>IFERROR(VLOOKUP(TablaMayo[[#This Row],[BARRIO]],SECTOR!$A:$B,2,0),"")</f>
      </c>
      <c r="S341" s="89"/>
      <c r="T341" s="90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6"/>
      <c r="AZ341" s="120">
        <f>COUNTIF(U341:AY341,"A")</f>
      </c>
      <c r="BA341" s="121">
        <f>COUNTIF(U341:AY341,"F")</f>
      </c>
      <c r="BB341" s="119">
        <f>COUNTIF(U341:AY341,"E")</f>
      </c>
    </row>
    <row r="342" spans="1:54" x14ac:dyDescent="0.2">
      <c r="A342" s="84"/>
      <c r="B342" s="85"/>
      <c r="C342" s="85"/>
      <c r="D342" s="85"/>
      <c r="E342" s="86"/>
      <c r="F342" s="16">
        <f>IF(E342="","",DATEDIF(E342,$I$7,"Y"))</f>
      </c>
      <c r="G342" s="85"/>
      <c r="H342" s="85"/>
      <c r="I342" s="87"/>
      <c r="J342" s="85"/>
      <c r="K342" s="85"/>
      <c r="L342" s="10"/>
      <c r="M342" s="10"/>
      <c r="N342" s="10"/>
      <c r="O342" s="10"/>
      <c r="P342" s="85"/>
      <c r="Q342" s="88"/>
      <c r="R342" s="3">
        <f>IFERROR(VLOOKUP(TablaMayo[[#This Row],[BARRIO]],SECTOR!$A:$B,2,0),"")</f>
      </c>
      <c r="S342" s="89"/>
      <c r="T342" s="90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6"/>
      <c r="AZ342" s="120">
        <f>COUNTIF(U342:AY342,"A")</f>
      </c>
      <c r="BA342" s="121">
        <f>COUNTIF(U342:AY342,"F")</f>
      </c>
      <c r="BB342" s="119">
        <f>COUNTIF(U342:AY342,"E")</f>
      </c>
    </row>
    <row r="343" spans="1:54" x14ac:dyDescent="0.2">
      <c r="A343" s="84"/>
      <c r="B343" s="85"/>
      <c r="C343" s="85"/>
      <c r="D343" s="85"/>
      <c r="E343" s="86"/>
      <c r="F343" s="16">
        <f>IF(E343="","",DATEDIF(E343,$I$7,"Y"))</f>
      </c>
      <c r="G343" s="85"/>
      <c r="H343" s="85"/>
      <c r="I343" s="87"/>
      <c r="J343" s="85"/>
      <c r="K343" s="85"/>
      <c r="L343" s="10"/>
      <c r="M343" s="10"/>
      <c r="N343" s="10"/>
      <c r="O343" s="10"/>
      <c r="P343" s="85"/>
      <c r="Q343" s="88"/>
      <c r="R343" s="3">
        <f>IFERROR(VLOOKUP(TablaMayo[[#This Row],[BARRIO]],SECTOR!$A:$B,2,0),"")</f>
      </c>
      <c r="S343" s="89"/>
      <c r="T343" s="90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6"/>
      <c r="AZ343" s="120">
        <f>COUNTIF(U343:AY343,"A")</f>
      </c>
      <c r="BA343" s="121">
        <f>COUNTIF(U343:AY343,"F")</f>
      </c>
      <c r="BB343" s="119">
        <f>COUNTIF(U343:AY343,"E")</f>
      </c>
    </row>
    <row r="344" spans="1:54" x14ac:dyDescent="0.2">
      <c r="A344" s="84"/>
      <c r="B344" s="85"/>
      <c r="C344" s="85"/>
      <c r="D344" s="85"/>
      <c r="E344" s="86"/>
      <c r="F344" s="16">
        <f>IF(E344="","",DATEDIF(E344,$I$7,"Y"))</f>
      </c>
      <c r="G344" s="85"/>
      <c r="H344" s="85"/>
      <c r="I344" s="87"/>
      <c r="J344" s="85"/>
      <c r="K344" s="85"/>
      <c r="L344" s="10"/>
      <c r="M344" s="10"/>
      <c r="N344" s="10"/>
      <c r="O344" s="10"/>
      <c r="P344" s="85"/>
      <c r="Q344" s="88"/>
      <c r="R344" s="3">
        <f>IFERROR(VLOOKUP(TablaMayo[[#This Row],[BARRIO]],SECTOR!$A:$B,2,0),"")</f>
      </c>
      <c r="S344" s="89"/>
      <c r="T344" s="90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6"/>
      <c r="AZ344" s="120">
        <f>COUNTIF(U344:AY344,"A")</f>
      </c>
      <c r="BA344" s="121">
        <f>COUNTIF(U344:AY344,"F")</f>
      </c>
      <c r="BB344" s="119">
        <f>COUNTIF(U344:AY344,"E")</f>
      </c>
    </row>
    <row r="345" spans="1:54" x14ac:dyDescent="0.2">
      <c r="A345" s="84"/>
      <c r="B345" s="85"/>
      <c r="C345" s="85"/>
      <c r="D345" s="85"/>
      <c r="E345" s="86"/>
      <c r="F345" s="16">
        <f>IF(E345="","",DATEDIF(E345,$I$7,"Y"))</f>
      </c>
      <c r="G345" s="85"/>
      <c r="H345" s="85"/>
      <c r="I345" s="87"/>
      <c r="J345" s="85"/>
      <c r="K345" s="85"/>
      <c r="L345" s="10"/>
      <c r="M345" s="10"/>
      <c r="N345" s="10"/>
      <c r="O345" s="10"/>
      <c r="P345" s="85"/>
      <c r="Q345" s="88"/>
      <c r="R345" s="3">
        <f>IFERROR(VLOOKUP(TablaMayo[[#This Row],[BARRIO]],SECTOR!$A:$B,2,0),"")</f>
      </c>
      <c r="S345" s="89"/>
      <c r="T345" s="90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6"/>
      <c r="AZ345" s="120">
        <f>COUNTIF(U345:AY345,"A")</f>
      </c>
      <c r="BA345" s="121">
        <f>COUNTIF(U345:AY345,"F")</f>
      </c>
      <c r="BB345" s="119">
        <f>COUNTIF(U345:AY345,"E")</f>
      </c>
    </row>
    <row r="346" spans="1:54" x14ac:dyDescent="0.2">
      <c r="A346" s="84"/>
      <c r="B346" s="85"/>
      <c r="C346" s="85"/>
      <c r="D346" s="85"/>
      <c r="E346" s="86"/>
      <c r="F346" s="16">
        <f>IF(E346="","",DATEDIF(E346,$I$7,"Y"))</f>
      </c>
      <c r="G346" s="85"/>
      <c r="H346" s="85"/>
      <c r="I346" s="87"/>
      <c r="J346" s="85"/>
      <c r="K346" s="85"/>
      <c r="L346" s="10"/>
      <c r="M346" s="10"/>
      <c r="N346" s="10"/>
      <c r="O346" s="10"/>
      <c r="P346" s="85"/>
      <c r="Q346" s="88"/>
      <c r="R346" s="3">
        <f>IFERROR(VLOOKUP(TablaMayo[[#This Row],[BARRIO]],SECTOR!$A:$B,2,0),"")</f>
      </c>
      <c r="S346" s="89"/>
      <c r="T346" s="90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6"/>
      <c r="AZ346" s="120">
        <f>COUNTIF(U346:AY346,"A")</f>
      </c>
      <c r="BA346" s="121">
        <f>COUNTIF(U346:AY346,"F")</f>
      </c>
      <c r="BB346" s="119">
        <f>COUNTIF(U346:AY346,"E")</f>
      </c>
    </row>
    <row r="347" spans="1:54" x14ac:dyDescent="0.2">
      <c r="A347" s="84"/>
      <c r="B347" s="85"/>
      <c r="C347" s="85"/>
      <c r="D347" s="85"/>
      <c r="E347" s="86"/>
      <c r="F347" s="16">
        <f>IF(E347="","",DATEDIF(E347,$I$7,"Y"))</f>
      </c>
      <c r="G347" s="85"/>
      <c r="H347" s="85"/>
      <c r="I347" s="87"/>
      <c r="J347" s="85"/>
      <c r="K347" s="85"/>
      <c r="L347" s="10"/>
      <c r="M347" s="10"/>
      <c r="N347" s="10"/>
      <c r="O347" s="10"/>
      <c r="P347" s="85"/>
      <c r="Q347" s="88"/>
      <c r="R347" s="3">
        <f>IFERROR(VLOOKUP(TablaMayo[[#This Row],[BARRIO]],SECTOR!$A:$B,2,0),"")</f>
      </c>
      <c r="S347" s="89"/>
      <c r="T347" s="90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6"/>
      <c r="AZ347" s="120">
        <f>COUNTIF(U347:AY347,"A")</f>
      </c>
      <c r="BA347" s="121">
        <f>COUNTIF(U347:AY347,"F")</f>
      </c>
      <c r="BB347" s="119">
        <f>COUNTIF(U347:AY347,"E")</f>
      </c>
    </row>
    <row r="348" spans="1:54" x14ac:dyDescent="0.2">
      <c r="A348" s="84"/>
      <c r="B348" s="85"/>
      <c r="C348" s="85"/>
      <c r="D348" s="85"/>
      <c r="E348" s="86"/>
      <c r="F348" s="16">
        <f>IF(E348="","",DATEDIF(E348,$I$7,"Y"))</f>
      </c>
      <c r="G348" s="85"/>
      <c r="H348" s="85"/>
      <c r="I348" s="87"/>
      <c r="J348" s="85"/>
      <c r="K348" s="85"/>
      <c r="L348" s="10"/>
      <c r="M348" s="10"/>
      <c r="N348" s="10"/>
      <c r="O348" s="10"/>
      <c r="P348" s="85"/>
      <c r="Q348" s="88"/>
      <c r="R348" s="3">
        <f>IFERROR(VLOOKUP(TablaMayo[[#This Row],[BARRIO]],SECTOR!$A:$B,2,0),"")</f>
      </c>
      <c r="S348" s="89"/>
      <c r="T348" s="90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6"/>
      <c r="AZ348" s="120">
        <f>COUNTIF(U348:AY348,"A")</f>
      </c>
      <c r="BA348" s="121">
        <f>COUNTIF(U348:AY348,"F")</f>
      </c>
      <c r="BB348" s="119">
        <f>COUNTIF(U348:AY348,"E")</f>
      </c>
    </row>
    <row r="349" spans="1:54" x14ac:dyDescent="0.2">
      <c r="A349" s="84"/>
      <c r="B349" s="85"/>
      <c r="C349" s="85"/>
      <c r="D349" s="85"/>
      <c r="E349" s="86"/>
      <c r="F349" s="16">
        <f>IF(E349="","",DATEDIF(E349,$I$7,"Y"))</f>
      </c>
      <c r="G349" s="85"/>
      <c r="H349" s="85"/>
      <c r="I349" s="87"/>
      <c r="J349" s="85"/>
      <c r="K349" s="85"/>
      <c r="L349" s="10"/>
      <c r="M349" s="10"/>
      <c r="N349" s="10"/>
      <c r="O349" s="10"/>
      <c r="P349" s="85"/>
      <c r="Q349" s="88"/>
      <c r="R349" s="3">
        <f>IFERROR(VLOOKUP(TablaMayo[[#This Row],[BARRIO]],SECTOR!$A:$B,2,0),"")</f>
      </c>
      <c r="S349" s="89"/>
      <c r="T349" s="90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6"/>
      <c r="AZ349" s="120">
        <f>COUNTIF(U349:AY349,"A")</f>
      </c>
      <c r="BA349" s="121">
        <f>COUNTIF(U349:AY349,"F")</f>
      </c>
      <c r="BB349" s="119">
        <f>COUNTIF(U349:AY349,"E")</f>
      </c>
    </row>
    <row r="350" spans="1:54" x14ac:dyDescent="0.2">
      <c r="A350" s="84"/>
      <c r="B350" s="85"/>
      <c r="C350" s="85"/>
      <c r="D350" s="85"/>
      <c r="E350" s="86"/>
      <c r="F350" s="16">
        <f>IF(E350="","",DATEDIF(E350,$I$7,"Y"))</f>
      </c>
      <c r="G350" s="85"/>
      <c r="H350" s="85"/>
      <c r="I350" s="87"/>
      <c r="J350" s="85"/>
      <c r="K350" s="85"/>
      <c r="L350" s="10"/>
      <c r="M350" s="10"/>
      <c r="N350" s="10"/>
      <c r="O350" s="10"/>
      <c r="P350" s="85"/>
      <c r="Q350" s="88"/>
      <c r="R350" s="3">
        <f>IFERROR(VLOOKUP(TablaMayo[[#This Row],[BARRIO]],SECTOR!$A:$B,2,0),"")</f>
      </c>
      <c r="S350" s="89"/>
      <c r="T350" s="90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6"/>
      <c r="AZ350" s="120">
        <f>COUNTIF(U350:AY350,"A")</f>
      </c>
      <c r="BA350" s="121">
        <f>COUNTIF(U350:AY350,"F")</f>
      </c>
      <c r="BB350" s="119">
        <f>COUNTIF(U350:AY350,"E")</f>
      </c>
    </row>
    <row r="351" spans="1:54" x14ac:dyDescent="0.2">
      <c r="A351" s="84"/>
      <c r="B351" s="85"/>
      <c r="C351" s="85"/>
      <c r="D351" s="85"/>
      <c r="E351" s="86"/>
      <c r="F351" s="16">
        <f>IF(E351="","",DATEDIF(E351,$I$7,"Y"))</f>
      </c>
      <c r="G351" s="85"/>
      <c r="H351" s="85"/>
      <c r="I351" s="87"/>
      <c r="J351" s="85"/>
      <c r="K351" s="85"/>
      <c r="L351" s="10"/>
      <c r="M351" s="10"/>
      <c r="N351" s="10"/>
      <c r="O351" s="10"/>
      <c r="P351" s="85"/>
      <c r="Q351" s="88"/>
      <c r="R351" s="3">
        <f>IFERROR(VLOOKUP(TablaMayo[[#This Row],[BARRIO]],SECTOR!$A:$B,2,0),"")</f>
      </c>
      <c r="S351" s="89"/>
      <c r="T351" s="90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6"/>
      <c r="AZ351" s="120">
        <f>COUNTIF(U351:AY351,"A")</f>
      </c>
      <c r="BA351" s="121">
        <f>COUNTIF(U351:AY351,"F")</f>
      </c>
      <c r="BB351" s="119">
        <f>COUNTIF(U351:AY351,"E")</f>
      </c>
    </row>
    <row r="352" spans="1:54" x14ac:dyDescent="0.2">
      <c r="A352" s="84"/>
      <c r="B352" s="85"/>
      <c r="C352" s="85"/>
      <c r="D352" s="85"/>
      <c r="E352" s="86"/>
      <c r="F352" s="16">
        <f>IF(E352="","",DATEDIF(E352,$I$7,"Y"))</f>
      </c>
      <c r="G352" s="85"/>
      <c r="H352" s="85"/>
      <c r="I352" s="87"/>
      <c r="J352" s="85"/>
      <c r="K352" s="85"/>
      <c r="L352" s="10"/>
      <c r="M352" s="10"/>
      <c r="N352" s="10"/>
      <c r="O352" s="10"/>
      <c r="P352" s="85"/>
      <c r="Q352" s="88"/>
      <c r="R352" s="3">
        <f>IFERROR(VLOOKUP(TablaMayo[[#This Row],[BARRIO]],SECTOR!$A:$B,2,0),"")</f>
      </c>
      <c r="S352" s="89"/>
      <c r="T352" s="90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6"/>
      <c r="AZ352" s="120">
        <f>COUNTIF(U352:AY352,"A")</f>
      </c>
      <c r="BA352" s="121">
        <f>COUNTIF(U352:AY352,"F")</f>
      </c>
      <c r="BB352" s="119">
        <f>COUNTIF(U352:AY352,"E")</f>
      </c>
    </row>
    <row r="353" spans="1:54" x14ac:dyDescent="0.2">
      <c r="A353" s="84"/>
      <c r="B353" s="85"/>
      <c r="C353" s="85"/>
      <c r="D353" s="85"/>
      <c r="E353" s="86"/>
      <c r="F353" s="16">
        <f>IF(E353="","",DATEDIF(E353,$I$7,"Y"))</f>
      </c>
      <c r="G353" s="85"/>
      <c r="H353" s="85"/>
      <c r="I353" s="87"/>
      <c r="J353" s="85"/>
      <c r="K353" s="85"/>
      <c r="L353" s="10"/>
      <c r="M353" s="10"/>
      <c r="N353" s="10"/>
      <c r="O353" s="10"/>
      <c r="P353" s="85"/>
      <c r="Q353" s="88"/>
      <c r="R353" s="3">
        <f>IFERROR(VLOOKUP(TablaMayo[[#This Row],[BARRIO]],SECTOR!$A:$B,2,0),"")</f>
      </c>
      <c r="S353" s="89"/>
      <c r="T353" s="90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6"/>
      <c r="AZ353" s="120">
        <f>COUNTIF(U353:AY353,"A")</f>
      </c>
      <c r="BA353" s="121">
        <f>COUNTIF(U353:AY353,"F")</f>
      </c>
      <c r="BB353" s="119">
        <f>COUNTIF(U353:AY353,"E")</f>
      </c>
    </row>
    <row r="354" spans="1:54" x14ac:dyDescent="0.2">
      <c r="A354" s="84"/>
      <c r="B354" s="85"/>
      <c r="C354" s="85"/>
      <c r="D354" s="85"/>
      <c r="E354" s="86"/>
      <c r="F354" s="16">
        <f>IF(E354="","",DATEDIF(E354,$I$7,"Y"))</f>
      </c>
      <c r="G354" s="85"/>
      <c r="H354" s="85"/>
      <c r="I354" s="87"/>
      <c r="J354" s="85"/>
      <c r="K354" s="85"/>
      <c r="L354" s="10"/>
      <c r="M354" s="10"/>
      <c r="N354" s="10"/>
      <c r="O354" s="10"/>
      <c r="P354" s="85"/>
      <c r="Q354" s="88"/>
      <c r="R354" s="3">
        <f>IFERROR(VLOOKUP(TablaMayo[[#This Row],[BARRIO]],SECTOR!$A:$B,2,0),"")</f>
      </c>
      <c r="S354" s="89"/>
      <c r="T354" s="90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6"/>
      <c r="AZ354" s="120">
        <f>COUNTIF(U354:AY354,"A")</f>
      </c>
      <c r="BA354" s="121">
        <f>COUNTIF(U354:AY354,"F")</f>
      </c>
      <c r="BB354" s="119">
        <f>COUNTIF(U354:AY354,"E")</f>
      </c>
    </row>
    <row r="355" spans="1:54" x14ac:dyDescent="0.2">
      <c r="A355" s="84"/>
      <c r="B355" s="85"/>
      <c r="C355" s="85"/>
      <c r="D355" s="85"/>
      <c r="E355" s="86"/>
      <c r="F355" s="16">
        <f>IF(E355="","",DATEDIF(E355,$I$7,"Y"))</f>
      </c>
      <c r="G355" s="85"/>
      <c r="H355" s="85"/>
      <c r="I355" s="87"/>
      <c r="J355" s="85"/>
      <c r="K355" s="85"/>
      <c r="L355" s="10"/>
      <c r="M355" s="10"/>
      <c r="N355" s="10"/>
      <c r="O355" s="10"/>
      <c r="P355" s="85"/>
      <c r="Q355" s="88"/>
      <c r="R355" s="3">
        <f>IFERROR(VLOOKUP(TablaMayo[[#This Row],[BARRIO]],SECTOR!$A:$B,2,0),"")</f>
      </c>
      <c r="S355" s="89"/>
      <c r="T355" s="90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6"/>
      <c r="AZ355" s="120">
        <f>COUNTIF(U355:AY355,"A")</f>
      </c>
      <c r="BA355" s="121">
        <f>COUNTIF(U355:AY355,"F")</f>
      </c>
      <c r="BB355" s="119">
        <f>COUNTIF(U355:AY355,"E")</f>
      </c>
    </row>
    <row r="356" spans="1:54" x14ac:dyDescent="0.2">
      <c r="A356" s="84"/>
      <c r="B356" s="85"/>
      <c r="C356" s="85"/>
      <c r="D356" s="85"/>
      <c r="E356" s="86"/>
      <c r="F356" s="16">
        <f>IF(E356="","",DATEDIF(E356,$I$7,"Y"))</f>
      </c>
      <c r="G356" s="85"/>
      <c r="H356" s="85"/>
      <c r="I356" s="87"/>
      <c r="J356" s="85"/>
      <c r="K356" s="85"/>
      <c r="L356" s="10"/>
      <c r="M356" s="10"/>
      <c r="N356" s="10"/>
      <c r="O356" s="10"/>
      <c r="P356" s="85"/>
      <c r="Q356" s="88"/>
      <c r="R356" s="3">
        <f>IFERROR(VLOOKUP(TablaMayo[[#This Row],[BARRIO]],SECTOR!$A:$B,2,0),"")</f>
      </c>
      <c r="S356" s="89"/>
      <c r="T356" s="90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6"/>
      <c r="AZ356" s="120">
        <f>COUNTIF(U356:AY356,"A")</f>
      </c>
      <c r="BA356" s="121">
        <f>COUNTIF(U356:AY356,"F")</f>
      </c>
      <c r="BB356" s="119">
        <f>COUNTIF(U356:AY356,"E")</f>
      </c>
    </row>
    <row r="357" spans="1:54" x14ac:dyDescent="0.2">
      <c r="A357" s="84"/>
      <c r="B357" s="85"/>
      <c r="C357" s="85"/>
      <c r="D357" s="85"/>
      <c r="E357" s="86"/>
      <c r="F357" s="16">
        <f>IF(E357="","",DATEDIF(E357,$I$7,"Y"))</f>
      </c>
      <c r="G357" s="85"/>
      <c r="H357" s="85"/>
      <c r="I357" s="87"/>
      <c r="J357" s="85"/>
      <c r="K357" s="85"/>
      <c r="L357" s="10"/>
      <c r="M357" s="10"/>
      <c r="N357" s="10"/>
      <c r="O357" s="10"/>
      <c r="P357" s="85"/>
      <c r="Q357" s="88"/>
      <c r="R357" s="3">
        <f>IFERROR(VLOOKUP(TablaMayo[[#This Row],[BARRIO]],SECTOR!$A:$B,2,0),"")</f>
      </c>
      <c r="S357" s="89"/>
      <c r="T357" s="90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6"/>
      <c r="AZ357" s="120">
        <f>COUNTIF(U357:AY357,"A")</f>
      </c>
      <c r="BA357" s="121">
        <f>COUNTIF(U357:AY357,"F")</f>
      </c>
      <c r="BB357" s="119">
        <f>COUNTIF(U357:AY357,"E")</f>
      </c>
    </row>
    <row r="358" spans="1:54" x14ac:dyDescent="0.2">
      <c r="A358" s="84"/>
      <c r="B358" s="85"/>
      <c r="C358" s="85"/>
      <c r="D358" s="85"/>
      <c r="E358" s="86"/>
      <c r="F358" s="16">
        <f>IF(E358="","",DATEDIF(E358,$I$7,"Y"))</f>
      </c>
      <c r="G358" s="85"/>
      <c r="H358" s="85"/>
      <c r="I358" s="87"/>
      <c r="J358" s="85"/>
      <c r="K358" s="85"/>
      <c r="L358" s="10"/>
      <c r="M358" s="10"/>
      <c r="N358" s="10"/>
      <c r="O358" s="10"/>
      <c r="P358" s="85"/>
      <c r="Q358" s="88"/>
      <c r="R358" s="3">
        <f>IFERROR(VLOOKUP(TablaMayo[[#This Row],[BARRIO]],SECTOR!$A:$B,2,0),"")</f>
      </c>
      <c r="S358" s="89"/>
      <c r="T358" s="90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6"/>
      <c r="AZ358" s="120">
        <f>COUNTIF(U358:AY358,"A")</f>
      </c>
      <c r="BA358" s="121">
        <f>COUNTIF(U358:AY358,"F")</f>
      </c>
      <c r="BB358" s="119">
        <f>COUNTIF(U358:AY358,"E")</f>
      </c>
    </row>
    <row r="359" spans="1:54" x14ac:dyDescent="0.2">
      <c r="A359" s="84"/>
      <c r="B359" s="85"/>
      <c r="C359" s="85"/>
      <c r="D359" s="85"/>
      <c r="E359" s="86"/>
      <c r="F359" s="16">
        <f>IF(E359="","",DATEDIF(E359,$I$7,"Y"))</f>
      </c>
      <c r="G359" s="85"/>
      <c r="H359" s="85"/>
      <c r="I359" s="87"/>
      <c r="J359" s="85"/>
      <c r="K359" s="85"/>
      <c r="L359" s="10"/>
      <c r="M359" s="10"/>
      <c r="N359" s="10"/>
      <c r="O359" s="10"/>
      <c r="P359" s="85"/>
      <c r="Q359" s="88"/>
      <c r="R359" s="3">
        <f>IFERROR(VLOOKUP(TablaMayo[[#This Row],[BARRIO]],SECTOR!$A:$B,2,0),"")</f>
      </c>
      <c r="S359" s="89"/>
      <c r="T359" s="90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6"/>
      <c r="AZ359" s="120">
        <f>COUNTIF(U359:AY359,"A")</f>
      </c>
      <c r="BA359" s="121">
        <f>COUNTIF(U359:AY359,"F")</f>
      </c>
      <c r="BB359" s="119">
        <f>COUNTIF(U359:AY359,"E")</f>
      </c>
    </row>
    <row r="360" spans="1:54" x14ac:dyDescent="0.2">
      <c r="A360" s="84"/>
      <c r="B360" s="85"/>
      <c r="C360" s="85"/>
      <c r="D360" s="85"/>
      <c r="E360" s="86"/>
      <c r="F360" s="16">
        <f>IF(E360="","",DATEDIF(E360,$I$7,"Y"))</f>
      </c>
      <c r="G360" s="85"/>
      <c r="H360" s="85"/>
      <c r="I360" s="87"/>
      <c r="J360" s="85"/>
      <c r="K360" s="85"/>
      <c r="L360" s="10"/>
      <c r="M360" s="10"/>
      <c r="N360" s="10"/>
      <c r="O360" s="10"/>
      <c r="P360" s="85"/>
      <c r="Q360" s="88"/>
      <c r="R360" s="3">
        <f>IFERROR(VLOOKUP(TablaMayo[[#This Row],[BARRIO]],SECTOR!$A:$B,2,0),"")</f>
      </c>
      <c r="S360" s="89"/>
      <c r="T360" s="90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6"/>
      <c r="AZ360" s="120">
        <f>COUNTIF(U360:AY360,"A")</f>
      </c>
      <c r="BA360" s="121">
        <f>COUNTIF(U360:AY360,"F")</f>
      </c>
      <c r="BB360" s="119">
        <f>COUNTIF(U360:AY360,"E")</f>
      </c>
    </row>
    <row r="361" spans="1:54" x14ac:dyDescent="0.2">
      <c r="A361" s="84"/>
      <c r="B361" s="85"/>
      <c r="C361" s="85"/>
      <c r="D361" s="85"/>
      <c r="E361" s="86"/>
      <c r="F361" s="16">
        <f>IF(E361="","",DATEDIF(E361,$I$7,"Y"))</f>
      </c>
      <c r="G361" s="85"/>
      <c r="H361" s="85"/>
      <c r="I361" s="87"/>
      <c r="J361" s="85"/>
      <c r="K361" s="85"/>
      <c r="L361" s="10"/>
      <c r="M361" s="10"/>
      <c r="N361" s="10"/>
      <c r="O361" s="10"/>
      <c r="P361" s="85"/>
      <c r="Q361" s="88"/>
      <c r="R361" s="3">
        <f>IFERROR(VLOOKUP(TablaMayo[[#This Row],[BARRIO]],SECTOR!$A:$B,2,0),"")</f>
      </c>
      <c r="S361" s="89"/>
      <c r="T361" s="90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6"/>
      <c r="AZ361" s="120">
        <f>COUNTIF(U361:AY361,"A")</f>
      </c>
      <c r="BA361" s="121">
        <f>COUNTIF(U361:AY361,"F")</f>
      </c>
      <c r="BB361" s="119">
        <f>COUNTIF(U361:AY361,"E")</f>
      </c>
    </row>
    <row r="362" spans="1:54" x14ac:dyDescent="0.2">
      <c r="A362" s="84"/>
      <c r="B362" s="85"/>
      <c r="C362" s="85"/>
      <c r="D362" s="85"/>
      <c r="E362" s="86"/>
      <c r="F362" s="16">
        <f>IF(E362="","",DATEDIF(E362,$I$7,"Y"))</f>
      </c>
      <c r="G362" s="85"/>
      <c r="H362" s="85"/>
      <c r="I362" s="87"/>
      <c r="J362" s="85"/>
      <c r="K362" s="85"/>
      <c r="L362" s="10"/>
      <c r="M362" s="10"/>
      <c r="N362" s="10"/>
      <c r="O362" s="10"/>
      <c r="P362" s="85"/>
      <c r="Q362" s="88"/>
      <c r="R362" s="3">
        <f>IFERROR(VLOOKUP(TablaMayo[[#This Row],[BARRIO]],SECTOR!$A:$B,2,0),"")</f>
      </c>
      <c r="S362" s="89"/>
      <c r="T362" s="90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6"/>
      <c r="AZ362" s="120">
        <f>COUNTIF(U362:AY362,"A")</f>
      </c>
      <c r="BA362" s="121">
        <f>COUNTIF(U362:AY362,"F")</f>
      </c>
      <c r="BB362" s="119">
        <f>COUNTIF(U362:AY362,"E")</f>
      </c>
    </row>
    <row r="363" spans="1:54" x14ac:dyDescent="0.2">
      <c r="A363" s="84"/>
      <c r="B363" s="85"/>
      <c r="C363" s="85"/>
      <c r="D363" s="85"/>
      <c r="E363" s="86"/>
      <c r="F363" s="16">
        <f>IF(E363="","",DATEDIF(E363,$I$7,"Y"))</f>
      </c>
      <c r="G363" s="85"/>
      <c r="H363" s="85"/>
      <c r="I363" s="87"/>
      <c r="J363" s="85"/>
      <c r="K363" s="85"/>
      <c r="L363" s="10"/>
      <c r="M363" s="10"/>
      <c r="N363" s="10"/>
      <c r="O363" s="10"/>
      <c r="P363" s="85"/>
      <c r="Q363" s="88"/>
      <c r="R363" s="3">
        <f>IFERROR(VLOOKUP(TablaMayo[[#This Row],[BARRIO]],SECTOR!$A:$B,2,0),"")</f>
      </c>
      <c r="S363" s="89"/>
      <c r="T363" s="90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6"/>
      <c r="AZ363" s="120">
        <f>COUNTIF(U363:AY363,"A")</f>
      </c>
      <c r="BA363" s="121">
        <f>COUNTIF(U363:AY363,"F")</f>
      </c>
      <c r="BB363" s="119">
        <f>COUNTIF(U363:AY363,"E")</f>
      </c>
    </row>
    <row r="364" spans="1:54" x14ac:dyDescent="0.2">
      <c r="A364" s="84"/>
      <c r="B364" s="85"/>
      <c r="C364" s="85"/>
      <c r="D364" s="85"/>
      <c r="E364" s="86"/>
      <c r="F364" s="16">
        <f>IF(E364="","",DATEDIF(E364,$I$7,"Y"))</f>
      </c>
      <c r="G364" s="85"/>
      <c r="H364" s="85"/>
      <c r="I364" s="87"/>
      <c r="J364" s="85"/>
      <c r="K364" s="85"/>
      <c r="L364" s="10"/>
      <c r="M364" s="10"/>
      <c r="N364" s="10"/>
      <c r="O364" s="10"/>
      <c r="P364" s="85"/>
      <c r="Q364" s="88"/>
      <c r="R364" s="3">
        <f>IFERROR(VLOOKUP(TablaMayo[[#This Row],[BARRIO]],SECTOR!$A:$B,2,0),"")</f>
      </c>
      <c r="S364" s="89"/>
      <c r="T364" s="90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6"/>
      <c r="AZ364" s="120">
        <f>COUNTIF(U364:AY364,"A")</f>
      </c>
      <c r="BA364" s="121">
        <f>COUNTIF(U364:AY364,"F")</f>
      </c>
      <c r="BB364" s="119">
        <f>COUNTIF(U364:AY364,"E")</f>
      </c>
    </row>
    <row r="365" spans="1:54" x14ac:dyDescent="0.2">
      <c r="A365" s="84"/>
      <c r="B365" s="85"/>
      <c r="C365" s="85"/>
      <c r="D365" s="85"/>
      <c r="E365" s="86"/>
      <c r="F365" s="16">
        <f>IF(E365="","",DATEDIF(E365,$I$7,"Y"))</f>
      </c>
      <c r="G365" s="85"/>
      <c r="H365" s="85"/>
      <c r="I365" s="87"/>
      <c r="J365" s="85"/>
      <c r="K365" s="85"/>
      <c r="L365" s="10"/>
      <c r="M365" s="10"/>
      <c r="N365" s="10"/>
      <c r="O365" s="10"/>
      <c r="P365" s="85"/>
      <c r="Q365" s="88"/>
      <c r="R365" s="3">
        <f>IFERROR(VLOOKUP(TablaMayo[[#This Row],[BARRIO]],SECTOR!$A:$B,2,0),"")</f>
      </c>
      <c r="S365" s="89"/>
      <c r="T365" s="90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6"/>
      <c r="AZ365" s="120">
        <f>COUNTIF(U365:AY365,"A")</f>
      </c>
      <c r="BA365" s="121">
        <f>COUNTIF(U365:AY365,"F")</f>
      </c>
      <c r="BB365" s="119">
        <f>COUNTIF(U365:AY365,"E")</f>
      </c>
    </row>
    <row r="366" spans="1:54" x14ac:dyDescent="0.2">
      <c r="A366" s="84"/>
      <c r="B366" s="85"/>
      <c r="C366" s="85"/>
      <c r="D366" s="85"/>
      <c r="E366" s="86"/>
      <c r="F366" s="16">
        <f>IF(E366="","",DATEDIF(E366,$I$7,"Y"))</f>
      </c>
      <c r="G366" s="85"/>
      <c r="H366" s="85"/>
      <c r="I366" s="87"/>
      <c r="J366" s="85"/>
      <c r="K366" s="85"/>
      <c r="L366" s="10"/>
      <c r="M366" s="10"/>
      <c r="N366" s="10"/>
      <c r="O366" s="10"/>
      <c r="P366" s="85"/>
      <c r="Q366" s="88"/>
      <c r="R366" s="3">
        <f>IFERROR(VLOOKUP(TablaMayo[[#This Row],[BARRIO]],SECTOR!$A:$B,2,0),"")</f>
      </c>
      <c r="S366" s="89"/>
      <c r="T366" s="90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6"/>
      <c r="AZ366" s="120">
        <f>COUNTIF(U366:AY366,"A")</f>
      </c>
      <c r="BA366" s="121">
        <f>COUNTIF(U366:AY366,"F")</f>
      </c>
      <c r="BB366" s="119">
        <f>COUNTIF(U366:AY366,"E")</f>
      </c>
    </row>
    <row r="367" spans="1:54" x14ac:dyDescent="0.2">
      <c r="A367" s="84"/>
      <c r="B367" s="85"/>
      <c r="C367" s="85"/>
      <c r="D367" s="85"/>
      <c r="E367" s="86"/>
      <c r="F367" s="16">
        <f>IF(E367="","",DATEDIF(E367,$I$7,"Y"))</f>
      </c>
      <c r="G367" s="85"/>
      <c r="H367" s="85"/>
      <c r="I367" s="87"/>
      <c r="J367" s="85"/>
      <c r="K367" s="85"/>
      <c r="L367" s="10"/>
      <c r="M367" s="10"/>
      <c r="N367" s="10"/>
      <c r="O367" s="10"/>
      <c r="P367" s="85"/>
      <c r="Q367" s="88"/>
      <c r="R367" s="3">
        <f>IFERROR(VLOOKUP(TablaMayo[[#This Row],[BARRIO]],SECTOR!$A:$B,2,0),"")</f>
      </c>
      <c r="S367" s="89"/>
      <c r="T367" s="90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6"/>
      <c r="AZ367" s="120">
        <f>COUNTIF(U367:AY367,"A")</f>
      </c>
      <c r="BA367" s="121">
        <f>COUNTIF(U367:AY367,"F")</f>
      </c>
      <c r="BB367" s="119">
        <f>COUNTIF(U367:AY367,"E")</f>
      </c>
    </row>
    <row r="368" spans="1:54" x14ac:dyDescent="0.2">
      <c r="A368" s="84"/>
      <c r="B368" s="85"/>
      <c r="C368" s="85"/>
      <c r="D368" s="85"/>
      <c r="E368" s="86"/>
      <c r="F368" s="16">
        <f>IF(E368="","",DATEDIF(E368,$I$7,"Y"))</f>
      </c>
      <c r="G368" s="85"/>
      <c r="H368" s="85"/>
      <c r="I368" s="87"/>
      <c r="J368" s="85"/>
      <c r="K368" s="85"/>
      <c r="L368" s="10"/>
      <c r="M368" s="10"/>
      <c r="N368" s="10"/>
      <c r="O368" s="10"/>
      <c r="P368" s="85"/>
      <c r="Q368" s="88"/>
      <c r="R368" s="3">
        <f>IFERROR(VLOOKUP(TablaMayo[[#This Row],[BARRIO]],SECTOR!$A:$B,2,0),"")</f>
      </c>
      <c r="S368" s="89"/>
      <c r="T368" s="90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6"/>
      <c r="AZ368" s="120">
        <f>COUNTIF(U368:AY368,"A")</f>
      </c>
      <c r="BA368" s="121">
        <f>COUNTIF(U368:AY368,"F")</f>
      </c>
      <c r="BB368" s="119">
        <f>COUNTIF(U368:AY368,"E")</f>
      </c>
    </row>
    <row r="369" spans="1:54" x14ac:dyDescent="0.2">
      <c r="A369" s="84"/>
      <c r="B369" s="85"/>
      <c r="C369" s="85"/>
      <c r="D369" s="85"/>
      <c r="E369" s="86"/>
      <c r="F369" s="16">
        <f>IF(E369="","",DATEDIF(E369,$I$7,"Y"))</f>
      </c>
      <c r="G369" s="85"/>
      <c r="H369" s="85"/>
      <c r="I369" s="87"/>
      <c r="J369" s="85"/>
      <c r="K369" s="85"/>
      <c r="L369" s="10"/>
      <c r="M369" s="10"/>
      <c r="N369" s="10"/>
      <c r="O369" s="10"/>
      <c r="P369" s="85"/>
      <c r="Q369" s="88"/>
      <c r="R369" s="3">
        <f>IFERROR(VLOOKUP(TablaMayo[[#This Row],[BARRIO]],SECTOR!$A:$B,2,0),"")</f>
      </c>
      <c r="S369" s="89"/>
      <c r="T369" s="90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6"/>
      <c r="AZ369" s="120">
        <f>COUNTIF(U369:AY369,"A")</f>
      </c>
      <c r="BA369" s="121">
        <f>COUNTIF(U369:AY369,"F")</f>
      </c>
      <c r="BB369" s="119">
        <f>COUNTIF(U369:AY369,"E")</f>
      </c>
    </row>
    <row r="370" spans="1:54" x14ac:dyDescent="0.2">
      <c r="A370" s="84"/>
      <c r="B370" s="85"/>
      <c r="C370" s="85"/>
      <c r="D370" s="85"/>
      <c r="E370" s="86"/>
      <c r="F370" s="16">
        <f>IF(E370="","",DATEDIF(E370,$I$7,"Y"))</f>
      </c>
      <c r="G370" s="85"/>
      <c r="H370" s="85"/>
      <c r="I370" s="87"/>
      <c r="J370" s="85"/>
      <c r="K370" s="85"/>
      <c r="L370" s="10"/>
      <c r="M370" s="10"/>
      <c r="N370" s="10"/>
      <c r="O370" s="10"/>
      <c r="P370" s="85"/>
      <c r="Q370" s="88"/>
      <c r="R370" s="3">
        <f>IFERROR(VLOOKUP(TablaMayo[[#This Row],[BARRIO]],SECTOR!$A:$B,2,0),"")</f>
      </c>
      <c r="S370" s="89"/>
      <c r="T370" s="90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6"/>
      <c r="AZ370" s="120">
        <f>COUNTIF(U370:AY370,"A")</f>
      </c>
      <c r="BA370" s="121">
        <f>COUNTIF(U370:AY370,"F")</f>
      </c>
      <c r="BB370" s="119">
        <f>COUNTIF(U370:AY370,"E")</f>
      </c>
    </row>
    <row r="371" spans="1:54" x14ac:dyDescent="0.2">
      <c r="A371" s="84"/>
      <c r="B371" s="85"/>
      <c r="C371" s="85"/>
      <c r="D371" s="85"/>
      <c r="E371" s="86"/>
      <c r="F371" s="16">
        <f>IF(E371="","",DATEDIF(E371,$I$7,"Y"))</f>
      </c>
      <c r="G371" s="85"/>
      <c r="H371" s="85"/>
      <c r="I371" s="87"/>
      <c r="J371" s="85"/>
      <c r="K371" s="85"/>
      <c r="L371" s="10"/>
      <c r="M371" s="10"/>
      <c r="N371" s="10"/>
      <c r="O371" s="10"/>
      <c r="P371" s="85"/>
      <c r="Q371" s="88"/>
      <c r="R371" s="3">
        <f>IFERROR(VLOOKUP(TablaMayo[[#This Row],[BARRIO]],SECTOR!$A:$B,2,0),"")</f>
      </c>
      <c r="S371" s="89"/>
      <c r="T371" s="90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6"/>
      <c r="AZ371" s="120">
        <f>COUNTIF(U371:AY371,"A")</f>
      </c>
      <c r="BA371" s="121">
        <f>COUNTIF(U371:AY371,"F")</f>
      </c>
      <c r="BB371" s="119">
        <f>COUNTIF(U371:AY371,"E")</f>
      </c>
    </row>
    <row r="372" spans="1:54" x14ac:dyDescent="0.2">
      <c r="A372" s="84"/>
      <c r="B372" s="85"/>
      <c r="C372" s="85"/>
      <c r="D372" s="85"/>
      <c r="E372" s="86"/>
      <c r="F372" s="16">
        <f>IF(E372="","",DATEDIF(E372,$I$7,"Y"))</f>
      </c>
      <c r="G372" s="85"/>
      <c r="H372" s="85"/>
      <c r="I372" s="87"/>
      <c r="J372" s="85"/>
      <c r="K372" s="85"/>
      <c r="L372" s="10"/>
      <c r="M372" s="10"/>
      <c r="N372" s="10"/>
      <c r="O372" s="10"/>
      <c r="P372" s="85"/>
      <c r="Q372" s="88"/>
      <c r="R372" s="3">
        <f>IFERROR(VLOOKUP(TablaMayo[[#This Row],[BARRIO]],SECTOR!$A:$B,2,0),"")</f>
      </c>
      <c r="S372" s="89"/>
      <c r="T372" s="90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6"/>
      <c r="AZ372" s="120">
        <f>COUNTIF(U372:AY372,"A")</f>
      </c>
      <c r="BA372" s="121">
        <f>COUNTIF(U372:AY372,"F")</f>
      </c>
      <c r="BB372" s="119">
        <f>COUNTIF(U372:AY372,"E")</f>
      </c>
    </row>
    <row r="373" spans="1:54" x14ac:dyDescent="0.2">
      <c r="A373" s="84"/>
      <c r="B373" s="85"/>
      <c r="C373" s="85"/>
      <c r="D373" s="85"/>
      <c r="E373" s="86"/>
      <c r="F373" s="16">
        <f>IF(E373="","",DATEDIF(E373,$I$7,"Y"))</f>
      </c>
      <c r="G373" s="85"/>
      <c r="H373" s="85"/>
      <c r="I373" s="87"/>
      <c r="J373" s="85"/>
      <c r="K373" s="85"/>
      <c r="L373" s="10"/>
      <c r="M373" s="10"/>
      <c r="N373" s="10"/>
      <c r="O373" s="10"/>
      <c r="P373" s="85"/>
      <c r="Q373" s="88"/>
      <c r="R373" s="3">
        <f>IFERROR(VLOOKUP(TablaMayo[[#This Row],[BARRIO]],SECTOR!$A:$B,2,0),"")</f>
      </c>
      <c r="S373" s="89"/>
      <c r="T373" s="90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6"/>
      <c r="AZ373" s="120">
        <f>COUNTIF(U373:AY373,"A")</f>
      </c>
      <c r="BA373" s="121">
        <f>COUNTIF(U373:AY373,"F")</f>
      </c>
      <c r="BB373" s="119">
        <f>COUNTIF(U373:AY373,"E")</f>
      </c>
    </row>
    <row r="374" spans="1:54" x14ac:dyDescent="0.2">
      <c r="A374" s="84"/>
      <c r="B374" s="85"/>
      <c r="C374" s="85"/>
      <c r="D374" s="85"/>
      <c r="E374" s="86"/>
      <c r="F374" s="16">
        <f>IF(E374="","",DATEDIF(E374,$I$7,"Y"))</f>
      </c>
      <c r="G374" s="85"/>
      <c r="H374" s="85"/>
      <c r="I374" s="87"/>
      <c r="J374" s="85"/>
      <c r="K374" s="85"/>
      <c r="L374" s="10"/>
      <c r="M374" s="10"/>
      <c r="N374" s="10"/>
      <c r="O374" s="10"/>
      <c r="P374" s="85"/>
      <c r="Q374" s="88"/>
      <c r="R374" s="3">
        <f>IFERROR(VLOOKUP(TablaMayo[[#This Row],[BARRIO]],SECTOR!$A:$B,2,0),"")</f>
      </c>
      <c r="S374" s="89"/>
      <c r="T374" s="90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6"/>
      <c r="AZ374" s="120">
        <f>COUNTIF(U374:AY374,"A")</f>
      </c>
      <c r="BA374" s="121">
        <f>COUNTIF(U374:AY374,"F")</f>
      </c>
      <c r="BB374" s="119">
        <f>COUNTIF(U374:AY374,"E")</f>
      </c>
    </row>
    <row r="375" spans="1:54" x14ac:dyDescent="0.2">
      <c r="A375" s="84"/>
      <c r="B375" s="85"/>
      <c r="C375" s="85"/>
      <c r="D375" s="85"/>
      <c r="E375" s="86"/>
      <c r="F375" s="16">
        <f>IF(E375="","",DATEDIF(E375,$I$7,"Y"))</f>
      </c>
      <c r="G375" s="85"/>
      <c r="H375" s="85"/>
      <c r="I375" s="87"/>
      <c r="J375" s="85"/>
      <c r="K375" s="85"/>
      <c r="L375" s="10"/>
      <c r="M375" s="10"/>
      <c r="N375" s="10"/>
      <c r="O375" s="10"/>
      <c r="P375" s="85"/>
      <c r="Q375" s="88"/>
      <c r="R375" s="3">
        <f>IFERROR(VLOOKUP(TablaMayo[[#This Row],[BARRIO]],SECTOR!$A:$B,2,0),"")</f>
      </c>
      <c r="S375" s="89"/>
      <c r="T375" s="90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6"/>
      <c r="AZ375" s="120">
        <f>COUNTIF(U375:AY375,"A")</f>
      </c>
      <c r="BA375" s="121">
        <f>COUNTIF(U375:AY375,"F")</f>
      </c>
      <c r="BB375" s="119">
        <f>COUNTIF(U375:AY375,"E")</f>
      </c>
    </row>
    <row r="376" spans="1:54" x14ac:dyDescent="0.2">
      <c r="A376" s="84"/>
      <c r="B376" s="85"/>
      <c r="C376" s="85"/>
      <c r="D376" s="85"/>
      <c r="E376" s="86"/>
      <c r="F376" s="16">
        <f>IF(E376="","",DATEDIF(E376,$I$7,"Y"))</f>
      </c>
      <c r="G376" s="85"/>
      <c r="H376" s="85"/>
      <c r="I376" s="87"/>
      <c r="J376" s="85"/>
      <c r="K376" s="85"/>
      <c r="L376" s="10"/>
      <c r="M376" s="10"/>
      <c r="N376" s="10"/>
      <c r="O376" s="10"/>
      <c r="P376" s="85"/>
      <c r="Q376" s="88"/>
      <c r="R376" s="3">
        <f>IFERROR(VLOOKUP(TablaMayo[[#This Row],[BARRIO]],SECTOR!$A:$B,2,0),"")</f>
      </c>
      <c r="S376" s="89"/>
      <c r="T376" s="90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6"/>
      <c r="AZ376" s="120">
        <f>COUNTIF(U376:AY376,"A")</f>
      </c>
      <c r="BA376" s="121">
        <f>COUNTIF(U376:AY376,"F")</f>
      </c>
      <c r="BB376" s="119">
        <f>COUNTIF(U376:AY376,"E")</f>
      </c>
    </row>
    <row r="377" spans="1:54" x14ac:dyDescent="0.2">
      <c r="A377" s="84"/>
      <c r="B377" s="85"/>
      <c r="C377" s="85"/>
      <c r="D377" s="85"/>
      <c r="E377" s="86"/>
      <c r="F377" s="16">
        <f>IF(E377="","",DATEDIF(E377,$I$7,"Y"))</f>
      </c>
      <c r="G377" s="85"/>
      <c r="H377" s="85"/>
      <c r="I377" s="87"/>
      <c r="J377" s="85"/>
      <c r="K377" s="85"/>
      <c r="L377" s="10"/>
      <c r="M377" s="10"/>
      <c r="N377" s="10"/>
      <c r="O377" s="10"/>
      <c r="P377" s="85"/>
      <c r="Q377" s="88"/>
      <c r="R377" s="3">
        <f>IFERROR(VLOOKUP(TablaMayo[[#This Row],[BARRIO]],SECTOR!$A:$B,2,0),"")</f>
      </c>
      <c r="S377" s="89"/>
      <c r="T377" s="90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6"/>
      <c r="AZ377" s="120">
        <f>COUNTIF(U377:AY377,"A")</f>
      </c>
      <c r="BA377" s="121">
        <f>COUNTIF(U377:AY377,"F")</f>
      </c>
      <c r="BB377" s="119">
        <f>COUNTIF(U377:AY377,"E")</f>
      </c>
    </row>
    <row r="378" spans="1:54" x14ac:dyDescent="0.2">
      <c r="A378" s="84"/>
      <c r="B378" s="85"/>
      <c r="C378" s="85"/>
      <c r="D378" s="85"/>
      <c r="E378" s="86"/>
      <c r="F378" s="16">
        <f>IF(E378="","",DATEDIF(E378,$I$7,"Y"))</f>
      </c>
      <c r="G378" s="85"/>
      <c r="H378" s="85"/>
      <c r="I378" s="87"/>
      <c r="J378" s="85"/>
      <c r="K378" s="85"/>
      <c r="L378" s="10"/>
      <c r="M378" s="10"/>
      <c r="N378" s="10"/>
      <c r="O378" s="10"/>
      <c r="P378" s="85"/>
      <c r="Q378" s="88"/>
      <c r="R378" s="3">
        <f>IFERROR(VLOOKUP(TablaMayo[[#This Row],[BARRIO]],SECTOR!$A:$B,2,0),"")</f>
      </c>
      <c r="S378" s="89"/>
      <c r="T378" s="90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6"/>
      <c r="AZ378" s="120">
        <f>COUNTIF(U378:AY378,"A")</f>
      </c>
      <c r="BA378" s="121">
        <f>COUNTIF(U378:AY378,"F")</f>
      </c>
      <c r="BB378" s="119">
        <f>COUNTIF(U378:AY378,"E")</f>
      </c>
    </row>
    <row r="379" spans="1:54" x14ac:dyDescent="0.2">
      <c r="A379" s="84"/>
      <c r="B379" s="85"/>
      <c r="C379" s="85"/>
      <c r="D379" s="85"/>
      <c r="E379" s="86"/>
      <c r="F379" s="16">
        <f>IF(E379="","",DATEDIF(E379,$I$7,"Y"))</f>
      </c>
      <c r="G379" s="85"/>
      <c r="H379" s="85"/>
      <c r="I379" s="87"/>
      <c r="J379" s="85"/>
      <c r="K379" s="85"/>
      <c r="L379" s="10"/>
      <c r="M379" s="10"/>
      <c r="N379" s="10"/>
      <c r="O379" s="10"/>
      <c r="P379" s="85"/>
      <c r="Q379" s="88"/>
      <c r="R379" s="3">
        <f>IFERROR(VLOOKUP(TablaMayo[[#This Row],[BARRIO]],SECTOR!$A:$B,2,0),"")</f>
      </c>
      <c r="S379" s="89"/>
      <c r="T379" s="90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6"/>
      <c r="AZ379" s="120">
        <f>COUNTIF(U379:AY379,"A")</f>
      </c>
      <c r="BA379" s="121">
        <f>COUNTIF(U379:AY379,"F")</f>
      </c>
      <c r="BB379" s="119">
        <f>COUNTIF(U379:AY379,"E")</f>
      </c>
    </row>
    <row r="380" spans="1:54" x14ac:dyDescent="0.2">
      <c r="A380" s="84"/>
      <c r="B380" s="85"/>
      <c r="C380" s="85"/>
      <c r="D380" s="85"/>
      <c r="E380" s="86"/>
      <c r="F380" s="16">
        <f>IF(E380="","",DATEDIF(E380,$I$7,"Y"))</f>
      </c>
      <c r="G380" s="85"/>
      <c r="H380" s="85"/>
      <c r="I380" s="87"/>
      <c r="J380" s="85"/>
      <c r="K380" s="85"/>
      <c r="L380" s="10"/>
      <c r="M380" s="10"/>
      <c r="N380" s="10"/>
      <c r="O380" s="10"/>
      <c r="P380" s="85"/>
      <c r="Q380" s="88"/>
      <c r="R380" s="3">
        <f>IFERROR(VLOOKUP(TablaMayo[[#This Row],[BARRIO]],SECTOR!$A:$B,2,0),"")</f>
      </c>
      <c r="S380" s="89"/>
      <c r="T380" s="90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6"/>
      <c r="AZ380" s="120">
        <f>COUNTIF(U380:AY380,"A")</f>
      </c>
      <c r="BA380" s="121">
        <f>COUNTIF(U380:AY380,"F")</f>
      </c>
      <c r="BB380" s="119">
        <f>COUNTIF(U380:AY380,"E")</f>
      </c>
    </row>
    <row r="381" spans="1:54" x14ac:dyDescent="0.2">
      <c r="A381" s="84"/>
      <c r="B381" s="85"/>
      <c r="C381" s="85"/>
      <c r="D381" s="85"/>
      <c r="E381" s="86"/>
      <c r="F381" s="16">
        <f>IF(E381="","",DATEDIF(E381,$I$7,"Y"))</f>
      </c>
      <c r="G381" s="85"/>
      <c r="H381" s="85"/>
      <c r="I381" s="87"/>
      <c r="J381" s="85"/>
      <c r="K381" s="85"/>
      <c r="L381" s="10"/>
      <c r="M381" s="10"/>
      <c r="N381" s="10"/>
      <c r="O381" s="10"/>
      <c r="P381" s="85"/>
      <c r="Q381" s="88"/>
      <c r="R381" s="3">
        <f>IFERROR(VLOOKUP(TablaMayo[[#This Row],[BARRIO]],SECTOR!$A:$B,2,0),"")</f>
      </c>
      <c r="S381" s="89"/>
      <c r="T381" s="90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6"/>
      <c r="AZ381" s="120">
        <f>COUNTIF(U381:AY381,"A")</f>
      </c>
      <c r="BA381" s="121">
        <f>COUNTIF(U381:AY381,"F")</f>
      </c>
      <c r="BB381" s="119">
        <f>COUNTIF(U381:AY381,"E")</f>
      </c>
    </row>
    <row r="382" spans="1:54" x14ac:dyDescent="0.2">
      <c r="A382" s="84"/>
      <c r="B382" s="85"/>
      <c r="C382" s="85"/>
      <c r="D382" s="85"/>
      <c r="E382" s="86"/>
      <c r="F382" s="16">
        <f>IF(E382="","",DATEDIF(E382,$I$7,"Y"))</f>
      </c>
      <c r="G382" s="85"/>
      <c r="H382" s="85"/>
      <c r="I382" s="87"/>
      <c r="J382" s="85"/>
      <c r="K382" s="85"/>
      <c r="L382" s="10"/>
      <c r="M382" s="10"/>
      <c r="N382" s="10"/>
      <c r="O382" s="10"/>
      <c r="P382" s="85"/>
      <c r="Q382" s="88"/>
      <c r="R382" s="3">
        <f>IFERROR(VLOOKUP(TablaMayo[[#This Row],[BARRIO]],SECTOR!$A:$B,2,0),"")</f>
      </c>
      <c r="S382" s="89"/>
      <c r="T382" s="90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6"/>
      <c r="AZ382" s="120">
        <f>COUNTIF(U382:AY382,"A")</f>
      </c>
      <c r="BA382" s="121">
        <f>COUNTIF(U382:AY382,"F")</f>
      </c>
      <c r="BB382" s="119">
        <f>COUNTIF(U382:AY382,"E")</f>
      </c>
    </row>
    <row r="383" spans="1:54" x14ac:dyDescent="0.2">
      <c r="A383" s="84"/>
      <c r="B383" s="85"/>
      <c r="C383" s="85"/>
      <c r="D383" s="85"/>
      <c r="E383" s="86"/>
      <c r="F383" s="16">
        <f>IF(E383="","",DATEDIF(E383,$I$7,"Y"))</f>
      </c>
      <c r="G383" s="85"/>
      <c r="H383" s="85"/>
      <c r="I383" s="87"/>
      <c r="J383" s="85"/>
      <c r="K383" s="85"/>
      <c r="L383" s="10"/>
      <c r="M383" s="10"/>
      <c r="N383" s="10"/>
      <c r="O383" s="10"/>
      <c r="P383" s="85"/>
      <c r="Q383" s="88"/>
      <c r="R383" s="3">
        <f>IFERROR(VLOOKUP(TablaMayo[[#This Row],[BARRIO]],SECTOR!$A:$B,2,0),"")</f>
      </c>
      <c r="S383" s="89"/>
      <c r="T383" s="90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6"/>
      <c r="AZ383" s="120">
        <f>COUNTIF(U383:AY383,"A")</f>
      </c>
      <c r="BA383" s="121">
        <f>COUNTIF(U383:AY383,"F")</f>
      </c>
      <c r="BB383" s="119">
        <f>COUNTIF(U383:AY383,"E")</f>
      </c>
    </row>
    <row r="384" spans="1:54" x14ac:dyDescent="0.2">
      <c r="A384" s="84"/>
      <c r="B384" s="85"/>
      <c r="C384" s="85"/>
      <c r="D384" s="85"/>
      <c r="E384" s="86"/>
      <c r="F384" s="16">
        <f>IF(E384="","",DATEDIF(E384,$I$7,"Y"))</f>
      </c>
      <c r="G384" s="85"/>
      <c r="H384" s="85"/>
      <c r="I384" s="87"/>
      <c r="J384" s="85"/>
      <c r="K384" s="85"/>
      <c r="L384" s="10"/>
      <c r="M384" s="10"/>
      <c r="N384" s="10"/>
      <c r="O384" s="10"/>
      <c r="P384" s="85"/>
      <c r="Q384" s="88"/>
      <c r="R384" s="3">
        <f>IFERROR(VLOOKUP(TablaMayo[[#This Row],[BARRIO]],SECTOR!$A:$B,2,0),"")</f>
      </c>
      <c r="S384" s="89"/>
      <c r="T384" s="90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6"/>
      <c r="AZ384" s="120">
        <f>COUNTIF(U384:AY384,"A")</f>
      </c>
      <c r="BA384" s="121">
        <f>COUNTIF(U384:AY384,"F")</f>
      </c>
      <c r="BB384" s="119">
        <f>COUNTIF(U384:AY384,"E")</f>
      </c>
    </row>
    <row r="385" spans="1:54" x14ac:dyDescent="0.2">
      <c r="A385" s="84"/>
      <c r="B385" s="85"/>
      <c r="C385" s="85"/>
      <c r="D385" s="85"/>
      <c r="E385" s="86"/>
      <c r="F385" s="16">
        <f>IF(E385="","",DATEDIF(E385,$I$7,"Y"))</f>
      </c>
      <c r="G385" s="85"/>
      <c r="H385" s="85"/>
      <c r="I385" s="87"/>
      <c r="J385" s="85"/>
      <c r="K385" s="85"/>
      <c r="L385" s="10"/>
      <c r="M385" s="10"/>
      <c r="N385" s="10"/>
      <c r="O385" s="10"/>
      <c r="P385" s="85"/>
      <c r="Q385" s="88"/>
      <c r="R385" s="3">
        <f>IFERROR(VLOOKUP(TablaMayo[[#This Row],[BARRIO]],SECTOR!$A:$B,2,0),"")</f>
      </c>
      <c r="S385" s="89"/>
      <c r="T385" s="90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6"/>
      <c r="AZ385" s="120">
        <f>COUNTIF(U385:AY385,"A")</f>
      </c>
      <c r="BA385" s="121">
        <f>COUNTIF(U385:AY385,"F")</f>
      </c>
      <c r="BB385" s="119">
        <f>COUNTIF(U385:AY385,"E")</f>
      </c>
    </row>
    <row r="386" spans="1:54" x14ac:dyDescent="0.2">
      <c r="A386" s="84"/>
      <c r="B386" s="85"/>
      <c r="C386" s="85"/>
      <c r="D386" s="85"/>
      <c r="E386" s="86"/>
      <c r="F386" s="16">
        <f>IF(E386="","",DATEDIF(E386,$I$7,"Y"))</f>
      </c>
      <c r="G386" s="85"/>
      <c r="H386" s="85"/>
      <c r="I386" s="87"/>
      <c r="J386" s="85"/>
      <c r="K386" s="85"/>
      <c r="L386" s="10"/>
      <c r="M386" s="10"/>
      <c r="N386" s="10"/>
      <c r="O386" s="10"/>
      <c r="P386" s="85"/>
      <c r="Q386" s="88"/>
      <c r="R386" s="3">
        <f>IFERROR(VLOOKUP(TablaMayo[[#This Row],[BARRIO]],SECTOR!$A:$B,2,0),"")</f>
      </c>
      <c r="S386" s="89"/>
      <c r="T386" s="90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6"/>
      <c r="AZ386" s="120">
        <f>COUNTIF(U386:AY386,"A")</f>
      </c>
      <c r="BA386" s="121">
        <f>COUNTIF(U386:AY386,"F")</f>
      </c>
      <c r="BB386" s="119">
        <f>COUNTIF(U386:AY386,"E")</f>
      </c>
    </row>
    <row r="387" spans="1:54" x14ac:dyDescent="0.2">
      <c r="A387" s="84"/>
      <c r="B387" s="85"/>
      <c r="C387" s="85"/>
      <c r="D387" s="85"/>
      <c r="E387" s="86"/>
      <c r="F387" s="16">
        <f>IF(E387="","",DATEDIF(E387,$I$7,"Y"))</f>
      </c>
      <c r="G387" s="85"/>
      <c r="H387" s="85"/>
      <c r="I387" s="87"/>
      <c r="J387" s="85"/>
      <c r="K387" s="85"/>
      <c r="L387" s="10"/>
      <c r="M387" s="10"/>
      <c r="N387" s="10"/>
      <c r="O387" s="10"/>
      <c r="P387" s="85"/>
      <c r="Q387" s="88"/>
      <c r="R387" s="3">
        <f>IFERROR(VLOOKUP(TablaMayo[[#This Row],[BARRIO]],SECTOR!$A:$B,2,0),"")</f>
      </c>
      <c r="S387" s="89"/>
      <c r="T387" s="90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6"/>
      <c r="AZ387" s="120">
        <f>COUNTIF(U387:AY387,"A")</f>
      </c>
      <c r="BA387" s="121">
        <f>COUNTIF(U387:AY387,"F")</f>
      </c>
      <c r="BB387" s="119">
        <f>COUNTIF(U387:AY387,"E")</f>
      </c>
    </row>
    <row r="388" spans="1:54" x14ac:dyDescent="0.2">
      <c r="A388" s="84"/>
      <c r="B388" s="85"/>
      <c r="C388" s="85"/>
      <c r="D388" s="85"/>
      <c r="E388" s="86"/>
      <c r="F388" s="16">
        <f>IF(E388="","",DATEDIF(E388,$I$7,"Y"))</f>
      </c>
      <c r="G388" s="85"/>
      <c r="H388" s="85"/>
      <c r="I388" s="87"/>
      <c r="J388" s="85"/>
      <c r="K388" s="85"/>
      <c r="L388" s="10"/>
      <c r="M388" s="10"/>
      <c r="N388" s="10"/>
      <c r="O388" s="10"/>
      <c r="P388" s="85"/>
      <c r="Q388" s="88"/>
      <c r="R388" s="3">
        <f>IFERROR(VLOOKUP(TablaMayo[[#This Row],[BARRIO]],SECTOR!$A:$B,2,0),"")</f>
      </c>
      <c r="S388" s="89"/>
      <c r="T388" s="90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6"/>
      <c r="AZ388" s="120">
        <f>COUNTIF(U388:AY388,"A")</f>
      </c>
      <c r="BA388" s="121">
        <f>COUNTIF(U388:AY388,"F")</f>
      </c>
      <c r="BB388" s="119">
        <f>COUNTIF(U388:AY388,"E")</f>
      </c>
    </row>
    <row r="389" spans="1:54" x14ac:dyDescent="0.2">
      <c r="A389" s="84"/>
      <c r="B389" s="85"/>
      <c r="C389" s="85"/>
      <c r="D389" s="85"/>
      <c r="E389" s="86"/>
      <c r="F389" s="16">
        <f>IF(E389="","",DATEDIF(E389,$I$7,"Y"))</f>
      </c>
      <c r="G389" s="85"/>
      <c r="H389" s="85"/>
      <c r="I389" s="87"/>
      <c r="J389" s="85"/>
      <c r="K389" s="85"/>
      <c r="L389" s="10"/>
      <c r="M389" s="10"/>
      <c r="N389" s="10"/>
      <c r="O389" s="10"/>
      <c r="P389" s="85"/>
      <c r="Q389" s="88"/>
      <c r="R389" s="3">
        <f>IFERROR(VLOOKUP(TablaMayo[[#This Row],[BARRIO]],SECTOR!$A:$B,2,0),"")</f>
      </c>
      <c r="S389" s="89"/>
      <c r="T389" s="90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6"/>
      <c r="AZ389" s="120">
        <f>COUNTIF(U389:AY389,"A")</f>
      </c>
      <c r="BA389" s="121">
        <f>COUNTIF(U389:AY389,"F")</f>
      </c>
      <c r="BB389" s="119">
        <f>COUNTIF(U389:AY389,"E")</f>
      </c>
    </row>
    <row r="390" spans="1:54" x14ac:dyDescent="0.2">
      <c r="A390" s="84"/>
      <c r="B390" s="85"/>
      <c r="C390" s="85"/>
      <c r="D390" s="85"/>
      <c r="E390" s="86"/>
      <c r="F390" s="16">
        <f>IF(E390="","",DATEDIF(E390,$I$7,"Y"))</f>
      </c>
      <c r="G390" s="85"/>
      <c r="H390" s="85"/>
      <c r="I390" s="87"/>
      <c r="J390" s="85"/>
      <c r="K390" s="85"/>
      <c r="L390" s="10"/>
      <c r="M390" s="10"/>
      <c r="N390" s="10"/>
      <c r="O390" s="10"/>
      <c r="P390" s="85"/>
      <c r="Q390" s="88"/>
      <c r="R390" s="3">
        <f>IFERROR(VLOOKUP(TablaMayo[[#This Row],[BARRIO]],SECTOR!$A:$B,2,0),"")</f>
      </c>
      <c r="S390" s="89"/>
      <c r="T390" s="90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6"/>
      <c r="AZ390" s="120">
        <f>COUNTIF(U390:AY390,"A")</f>
      </c>
      <c r="BA390" s="121">
        <f>COUNTIF(U390:AY390,"F")</f>
      </c>
      <c r="BB390" s="119">
        <f>COUNTIF(U390:AY390,"E")</f>
      </c>
    </row>
    <row r="391" spans="1:54" x14ac:dyDescent="0.2">
      <c r="A391" s="84"/>
      <c r="B391" s="85"/>
      <c r="C391" s="85"/>
      <c r="D391" s="85"/>
      <c r="E391" s="86"/>
      <c r="F391" s="16">
        <f>IF(E391="","",DATEDIF(E391,$I$7,"Y"))</f>
      </c>
      <c r="G391" s="85"/>
      <c r="H391" s="85"/>
      <c r="I391" s="87"/>
      <c r="J391" s="85"/>
      <c r="K391" s="85"/>
      <c r="L391" s="10"/>
      <c r="M391" s="10"/>
      <c r="N391" s="10"/>
      <c r="O391" s="10"/>
      <c r="P391" s="85"/>
      <c r="Q391" s="88"/>
      <c r="R391" s="3">
        <f>IFERROR(VLOOKUP(TablaMayo[[#This Row],[BARRIO]],SECTOR!$A:$B,2,0),"")</f>
      </c>
      <c r="S391" s="89"/>
      <c r="T391" s="90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6"/>
      <c r="AZ391" s="120">
        <f>COUNTIF(U391:AY391,"A")</f>
      </c>
      <c r="BA391" s="121">
        <f>COUNTIF(U391:AY391,"F")</f>
      </c>
      <c r="BB391" s="119">
        <f>COUNTIF(U391:AY391,"E")</f>
      </c>
    </row>
    <row r="392" spans="1:54" x14ac:dyDescent="0.2">
      <c r="A392" s="84"/>
      <c r="B392" s="85"/>
      <c r="C392" s="85"/>
      <c r="D392" s="85"/>
      <c r="E392" s="86"/>
      <c r="F392" s="16">
        <f>IF(E392="","",DATEDIF(E392,$I$7,"Y"))</f>
      </c>
      <c r="G392" s="85"/>
      <c r="H392" s="85"/>
      <c r="I392" s="87"/>
      <c r="J392" s="85"/>
      <c r="K392" s="85"/>
      <c r="L392" s="10"/>
      <c r="M392" s="10"/>
      <c r="N392" s="10"/>
      <c r="O392" s="10"/>
      <c r="P392" s="85"/>
      <c r="Q392" s="88"/>
      <c r="R392" s="3">
        <f>IFERROR(VLOOKUP(TablaMayo[[#This Row],[BARRIO]],SECTOR!$A:$B,2,0),"")</f>
      </c>
      <c r="S392" s="89"/>
      <c r="T392" s="90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6"/>
      <c r="AZ392" s="120">
        <f>COUNTIF(U392:AY392,"A")</f>
      </c>
      <c r="BA392" s="121">
        <f>COUNTIF(U392:AY392,"F")</f>
      </c>
      <c r="BB392" s="119">
        <f>COUNTIF(U392:AY392,"E")</f>
      </c>
    </row>
    <row r="393" spans="1:54" x14ac:dyDescent="0.2">
      <c r="A393" s="84"/>
      <c r="B393" s="85"/>
      <c r="C393" s="85"/>
      <c r="D393" s="85"/>
      <c r="E393" s="86"/>
      <c r="F393" s="16">
        <f>IF(E393="","",DATEDIF(E393,$I$7,"Y"))</f>
      </c>
      <c r="G393" s="85"/>
      <c r="H393" s="85"/>
      <c r="I393" s="87"/>
      <c r="J393" s="85"/>
      <c r="K393" s="85"/>
      <c r="L393" s="10"/>
      <c r="M393" s="10"/>
      <c r="N393" s="10"/>
      <c r="O393" s="10"/>
      <c r="P393" s="85"/>
      <c r="Q393" s="88"/>
      <c r="R393" s="3">
        <f>IFERROR(VLOOKUP(TablaMayo[[#This Row],[BARRIO]],SECTOR!$A:$B,2,0),"")</f>
      </c>
      <c r="S393" s="89"/>
      <c r="T393" s="90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6"/>
      <c r="AZ393" s="120">
        <f>COUNTIF(U393:AY393,"A")</f>
      </c>
      <c r="BA393" s="121">
        <f>COUNTIF(U393:AY393,"F")</f>
      </c>
      <c r="BB393" s="119">
        <f>COUNTIF(U393:AY393,"E")</f>
      </c>
    </row>
    <row r="394" spans="1:54" x14ac:dyDescent="0.2">
      <c r="A394" s="84"/>
      <c r="B394" s="85"/>
      <c r="C394" s="85"/>
      <c r="D394" s="85"/>
      <c r="E394" s="86"/>
      <c r="F394" s="16">
        <f>IF(E394="","",DATEDIF(E394,$I$7,"Y"))</f>
      </c>
      <c r="G394" s="85"/>
      <c r="H394" s="85"/>
      <c r="I394" s="87"/>
      <c r="J394" s="85"/>
      <c r="K394" s="85"/>
      <c r="L394" s="10"/>
      <c r="M394" s="10"/>
      <c r="N394" s="10"/>
      <c r="O394" s="10"/>
      <c r="P394" s="85"/>
      <c r="Q394" s="88"/>
      <c r="R394" s="3">
        <f>IFERROR(VLOOKUP(TablaMayo[[#This Row],[BARRIO]],SECTOR!$A:$B,2,0),"")</f>
      </c>
      <c r="S394" s="89"/>
      <c r="T394" s="90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6"/>
      <c r="AZ394" s="120">
        <f>COUNTIF(U394:AY394,"A")</f>
      </c>
      <c r="BA394" s="121">
        <f>COUNTIF(U394:AY394,"F")</f>
      </c>
      <c r="BB394" s="119">
        <f>COUNTIF(U394:AY394,"E")</f>
      </c>
    </row>
    <row r="395" spans="1:54" x14ac:dyDescent="0.2">
      <c r="A395" s="84"/>
      <c r="B395" s="85"/>
      <c r="C395" s="85"/>
      <c r="D395" s="85"/>
      <c r="E395" s="86"/>
      <c r="F395" s="16">
        <f>IF(E395="","",DATEDIF(E395,$I$7,"Y"))</f>
      </c>
      <c r="G395" s="85"/>
      <c r="H395" s="85"/>
      <c r="I395" s="87"/>
      <c r="J395" s="85"/>
      <c r="K395" s="85"/>
      <c r="L395" s="10"/>
      <c r="M395" s="10"/>
      <c r="N395" s="10"/>
      <c r="O395" s="10"/>
      <c r="P395" s="85"/>
      <c r="Q395" s="88"/>
      <c r="R395" s="3">
        <f>IFERROR(VLOOKUP(TablaMayo[[#This Row],[BARRIO]],SECTOR!$A:$B,2,0),"")</f>
      </c>
      <c r="S395" s="89"/>
      <c r="T395" s="90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6"/>
      <c r="AZ395" s="120">
        <f>COUNTIF(U395:AY395,"A")</f>
      </c>
      <c r="BA395" s="121">
        <f>COUNTIF(U395:AY395,"F")</f>
      </c>
      <c r="BB395" s="119">
        <f>COUNTIF(U395:AY395,"E")</f>
      </c>
    </row>
    <row r="396" spans="1:54" x14ac:dyDescent="0.2">
      <c r="A396" s="84"/>
      <c r="B396" s="85"/>
      <c r="C396" s="85"/>
      <c r="D396" s="85"/>
      <c r="E396" s="86"/>
      <c r="F396" s="16">
        <f>IF(E396="","",DATEDIF(E396,$I$7,"Y"))</f>
      </c>
      <c r="G396" s="85"/>
      <c r="H396" s="85"/>
      <c r="I396" s="87"/>
      <c r="J396" s="85"/>
      <c r="K396" s="85"/>
      <c r="L396" s="10"/>
      <c r="M396" s="10"/>
      <c r="N396" s="10"/>
      <c r="O396" s="10"/>
      <c r="P396" s="85"/>
      <c r="Q396" s="88"/>
      <c r="R396" s="3">
        <f>IFERROR(VLOOKUP(TablaMayo[[#This Row],[BARRIO]],SECTOR!$A:$B,2,0),"")</f>
      </c>
      <c r="S396" s="89"/>
      <c r="T396" s="90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6"/>
      <c r="AZ396" s="120">
        <f>COUNTIF(U396:AY396,"A")</f>
      </c>
      <c r="BA396" s="121">
        <f>COUNTIF(U396:AY396,"F")</f>
      </c>
      <c r="BB396" s="119">
        <f>COUNTIF(U396:AY396,"E")</f>
      </c>
    </row>
    <row r="397" spans="1:54" x14ac:dyDescent="0.2">
      <c r="A397" s="84"/>
      <c r="B397" s="85"/>
      <c r="C397" s="85"/>
      <c r="D397" s="85"/>
      <c r="E397" s="86"/>
      <c r="F397" s="16">
        <f>IF(E397="","",DATEDIF(E397,$I$7,"Y"))</f>
      </c>
      <c r="G397" s="85"/>
      <c r="H397" s="85"/>
      <c r="I397" s="87"/>
      <c r="J397" s="85"/>
      <c r="K397" s="85"/>
      <c r="L397" s="10"/>
      <c r="M397" s="10"/>
      <c r="N397" s="10"/>
      <c r="O397" s="10"/>
      <c r="P397" s="85"/>
      <c r="Q397" s="88"/>
      <c r="R397" s="3">
        <f>IFERROR(VLOOKUP(TablaMayo[[#This Row],[BARRIO]],SECTOR!$A:$B,2,0),"")</f>
      </c>
      <c r="S397" s="89"/>
      <c r="T397" s="90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6"/>
      <c r="AZ397" s="120">
        <f>COUNTIF(U397:AY397,"A")</f>
      </c>
      <c r="BA397" s="121">
        <f>COUNTIF(U397:AY397,"F")</f>
      </c>
      <c r="BB397" s="119">
        <f>COUNTIF(U397:AY397,"E")</f>
      </c>
    </row>
    <row r="398" spans="1:54" x14ac:dyDescent="0.2">
      <c r="A398" s="84"/>
      <c r="B398" s="85"/>
      <c r="C398" s="85"/>
      <c r="D398" s="85"/>
      <c r="E398" s="86"/>
      <c r="F398" s="16">
        <f>IF(E398="","",DATEDIF(E398,$I$7,"Y"))</f>
      </c>
      <c r="G398" s="85"/>
      <c r="H398" s="85"/>
      <c r="I398" s="87"/>
      <c r="J398" s="85"/>
      <c r="K398" s="85"/>
      <c r="L398" s="10"/>
      <c r="M398" s="10"/>
      <c r="N398" s="10"/>
      <c r="O398" s="10"/>
      <c r="P398" s="85"/>
      <c r="Q398" s="88"/>
      <c r="R398" s="3">
        <f>IFERROR(VLOOKUP(TablaMayo[[#This Row],[BARRIO]],SECTOR!$A:$B,2,0),"")</f>
      </c>
      <c r="S398" s="89"/>
      <c r="T398" s="90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6"/>
      <c r="AZ398" s="120">
        <f>COUNTIF(U398:AY398,"A")</f>
      </c>
      <c r="BA398" s="121">
        <f>COUNTIF(U398:AY398,"F")</f>
      </c>
      <c r="BB398" s="119">
        <f>COUNTIF(U398:AY398,"E")</f>
      </c>
    </row>
    <row r="399" spans="1:54" x14ac:dyDescent="0.2">
      <c r="A399" s="84"/>
      <c r="B399" s="85"/>
      <c r="C399" s="85"/>
      <c r="D399" s="85"/>
      <c r="E399" s="86"/>
      <c r="F399" s="16">
        <f>IF(E399="","",DATEDIF(E399,$I$7,"Y"))</f>
      </c>
      <c r="G399" s="85"/>
      <c r="H399" s="85"/>
      <c r="I399" s="87"/>
      <c r="J399" s="85"/>
      <c r="K399" s="85"/>
      <c r="L399" s="10"/>
      <c r="M399" s="10"/>
      <c r="N399" s="10"/>
      <c r="O399" s="10"/>
      <c r="P399" s="85"/>
      <c r="Q399" s="88"/>
      <c r="R399" s="3">
        <f>IFERROR(VLOOKUP(TablaMayo[[#This Row],[BARRIO]],SECTOR!$A:$B,2,0),"")</f>
      </c>
      <c r="S399" s="89"/>
      <c r="T399" s="90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6"/>
      <c r="AZ399" s="120">
        <f>COUNTIF(U399:AY399,"A")</f>
      </c>
      <c r="BA399" s="121">
        <f>COUNTIF(U399:AY399,"F")</f>
      </c>
      <c r="BB399" s="119">
        <f>COUNTIF(U399:AY399,"E")</f>
      </c>
    </row>
    <row r="400" spans="1:54" x14ac:dyDescent="0.2">
      <c r="A400" s="84"/>
      <c r="B400" s="85"/>
      <c r="C400" s="85"/>
      <c r="D400" s="85"/>
      <c r="E400" s="86"/>
      <c r="F400" s="16">
        <f>IF(E400="","",DATEDIF(E400,$I$7,"Y"))</f>
      </c>
      <c r="G400" s="85"/>
      <c r="H400" s="85"/>
      <c r="I400" s="87"/>
      <c r="J400" s="85"/>
      <c r="K400" s="85"/>
      <c r="L400" s="10"/>
      <c r="M400" s="10"/>
      <c r="N400" s="10"/>
      <c r="O400" s="10"/>
      <c r="P400" s="85"/>
      <c r="Q400" s="88"/>
      <c r="R400" s="3">
        <f>IFERROR(VLOOKUP(TablaMayo[[#This Row],[BARRIO]],SECTOR!$A:$B,2,0),"")</f>
      </c>
      <c r="S400" s="89"/>
      <c r="T400" s="90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6"/>
      <c r="AZ400" s="120">
        <f>COUNTIF(U400:AY400,"A")</f>
      </c>
      <c r="BA400" s="121">
        <f>COUNTIF(U400:AY400,"F")</f>
      </c>
      <c r="BB400" s="119">
        <f>COUNTIF(U400:AY400,"E")</f>
      </c>
    </row>
    <row r="401" spans="1:54" x14ac:dyDescent="0.2">
      <c r="A401" s="84"/>
      <c r="B401" s="85"/>
      <c r="C401" s="85"/>
      <c r="D401" s="85"/>
      <c r="E401" s="86"/>
      <c r="F401" s="16">
        <f>IF(E401="","",DATEDIF(E401,$I$7,"Y"))</f>
      </c>
      <c r="G401" s="85"/>
      <c r="H401" s="85"/>
      <c r="I401" s="87"/>
      <c r="J401" s="85"/>
      <c r="K401" s="85"/>
      <c r="L401" s="10"/>
      <c r="M401" s="10"/>
      <c r="N401" s="10"/>
      <c r="O401" s="10"/>
      <c r="P401" s="85"/>
      <c r="Q401" s="88"/>
      <c r="R401" s="3">
        <f>IFERROR(VLOOKUP(TablaMayo[[#This Row],[BARRIO]],SECTOR!$A:$B,2,0),"")</f>
      </c>
      <c r="S401" s="89"/>
      <c r="T401" s="90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6"/>
      <c r="AZ401" s="120">
        <f>COUNTIF(U401:AY401,"A")</f>
      </c>
      <c r="BA401" s="121">
        <f>COUNTIF(U401:AY401,"F")</f>
      </c>
      <c r="BB401" s="119">
        <f>COUNTIF(U401:AY401,"E")</f>
      </c>
    </row>
    <row r="402" spans="1:54" x14ac:dyDescent="0.2">
      <c r="A402" s="84"/>
      <c r="B402" s="85"/>
      <c r="C402" s="85"/>
      <c r="D402" s="85"/>
      <c r="E402" s="86"/>
      <c r="F402" s="16">
        <f>IF(E402="","",DATEDIF(E402,$I$7,"Y"))</f>
      </c>
      <c r="G402" s="85"/>
      <c r="H402" s="85"/>
      <c r="I402" s="87"/>
      <c r="J402" s="85"/>
      <c r="K402" s="85"/>
      <c r="L402" s="10"/>
      <c r="M402" s="10"/>
      <c r="N402" s="10"/>
      <c r="O402" s="10"/>
      <c r="P402" s="85"/>
      <c r="Q402" s="88"/>
      <c r="R402" s="3">
        <f>IFERROR(VLOOKUP(TablaMayo[[#This Row],[BARRIO]],SECTOR!$A:$B,2,0),"")</f>
      </c>
      <c r="S402" s="89"/>
      <c r="T402" s="90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6"/>
      <c r="AZ402" s="120">
        <f>COUNTIF(U402:AY402,"A")</f>
      </c>
      <c r="BA402" s="121">
        <f>COUNTIF(U402:AY402,"F")</f>
      </c>
      <c r="BB402" s="119">
        <f>COUNTIF(U402:AY402,"E")</f>
      </c>
    </row>
    <row r="403" spans="1:54" x14ac:dyDescent="0.2">
      <c r="A403" s="84"/>
      <c r="B403" s="85"/>
      <c r="C403" s="85"/>
      <c r="D403" s="85"/>
      <c r="E403" s="86"/>
      <c r="F403" s="16">
        <f>IF(E403="","",DATEDIF(E403,$I$7,"Y"))</f>
      </c>
      <c r="G403" s="85"/>
      <c r="H403" s="85"/>
      <c r="I403" s="87"/>
      <c r="J403" s="85"/>
      <c r="K403" s="85"/>
      <c r="L403" s="10"/>
      <c r="M403" s="10"/>
      <c r="N403" s="10"/>
      <c r="O403" s="10"/>
      <c r="P403" s="85"/>
      <c r="Q403" s="88"/>
      <c r="R403" s="3">
        <f>IFERROR(VLOOKUP(TablaMayo[[#This Row],[BARRIO]],SECTOR!$A:$B,2,0),"")</f>
      </c>
      <c r="S403" s="89"/>
      <c r="T403" s="90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6"/>
      <c r="AZ403" s="120">
        <f>COUNTIF(U403:AY403,"A")</f>
      </c>
      <c r="BA403" s="121">
        <f>COUNTIF(U403:AY403,"F")</f>
      </c>
      <c r="BB403" s="119">
        <f>COUNTIF(U403:AY403,"E")</f>
      </c>
    </row>
    <row r="404" spans="1:54" x14ac:dyDescent="0.2">
      <c r="A404" s="84"/>
      <c r="B404" s="85"/>
      <c r="C404" s="85"/>
      <c r="D404" s="85"/>
      <c r="E404" s="86"/>
      <c r="F404" s="16">
        <f>IF(E404="","",DATEDIF(E404,$I$7,"Y"))</f>
      </c>
      <c r="G404" s="85"/>
      <c r="H404" s="85"/>
      <c r="I404" s="87"/>
      <c r="J404" s="85"/>
      <c r="K404" s="85"/>
      <c r="L404" s="10"/>
      <c r="M404" s="10"/>
      <c r="N404" s="10"/>
      <c r="O404" s="10"/>
      <c r="P404" s="85"/>
      <c r="Q404" s="88"/>
      <c r="R404" s="3">
        <f>IFERROR(VLOOKUP(TablaMayo[[#This Row],[BARRIO]],SECTOR!$A:$B,2,0),"")</f>
      </c>
      <c r="S404" s="89"/>
      <c r="T404" s="90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6"/>
      <c r="AZ404" s="120">
        <f>COUNTIF(U404:AY404,"A")</f>
      </c>
      <c r="BA404" s="121">
        <f>COUNTIF(U404:AY404,"F")</f>
      </c>
      <c r="BB404" s="119">
        <f>COUNTIF(U404:AY404,"E")</f>
      </c>
    </row>
    <row r="405" spans="1:54" x14ac:dyDescent="0.2">
      <c r="A405" s="84"/>
      <c r="B405" s="85"/>
      <c r="C405" s="85"/>
      <c r="D405" s="85"/>
      <c r="E405" s="86"/>
      <c r="F405" s="16">
        <f>IF(E405="","",DATEDIF(E405,$I$7,"Y"))</f>
      </c>
      <c r="G405" s="85"/>
      <c r="H405" s="85"/>
      <c r="I405" s="87"/>
      <c r="J405" s="85"/>
      <c r="K405" s="85"/>
      <c r="L405" s="10"/>
      <c r="M405" s="10"/>
      <c r="N405" s="10"/>
      <c r="O405" s="10"/>
      <c r="P405" s="85"/>
      <c r="Q405" s="88"/>
      <c r="R405" s="3">
        <f>IFERROR(VLOOKUP(TablaMayo[[#This Row],[BARRIO]],SECTOR!$A:$B,2,0),"")</f>
      </c>
      <c r="S405" s="89"/>
      <c r="T405" s="90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6"/>
      <c r="AZ405" s="120">
        <f>COUNTIF(U405:AY405,"A")</f>
      </c>
      <c r="BA405" s="121">
        <f>COUNTIF(U405:AY405,"F")</f>
      </c>
      <c r="BB405" s="119">
        <f>COUNTIF(U405:AY405,"E")</f>
      </c>
    </row>
    <row r="406" spans="1:54" x14ac:dyDescent="0.2">
      <c r="A406" s="84"/>
      <c r="B406" s="85"/>
      <c r="C406" s="85"/>
      <c r="D406" s="85"/>
      <c r="E406" s="86"/>
      <c r="F406" s="16">
        <f>IF(E406="","",DATEDIF(E406,$I$7,"Y"))</f>
      </c>
      <c r="G406" s="85"/>
      <c r="H406" s="85"/>
      <c r="I406" s="87"/>
      <c r="J406" s="85"/>
      <c r="K406" s="85"/>
      <c r="L406" s="10"/>
      <c r="M406" s="10"/>
      <c r="N406" s="10"/>
      <c r="O406" s="10"/>
      <c r="P406" s="85"/>
      <c r="Q406" s="88"/>
      <c r="R406" s="3">
        <f>IFERROR(VLOOKUP(TablaMayo[[#This Row],[BARRIO]],SECTOR!$A:$B,2,0),"")</f>
      </c>
      <c r="S406" s="89"/>
      <c r="T406" s="90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6"/>
      <c r="AZ406" s="120">
        <f>COUNTIF(U406:AY406,"A")</f>
      </c>
      <c r="BA406" s="121">
        <f>COUNTIF(U406:AY406,"F")</f>
      </c>
      <c r="BB406" s="119">
        <f>COUNTIF(U406:AY406,"E")</f>
      </c>
    </row>
    <row r="407" spans="1:54" x14ac:dyDescent="0.2">
      <c r="A407" s="84"/>
      <c r="B407" s="85"/>
      <c r="C407" s="85"/>
      <c r="D407" s="85"/>
      <c r="E407" s="86"/>
      <c r="F407" s="16">
        <f>IF(E407="","",DATEDIF(E407,$I$7,"Y"))</f>
      </c>
      <c r="G407" s="85"/>
      <c r="H407" s="85"/>
      <c r="I407" s="87"/>
      <c r="J407" s="85"/>
      <c r="K407" s="85"/>
      <c r="L407" s="10"/>
      <c r="M407" s="10"/>
      <c r="N407" s="10"/>
      <c r="O407" s="10"/>
      <c r="P407" s="85"/>
      <c r="Q407" s="88"/>
      <c r="R407" s="3">
        <f>IFERROR(VLOOKUP(TablaMayo[[#This Row],[BARRIO]],SECTOR!$A:$B,2,0),"")</f>
      </c>
      <c r="S407" s="89"/>
      <c r="T407" s="90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6"/>
      <c r="AZ407" s="120">
        <f>COUNTIF(U407:AY407,"A")</f>
      </c>
      <c r="BA407" s="121">
        <f>COUNTIF(U407:AY407,"F")</f>
      </c>
      <c r="BB407" s="119">
        <f>COUNTIF(U407:AY407,"E")</f>
      </c>
    </row>
    <row r="408" spans="1:54" x14ac:dyDescent="0.2">
      <c r="A408" s="84"/>
      <c r="B408" s="85"/>
      <c r="C408" s="85"/>
      <c r="D408" s="85"/>
      <c r="E408" s="86"/>
      <c r="F408" s="16">
        <f>IF(E408="","",DATEDIF(E408,$I$7,"Y"))</f>
      </c>
      <c r="G408" s="85"/>
      <c r="H408" s="85"/>
      <c r="I408" s="87"/>
      <c r="J408" s="85"/>
      <c r="K408" s="85"/>
      <c r="L408" s="10"/>
      <c r="M408" s="10"/>
      <c r="N408" s="10"/>
      <c r="O408" s="10"/>
      <c r="P408" s="85"/>
      <c r="Q408" s="88"/>
      <c r="R408" s="3">
        <f>IFERROR(VLOOKUP(TablaMayo[[#This Row],[BARRIO]],SECTOR!$A:$B,2,0),"")</f>
      </c>
      <c r="S408" s="89"/>
      <c r="T408" s="90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6"/>
      <c r="AZ408" s="120">
        <f>COUNTIF(U408:AY408,"A")</f>
      </c>
      <c r="BA408" s="121">
        <f>COUNTIF(U408:AY408,"F")</f>
      </c>
      <c r="BB408" s="119">
        <f>COUNTIF(U408:AY408,"E")</f>
      </c>
    </row>
    <row r="409" spans="1:54" x14ac:dyDescent="0.2">
      <c r="A409" s="84"/>
      <c r="B409" s="85"/>
      <c r="C409" s="85"/>
      <c r="D409" s="85"/>
      <c r="E409" s="86"/>
      <c r="F409" s="16">
        <f>IF(E409="","",DATEDIF(E409,$I$7,"Y"))</f>
      </c>
      <c r="G409" s="85"/>
      <c r="H409" s="85"/>
      <c r="I409" s="87"/>
      <c r="J409" s="85"/>
      <c r="K409" s="85"/>
      <c r="L409" s="10"/>
      <c r="M409" s="10"/>
      <c r="N409" s="10"/>
      <c r="O409" s="10"/>
      <c r="P409" s="85"/>
      <c r="Q409" s="88"/>
      <c r="R409" s="3">
        <f>IFERROR(VLOOKUP(TablaMayo[[#This Row],[BARRIO]],SECTOR!$A:$B,2,0),"")</f>
      </c>
      <c r="S409" s="89"/>
      <c r="T409" s="90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6"/>
      <c r="AZ409" s="120">
        <f>COUNTIF(U409:AY409,"A")</f>
      </c>
      <c r="BA409" s="121">
        <f>COUNTIF(U409:AY409,"F")</f>
      </c>
      <c r="BB409" s="119">
        <f>COUNTIF(U409:AY409,"E")</f>
      </c>
    </row>
    <row r="410" spans="1:54" x14ac:dyDescent="0.2">
      <c r="A410" s="84"/>
      <c r="B410" s="85"/>
      <c r="C410" s="85"/>
      <c r="D410" s="85"/>
      <c r="E410" s="86"/>
      <c r="F410" s="16">
        <f>IF(E410="","",DATEDIF(E410,$I$7,"Y"))</f>
      </c>
      <c r="G410" s="85"/>
      <c r="H410" s="85"/>
      <c r="I410" s="87"/>
      <c r="J410" s="85"/>
      <c r="K410" s="85"/>
      <c r="L410" s="10"/>
      <c r="M410" s="10"/>
      <c r="N410" s="10"/>
      <c r="O410" s="10"/>
      <c r="P410" s="85"/>
      <c r="Q410" s="88"/>
      <c r="R410" s="3">
        <f>IFERROR(VLOOKUP(TablaMayo[[#This Row],[BARRIO]],SECTOR!$A:$B,2,0),"")</f>
      </c>
      <c r="S410" s="89"/>
      <c r="T410" s="90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6"/>
      <c r="AZ410" s="120">
        <f>COUNTIF(U410:AY410,"A")</f>
      </c>
      <c r="BA410" s="121">
        <f>COUNTIF(U410:AY410,"F")</f>
      </c>
      <c r="BB410" s="119">
        <f>COUNTIF(U410:AY410,"E")</f>
      </c>
    </row>
    <row r="411" spans="1:54" x14ac:dyDescent="0.2">
      <c r="A411" s="84"/>
      <c r="B411" s="85"/>
      <c r="C411" s="85"/>
      <c r="D411" s="85"/>
      <c r="E411" s="86"/>
      <c r="F411" s="16">
        <f>IF(E411="","",DATEDIF(E411,$I$7,"Y"))</f>
      </c>
      <c r="G411" s="85"/>
      <c r="H411" s="85"/>
      <c r="I411" s="87"/>
      <c r="J411" s="85"/>
      <c r="K411" s="85"/>
      <c r="L411" s="10"/>
      <c r="M411" s="10"/>
      <c r="N411" s="10"/>
      <c r="O411" s="10"/>
      <c r="P411" s="85"/>
      <c r="Q411" s="88"/>
      <c r="R411" s="3">
        <f>IFERROR(VLOOKUP(TablaMayo[[#This Row],[BARRIO]],SECTOR!$A:$B,2,0),"")</f>
      </c>
      <c r="S411" s="89"/>
      <c r="T411" s="90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6"/>
      <c r="AZ411" s="120">
        <f>COUNTIF(U411:AY411,"A")</f>
      </c>
      <c r="BA411" s="121">
        <f>COUNTIF(U411:AY411,"F")</f>
      </c>
      <c r="BB411" s="119">
        <f>COUNTIF(U411:AY411,"E")</f>
      </c>
    </row>
    <row r="412" spans="1:54" x14ac:dyDescent="0.2">
      <c r="A412" s="84"/>
      <c r="B412" s="85"/>
      <c r="C412" s="85"/>
      <c r="D412" s="85"/>
      <c r="E412" s="86"/>
      <c r="F412" s="16">
        <f>IF(E412="","",DATEDIF(E412,$I$7,"Y"))</f>
      </c>
      <c r="G412" s="85"/>
      <c r="H412" s="85"/>
      <c r="I412" s="87"/>
      <c r="J412" s="85"/>
      <c r="K412" s="85"/>
      <c r="L412" s="10"/>
      <c r="M412" s="10"/>
      <c r="N412" s="10"/>
      <c r="O412" s="10"/>
      <c r="P412" s="85"/>
      <c r="Q412" s="88"/>
      <c r="R412" s="3">
        <f>IFERROR(VLOOKUP(TablaMayo[[#This Row],[BARRIO]],SECTOR!$A:$B,2,0),"")</f>
      </c>
      <c r="S412" s="89"/>
      <c r="T412" s="90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6"/>
      <c r="AZ412" s="120">
        <f>COUNTIF(U412:AY412,"A")</f>
      </c>
      <c r="BA412" s="121">
        <f>COUNTIF(U412:AY412,"F")</f>
      </c>
      <c r="BB412" s="119">
        <f>COUNTIF(U412:AY412,"E")</f>
      </c>
    </row>
    <row r="413" spans="1:54" x14ac:dyDescent="0.2">
      <c r="A413" s="84"/>
      <c r="B413" s="85"/>
      <c r="C413" s="85"/>
      <c r="D413" s="85"/>
      <c r="E413" s="86"/>
      <c r="F413" s="16">
        <f>IF(E413="","",DATEDIF(E413,$I$7,"Y"))</f>
      </c>
      <c r="G413" s="85"/>
      <c r="H413" s="85"/>
      <c r="I413" s="87"/>
      <c r="J413" s="85"/>
      <c r="K413" s="85"/>
      <c r="L413" s="10"/>
      <c r="M413" s="10"/>
      <c r="N413" s="10"/>
      <c r="O413" s="10"/>
      <c r="P413" s="85"/>
      <c r="Q413" s="88"/>
      <c r="R413" s="3">
        <f>IFERROR(VLOOKUP(TablaMayo[[#This Row],[BARRIO]],SECTOR!$A:$B,2,0),"")</f>
      </c>
      <c r="S413" s="89"/>
      <c r="T413" s="90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6"/>
      <c r="AZ413" s="120">
        <f>COUNTIF(U413:AY413,"A")</f>
      </c>
      <c r="BA413" s="121">
        <f>COUNTIF(U413:AY413,"F")</f>
      </c>
      <c r="BB413" s="119">
        <f>COUNTIF(U413:AY413,"E")</f>
      </c>
    </row>
    <row r="414" spans="1:54" x14ac:dyDescent="0.2">
      <c r="A414" s="84"/>
      <c r="B414" s="85"/>
      <c r="C414" s="85"/>
      <c r="D414" s="85"/>
      <c r="E414" s="86"/>
      <c r="F414" s="16">
        <f>IF(E414="","",DATEDIF(E414,$I$7,"Y"))</f>
      </c>
      <c r="G414" s="85"/>
      <c r="H414" s="85"/>
      <c r="I414" s="87"/>
      <c r="J414" s="85"/>
      <c r="K414" s="85"/>
      <c r="L414" s="10"/>
      <c r="M414" s="10"/>
      <c r="N414" s="10"/>
      <c r="O414" s="10"/>
      <c r="P414" s="85"/>
      <c r="Q414" s="88"/>
      <c r="R414" s="3">
        <f>IFERROR(VLOOKUP(TablaMayo[[#This Row],[BARRIO]],SECTOR!$A:$B,2,0),"")</f>
      </c>
      <c r="S414" s="89"/>
      <c r="T414" s="90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6"/>
      <c r="AZ414" s="120">
        <f>COUNTIF(U414:AY414,"A")</f>
      </c>
      <c r="BA414" s="121">
        <f>COUNTIF(U414:AY414,"F")</f>
      </c>
      <c r="BB414" s="119">
        <f>COUNTIF(U414:AY414,"E")</f>
      </c>
    </row>
    <row r="415" spans="1:54" x14ac:dyDescent="0.2">
      <c r="A415" s="84"/>
      <c r="B415" s="85"/>
      <c r="C415" s="85"/>
      <c r="D415" s="85"/>
      <c r="E415" s="86"/>
      <c r="F415" s="16">
        <f>IF(E415="","",DATEDIF(E415,$I$7,"Y"))</f>
      </c>
      <c r="G415" s="85"/>
      <c r="H415" s="85"/>
      <c r="I415" s="87"/>
      <c r="J415" s="85"/>
      <c r="K415" s="85"/>
      <c r="L415" s="10"/>
      <c r="M415" s="10"/>
      <c r="N415" s="10"/>
      <c r="O415" s="10"/>
      <c r="P415" s="85"/>
      <c r="Q415" s="88"/>
      <c r="R415" s="3">
        <f>IFERROR(VLOOKUP(TablaMayo[[#This Row],[BARRIO]],SECTOR!$A:$B,2,0),"")</f>
      </c>
      <c r="S415" s="89"/>
      <c r="T415" s="90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6"/>
      <c r="AZ415" s="120">
        <f>COUNTIF(U415:AY415,"A")</f>
      </c>
      <c r="BA415" s="121">
        <f>COUNTIF(U415:AY415,"F")</f>
      </c>
      <c r="BB415" s="119">
        <f>COUNTIF(U415:AY415,"E")</f>
      </c>
    </row>
    <row r="416" spans="1:54" x14ac:dyDescent="0.2">
      <c r="A416" s="84"/>
      <c r="B416" s="85"/>
      <c r="C416" s="85"/>
      <c r="D416" s="85"/>
      <c r="E416" s="86"/>
      <c r="F416" s="16">
        <f>IF(E416="","",DATEDIF(E416,$I$7,"Y"))</f>
      </c>
      <c r="G416" s="85"/>
      <c r="H416" s="85"/>
      <c r="I416" s="87"/>
      <c r="J416" s="85"/>
      <c r="K416" s="85"/>
      <c r="L416" s="10"/>
      <c r="M416" s="10"/>
      <c r="N416" s="10"/>
      <c r="O416" s="10"/>
      <c r="P416" s="85"/>
      <c r="Q416" s="88"/>
      <c r="R416" s="3">
        <f>IFERROR(VLOOKUP(TablaMayo[[#This Row],[BARRIO]],SECTOR!$A:$B,2,0),"")</f>
      </c>
      <c r="S416" s="89"/>
      <c r="T416" s="90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6"/>
      <c r="AZ416" s="120">
        <f>COUNTIF(U416:AY416,"A")</f>
      </c>
      <c r="BA416" s="121">
        <f>COUNTIF(U416:AY416,"F")</f>
      </c>
      <c r="BB416" s="119">
        <f>COUNTIF(U416:AY416,"E")</f>
      </c>
    </row>
    <row r="417" spans="1:54" x14ac:dyDescent="0.2">
      <c r="A417" s="84"/>
      <c r="B417" s="85"/>
      <c r="C417" s="85"/>
      <c r="D417" s="85"/>
      <c r="E417" s="86"/>
      <c r="F417" s="16">
        <f>IF(E417="","",DATEDIF(E417,$I$7,"Y"))</f>
      </c>
      <c r="G417" s="85"/>
      <c r="H417" s="85"/>
      <c r="I417" s="87"/>
      <c r="J417" s="85"/>
      <c r="K417" s="85"/>
      <c r="L417" s="10"/>
      <c r="M417" s="10"/>
      <c r="N417" s="10"/>
      <c r="O417" s="10"/>
      <c r="P417" s="85"/>
      <c r="Q417" s="88"/>
      <c r="R417" s="3">
        <f>IFERROR(VLOOKUP(TablaMayo[[#This Row],[BARRIO]],SECTOR!$A:$B,2,0),"")</f>
      </c>
      <c r="S417" s="89"/>
      <c r="T417" s="90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6"/>
      <c r="AZ417" s="120">
        <f>COUNTIF(U417:AY417,"A")</f>
      </c>
      <c r="BA417" s="121">
        <f>COUNTIF(U417:AY417,"F")</f>
      </c>
      <c r="BB417" s="119">
        <f>COUNTIF(U417:AY417,"E")</f>
      </c>
    </row>
    <row r="418" spans="1:54" x14ac:dyDescent="0.2">
      <c r="A418" s="84"/>
      <c r="B418" s="85"/>
      <c r="C418" s="85"/>
      <c r="D418" s="85"/>
      <c r="E418" s="86"/>
      <c r="F418" s="16">
        <f>IF(E418="","",DATEDIF(E418,$I$7,"Y"))</f>
      </c>
      <c r="G418" s="85"/>
      <c r="H418" s="85"/>
      <c r="I418" s="87"/>
      <c r="J418" s="85"/>
      <c r="K418" s="85"/>
      <c r="L418" s="10"/>
      <c r="M418" s="10"/>
      <c r="N418" s="10"/>
      <c r="O418" s="10"/>
      <c r="P418" s="85"/>
      <c r="Q418" s="88"/>
      <c r="R418" s="3">
        <f>IFERROR(VLOOKUP(TablaMayo[[#This Row],[BARRIO]],SECTOR!$A:$B,2,0),"")</f>
      </c>
      <c r="S418" s="89"/>
      <c r="T418" s="90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6"/>
      <c r="AZ418" s="120">
        <f>COUNTIF(U418:AY418,"A")</f>
      </c>
      <c r="BA418" s="121">
        <f>COUNTIF(U418:AY418,"F")</f>
      </c>
      <c r="BB418" s="119">
        <f>COUNTIF(U418:AY418,"E")</f>
      </c>
    </row>
    <row r="419" spans="1:54" x14ac:dyDescent="0.2">
      <c r="A419" s="84"/>
      <c r="B419" s="85"/>
      <c r="C419" s="85"/>
      <c r="D419" s="85"/>
      <c r="E419" s="86"/>
      <c r="F419" s="16">
        <f>IF(E419="","",DATEDIF(E419,$I$7,"Y"))</f>
      </c>
      <c r="G419" s="85"/>
      <c r="H419" s="85"/>
      <c r="I419" s="87"/>
      <c r="J419" s="85"/>
      <c r="K419" s="85"/>
      <c r="L419" s="10"/>
      <c r="M419" s="10"/>
      <c r="N419" s="10"/>
      <c r="O419" s="10"/>
      <c r="P419" s="85"/>
      <c r="Q419" s="88"/>
      <c r="R419" s="3">
        <f>IFERROR(VLOOKUP(TablaMayo[[#This Row],[BARRIO]],SECTOR!$A:$B,2,0),"")</f>
      </c>
      <c r="S419" s="89"/>
      <c r="T419" s="90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6"/>
      <c r="AZ419" s="120">
        <f>COUNTIF(U419:AY419,"A")</f>
      </c>
      <c r="BA419" s="121">
        <f>COUNTIF(U419:AY419,"F")</f>
      </c>
      <c r="BB419" s="119">
        <f>COUNTIF(U419:AY419,"E")</f>
      </c>
    </row>
    <row r="420" spans="1:54" x14ac:dyDescent="0.2">
      <c r="A420" s="84"/>
      <c r="B420" s="85"/>
      <c r="C420" s="85"/>
      <c r="D420" s="85"/>
      <c r="E420" s="86"/>
      <c r="F420" s="16">
        <f>IF(E420="","",DATEDIF(E420,$I$7,"Y"))</f>
      </c>
      <c r="G420" s="85"/>
      <c r="H420" s="85"/>
      <c r="I420" s="87"/>
      <c r="J420" s="85"/>
      <c r="K420" s="85"/>
      <c r="L420" s="10"/>
      <c r="M420" s="10"/>
      <c r="N420" s="10"/>
      <c r="O420" s="10"/>
      <c r="P420" s="85"/>
      <c r="Q420" s="88"/>
      <c r="R420" s="3">
        <f>IFERROR(VLOOKUP(TablaMayo[[#This Row],[BARRIO]],SECTOR!$A:$B,2,0),"")</f>
      </c>
      <c r="S420" s="89"/>
      <c r="T420" s="90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6"/>
      <c r="AZ420" s="120">
        <f>COUNTIF(U420:AY420,"A")</f>
      </c>
      <c r="BA420" s="121">
        <f>COUNTIF(U420:AY420,"F")</f>
      </c>
      <c r="BB420" s="119">
        <f>COUNTIF(U420:AY420,"E")</f>
      </c>
    </row>
    <row r="421" spans="1:54" x14ac:dyDescent="0.2">
      <c r="A421" s="84"/>
      <c r="B421" s="85"/>
      <c r="C421" s="85"/>
      <c r="D421" s="85"/>
      <c r="E421" s="86"/>
      <c r="F421" s="16">
        <f>IF(E421="","",DATEDIF(E421,$I$7,"Y"))</f>
      </c>
      <c r="G421" s="85"/>
      <c r="H421" s="85"/>
      <c r="I421" s="87"/>
      <c r="J421" s="85"/>
      <c r="K421" s="85"/>
      <c r="L421" s="10"/>
      <c r="M421" s="10"/>
      <c r="N421" s="10"/>
      <c r="O421" s="10"/>
      <c r="P421" s="85"/>
      <c r="Q421" s="88"/>
      <c r="R421" s="3">
        <f>IFERROR(VLOOKUP(TablaMayo[[#This Row],[BARRIO]],SECTOR!$A:$B,2,0),"")</f>
      </c>
      <c r="S421" s="89"/>
      <c r="T421" s="90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6"/>
      <c r="AZ421" s="120">
        <f>COUNTIF(U421:AY421,"A")</f>
      </c>
      <c r="BA421" s="121">
        <f>COUNTIF(U421:AY421,"F")</f>
      </c>
      <c r="BB421" s="119">
        <f>COUNTIF(U421:AY421,"E")</f>
      </c>
    </row>
    <row r="422" spans="1:54" x14ac:dyDescent="0.2">
      <c r="A422" s="84"/>
      <c r="B422" s="85"/>
      <c r="C422" s="85"/>
      <c r="D422" s="85"/>
      <c r="E422" s="86"/>
      <c r="F422" s="16">
        <f>IF(E422="","",DATEDIF(E422,$I$7,"Y"))</f>
      </c>
      <c r="G422" s="85"/>
      <c r="H422" s="85"/>
      <c r="I422" s="87"/>
      <c r="J422" s="85"/>
      <c r="K422" s="85"/>
      <c r="L422" s="10"/>
      <c r="M422" s="10"/>
      <c r="N422" s="10"/>
      <c r="O422" s="10"/>
      <c r="P422" s="85"/>
      <c r="Q422" s="88"/>
      <c r="R422" s="3">
        <f>IFERROR(VLOOKUP(TablaMayo[[#This Row],[BARRIO]],SECTOR!$A:$B,2,0),"")</f>
      </c>
      <c r="S422" s="89"/>
      <c r="T422" s="90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6"/>
      <c r="AZ422" s="120">
        <f>COUNTIF(U422:AY422,"A")</f>
      </c>
      <c r="BA422" s="121">
        <f>COUNTIF(U422:AY422,"F")</f>
      </c>
      <c r="BB422" s="119">
        <f>COUNTIF(U422:AY422,"E")</f>
      </c>
    </row>
    <row r="423" spans="1:54" x14ac:dyDescent="0.2">
      <c r="A423" s="84"/>
      <c r="B423" s="85"/>
      <c r="C423" s="85"/>
      <c r="D423" s="85"/>
      <c r="E423" s="86"/>
      <c r="F423" s="16">
        <f>IF(E423="","",DATEDIF(E423,$I$7,"Y"))</f>
      </c>
      <c r="G423" s="85"/>
      <c r="H423" s="85"/>
      <c r="I423" s="87"/>
      <c r="J423" s="85"/>
      <c r="K423" s="85"/>
      <c r="L423" s="10"/>
      <c r="M423" s="10"/>
      <c r="N423" s="10"/>
      <c r="O423" s="10"/>
      <c r="P423" s="85"/>
      <c r="Q423" s="88"/>
      <c r="R423" s="3">
        <f>IFERROR(VLOOKUP(TablaMayo[[#This Row],[BARRIO]],SECTOR!$A:$B,2,0),"")</f>
      </c>
      <c r="S423" s="89"/>
      <c r="T423" s="90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6"/>
      <c r="AZ423" s="120">
        <f>COUNTIF(U423:AY423,"A")</f>
      </c>
      <c r="BA423" s="121">
        <f>COUNTIF(U423:AY423,"F")</f>
      </c>
      <c r="BB423" s="119">
        <f>COUNTIF(U423:AY423,"E")</f>
      </c>
    </row>
    <row r="424" spans="1:54" x14ac:dyDescent="0.2">
      <c r="A424" s="84"/>
      <c r="B424" s="85"/>
      <c r="C424" s="85"/>
      <c r="D424" s="85"/>
      <c r="E424" s="86"/>
      <c r="F424" s="16">
        <f>IF(E424="","",DATEDIF(E424,$I$7,"Y"))</f>
      </c>
      <c r="G424" s="85"/>
      <c r="H424" s="85"/>
      <c r="I424" s="87"/>
      <c r="J424" s="85"/>
      <c r="K424" s="85"/>
      <c r="L424" s="10"/>
      <c r="M424" s="10"/>
      <c r="N424" s="10"/>
      <c r="O424" s="10"/>
      <c r="P424" s="85"/>
      <c r="Q424" s="88"/>
      <c r="R424" s="3">
        <f>IFERROR(VLOOKUP(TablaMayo[[#This Row],[BARRIO]],SECTOR!$A:$B,2,0),"")</f>
      </c>
      <c r="S424" s="89"/>
      <c r="T424" s="90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6"/>
      <c r="AZ424" s="120">
        <f>COUNTIF(U424:AY424,"A")</f>
      </c>
      <c r="BA424" s="121">
        <f>COUNTIF(U424:AY424,"F")</f>
      </c>
      <c r="BB424" s="119">
        <f>COUNTIF(U424:AY424,"E")</f>
      </c>
    </row>
    <row r="425" spans="1:54" x14ac:dyDescent="0.2">
      <c r="A425" s="84"/>
      <c r="B425" s="85"/>
      <c r="C425" s="85"/>
      <c r="D425" s="85"/>
      <c r="E425" s="86"/>
      <c r="F425" s="16">
        <f>IF(E425="","",DATEDIF(E425,$I$7,"Y"))</f>
      </c>
      <c r="G425" s="85"/>
      <c r="H425" s="85"/>
      <c r="I425" s="87"/>
      <c r="J425" s="85"/>
      <c r="K425" s="85"/>
      <c r="L425" s="10"/>
      <c r="M425" s="10"/>
      <c r="N425" s="10"/>
      <c r="O425" s="10"/>
      <c r="P425" s="85"/>
      <c r="Q425" s="88"/>
      <c r="R425" s="3">
        <f>IFERROR(VLOOKUP(TablaMayo[[#This Row],[BARRIO]],SECTOR!$A:$B,2,0),"")</f>
      </c>
      <c r="S425" s="89"/>
      <c r="T425" s="90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6"/>
      <c r="AZ425" s="120">
        <f>COUNTIF(U425:AY425,"A")</f>
      </c>
      <c r="BA425" s="121">
        <f>COUNTIF(U425:AY425,"F")</f>
      </c>
      <c r="BB425" s="119">
        <f>COUNTIF(U425:AY425,"E")</f>
      </c>
    </row>
    <row r="426" spans="1:54" x14ac:dyDescent="0.2">
      <c r="A426" s="84"/>
      <c r="B426" s="85"/>
      <c r="C426" s="85"/>
      <c r="D426" s="85"/>
      <c r="E426" s="86"/>
      <c r="F426" s="16">
        <f>IF(E426="","",DATEDIF(E426,$I$7,"Y"))</f>
      </c>
      <c r="G426" s="85"/>
      <c r="H426" s="85"/>
      <c r="I426" s="87"/>
      <c r="J426" s="85"/>
      <c r="K426" s="85"/>
      <c r="L426" s="10"/>
      <c r="M426" s="10"/>
      <c r="N426" s="10"/>
      <c r="O426" s="10"/>
      <c r="P426" s="85"/>
      <c r="Q426" s="88"/>
      <c r="R426" s="3">
        <f>IFERROR(VLOOKUP(TablaMayo[[#This Row],[BARRIO]],SECTOR!$A:$B,2,0),"")</f>
      </c>
      <c r="S426" s="89"/>
      <c r="T426" s="90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6"/>
      <c r="AZ426" s="120">
        <f>COUNTIF(U426:AY426,"A")</f>
      </c>
      <c r="BA426" s="121">
        <f>COUNTIF(U426:AY426,"F")</f>
      </c>
      <c r="BB426" s="119">
        <f>COUNTIF(U426:AY426,"E")</f>
      </c>
    </row>
    <row r="427" spans="1:54" x14ac:dyDescent="0.2">
      <c r="A427" s="84"/>
      <c r="B427" s="85"/>
      <c r="C427" s="85"/>
      <c r="D427" s="85"/>
      <c r="E427" s="86"/>
      <c r="F427" s="16">
        <f>IF(E427="","",DATEDIF(E427,$I$7,"Y"))</f>
      </c>
      <c r="G427" s="85"/>
      <c r="H427" s="85"/>
      <c r="I427" s="87"/>
      <c r="J427" s="85"/>
      <c r="K427" s="85"/>
      <c r="L427" s="10"/>
      <c r="M427" s="10"/>
      <c r="N427" s="10"/>
      <c r="O427" s="10"/>
      <c r="P427" s="85"/>
      <c r="Q427" s="88"/>
      <c r="R427" s="3">
        <f>IFERROR(VLOOKUP(TablaMayo[[#This Row],[BARRIO]],SECTOR!$A:$B,2,0),"")</f>
      </c>
      <c r="S427" s="89"/>
      <c r="T427" s="90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6"/>
      <c r="AZ427" s="120">
        <f>COUNTIF(U427:AY427,"A")</f>
      </c>
      <c r="BA427" s="121">
        <f>COUNTIF(U427:AY427,"F")</f>
      </c>
      <c r="BB427" s="119">
        <f>COUNTIF(U427:AY427,"E")</f>
      </c>
    </row>
    <row r="428" spans="1:54" x14ac:dyDescent="0.2">
      <c r="A428" s="84"/>
      <c r="B428" s="85"/>
      <c r="C428" s="85"/>
      <c r="D428" s="85"/>
      <c r="E428" s="86"/>
      <c r="F428" s="16">
        <f>IF(E428="","",DATEDIF(E428,$I$7,"Y"))</f>
      </c>
      <c r="G428" s="85"/>
      <c r="H428" s="85"/>
      <c r="I428" s="87"/>
      <c r="J428" s="85"/>
      <c r="K428" s="85"/>
      <c r="L428" s="10"/>
      <c r="M428" s="10"/>
      <c r="N428" s="10"/>
      <c r="O428" s="10"/>
      <c r="P428" s="85"/>
      <c r="Q428" s="88"/>
      <c r="R428" s="3">
        <f>IFERROR(VLOOKUP(TablaMayo[[#This Row],[BARRIO]],SECTOR!$A:$B,2,0),"")</f>
      </c>
      <c r="S428" s="89"/>
      <c r="T428" s="90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6"/>
      <c r="AZ428" s="120">
        <f>COUNTIF(U428:AY428,"A")</f>
      </c>
      <c r="BA428" s="121">
        <f>COUNTIF(U428:AY428,"F")</f>
      </c>
      <c r="BB428" s="119">
        <f>COUNTIF(U428:AY428,"E")</f>
      </c>
    </row>
    <row r="429" spans="1:54" x14ac:dyDescent="0.2">
      <c r="A429" s="84"/>
      <c r="B429" s="85"/>
      <c r="C429" s="85"/>
      <c r="D429" s="85"/>
      <c r="E429" s="86"/>
      <c r="F429" s="16">
        <f>IF(E429="","",DATEDIF(E429,$I$7,"Y"))</f>
      </c>
      <c r="G429" s="85"/>
      <c r="H429" s="85"/>
      <c r="I429" s="87"/>
      <c r="J429" s="85"/>
      <c r="K429" s="85"/>
      <c r="L429" s="10"/>
      <c r="M429" s="10"/>
      <c r="N429" s="10"/>
      <c r="O429" s="10"/>
      <c r="P429" s="85"/>
      <c r="Q429" s="88"/>
      <c r="R429" s="3">
        <f>IFERROR(VLOOKUP(TablaMayo[[#This Row],[BARRIO]],SECTOR!$A:$B,2,0),"")</f>
      </c>
      <c r="S429" s="89"/>
      <c r="T429" s="90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6"/>
      <c r="AZ429" s="120">
        <f>COUNTIF(U429:AY429,"A")</f>
      </c>
      <c r="BA429" s="121">
        <f>COUNTIF(U429:AY429,"F")</f>
      </c>
      <c r="BB429" s="119">
        <f>COUNTIF(U429:AY429,"E")</f>
      </c>
    </row>
    <row r="430" spans="1:54" x14ac:dyDescent="0.2">
      <c r="A430" s="84"/>
      <c r="B430" s="85"/>
      <c r="C430" s="85"/>
      <c r="D430" s="85"/>
      <c r="E430" s="86"/>
      <c r="F430" s="16">
        <f>IF(E430="","",DATEDIF(E430,$I$7,"Y"))</f>
      </c>
      <c r="G430" s="85"/>
      <c r="H430" s="85"/>
      <c r="I430" s="87"/>
      <c r="J430" s="85"/>
      <c r="K430" s="85"/>
      <c r="L430" s="10"/>
      <c r="M430" s="10"/>
      <c r="N430" s="10"/>
      <c r="O430" s="10"/>
      <c r="P430" s="85"/>
      <c r="Q430" s="88"/>
      <c r="R430" s="3">
        <f>IFERROR(VLOOKUP(TablaMayo[[#This Row],[BARRIO]],SECTOR!$A:$B,2,0),"")</f>
      </c>
      <c r="S430" s="89"/>
      <c r="T430" s="90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6"/>
      <c r="AZ430" s="120">
        <f>COUNTIF(U430:AY430,"A")</f>
      </c>
      <c r="BA430" s="121">
        <f>COUNTIF(U430:AY430,"F")</f>
      </c>
      <c r="BB430" s="119">
        <f>COUNTIF(U430:AY430,"E")</f>
      </c>
    </row>
    <row r="431" spans="1:54" x14ac:dyDescent="0.2">
      <c r="A431" s="84"/>
      <c r="B431" s="85"/>
      <c r="C431" s="85"/>
      <c r="D431" s="85"/>
      <c r="E431" s="86"/>
      <c r="F431" s="16">
        <f>IF(E431="","",DATEDIF(E431,$I$7,"Y"))</f>
      </c>
      <c r="G431" s="85"/>
      <c r="H431" s="85"/>
      <c r="I431" s="87"/>
      <c r="J431" s="85"/>
      <c r="K431" s="85"/>
      <c r="L431" s="10"/>
      <c r="M431" s="10"/>
      <c r="N431" s="10"/>
      <c r="O431" s="10"/>
      <c r="P431" s="85"/>
      <c r="Q431" s="88"/>
      <c r="R431" s="3">
        <f>IFERROR(VLOOKUP(TablaMayo[[#This Row],[BARRIO]],SECTOR!$A:$B,2,0),"")</f>
      </c>
      <c r="S431" s="89"/>
      <c r="T431" s="90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6"/>
      <c r="AZ431" s="120">
        <f>COUNTIF(U431:AY431,"A")</f>
      </c>
      <c r="BA431" s="121">
        <f>COUNTIF(U431:AY431,"F")</f>
      </c>
      <c r="BB431" s="119">
        <f>COUNTIF(U431:AY431,"E")</f>
      </c>
    </row>
    <row r="432" spans="1:54" x14ac:dyDescent="0.2">
      <c r="A432" s="84"/>
      <c r="B432" s="85"/>
      <c r="C432" s="85"/>
      <c r="D432" s="85"/>
      <c r="E432" s="86"/>
      <c r="F432" s="16">
        <f>IF(E432="","",DATEDIF(E432,$I$7,"Y"))</f>
      </c>
      <c r="G432" s="85"/>
      <c r="H432" s="85"/>
      <c r="I432" s="87"/>
      <c r="J432" s="85"/>
      <c r="K432" s="85"/>
      <c r="L432" s="10"/>
      <c r="M432" s="10"/>
      <c r="N432" s="10"/>
      <c r="O432" s="10"/>
      <c r="P432" s="85"/>
      <c r="Q432" s="88"/>
      <c r="R432" s="3">
        <f>IFERROR(VLOOKUP(TablaMayo[[#This Row],[BARRIO]],SECTOR!$A:$B,2,0),"")</f>
      </c>
      <c r="S432" s="89"/>
      <c r="T432" s="90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6"/>
      <c r="AZ432" s="120">
        <f>COUNTIF(U432:AY432,"A")</f>
      </c>
      <c r="BA432" s="121">
        <f>COUNTIF(U432:AY432,"F")</f>
      </c>
      <c r="BB432" s="119">
        <f>COUNTIF(U432:AY432,"E")</f>
      </c>
    </row>
    <row r="433" spans="1:54" x14ac:dyDescent="0.2">
      <c r="A433" s="84"/>
      <c r="B433" s="85"/>
      <c r="C433" s="85"/>
      <c r="D433" s="85"/>
      <c r="E433" s="86"/>
      <c r="F433" s="16">
        <f>IF(E433="","",DATEDIF(E433,$I$7,"Y"))</f>
      </c>
      <c r="G433" s="85"/>
      <c r="H433" s="85"/>
      <c r="I433" s="87"/>
      <c r="J433" s="85"/>
      <c r="K433" s="85"/>
      <c r="L433" s="10"/>
      <c r="M433" s="10"/>
      <c r="N433" s="10"/>
      <c r="O433" s="10"/>
      <c r="P433" s="85"/>
      <c r="Q433" s="88"/>
      <c r="R433" s="3">
        <f>IFERROR(VLOOKUP(TablaMayo[[#This Row],[BARRIO]],SECTOR!$A:$B,2,0),"")</f>
      </c>
      <c r="S433" s="89"/>
      <c r="T433" s="90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6"/>
      <c r="AZ433" s="120">
        <f>COUNTIF(U433:AY433,"A")</f>
      </c>
      <c r="BA433" s="121">
        <f>COUNTIF(U433:AY433,"F")</f>
      </c>
      <c r="BB433" s="119">
        <f>COUNTIF(U433:AY433,"E")</f>
      </c>
    </row>
    <row r="434" spans="1:54" x14ac:dyDescent="0.2">
      <c r="A434" s="84"/>
      <c r="B434" s="85"/>
      <c r="C434" s="85"/>
      <c r="D434" s="85"/>
      <c r="E434" s="86"/>
      <c r="F434" s="16">
        <f>IF(E434="","",DATEDIF(E434,$I$7,"Y"))</f>
      </c>
      <c r="G434" s="85"/>
      <c r="H434" s="85"/>
      <c r="I434" s="87"/>
      <c r="J434" s="85"/>
      <c r="K434" s="85"/>
      <c r="L434" s="10"/>
      <c r="M434" s="10"/>
      <c r="N434" s="10"/>
      <c r="O434" s="10"/>
      <c r="P434" s="85"/>
      <c r="Q434" s="88"/>
      <c r="R434" s="3">
        <f>IFERROR(VLOOKUP(TablaMayo[[#This Row],[BARRIO]],SECTOR!$A:$B,2,0),"")</f>
      </c>
      <c r="S434" s="89"/>
      <c r="T434" s="90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6"/>
      <c r="AZ434" s="120">
        <f>COUNTIF(U434:AY434,"A")</f>
      </c>
      <c r="BA434" s="121">
        <f>COUNTIF(U434:AY434,"F")</f>
      </c>
      <c r="BB434" s="119">
        <f>COUNTIF(U434:AY434,"E")</f>
      </c>
    </row>
    <row r="435" spans="1:54" x14ac:dyDescent="0.2">
      <c r="A435" s="84"/>
      <c r="B435" s="85"/>
      <c r="C435" s="85"/>
      <c r="D435" s="85"/>
      <c r="E435" s="86"/>
      <c r="F435" s="16">
        <f>IF(E435="","",DATEDIF(E435,$I$7,"Y"))</f>
      </c>
      <c r="G435" s="85"/>
      <c r="H435" s="85"/>
      <c r="I435" s="87"/>
      <c r="J435" s="85"/>
      <c r="K435" s="85"/>
      <c r="L435" s="10"/>
      <c r="M435" s="10"/>
      <c r="N435" s="10"/>
      <c r="O435" s="10"/>
      <c r="P435" s="85"/>
      <c r="Q435" s="88"/>
      <c r="R435" s="3">
        <f>IFERROR(VLOOKUP(TablaMayo[[#This Row],[BARRIO]],SECTOR!$A:$B,2,0),"")</f>
      </c>
      <c r="S435" s="89"/>
      <c r="T435" s="90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6"/>
      <c r="AZ435" s="120">
        <f>COUNTIF(U435:AY435,"A")</f>
      </c>
      <c r="BA435" s="121">
        <f>COUNTIF(U435:AY435,"F")</f>
      </c>
      <c r="BB435" s="119">
        <f>COUNTIF(U435:AY435,"E")</f>
      </c>
    </row>
    <row r="436" spans="1:54" x14ac:dyDescent="0.2">
      <c r="A436" s="84"/>
      <c r="B436" s="85"/>
      <c r="C436" s="85"/>
      <c r="D436" s="85"/>
      <c r="E436" s="86"/>
      <c r="F436" s="16">
        <f>IF(E436="","",DATEDIF(E436,$I$7,"Y"))</f>
      </c>
      <c r="G436" s="85"/>
      <c r="H436" s="85"/>
      <c r="I436" s="87"/>
      <c r="J436" s="85"/>
      <c r="K436" s="85"/>
      <c r="L436" s="10"/>
      <c r="M436" s="10"/>
      <c r="N436" s="10"/>
      <c r="O436" s="10"/>
      <c r="P436" s="85"/>
      <c r="Q436" s="88"/>
      <c r="R436" s="3">
        <f>IFERROR(VLOOKUP(TablaMayo[[#This Row],[BARRIO]],SECTOR!$A:$B,2,0),"")</f>
      </c>
      <c r="S436" s="89"/>
      <c r="T436" s="90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6"/>
      <c r="AZ436" s="120">
        <f>COUNTIF(U436:AY436,"A")</f>
      </c>
      <c r="BA436" s="121">
        <f>COUNTIF(U436:AY436,"F")</f>
      </c>
      <c r="BB436" s="119">
        <f>COUNTIF(U436:AY436,"E")</f>
      </c>
    </row>
    <row r="437" spans="1:54" x14ac:dyDescent="0.2">
      <c r="A437" s="84"/>
      <c r="B437" s="85"/>
      <c r="C437" s="85"/>
      <c r="D437" s="85"/>
      <c r="E437" s="86"/>
      <c r="F437" s="16">
        <f>IF(E437="","",DATEDIF(E437,$I$7,"Y"))</f>
      </c>
      <c r="G437" s="85"/>
      <c r="H437" s="85"/>
      <c r="I437" s="87"/>
      <c r="J437" s="85"/>
      <c r="K437" s="85"/>
      <c r="L437" s="10"/>
      <c r="M437" s="10"/>
      <c r="N437" s="10"/>
      <c r="O437" s="10"/>
      <c r="P437" s="85"/>
      <c r="Q437" s="88"/>
      <c r="R437" s="3">
        <f>IFERROR(VLOOKUP(TablaMayo[[#This Row],[BARRIO]],SECTOR!$A:$B,2,0),"")</f>
      </c>
      <c r="S437" s="89"/>
      <c r="T437" s="90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6"/>
      <c r="AZ437" s="120">
        <f>COUNTIF(U437:AY437,"A")</f>
      </c>
      <c r="BA437" s="121">
        <f>COUNTIF(U437:AY437,"F")</f>
      </c>
      <c r="BB437" s="119">
        <f>COUNTIF(U437:AY437,"E")</f>
      </c>
    </row>
    <row r="438" spans="1:54" x14ac:dyDescent="0.2">
      <c r="A438" s="84"/>
      <c r="B438" s="85"/>
      <c r="C438" s="85"/>
      <c r="D438" s="85"/>
      <c r="E438" s="86"/>
      <c r="F438" s="16">
        <f>IF(E438="","",DATEDIF(E438,$I$7,"Y"))</f>
      </c>
      <c r="G438" s="85"/>
      <c r="H438" s="85"/>
      <c r="I438" s="87"/>
      <c r="J438" s="85"/>
      <c r="K438" s="85"/>
      <c r="L438" s="10"/>
      <c r="M438" s="10"/>
      <c r="N438" s="10"/>
      <c r="O438" s="10"/>
      <c r="P438" s="85"/>
      <c r="Q438" s="88"/>
      <c r="R438" s="3">
        <f>IFERROR(VLOOKUP(TablaMayo[[#This Row],[BARRIO]],SECTOR!$A:$B,2,0),"")</f>
      </c>
      <c r="S438" s="89"/>
      <c r="T438" s="90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6"/>
      <c r="AZ438" s="120">
        <f>COUNTIF(U438:AY438,"A")</f>
      </c>
      <c r="BA438" s="121">
        <f>COUNTIF(U438:AY438,"F")</f>
      </c>
      <c r="BB438" s="119">
        <f>COUNTIF(U438:AY438,"E")</f>
      </c>
    </row>
    <row r="439" spans="1:54" x14ac:dyDescent="0.2">
      <c r="A439" s="84"/>
      <c r="B439" s="85"/>
      <c r="C439" s="85"/>
      <c r="D439" s="85"/>
      <c r="E439" s="86"/>
      <c r="F439" s="16">
        <f>IF(E439="","",DATEDIF(E439,$I$7,"Y"))</f>
      </c>
      <c r="G439" s="85"/>
      <c r="H439" s="85"/>
      <c r="I439" s="87"/>
      <c r="J439" s="85"/>
      <c r="K439" s="85"/>
      <c r="L439" s="10"/>
      <c r="M439" s="10"/>
      <c r="N439" s="10"/>
      <c r="O439" s="10"/>
      <c r="P439" s="85"/>
      <c r="Q439" s="88"/>
      <c r="R439" s="3">
        <f>IFERROR(VLOOKUP(TablaMayo[[#This Row],[BARRIO]],SECTOR!$A:$B,2,0),"")</f>
      </c>
      <c r="S439" s="89"/>
      <c r="T439" s="90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6"/>
      <c r="AZ439" s="120">
        <f>COUNTIF(U439:AY439,"A")</f>
      </c>
      <c r="BA439" s="121">
        <f>COUNTIF(U439:AY439,"F")</f>
      </c>
      <c r="BB439" s="119">
        <f>COUNTIF(U439:AY439,"E")</f>
      </c>
    </row>
    <row r="440" spans="1:54" x14ac:dyDescent="0.2">
      <c r="A440" s="84"/>
      <c r="B440" s="85"/>
      <c r="C440" s="85"/>
      <c r="D440" s="85"/>
      <c r="E440" s="86"/>
      <c r="F440" s="16">
        <f>IF(E440="","",DATEDIF(E440,$I$7,"Y"))</f>
      </c>
      <c r="G440" s="85"/>
      <c r="H440" s="85"/>
      <c r="I440" s="87"/>
      <c r="J440" s="85"/>
      <c r="K440" s="85"/>
      <c r="L440" s="10"/>
      <c r="M440" s="10"/>
      <c r="N440" s="10"/>
      <c r="O440" s="10"/>
      <c r="P440" s="85"/>
      <c r="Q440" s="88"/>
      <c r="R440" s="3">
        <f>IFERROR(VLOOKUP(TablaMayo[[#This Row],[BARRIO]],SECTOR!$A:$B,2,0),"")</f>
      </c>
      <c r="S440" s="89"/>
      <c r="T440" s="90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6"/>
      <c r="AZ440" s="120">
        <f>COUNTIF(U440:AY440,"A")</f>
      </c>
      <c r="BA440" s="121">
        <f>COUNTIF(U440:AY440,"F")</f>
      </c>
      <c r="BB440" s="119">
        <f>COUNTIF(U440:AY440,"E")</f>
      </c>
    </row>
    <row r="441" spans="1:54" x14ac:dyDescent="0.2">
      <c r="A441" s="84"/>
      <c r="B441" s="85"/>
      <c r="C441" s="85"/>
      <c r="D441" s="85"/>
      <c r="E441" s="86"/>
      <c r="F441" s="16">
        <f>IF(E441="","",DATEDIF(E441,$I$7,"Y"))</f>
      </c>
      <c r="G441" s="85"/>
      <c r="H441" s="85"/>
      <c r="I441" s="87"/>
      <c r="J441" s="85"/>
      <c r="K441" s="85"/>
      <c r="L441" s="10"/>
      <c r="M441" s="10"/>
      <c r="N441" s="10"/>
      <c r="O441" s="10"/>
      <c r="P441" s="85"/>
      <c r="Q441" s="88"/>
      <c r="R441" s="3">
        <f>IFERROR(VLOOKUP(TablaMayo[[#This Row],[BARRIO]],SECTOR!$A:$B,2,0),"")</f>
      </c>
      <c r="S441" s="89"/>
      <c r="T441" s="90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6"/>
      <c r="AZ441" s="120">
        <f>COUNTIF(U441:AY441,"A")</f>
      </c>
      <c r="BA441" s="121">
        <f>COUNTIF(U441:AY441,"F")</f>
      </c>
      <c r="BB441" s="119">
        <f>COUNTIF(U441:AY441,"E")</f>
      </c>
    </row>
    <row r="442" spans="1:54" x14ac:dyDescent="0.2">
      <c r="A442" s="84"/>
      <c r="B442" s="85"/>
      <c r="C442" s="85"/>
      <c r="D442" s="85"/>
      <c r="E442" s="86"/>
      <c r="F442" s="16">
        <f>IF(E442="","",DATEDIF(E442,$I$7,"Y"))</f>
      </c>
      <c r="G442" s="85"/>
      <c r="H442" s="85"/>
      <c r="I442" s="87"/>
      <c r="J442" s="85"/>
      <c r="K442" s="85"/>
      <c r="L442" s="10"/>
      <c r="M442" s="10"/>
      <c r="N442" s="10"/>
      <c r="O442" s="10"/>
      <c r="P442" s="85"/>
      <c r="Q442" s="88"/>
      <c r="R442" s="3">
        <f>IFERROR(VLOOKUP(TablaMayo[[#This Row],[BARRIO]],SECTOR!$A:$B,2,0),"")</f>
      </c>
      <c r="S442" s="89"/>
      <c r="T442" s="90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6"/>
      <c r="AZ442" s="120">
        <f>COUNTIF(U442:AY442,"A")</f>
      </c>
      <c r="BA442" s="121">
        <f>COUNTIF(U442:AY442,"F")</f>
      </c>
      <c r="BB442" s="119">
        <f>COUNTIF(U442:AY442,"E")</f>
      </c>
    </row>
    <row r="443" spans="1:54" x14ac:dyDescent="0.2">
      <c r="A443" s="84"/>
      <c r="B443" s="85"/>
      <c r="C443" s="85"/>
      <c r="D443" s="85"/>
      <c r="E443" s="86"/>
      <c r="F443" s="16">
        <f>IF(E443="","",DATEDIF(E443,$I$7,"Y"))</f>
      </c>
      <c r="G443" s="85"/>
      <c r="H443" s="85"/>
      <c r="I443" s="87"/>
      <c r="J443" s="85"/>
      <c r="K443" s="85"/>
      <c r="L443" s="10"/>
      <c r="M443" s="10"/>
      <c r="N443" s="10"/>
      <c r="O443" s="10"/>
      <c r="P443" s="85"/>
      <c r="Q443" s="88"/>
      <c r="R443" s="3">
        <f>IFERROR(VLOOKUP(TablaMayo[[#This Row],[BARRIO]],SECTOR!$A:$B,2,0),"")</f>
      </c>
      <c r="S443" s="89"/>
      <c r="T443" s="90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6"/>
      <c r="AZ443" s="120">
        <f>COUNTIF(U443:AY443,"A")</f>
      </c>
      <c r="BA443" s="121">
        <f>COUNTIF(U443:AY443,"F")</f>
      </c>
      <c r="BB443" s="119">
        <f>COUNTIF(U443:AY443,"E")</f>
      </c>
    </row>
    <row r="444" spans="1:54" x14ac:dyDescent="0.2">
      <c r="A444" s="84"/>
      <c r="B444" s="85"/>
      <c r="C444" s="85"/>
      <c r="D444" s="85"/>
      <c r="E444" s="86"/>
      <c r="F444" s="16">
        <f>IF(E444="","",DATEDIF(E444,$I$7,"Y"))</f>
      </c>
      <c r="G444" s="85"/>
      <c r="H444" s="85"/>
      <c r="I444" s="87"/>
      <c r="J444" s="85"/>
      <c r="K444" s="85"/>
      <c r="L444" s="10"/>
      <c r="M444" s="10"/>
      <c r="N444" s="10"/>
      <c r="O444" s="10"/>
      <c r="P444" s="85"/>
      <c r="Q444" s="88"/>
      <c r="R444" s="3">
        <f>IFERROR(VLOOKUP(TablaMayo[[#This Row],[BARRIO]],SECTOR!$A:$B,2,0),"")</f>
      </c>
      <c r="S444" s="89"/>
      <c r="T444" s="90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6"/>
      <c r="AZ444" s="120">
        <f>COUNTIF(U444:AY444,"A")</f>
      </c>
      <c r="BA444" s="121">
        <f>COUNTIF(U444:AY444,"F")</f>
      </c>
      <c r="BB444" s="119">
        <f>COUNTIF(U444:AY444,"E")</f>
      </c>
    </row>
    <row r="445" spans="1:54" x14ac:dyDescent="0.2">
      <c r="A445" s="84"/>
      <c r="B445" s="85"/>
      <c r="C445" s="85"/>
      <c r="D445" s="85"/>
      <c r="E445" s="86"/>
      <c r="F445" s="16">
        <f>IF(E445="","",DATEDIF(E445,$I$7,"Y"))</f>
      </c>
      <c r="G445" s="85"/>
      <c r="H445" s="85"/>
      <c r="I445" s="87"/>
      <c r="J445" s="85"/>
      <c r="K445" s="85"/>
      <c r="L445" s="10"/>
      <c r="M445" s="10"/>
      <c r="N445" s="10"/>
      <c r="O445" s="10"/>
      <c r="P445" s="85"/>
      <c r="Q445" s="88"/>
      <c r="R445" s="3">
        <f>IFERROR(VLOOKUP(TablaMayo[[#This Row],[BARRIO]],SECTOR!$A:$B,2,0),"")</f>
      </c>
      <c r="S445" s="89"/>
      <c r="T445" s="90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6"/>
      <c r="AZ445" s="120">
        <f>COUNTIF(U445:AY445,"A")</f>
      </c>
      <c r="BA445" s="121">
        <f>COUNTIF(U445:AY445,"F")</f>
      </c>
      <c r="BB445" s="119">
        <f>COUNTIF(U445:AY445,"E")</f>
      </c>
    </row>
    <row r="446" spans="1:54" x14ac:dyDescent="0.2">
      <c r="A446" s="84"/>
      <c r="B446" s="85"/>
      <c r="C446" s="85"/>
      <c r="D446" s="85"/>
      <c r="E446" s="86"/>
      <c r="F446" s="16">
        <f>IF(E446="","",DATEDIF(E446,$I$7,"Y"))</f>
      </c>
      <c r="G446" s="85"/>
      <c r="H446" s="85"/>
      <c r="I446" s="87"/>
      <c r="J446" s="85"/>
      <c r="K446" s="85"/>
      <c r="L446" s="10"/>
      <c r="M446" s="10"/>
      <c r="N446" s="10"/>
      <c r="O446" s="10"/>
      <c r="P446" s="85"/>
      <c r="Q446" s="88"/>
      <c r="R446" s="3">
        <f>IFERROR(VLOOKUP(TablaMayo[[#This Row],[BARRIO]],SECTOR!$A:$B,2,0),"")</f>
      </c>
      <c r="S446" s="89"/>
      <c r="T446" s="90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6"/>
      <c r="AZ446" s="120">
        <f>COUNTIF(U446:AY446,"A")</f>
      </c>
      <c r="BA446" s="121">
        <f>COUNTIF(U446:AY446,"F")</f>
      </c>
      <c r="BB446" s="119">
        <f>COUNTIF(U446:AY446,"E")</f>
      </c>
    </row>
    <row r="447" spans="1:54" x14ac:dyDescent="0.2">
      <c r="A447" s="84"/>
      <c r="B447" s="85"/>
      <c r="C447" s="85"/>
      <c r="D447" s="85"/>
      <c r="E447" s="86"/>
      <c r="F447" s="16">
        <f>IF(E447="","",DATEDIF(E447,$I$7,"Y"))</f>
      </c>
      <c r="G447" s="85"/>
      <c r="H447" s="85"/>
      <c r="I447" s="87"/>
      <c r="J447" s="85"/>
      <c r="K447" s="85"/>
      <c r="L447" s="10"/>
      <c r="M447" s="10"/>
      <c r="N447" s="10"/>
      <c r="O447" s="10"/>
      <c r="P447" s="85"/>
      <c r="Q447" s="88"/>
      <c r="R447" s="3">
        <f>IFERROR(VLOOKUP(TablaMayo[[#This Row],[BARRIO]],SECTOR!$A:$B,2,0),"")</f>
      </c>
      <c r="S447" s="89"/>
      <c r="T447" s="90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6"/>
      <c r="AZ447" s="120">
        <f>COUNTIF(U447:AY447,"A")</f>
      </c>
      <c r="BA447" s="121">
        <f>COUNTIF(U447:AY447,"F")</f>
      </c>
      <c r="BB447" s="119">
        <f>COUNTIF(U447:AY447,"E")</f>
      </c>
    </row>
    <row r="448" spans="1:54" x14ac:dyDescent="0.2">
      <c r="A448" s="84"/>
      <c r="B448" s="85"/>
      <c r="C448" s="85"/>
      <c r="D448" s="85"/>
      <c r="E448" s="86"/>
      <c r="F448" s="16">
        <f>IF(E448="","",DATEDIF(E448,$I$7,"Y"))</f>
      </c>
      <c r="G448" s="85"/>
      <c r="H448" s="85"/>
      <c r="I448" s="87"/>
      <c r="J448" s="85"/>
      <c r="K448" s="85"/>
      <c r="L448" s="10"/>
      <c r="M448" s="10"/>
      <c r="N448" s="10"/>
      <c r="O448" s="10"/>
      <c r="P448" s="85"/>
      <c r="Q448" s="88"/>
      <c r="R448" s="3">
        <f>IFERROR(VLOOKUP(TablaMayo[[#This Row],[BARRIO]],SECTOR!$A:$B,2,0),"")</f>
      </c>
      <c r="S448" s="89"/>
      <c r="T448" s="90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6"/>
      <c r="AZ448" s="120">
        <f>COUNTIF(U448:AY448,"A")</f>
      </c>
      <c r="BA448" s="121">
        <f>COUNTIF(U448:AY448,"F")</f>
      </c>
      <c r="BB448" s="119">
        <f>COUNTIF(U448:AY448,"E")</f>
      </c>
    </row>
    <row r="449" spans="1:54" x14ac:dyDescent="0.2">
      <c r="A449" s="84"/>
      <c r="B449" s="85"/>
      <c r="C449" s="85"/>
      <c r="D449" s="85"/>
      <c r="E449" s="86"/>
      <c r="F449" s="16">
        <f>IF(E449="","",DATEDIF(E449,$I$7,"Y"))</f>
      </c>
      <c r="G449" s="85"/>
      <c r="H449" s="85"/>
      <c r="I449" s="87"/>
      <c r="J449" s="85"/>
      <c r="K449" s="85"/>
      <c r="L449" s="10"/>
      <c r="M449" s="10"/>
      <c r="N449" s="10"/>
      <c r="O449" s="10"/>
      <c r="P449" s="85"/>
      <c r="Q449" s="88"/>
      <c r="R449" s="3">
        <f>IFERROR(VLOOKUP(TablaMayo[[#This Row],[BARRIO]],SECTOR!$A:$B,2,0),"")</f>
      </c>
      <c r="S449" s="89"/>
      <c r="T449" s="90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6"/>
      <c r="AZ449" s="120">
        <f>COUNTIF(U449:AY449,"A")</f>
      </c>
      <c r="BA449" s="121">
        <f>COUNTIF(U449:AY449,"F")</f>
      </c>
      <c r="BB449" s="119">
        <f>COUNTIF(U449:AY449,"E")</f>
      </c>
    </row>
    <row r="450" spans="1:54" x14ac:dyDescent="0.2">
      <c r="A450" s="84"/>
      <c r="B450" s="85"/>
      <c r="C450" s="85"/>
      <c r="D450" s="85"/>
      <c r="E450" s="86"/>
      <c r="F450" s="16">
        <f>IF(E450="","",DATEDIF(E450,$I$7,"Y"))</f>
      </c>
      <c r="G450" s="85"/>
      <c r="H450" s="85"/>
      <c r="I450" s="87"/>
      <c r="J450" s="85"/>
      <c r="K450" s="85"/>
      <c r="L450" s="10"/>
      <c r="M450" s="10"/>
      <c r="N450" s="10"/>
      <c r="O450" s="10"/>
      <c r="P450" s="85"/>
      <c r="Q450" s="88"/>
      <c r="R450" s="3">
        <f>IFERROR(VLOOKUP(TablaMayo[[#This Row],[BARRIO]],SECTOR!$A:$B,2,0),"")</f>
      </c>
      <c r="S450" s="89"/>
      <c r="T450" s="90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6"/>
      <c r="AZ450" s="120">
        <f>COUNTIF(U450:AY450,"A")</f>
      </c>
      <c r="BA450" s="121">
        <f>COUNTIF(U450:AY450,"F")</f>
      </c>
      <c r="BB450" s="119">
        <f>COUNTIF(U450:AY450,"E")</f>
      </c>
    </row>
    <row r="451" spans="1:54" x14ac:dyDescent="0.2">
      <c r="A451" s="84"/>
      <c r="B451" s="85"/>
      <c r="C451" s="85"/>
      <c r="D451" s="85"/>
      <c r="E451" s="86"/>
      <c r="F451" s="16">
        <f>IF(E451="","",DATEDIF(E451,$I$7,"Y"))</f>
      </c>
      <c r="G451" s="85"/>
      <c r="H451" s="85"/>
      <c r="I451" s="87"/>
      <c r="J451" s="85"/>
      <c r="K451" s="85"/>
      <c r="L451" s="10"/>
      <c r="M451" s="10"/>
      <c r="N451" s="10"/>
      <c r="O451" s="10"/>
      <c r="P451" s="85"/>
      <c r="Q451" s="88"/>
      <c r="R451" s="3">
        <f>IFERROR(VLOOKUP(TablaMayo[[#This Row],[BARRIO]],SECTOR!$A:$B,2,0),"")</f>
      </c>
      <c r="S451" s="89"/>
      <c r="T451" s="90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6"/>
      <c r="AZ451" s="120">
        <f>COUNTIF(U451:AY451,"A")</f>
      </c>
      <c r="BA451" s="121">
        <f>COUNTIF(U451:AY451,"F")</f>
      </c>
      <c r="BB451" s="119">
        <f>COUNTIF(U451:AY451,"E")</f>
      </c>
    </row>
    <row r="452" spans="1:54" x14ac:dyDescent="0.2">
      <c r="A452" s="84"/>
      <c r="B452" s="85"/>
      <c r="C452" s="85"/>
      <c r="D452" s="85"/>
      <c r="E452" s="86"/>
      <c r="F452" s="16">
        <f>IF(E452="","",DATEDIF(E452,$I$7,"Y"))</f>
      </c>
      <c r="G452" s="85"/>
      <c r="H452" s="85"/>
      <c r="I452" s="87"/>
      <c r="J452" s="85"/>
      <c r="K452" s="85"/>
      <c r="L452" s="10"/>
      <c r="M452" s="10"/>
      <c r="N452" s="10"/>
      <c r="O452" s="10"/>
      <c r="P452" s="85"/>
      <c r="Q452" s="88"/>
      <c r="R452" s="3">
        <f>IFERROR(VLOOKUP(TablaMayo[[#This Row],[BARRIO]],SECTOR!$A:$B,2,0),"")</f>
      </c>
      <c r="S452" s="89"/>
      <c r="T452" s="90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6"/>
      <c r="AZ452" s="120">
        <f>COUNTIF(U452:AY452,"A")</f>
      </c>
      <c r="BA452" s="121">
        <f>COUNTIF(U452:AY452,"F")</f>
      </c>
      <c r="BB452" s="119">
        <f>COUNTIF(U452:AY452,"E")</f>
      </c>
    </row>
    <row r="453" spans="1:54" x14ac:dyDescent="0.2">
      <c r="A453" s="84"/>
      <c r="B453" s="85"/>
      <c r="C453" s="85"/>
      <c r="D453" s="85"/>
      <c r="E453" s="86"/>
      <c r="F453" s="16">
        <f>IF(E453="","",DATEDIF(E453,$I$7,"Y"))</f>
      </c>
      <c r="G453" s="85"/>
      <c r="H453" s="85"/>
      <c r="I453" s="87"/>
      <c r="J453" s="85"/>
      <c r="K453" s="85"/>
      <c r="L453" s="10"/>
      <c r="M453" s="10"/>
      <c r="N453" s="10"/>
      <c r="O453" s="10"/>
      <c r="P453" s="85"/>
      <c r="Q453" s="88"/>
      <c r="R453" s="3">
        <f>IFERROR(VLOOKUP(TablaMayo[[#This Row],[BARRIO]],SECTOR!$A:$B,2,0),"")</f>
      </c>
      <c r="S453" s="89"/>
      <c r="T453" s="90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6"/>
      <c r="AZ453" s="120">
        <f>COUNTIF(U453:AY453,"A")</f>
      </c>
      <c r="BA453" s="121">
        <f>COUNTIF(U453:AY453,"F")</f>
      </c>
      <c r="BB453" s="119">
        <f>COUNTIF(U453:AY453,"E")</f>
      </c>
    </row>
    <row r="454" spans="1:54" x14ac:dyDescent="0.2">
      <c r="A454" s="84"/>
      <c r="B454" s="85"/>
      <c r="C454" s="85"/>
      <c r="D454" s="85"/>
      <c r="E454" s="86"/>
      <c r="F454" s="16">
        <f>IF(E454="","",DATEDIF(E454,$I$7,"Y"))</f>
      </c>
      <c r="G454" s="85"/>
      <c r="H454" s="85"/>
      <c r="I454" s="87"/>
      <c r="J454" s="85"/>
      <c r="K454" s="85"/>
      <c r="L454" s="10"/>
      <c r="M454" s="10"/>
      <c r="N454" s="10"/>
      <c r="O454" s="10"/>
      <c r="P454" s="85"/>
      <c r="Q454" s="88"/>
      <c r="R454" s="3">
        <f>IFERROR(VLOOKUP(TablaMayo[[#This Row],[BARRIO]],SECTOR!$A:$B,2,0),"")</f>
      </c>
      <c r="S454" s="89"/>
      <c r="T454" s="90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6"/>
      <c r="AZ454" s="120">
        <f>COUNTIF(U454:AY454,"A")</f>
      </c>
      <c r="BA454" s="121">
        <f>COUNTIF(U454:AY454,"F")</f>
      </c>
      <c r="BB454" s="119">
        <f>COUNTIF(U454:AY454,"E")</f>
      </c>
    </row>
    <row r="455" spans="1:54" x14ac:dyDescent="0.2">
      <c r="A455" s="84"/>
      <c r="B455" s="85"/>
      <c r="C455" s="85"/>
      <c r="D455" s="85"/>
      <c r="E455" s="86"/>
      <c r="F455" s="16">
        <f>IF(E455="","",DATEDIF(E455,$I$7,"Y"))</f>
      </c>
      <c r="G455" s="85"/>
      <c r="H455" s="85"/>
      <c r="I455" s="87"/>
      <c r="J455" s="85"/>
      <c r="K455" s="85"/>
      <c r="L455" s="10"/>
      <c r="M455" s="10"/>
      <c r="N455" s="10"/>
      <c r="O455" s="10"/>
      <c r="P455" s="85"/>
      <c r="Q455" s="88"/>
      <c r="R455" s="3">
        <f>IFERROR(VLOOKUP(TablaMayo[[#This Row],[BARRIO]],SECTOR!$A:$B,2,0),"")</f>
      </c>
      <c r="S455" s="89"/>
      <c r="T455" s="90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6"/>
      <c r="AZ455" s="120">
        <f>COUNTIF(U455:AY455,"A")</f>
      </c>
      <c r="BA455" s="121">
        <f>COUNTIF(U455:AY455,"F")</f>
      </c>
      <c r="BB455" s="119">
        <f>COUNTIF(U455:AY455,"E")</f>
      </c>
    </row>
    <row r="456" spans="1:54" x14ac:dyDescent="0.2">
      <c r="A456" s="84"/>
      <c r="B456" s="85"/>
      <c r="C456" s="85"/>
      <c r="D456" s="85"/>
      <c r="E456" s="86"/>
      <c r="F456" s="16">
        <f>IF(E456="","",DATEDIF(E456,$I$7,"Y"))</f>
      </c>
      <c r="G456" s="85"/>
      <c r="H456" s="85"/>
      <c r="I456" s="87"/>
      <c r="J456" s="85"/>
      <c r="K456" s="85"/>
      <c r="L456" s="10"/>
      <c r="M456" s="10"/>
      <c r="N456" s="10"/>
      <c r="O456" s="10"/>
      <c r="P456" s="85"/>
      <c r="Q456" s="88"/>
      <c r="R456" s="3">
        <f>IFERROR(VLOOKUP(TablaMayo[[#This Row],[BARRIO]],SECTOR!$A:$B,2,0),"")</f>
      </c>
      <c r="S456" s="89"/>
      <c r="T456" s="90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6"/>
      <c r="AZ456" s="120">
        <f>COUNTIF(U456:AY456,"A")</f>
      </c>
      <c r="BA456" s="121">
        <f>COUNTIF(U456:AY456,"F")</f>
      </c>
      <c r="BB456" s="119">
        <f>COUNTIF(U456:AY456,"E")</f>
      </c>
    </row>
    <row r="457" spans="1:54" x14ac:dyDescent="0.2">
      <c r="A457" s="84"/>
      <c r="B457" s="85"/>
      <c r="C457" s="85"/>
      <c r="D457" s="85"/>
      <c r="E457" s="86"/>
      <c r="F457" s="16">
        <f>IF(E457="","",DATEDIF(E457,$I$7,"Y"))</f>
      </c>
      <c r="G457" s="85"/>
      <c r="H457" s="85"/>
      <c r="I457" s="87"/>
      <c r="J457" s="85"/>
      <c r="K457" s="85"/>
      <c r="L457" s="10"/>
      <c r="M457" s="10"/>
      <c r="N457" s="10"/>
      <c r="O457" s="10"/>
      <c r="P457" s="85"/>
      <c r="Q457" s="88"/>
      <c r="R457" s="3">
        <f>IFERROR(VLOOKUP(TablaMayo[[#This Row],[BARRIO]],SECTOR!$A:$B,2,0),"")</f>
      </c>
      <c r="S457" s="89"/>
      <c r="T457" s="90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6"/>
      <c r="AZ457" s="120">
        <f>COUNTIF(U457:AY457,"A")</f>
      </c>
      <c r="BA457" s="121">
        <f>COUNTIF(U457:AY457,"F")</f>
      </c>
      <c r="BB457" s="119">
        <f>COUNTIF(U457:AY457,"E")</f>
      </c>
    </row>
    <row r="458" spans="1:54" x14ac:dyDescent="0.2">
      <c r="A458" s="84"/>
      <c r="B458" s="85"/>
      <c r="C458" s="85"/>
      <c r="D458" s="85"/>
      <c r="E458" s="86"/>
      <c r="F458" s="16">
        <f>IF(E458="","",DATEDIF(E458,$I$7,"Y"))</f>
      </c>
      <c r="G458" s="85"/>
      <c r="H458" s="85"/>
      <c r="I458" s="87"/>
      <c r="J458" s="85"/>
      <c r="K458" s="85"/>
      <c r="L458" s="10"/>
      <c r="M458" s="10"/>
      <c r="N458" s="10"/>
      <c r="O458" s="10"/>
      <c r="P458" s="85"/>
      <c r="Q458" s="88"/>
      <c r="R458" s="3">
        <f>IFERROR(VLOOKUP(TablaMayo[[#This Row],[BARRIO]],SECTOR!$A:$B,2,0),"")</f>
      </c>
      <c r="S458" s="89"/>
      <c r="T458" s="90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6"/>
      <c r="AZ458" s="120">
        <f>COUNTIF(U458:AY458,"A")</f>
      </c>
      <c r="BA458" s="121">
        <f>COUNTIF(U458:AY458,"F")</f>
      </c>
      <c r="BB458" s="119">
        <f>COUNTIF(U458:AY458,"E")</f>
      </c>
    </row>
    <row r="459" spans="1:54" x14ac:dyDescent="0.2">
      <c r="A459" s="84"/>
      <c r="B459" s="85"/>
      <c r="C459" s="85"/>
      <c r="D459" s="85"/>
      <c r="E459" s="86"/>
      <c r="F459" s="16">
        <f>IF(E459="","",DATEDIF(E459,$I$7,"Y"))</f>
      </c>
      <c r="G459" s="85"/>
      <c r="H459" s="85"/>
      <c r="I459" s="87"/>
      <c r="J459" s="85"/>
      <c r="K459" s="85"/>
      <c r="L459" s="10"/>
      <c r="M459" s="10"/>
      <c r="N459" s="10"/>
      <c r="O459" s="10"/>
      <c r="P459" s="85"/>
      <c r="Q459" s="88"/>
      <c r="R459" s="3">
        <f>IFERROR(VLOOKUP(TablaMayo[[#This Row],[BARRIO]],SECTOR!$A:$B,2,0),"")</f>
      </c>
      <c r="S459" s="89"/>
      <c r="T459" s="90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6"/>
      <c r="AZ459" s="120">
        <f>COUNTIF(U459:AY459,"A")</f>
      </c>
      <c r="BA459" s="121">
        <f>COUNTIF(U459:AY459,"F")</f>
      </c>
      <c r="BB459" s="119">
        <f>COUNTIF(U459:AY459,"E")</f>
      </c>
    </row>
    <row r="460" spans="1:54" x14ac:dyDescent="0.2">
      <c r="A460" s="84"/>
      <c r="B460" s="85"/>
      <c r="C460" s="85"/>
      <c r="D460" s="85"/>
      <c r="E460" s="86"/>
      <c r="F460" s="16">
        <f>IF(E460="","",DATEDIF(E460,$I$7,"Y"))</f>
      </c>
      <c r="G460" s="85"/>
      <c r="H460" s="85"/>
      <c r="I460" s="87"/>
      <c r="J460" s="85"/>
      <c r="K460" s="85"/>
      <c r="L460" s="10"/>
      <c r="M460" s="10"/>
      <c r="N460" s="10"/>
      <c r="O460" s="10"/>
      <c r="P460" s="85"/>
      <c r="Q460" s="88"/>
      <c r="R460" s="3">
        <f>IFERROR(VLOOKUP(TablaMayo[[#This Row],[BARRIO]],SECTOR!$A:$B,2,0),"")</f>
      </c>
      <c r="S460" s="89"/>
      <c r="T460" s="90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6"/>
      <c r="AZ460" s="120">
        <f>COUNTIF(U460:AY460,"A")</f>
      </c>
      <c r="BA460" s="121">
        <f>COUNTIF(U460:AY460,"F")</f>
      </c>
      <c r="BB460" s="119">
        <f>COUNTIF(U460:AY460,"E")</f>
      </c>
    </row>
    <row r="461" spans="1:54" x14ac:dyDescent="0.2">
      <c r="A461" s="84"/>
      <c r="B461" s="85"/>
      <c r="C461" s="85"/>
      <c r="D461" s="85"/>
      <c r="E461" s="86"/>
      <c r="F461" s="16">
        <f>IF(E461="","",DATEDIF(E461,$I$7,"Y"))</f>
      </c>
      <c r="G461" s="85"/>
      <c r="H461" s="85"/>
      <c r="I461" s="87"/>
      <c r="J461" s="85"/>
      <c r="K461" s="85"/>
      <c r="L461" s="10"/>
      <c r="M461" s="10"/>
      <c r="N461" s="10"/>
      <c r="O461" s="10"/>
      <c r="P461" s="85"/>
      <c r="Q461" s="88"/>
      <c r="R461" s="3">
        <f>IFERROR(VLOOKUP(TablaMayo[[#This Row],[BARRIO]],SECTOR!$A:$B,2,0),"")</f>
      </c>
      <c r="S461" s="89"/>
      <c r="T461" s="90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6"/>
      <c r="AZ461" s="120">
        <f>COUNTIF(U461:AY461,"A")</f>
      </c>
      <c r="BA461" s="121">
        <f>COUNTIF(U461:AY461,"F")</f>
      </c>
      <c r="BB461" s="119">
        <f>COUNTIF(U461:AY461,"E")</f>
      </c>
    </row>
    <row r="462" spans="1:54" x14ac:dyDescent="0.2">
      <c r="A462" s="84"/>
      <c r="B462" s="85"/>
      <c r="C462" s="85"/>
      <c r="D462" s="85"/>
      <c r="E462" s="86"/>
      <c r="F462" s="16">
        <f>IF(E462="","",DATEDIF(E462,$I$7,"Y"))</f>
      </c>
      <c r="G462" s="85"/>
      <c r="H462" s="85"/>
      <c r="I462" s="87"/>
      <c r="J462" s="85"/>
      <c r="K462" s="85"/>
      <c r="L462" s="10"/>
      <c r="M462" s="10"/>
      <c r="N462" s="10"/>
      <c r="O462" s="10"/>
      <c r="P462" s="85"/>
      <c r="Q462" s="88"/>
      <c r="R462" s="3">
        <f>IFERROR(VLOOKUP(TablaMayo[[#This Row],[BARRIO]],SECTOR!$A:$B,2,0),"")</f>
      </c>
      <c r="S462" s="89"/>
      <c r="T462" s="90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6"/>
      <c r="AZ462" s="120">
        <f>COUNTIF(U462:AY462,"A")</f>
      </c>
      <c r="BA462" s="121">
        <f>COUNTIF(U462:AY462,"F")</f>
      </c>
      <c r="BB462" s="119">
        <f>COUNTIF(U462:AY462,"E")</f>
      </c>
    </row>
    <row r="463" spans="1:54" x14ac:dyDescent="0.2">
      <c r="A463" s="84"/>
      <c r="B463" s="85"/>
      <c r="C463" s="85"/>
      <c r="D463" s="85"/>
      <c r="E463" s="86"/>
      <c r="F463" s="16">
        <f>IF(E463="","",DATEDIF(E463,$I$7,"Y"))</f>
      </c>
      <c r="G463" s="85"/>
      <c r="H463" s="85"/>
      <c r="I463" s="87"/>
      <c r="J463" s="85"/>
      <c r="K463" s="85"/>
      <c r="L463" s="10"/>
      <c r="M463" s="10"/>
      <c r="N463" s="10"/>
      <c r="O463" s="10"/>
      <c r="P463" s="85"/>
      <c r="Q463" s="88"/>
      <c r="R463" s="3">
        <f>IFERROR(VLOOKUP(TablaMayo[[#This Row],[BARRIO]],SECTOR!$A:$B,2,0),"")</f>
      </c>
      <c r="S463" s="89"/>
      <c r="T463" s="90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6"/>
      <c r="AZ463" s="120">
        <f>COUNTIF(U463:AY463,"A")</f>
      </c>
      <c r="BA463" s="121">
        <f>COUNTIF(U463:AY463,"F")</f>
      </c>
      <c r="BB463" s="119">
        <f>COUNTIF(U463:AY463,"E")</f>
      </c>
    </row>
    <row r="464" spans="1:54" x14ac:dyDescent="0.2">
      <c r="A464" s="84"/>
      <c r="B464" s="85"/>
      <c r="C464" s="85"/>
      <c r="D464" s="85"/>
      <c r="E464" s="86"/>
      <c r="F464" s="16">
        <f>IF(E464="","",DATEDIF(E464,$I$7,"Y"))</f>
      </c>
      <c r="G464" s="85"/>
      <c r="H464" s="85"/>
      <c r="I464" s="87"/>
      <c r="J464" s="85"/>
      <c r="K464" s="85"/>
      <c r="L464" s="10"/>
      <c r="M464" s="10"/>
      <c r="N464" s="10"/>
      <c r="O464" s="10"/>
      <c r="P464" s="85"/>
      <c r="Q464" s="88"/>
      <c r="R464" s="3">
        <f>IFERROR(VLOOKUP(TablaMayo[[#This Row],[BARRIO]],SECTOR!$A:$B,2,0),"")</f>
      </c>
      <c r="S464" s="89"/>
      <c r="T464" s="90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6"/>
      <c r="AZ464" s="120">
        <f>COUNTIF(U464:AY464,"A")</f>
      </c>
      <c r="BA464" s="121">
        <f>COUNTIF(U464:AY464,"F")</f>
      </c>
      <c r="BB464" s="119">
        <f>COUNTIF(U464:AY464,"E")</f>
      </c>
    </row>
    <row r="465" spans="1:54" x14ac:dyDescent="0.2">
      <c r="A465" s="84"/>
      <c r="B465" s="85"/>
      <c r="C465" s="85"/>
      <c r="D465" s="85"/>
      <c r="E465" s="86"/>
      <c r="F465" s="16">
        <f>IF(E465="","",DATEDIF(E465,$I$7,"Y"))</f>
      </c>
      <c r="G465" s="85"/>
      <c r="H465" s="85"/>
      <c r="I465" s="87"/>
      <c r="J465" s="85"/>
      <c r="K465" s="85"/>
      <c r="L465" s="10"/>
      <c r="M465" s="10"/>
      <c r="N465" s="10"/>
      <c r="O465" s="10"/>
      <c r="P465" s="85"/>
      <c r="Q465" s="88"/>
      <c r="R465" s="3">
        <f>IFERROR(VLOOKUP(TablaMayo[[#This Row],[BARRIO]],SECTOR!$A:$B,2,0),"")</f>
      </c>
      <c r="S465" s="89"/>
      <c r="T465" s="90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6"/>
      <c r="AZ465" s="120">
        <f>COUNTIF(U465:AY465,"A")</f>
      </c>
      <c r="BA465" s="121">
        <f>COUNTIF(U465:AY465,"F")</f>
      </c>
      <c r="BB465" s="119">
        <f>COUNTIF(U465:AY465,"E")</f>
      </c>
    </row>
    <row r="466" spans="1:54" x14ac:dyDescent="0.2">
      <c r="A466" s="84"/>
      <c r="B466" s="85"/>
      <c r="C466" s="85"/>
      <c r="D466" s="85"/>
      <c r="E466" s="86"/>
      <c r="F466" s="16">
        <f>IF(E466="","",DATEDIF(E466,$I$7,"Y"))</f>
      </c>
      <c r="G466" s="85"/>
      <c r="H466" s="85"/>
      <c r="I466" s="87"/>
      <c r="J466" s="85"/>
      <c r="K466" s="85"/>
      <c r="L466" s="10"/>
      <c r="M466" s="10"/>
      <c r="N466" s="10"/>
      <c r="O466" s="10"/>
      <c r="P466" s="85"/>
      <c r="Q466" s="88"/>
      <c r="R466" s="3">
        <f>IFERROR(VLOOKUP(TablaMayo[[#This Row],[BARRIO]],SECTOR!$A:$B,2,0),"")</f>
      </c>
      <c r="S466" s="89"/>
      <c r="T466" s="90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6"/>
      <c r="AZ466" s="120">
        <f>COUNTIF(U466:AY466,"A")</f>
      </c>
      <c r="BA466" s="121">
        <f>COUNTIF(U466:AY466,"F")</f>
      </c>
      <c r="BB466" s="119">
        <f>COUNTIF(U466:AY466,"E")</f>
      </c>
    </row>
    <row r="467" spans="1:54" x14ac:dyDescent="0.2">
      <c r="A467" s="84"/>
      <c r="B467" s="85"/>
      <c r="C467" s="85"/>
      <c r="D467" s="85"/>
      <c r="E467" s="86"/>
      <c r="F467" s="16">
        <f>IF(E467="","",DATEDIF(E467,$I$7,"Y"))</f>
      </c>
      <c r="G467" s="85"/>
      <c r="H467" s="85"/>
      <c r="I467" s="87"/>
      <c r="J467" s="85"/>
      <c r="K467" s="85"/>
      <c r="L467" s="10"/>
      <c r="M467" s="10"/>
      <c r="N467" s="10"/>
      <c r="O467" s="10"/>
      <c r="P467" s="85"/>
      <c r="Q467" s="88"/>
      <c r="R467" s="3">
        <f>IFERROR(VLOOKUP(TablaMayo[[#This Row],[BARRIO]],SECTOR!$A:$B,2,0),"")</f>
      </c>
      <c r="S467" s="89"/>
      <c r="T467" s="90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6"/>
      <c r="AZ467" s="120">
        <f>COUNTIF(U467:AY467,"A")</f>
      </c>
      <c r="BA467" s="121">
        <f>COUNTIF(U467:AY467,"F")</f>
      </c>
      <c r="BB467" s="119">
        <f>COUNTIF(U467:AY467,"E")</f>
      </c>
    </row>
    <row r="468" spans="1:54" x14ac:dyDescent="0.2">
      <c r="A468" s="84"/>
      <c r="B468" s="85"/>
      <c r="C468" s="85"/>
      <c r="D468" s="85"/>
      <c r="E468" s="86"/>
      <c r="F468" s="16">
        <f>IF(E468="","",DATEDIF(E468,$I$7,"Y"))</f>
      </c>
      <c r="G468" s="85"/>
      <c r="H468" s="85"/>
      <c r="I468" s="87"/>
      <c r="J468" s="85"/>
      <c r="K468" s="85"/>
      <c r="L468" s="10"/>
      <c r="M468" s="10"/>
      <c r="N468" s="10"/>
      <c r="O468" s="10"/>
      <c r="P468" s="85"/>
      <c r="Q468" s="88"/>
      <c r="R468" s="3">
        <f>IFERROR(VLOOKUP(TablaMayo[[#This Row],[BARRIO]],SECTOR!$A:$B,2,0),"")</f>
      </c>
      <c r="S468" s="89"/>
      <c r="T468" s="90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6"/>
      <c r="AZ468" s="120">
        <f>COUNTIF(U468:AY468,"A")</f>
      </c>
      <c r="BA468" s="121">
        <f>COUNTIF(U468:AY468,"F")</f>
      </c>
      <c r="BB468" s="119">
        <f>COUNTIF(U468:AY468,"E")</f>
      </c>
    </row>
    <row r="469" spans="1:54" x14ac:dyDescent="0.2">
      <c r="A469" s="84"/>
      <c r="B469" s="85"/>
      <c r="C469" s="85"/>
      <c r="D469" s="85"/>
      <c r="E469" s="86"/>
      <c r="F469" s="16">
        <f>IF(E469="","",DATEDIF(E469,$I$7,"Y"))</f>
      </c>
      <c r="G469" s="85"/>
      <c r="H469" s="85"/>
      <c r="I469" s="87"/>
      <c r="J469" s="85"/>
      <c r="K469" s="85"/>
      <c r="L469" s="10"/>
      <c r="M469" s="10"/>
      <c r="N469" s="10"/>
      <c r="O469" s="10"/>
      <c r="P469" s="85"/>
      <c r="Q469" s="88"/>
      <c r="R469" s="3">
        <f>IFERROR(VLOOKUP(TablaMayo[[#This Row],[BARRIO]],SECTOR!$A:$B,2,0),"")</f>
      </c>
      <c r="S469" s="89"/>
      <c r="T469" s="90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6"/>
      <c r="AZ469" s="120">
        <f>COUNTIF(U469:AY469,"A")</f>
      </c>
      <c r="BA469" s="121">
        <f>COUNTIF(U469:AY469,"F")</f>
      </c>
      <c r="BB469" s="119">
        <f>COUNTIF(U469:AY469,"E")</f>
      </c>
    </row>
    <row r="470" spans="1:54" x14ac:dyDescent="0.2">
      <c r="A470" s="84"/>
      <c r="B470" s="85"/>
      <c r="C470" s="85"/>
      <c r="D470" s="85"/>
      <c r="E470" s="86"/>
      <c r="F470" s="16">
        <f>IF(E470="","",DATEDIF(E470,$I$7,"Y"))</f>
      </c>
      <c r="G470" s="85"/>
      <c r="H470" s="85"/>
      <c r="I470" s="87"/>
      <c r="J470" s="85"/>
      <c r="K470" s="85"/>
      <c r="L470" s="10"/>
      <c r="M470" s="10"/>
      <c r="N470" s="10"/>
      <c r="O470" s="10"/>
      <c r="P470" s="85"/>
      <c r="Q470" s="88"/>
      <c r="R470" s="3">
        <f>IFERROR(VLOOKUP(TablaMayo[[#This Row],[BARRIO]],SECTOR!$A:$B,2,0),"")</f>
      </c>
      <c r="S470" s="89"/>
      <c r="T470" s="90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6"/>
      <c r="AZ470" s="120">
        <f>COUNTIF(U470:AY470,"A")</f>
      </c>
      <c r="BA470" s="121">
        <f>COUNTIF(U470:AY470,"F")</f>
      </c>
      <c r="BB470" s="119">
        <f>COUNTIF(U470:AY470,"E")</f>
      </c>
    </row>
    <row r="471" spans="1:54" x14ac:dyDescent="0.2">
      <c r="A471" s="84"/>
      <c r="B471" s="85"/>
      <c r="C471" s="85"/>
      <c r="D471" s="85"/>
      <c r="E471" s="86"/>
      <c r="F471" s="16">
        <f>IF(E471="","",DATEDIF(E471,$I$7,"Y"))</f>
      </c>
      <c r="G471" s="85"/>
      <c r="H471" s="85"/>
      <c r="I471" s="87"/>
      <c r="J471" s="85"/>
      <c r="K471" s="85"/>
      <c r="L471" s="10"/>
      <c r="M471" s="10"/>
      <c r="N471" s="10"/>
      <c r="O471" s="10"/>
      <c r="P471" s="85"/>
      <c r="Q471" s="88"/>
      <c r="R471" s="3">
        <f>IFERROR(VLOOKUP(TablaMayo[[#This Row],[BARRIO]],SECTOR!$A:$B,2,0),"")</f>
      </c>
      <c r="S471" s="89"/>
      <c r="T471" s="90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6"/>
      <c r="AZ471" s="120">
        <f>COUNTIF(U471:AY471,"A")</f>
      </c>
      <c r="BA471" s="121">
        <f>COUNTIF(U471:AY471,"F")</f>
      </c>
      <c r="BB471" s="119">
        <f>COUNTIF(U471:AY471,"E")</f>
      </c>
    </row>
    <row r="472" spans="1:54" x14ac:dyDescent="0.2">
      <c r="A472" s="84"/>
      <c r="B472" s="85"/>
      <c r="C472" s="85"/>
      <c r="D472" s="85"/>
      <c r="E472" s="86"/>
      <c r="F472" s="16">
        <f>IF(E472="","",DATEDIF(E472,$I$7,"Y"))</f>
      </c>
      <c r="G472" s="85"/>
      <c r="H472" s="85"/>
      <c r="I472" s="87"/>
      <c r="J472" s="85"/>
      <c r="K472" s="85"/>
      <c r="L472" s="10"/>
      <c r="M472" s="10"/>
      <c r="N472" s="10"/>
      <c r="O472" s="10"/>
      <c r="P472" s="85"/>
      <c r="Q472" s="88"/>
      <c r="R472" s="3">
        <f>IFERROR(VLOOKUP(TablaMayo[[#This Row],[BARRIO]],SECTOR!$A:$B,2,0),"")</f>
      </c>
      <c r="S472" s="89"/>
      <c r="T472" s="90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6"/>
      <c r="AZ472" s="120">
        <f>COUNTIF(U472:AY472,"A")</f>
      </c>
      <c r="BA472" s="121">
        <f>COUNTIF(U472:AY472,"F")</f>
      </c>
      <c r="BB472" s="119">
        <f>COUNTIF(U472:AY472,"E")</f>
      </c>
    </row>
    <row r="473" spans="1:54" x14ac:dyDescent="0.2">
      <c r="A473" s="84"/>
      <c r="B473" s="85"/>
      <c r="C473" s="85"/>
      <c r="D473" s="85"/>
      <c r="E473" s="86"/>
      <c r="F473" s="16">
        <f>IF(E473="","",DATEDIF(E473,$I$7,"Y"))</f>
      </c>
      <c r="G473" s="85"/>
      <c r="H473" s="85"/>
      <c r="I473" s="87"/>
      <c r="J473" s="85"/>
      <c r="K473" s="85"/>
      <c r="L473" s="10"/>
      <c r="M473" s="10"/>
      <c r="N473" s="10"/>
      <c r="O473" s="10"/>
      <c r="P473" s="85"/>
      <c r="Q473" s="88"/>
      <c r="R473" s="3">
        <f>IFERROR(VLOOKUP(TablaMayo[[#This Row],[BARRIO]],SECTOR!$A:$B,2,0),"")</f>
      </c>
      <c r="S473" s="89"/>
      <c r="T473" s="90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6"/>
      <c r="AZ473" s="120">
        <f>COUNTIF(U473:AY473,"A")</f>
      </c>
      <c r="BA473" s="121">
        <f>COUNTIF(U473:AY473,"F")</f>
      </c>
      <c r="BB473" s="119">
        <f>COUNTIF(U473:AY473,"E")</f>
      </c>
    </row>
    <row r="474" spans="1:54" x14ac:dyDescent="0.2">
      <c r="A474" s="84"/>
      <c r="B474" s="85"/>
      <c r="C474" s="85"/>
      <c r="D474" s="85"/>
      <c r="E474" s="86"/>
      <c r="F474" s="16">
        <f>IF(E474="","",DATEDIF(E474,$I$7,"Y"))</f>
      </c>
      <c r="G474" s="85"/>
      <c r="H474" s="85"/>
      <c r="I474" s="87"/>
      <c r="J474" s="85"/>
      <c r="K474" s="85"/>
      <c r="L474" s="10"/>
      <c r="M474" s="10"/>
      <c r="N474" s="10"/>
      <c r="O474" s="10"/>
      <c r="P474" s="85"/>
      <c r="Q474" s="88"/>
      <c r="R474" s="3">
        <f>IFERROR(VLOOKUP(TablaMayo[[#This Row],[BARRIO]],SECTOR!$A:$B,2,0),"")</f>
      </c>
      <c r="S474" s="89"/>
      <c r="T474" s="90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6"/>
      <c r="AZ474" s="120">
        <f>COUNTIF(U474:AY474,"A")</f>
      </c>
      <c r="BA474" s="121">
        <f>COUNTIF(U474:AY474,"F")</f>
      </c>
      <c r="BB474" s="119">
        <f>COUNTIF(U474:AY474,"E")</f>
      </c>
    </row>
    <row r="475" spans="1:54" x14ac:dyDescent="0.2">
      <c r="A475" s="84"/>
      <c r="B475" s="85"/>
      <c r="C475" s="85"/>
      <c r="D475" s="85"/>
      <c r="E475" s="86"/>
      <c r="F475" s="16">
        <f>IF(E475="","",DATEDIF(E475,$I$7,"Y"))</f>
      </c>
      <c r="G475" s="85"/>
      <c r="H475" s="85"/>
      <c r="I475" s="87"/>
      <c r="J475" s="85"/>
      <c r="K475" s="85"/>
      <c r="L475" s="10"/>
      <c r="M475" s="10"/>
      <c r="N475" s="10"/>
      <c r="O475" s="10"/>
      <c r="P475" s="85"/>
      <c r="Q475" s="88"/>
      <c r="R475" s="3">
        <f>IFERROR(VLOOKUP(TablaMayo[[#This Row],[BARRIO]],SECTOR!$A:$B,2,0),"")</f>
      </c>
      <c r="S475" s="89"/>
      <c r="T475" s="90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6"/>
      <c r="AZ475" s="120">
        <f>COUNTIF(U475:AY475,"A")</f>
      </c>
      <c r="BA475" s="121">
        <f>COUNTIF(U475:AY475,"F")</f>
      </c>
      <c r="BB475" s="119">
        <f>COUNTIF(U475:AY475,"E")</f>
      </c>
    </row>
    <row r="476" spans="1:54" x14ac:dyDescent="0.2">
      <c r="A476" s="84"/>
      <c r="B476" s="85"/>
      <c r="C476" s="85"/>
      <c r="D476" s="85"/>
      <c r="E476" s="86"/>
      <c r="F476" s="16">
        <f>IF(E476="","",DATEDIF(E476,$I$7,"Y"))</f>
      </c>
      <c r="G476" s="85"/>
      <c r="H476" s="85"/>
      <c r="I476" s="87"/>
      <c r="J476" s="85"/>
      <c r="K476" s="85"/>
      <c r="L476" s="10"/>
      <c r="M476" s="10"/>
      <c r="N476" s="10"/>
      <c r="O476" s="10"/>
      <c r="P476" s="85"/>
      <c r="Q476" s="88"/>
      <c r="R476" s="3">
        <f>IFERROR(VLOOKUP(TablaMayo[[#This Row],[BARRIO]],SECTOR!$A:$B,2,0),"")</f>
      </c>
      <c r="S476" s="89"/>
      <c r="T476" s="90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6"/>
      <c r="AZ476" s="120">
        <f>COUNTIF(U476:AY476,"A")</f>
      </c>
      <c r="BA476" s="121">
        <f>COUNTIF(U476:AY476,"F")</f>
      </c>
      <c r="BB476" s="119">
        <f>COUNTIF(U476:AY476,"E")</f>
      </c>
    </row>
    <row r="477" spans="1:54" x14ac:dyDescent="0.2">
      <c r="A477" s="84"/>
      <c r="B477" s="85"/>
      <c r="C477" s="85"/>
      <c r="D477" s="85"/>
      <c r="E477" s="86"/>
      <c r="F477" s="16">
        <f>IF(E477="","",DATEDIF(E477,$I$7,"Y"))</f>
      </c>
      <c r="G477" s="85"/>
      <c r="H477" s="85"/>
      <c r="I477" s="87"/>
      <c r="J477" s="85"/>
      <c r="K477" s="85"/>
      <c r="L477" s="10"/>
      <c r="M477" s="10"/>
      <c r="N477" s="10"/>
      <c r="O477" s="10"/>
      <c r="P477" s="85"/>
      <c r="Q477" s="88"/>
      <c r="R477" s="3">
        <f>IFERROR(VLOOKUP(TablaMayo[[#This Row],[BARRIO]],SECTOR!$A:$B,2,0),"")</f>
      </c>
      <c r="S477" s="89"/>
      <c r="T477" s="90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6"/>
      <c r="AZ477" s="120">
        <f>COUNTIF(U477:AY477,"A")</f>
      </c>
      <c r="BA477" s="121">
        <f>COUNTIF(U477:AY477,"F")</f>
      </c>
      <c r="BB477" s="119">
        <f>COUNTIF(U477:AY477,"E")</f>
      </c>
    </row>
    <row r="478" spans="1:54" x14ac:dyDescent="0.2">
      <c r="A478" s="84"/>
      <c r="B478" s="85"/>
      <c r="C478" s="85"/>
      <c r="D478" s="85"/>
      <c r="E478" s="86"/>
      <c r="F478" s="16">
        <f>IF(E478="","",DATEDIF(E478,$I$7,"Y"))</f>
      </c>
      <c r="G478" s="85"/>
      <c r="H478" s="85"/>
      <c r="I478" s="87"/>
      <c r="J478" s="85"/>
      <c r="K478" s="85"/>
      <c r="L478" s="10"/>
      <c r="M478" s="10"/>
      <c r="N478" s="10"/>
      <c r="O478" s="10"/>
      <c r="P478" s="85"/>
      <c r="Q478" s="88"/>
      <c r="R478" s="3">
        <f>IFERROR(VLOOKUP(TablaMayo[[#This Row],[BARRIO]],SECTOR!$A:$B,2,0),"")</f>
      </c>
      <c r="S478" s="89"/>
      <c r="T478" s="90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6"/>
      <c r="AZ478" s="120">
        <f>COUNTIF(U478:AY478,"A")</f>
      </c>
      <c r="BA478" s="121">
        <f>COUNTIF(U478:AY478,"F")</f>
      </c>
      <c r="BB478" s="119">
        <f>COUNTIF(U478:AY478,"E")</f>
      </c>
    </row>
    <row r="479" spans="1:54" x14ac:dyDescent="0.2">
      <c r="A479" s="84"/>
      <c r="B479" s="85"/>
      <c r="C479" s="85"/>
      <c r="D479" s="85"/>
      <c r="E479" s="86"/>
      <c r="F479" s="16">
        <f>IF(E479="","",DATEDIF(E479,$I$7,"Y"))</f>
      </c>
      <c r="G479" s="85"/>
      <c r="H479" s="85"/>
      <c r="I479" s="87"/>
      <c r="J479" s="85"/>
      <c r="K479" s="85"/>
      <c r="L479" s="10"/>
      <c r="M479" s="10"/>
      <c r="N479" s="10"/>
      <c r="O479" s="10"/>
      <c r="P479" s="85"/>
      <c r="Q479" s="88"/>
      <c r="R479" s="3">
        <f>IFERROR(VLOOKUP(TablaMayo[[#This Row],[BARRIO]],SECTOR!$A:$B,2,0),"")</f>
      </c>
      <c r="S479" s="89"/>
      <c r="T479" s="90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6"/>
      <c r="AZ479" s="120">
        <f>COUNTIF(U479:AY479,"A")</f>
      </c>
      <c r="BA479" s="121">
        <f>COUNTIF(U479:AY479,"F")</f>
      </c>
      <c r="BB479" s="119">
        <f>COUNTIF(U479:AY479,"E")</f>
      </c>
    </row>
    <row r="480" spans="1:54" x14ac:dyDescent="0.2">
      <c r="A480" s="84"/>
      <c r="B480" s="85"/>
      <c r="C480" s="85"/>
      <c r="D480" s="85"/>
      <c r="E480" s="86"/>
      <c r="F480" s="16">
        <f>IF(E480="","",DATEDIF(E480,$I$7,"Y"))</f>
      </c>
      <c r="G480" s="85"/>
      <c r="H480" s="85"/>
      <c r="I480" s="87"/>
      <c r="J480" s="85"/>
      <c r="K480" s="85"/>
      <c r="L480" s="10"/>
      <c r="M480" s="10"/>
      <c r="N480" s="10"/>
      <c r="O480" s="10"/>
      <c r="P480" s="85"/>
      <c r="Q480" s="88"/>
      <c r="R480" s="3">
        <f>IFERROR(VLOOKUP(TablaMayo[[#This Row],[BARRIO]],SECTOR!$A:$B,2,0),"")</f>
      </c>
      <c r="S480" s="89"/>
      <c r="T480" s="90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6"/>
      <c r="AZ480" s="120">
        <f>COUNTIF(U480:AY480,"A")</f>
      </c>
      <c r="BA480" s="121">
        <f>COUNTIF(U480:AY480,"F")</f>
      </c>
      <c r="BB480" s="119">
        <f>COUNTIF(U480:AY480,"E")</f>
      </c>
    </row>
    <row r="481" spans="1:54" x14ac:dyDescent="0.2">
      <c r="A481" s="84"/>
      <c r="B481" s="85"/>
      <c r="C481" s="85"/>
      <c r="D481" s="85"/>
      <c r="E481" s="86"/>
      <c r="F481" s="16">
        <f>IF(E481="","",DATEDIF(E481,$I$7,"Y"))</f>
      </c>
      <c r="G481" s="85"/>
      <c r="H481" s="85"/>
      <c r="I481" s="87"/>
      <c r="J481" s="85"/>
      <c r="K481" s="85"/>
      <c r="L481" s="10"/>
      <c r="M481" s="10"/>
      <c r="N481" s="10"/>
      <c r="O481" s="10"/>
      <c r="P481" s="85"/>
      <c r="Q481" s="88"/>
      <c r="R481" s="3">
        <f>IFERROR(VLOOKUP(TablaMayo[[#This Row],[BARRIO]],SECTOR!$A:$B,2,0),"")</f>
      </c>
      <c r="S481" s="89"/>
      <c r="T481" s="90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6"/>
      <c r="AZ481" s="120">
        <f>COUNTIF(U481:AY481,"A")</f>
      </c>
      <c r="BA481" s="121">
        <f>COUNTIF(U481:AY481,"F")</f>
      </c>
      <c r="BB481" s="119">
        <f>COUNTIF(U481:AY481,"E")</f>
      </c>
    </row>
    <row r="482" spans="1:54" x14ac:dyDescent="0.2">
      <c r="A482" s="84"/>
      <c r="B482" s="85"/>
      <c r="C482" s="85"/>
      <c r="D482" s="85"/>
      <c r="E482" s="86"/>
      <c r="F482" s="16">
        <f>IF(E482="","",DATEDIF(E482,$I$7,"Y"))</f>
      </c>
      <c r="G482" s="85"/>
      <c r="H482" s="85"/>
      <c r="I482" s="87"/>
      <c r="J482" s="85"/>
      <c r="K482" s="85"/>
      <c r="L482" s="10"/>
      <c r="M482" s="10"/>
      <c r="N482" s="10"/>
      <c r="O482" s="10"/>
      <c r="P482" s="85"/>
      <c r="Q482" s="88"/>
      <c r="R482" s="3">
        <f>IFERROR(VLOOKUP(TablaMayo[[#This Row],[BARRIO]],SECTOR!$A:$B,2,0),"")</f>
      </c>
      <c r="S482" s="89"/>
      <c r="T482" s="90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6"/>
      <c r="AZ482" s="120">
        <f>COUNTIF(U482:AY482,"A")</f>
      </c>
      <c r="BA482" s="121">
        <f>COUNTIF(U482:AY482,"F")</f>
      </c>
      <c r="BB482" s="119">
        <f>COUNTIF(U482:AY482,"E")</f>
      </c>
    </row>
    <row r="483" spans="1:54" x14ac:dyDescent="0.2">
      <c r="A483" s="84"/>
      <c r="B483" s="85"/>
      <c r="C483" s="85"/>
      <c r="D483" s="85"/>
      <c r="E483" s="86"/>
      <c r="F483" s="16">
        <f>IF(E483="","",DATEDIF(E483,$I$7,"Y"))</f>
      </c>
      <c r="G483" s="85"/>
      <c r="H483" s="85"/>
      <c r="I483" s="87"/>
      <c r="J483" s="85"/>
      <c r="K483" s="85"/>
      <c r="L483" s="10"/>
      <c r="M483" s="10"/>
      <c r="N483" s="10"/>
      <c r="O483" s="10"/>
      <c r="P483" s="85"/>
      <c r="Q483" s="88"/>
      <c r="R483" s="3">
        <f>IFERROR(VLOOKUP(TablaMayo[[#This Row],[BARRIO]],SECTOR!$A:$B,2,0),"")</f>
      </c>
      <c r="S483" s="89"/>
      <c r="T483" s="90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6"/>
      <c r="AZ483" s="120">
        <f>COUNTIF(U483:AY483,"A")</f>
      </c>
      <c r="BA483" s="121">
        <f>COUNTIF(U483:AY483,"F")</f>
      </c>
      <c r="BB483" s="119">
        <f>COUNTIF(U483:AY483,"E")</f>
      </c>
    </row>
    <row r="484" spans="1:54" x14ac:dyDescent="0.2">
      <c r="A484" s="84"/>
      <c r="B484" s="85"/>
      <c r="C484" s="85"/>
      <c r="D484" s="85"/>
      <c r="E484" s="86"/>
      <c r="F484" s="16">
        <f>IF(E484="","",DATEDIF(E484,$I$7,"Y"))</f>
      </c>
      <c r="G484" s="85"/>
      <c r="H484" s="85"/>
      <c r="I484" s="87"/>
      <c r="J484" s="85"/>
      <c r="K484" s="85"/>
      <c r="L484" s="10"/>
      <c r="M484" s="10"/>
      <c r="N484" s="10"/>
      <c r="O484" s="10"/>
      <c r="P484" s="85"/>
      <c r="Q484" s="88"/>
      <c r="R484" s="3">
        <f>IFERROR(VLOOKUP(TablaMayo[[#This Row],[BARRIO]],SECTOR!$A:$B,2,0),"")</f>
      </c>
      <c r="S484" s="89"/>
      <c r="T484" s="90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6"/>
      <c r="AZ484" s="120">
        <f>COUNTIF(U484:AY484,"A")</f>
      </c>
      <c r="BA484" s="121">
        <f>COUNTIF(U484:AY484,"F")</f>
      </c>
      <c r="BB484" s="119">
        <f>COUNTIF(U484:AY484,"E")</f>
      </c>
    </row>
    <row r="485" spans="1:54" x14ac:dyDescent="0.2">
      <c r="A485" s="84"/>
      <c r="B485" s="85"/>
      <c r="C485" s="85"/>
      <c r="D485" s="85"/>
      <c r="E485" s="86"/>
      <c r="F485" s="16">
        <f>IF(E485="","",DATEDIF(E485,$I$7,"Y"))</f>
      </c>
      <c r="G485" s="85"/>
      <c r="H485" s="85"/>
      <c r="I485" s="87"/>
      <c r="J485" s="85"/>
      <c r="K485" s="85"/>
      <c r="L485" s="10"/>
      <c r="M485" s="10"/>
      <c r="N485" s="10"/>
      <c r="O485" s="10"/>
      <c r="P485" s="85"/>
      <c r="Q485" s="88"/>
      <c r="R485" s="3">
        <f>IFERROR(VLOOKUP(TablaMayo[[#This Row],[BARRIO]],SECTOR!$A:$B,2,0),"")</f>
      </c>
      <c r="S485" s="89"/>
      <c r="T485" s="90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6"/>
      <c r="AZ485" s="120">
        <f>COUNTIF(U485:AY485,"A")</f>
      </c>
      <c r="BA485" s="121">
        <f>COUNTIF(U485:AY485,"F")</f>
      </c>
      <c r="BB485" s="119">
        <f>COUNTIF(U485:AY485,"E")</f>
      </c>
    </row>
    <row r="486" spans="1:54" x14ac:dyDescent="0.2">
      <c r="A486" s="84"/>
      <c r="B486" s="85"/>
      <c r="C486" s="85"/>
      <c r="D486" s="85"/>
      <c r="E486" s="86"/>
      <c r="F486" s="16">
        <f>IF(E486="","",DATEDIF(E486,$I$7,"Y"))</f>
      </c>
      <c r="G486" s="85"/>
      <c r="H486" s="85"/>
      <c r="I486" s="87"/>
      <c r="J486" s="85"/>
      <c r="K486" s="85"/>
      <c r="L486" s="10"/>
      <c r="M486" s="10"/>
      <c r="N486" s="10"/>
      <c r="O486" s="10"/>
      <c r="P486" s="85"/>
      <c r="Q486" s="88"/>
      <c r="R486" s="3">
        <f>IFERROR(VLOOKUP(TablaMayo[[#This Row],[BARRIO]],SECTOR!$A:$B,2,0),"")</f>
      </c>
      <c r="S486" s="89"/>
      <c r="T486" s="90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6"/>
      <c r="AZ486" s="120">
        <f>COUNTIF(U486:AY486,"A")</f>
      </c>
      <c r="BA486" s="121">
        <f>COUNTIF(U486:AY486,"F")</f>
      </c>
      <c r="BB486" s="119">
        <f>COUNTIF(U486:AY486,"E")</f>
      </c>
    </row>
    <row r="487" spans="1:54" x14ac:dyDescent="0.2">
      <c r="A487" s="84"/>
      <c r="B487" s="85"/>
      <c r="C487" s="85"/>
      <c r="D487" s="85"/>
      <c r="E487" s="86"/>
      <c r="F487" s="16">
        <f>IF(E487="","",DATEDIF(E487,$I$7,"Y"))</f>
      </c>
      <c r="G487" s="85"/>
      <c r="H487" s="85"/>
      <c r="I487" s="87"/>
      <c r="J487" s="85"/>
      <c r="K487" s="85"/>
      <c r="L487" s="10"/>
      <c r="M487" s="10"/>
      <c r="N487" s="10"/>
      <c r="O487" s="10"/>
      <c r="P487" s="85"/>
      <c r="Q487" s="88"/>
      <c r="R487" s="3">
        <f>IFERROR(VLOOKUP(TablaMayo[[#This Row],[BARRIO]],SECTOR!$A:$B,2,0),"")</f>
      </c>
      <c r="S487" s="89"/>
      <c r="T487" s="90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6"/>
      <c r="AZ487" s="120">
        <f>COUNTIF(U487:AY487,"A")</f>
      </c>
      <c r="BA487" s="121">
        <f>COUNTIF(U487:AY487,"F")</f>
      </c>
      <c r="BB487" s="119">
        <f>COUNTIF(U487:AY487,"E")</f>
      </c>
    </row>
    <row r="488" spans="1:54" x14ac:dyDescent="0.2">
      <c r="A488" s="84"/>
      <c r="B488" s="85"/>
      <c r="C488" s="85"/>
      <c r="D488" s="85"/>
      <c r="E488" s="86"/>
      <c r="F488" s="16">
        <f>IF(E488="","",DATEDIF(E488,$I$7,"Y"))</f>
      </c>
      <c r="G488" s="85"/>
      <c r="H488" s="85"/>
      <c r="I488" s="87"/>
      <c r="J488" s="85"/>
      <c r="K488" s="85"/>
      <c r="L488" s="10"/>
      <c r="M488" s="10"/>
      <c r="N488" s="10"/>
      <c r="O488" s="10"/>
      <c r="P488" s="85"/>
      <c r="Q488" s="88"/>
      <c r="R488" s="3">
        <f>IFERROR(VLOOKUP(TablaMayo[[#This Row],[BARRIO]],SECTOR!$A:$B,2,0),"")</f>
      </c>
      <c r="S488" s="89"/>
      <c r="T488" s="90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6"/>
      <c r="AZ488" s="120">
        <f>COUNTIF(U488:AY488,"A")</f>
      </c>
      <c r="BA488" s="121">
        <f>COUNTIF(U488:AY488,"F")</f>
      </c>
      <c r="BB488" s="119">
        <f>COUNTIF(U488:AY488,"E")</f>
      </c>
    </row>
    <row r="489" spans="1:54" x14ac:dyDescent="0.2">
      <c r="A489" s="84"/>
      <c r="B489" s="85"/>
      <c r="C489" s="85"/>
      <c r="D489" s="85"/>
      <c r="E489" s="86"/>
      <c r="F489" s="16">
        <f>IF(E489="","",DATEDIF(E489,$I$7,"Y"))</f>
      </c>
      <c r="G489" s="85"/>
      <c r="H489" s="85"/>
      <c r="I489" s="87"/>
      <c r="J489" s="85"/>
      <c r="K489" s="85"/>
      <c r="L489" s="10"/>
      <c r="M489" s="10"/>
      <c r="N489" s="10"/>
      <c r="O489" s="10"/>
      <c r="P489" s="85"/>
      <c r="Q489" s="88"/>
      <c r="R489" s="3">
        <f>IFERROR(VLOOKUP(TablaMayo[[#This Row],[BARRIO]],SECTOR!$A:$B,2,0),"")</f>
      </c>
      <c r="S489" s="89"/>
      <c r="T489" s="90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6"/>
      <c r="AZ489" s="120">
        <f>COUNTIF(U489:AY489,"A")</f>
      </c>
      <c r="BA489" s="121">
        <f>COUNTIF(U489:AY489,"F")</f>
      </c>
      <c r="BB489" s="119">
        <f>COUNTIF(U489:AY489,"E")</f>
      </c>
    </row>
    <row r="490" spans="1:54" x14ac:dyDescent="0.2">
      <c r="A490" s="84"/>
      <c r="B490" s="85"/>
      <c r="C490" s="85"/>
      <c r="D490" s="85"/>
      <c r="E490" s="86"/>
      <c r="F490" s="16">
        <f>IF(E490="","",DATEDIF(E490,$I$7,"Y"))</f>
      </c>
      <c r="G490" s="85"/>
      <c r="H490" s="85"/>
      <c r="I490" s="87"/>
      <c r="J490" s="85"/>
      <c r="K490" s="85"/>
      <c r="L490" s="10"/>
      <c r="M490" s="10"/>
      <c r="N490" s="10"/>
      <c r="O490" s="10"/>
      <c r="P490" s="85"/>
      <c r="Q490" s="88"/>
      <c r="R490" s="3">
        <f>IFERROR(VLOOKUP(TablaMayo[[#This Row],[BARRIO]],SECTOR!$A:$B,2,0),"")</f>
      </c>
      <c r="S490" s="89"/>
      <c r="T490" s="90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6"/>
      <c r="AZ490" s="120">
        <f>COUNTIF(U490:AY490,"A")</f>
      </c>
      <c r="BA490" s="121">
        <f>COUNTIF(U490:AY490,"F")</f>
      </c>
      <c r="BB490" s="119">
        <f>COUNTIF(U490:AY490,"E")</f>
      </c>
    </row>
    <row r="491" spans="1:54" x14ac:dyDescent="0.2">
      <c r="A491" s="84"/>
      <c r="B491" s="85"/>
      <c r="C491" s="85"/>
      <c r="D491" s="85"/>
      <c r="E491" s="86"/>
      <c r="F491" s="16">
        <f>IF(E491="","",DATEDIF(E491,$I$7,"Y"))</f>
      </c>
      <c r="G491" s="85"/>
      <c r="H491" s="85"/>
      <c r="I491" s="87"/>
      <c r="J491" s="85"/>
      <c r="K491" s="85"/>
      <c r="L491" s="10"/>
      <c r="M491" s="10"/>
      <c r="N491" s="10"/>
      <c r="O491" s="10"/>
      <c r="P491" s="85"/>
      <c r="Q491" s="88"/>
      <c r="R491" s="3">
        <f>IFERROR(VLOOKUP(TablaMayo[[#This Row],[BARRIO]],SECTOR!$A:$B,2,0),"")</f>
      </c>
      <c r="S491" s="89"/>
      <c r="T491" s="90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6"/>
      <c r="AZ491" s="120">
        <f>COUNTIF(U491:AY491,"A")</f>
      </c>
      <c r="BA491" s="121">
        <f>COUNTIF(U491:AY491,"F")</f>
      </c>
      <c r="BB491" s="119">
        <f>COUNTIF(U491:AY491,"E")</f>
      </c>
    </row>
    <row r="492" spans="1:54" x14ac:dyDescent="0.2">
      <c r="A492" s="84"/>
      <c r="B492" s="85"/>
      <c r="C492" s="85"/>
      <c r="D492" s="85"/>
      <c r="E492" s="86"/>
      <c r="F492" s="16">
        <f>IF(E492="","",DATEDIF(E492,$I$7,"Y"))</f>
      </c>
      <c r="G492" s="85"/>
      <c r="H492" s="85"/>
      <c r="I492" s="87"/>
      <c r="J492" s="85"/>
      <c r="K492" s="85"/>
      <c r="L492" s="10"/>
      <c r="M492" s="10"/>
      <c r="N492" s="10"/>
      <c r="O492" s="10"/>
      <c r="P492" s="85"/>
      <c r="Q492" s="88"/>
      <c r="R492" s="3">
        <f>IFERROR(VLOOKUP(TablaMayo[[#This Row],[BARRIO]],SECTOR!$A:$B,2,0),"")</f>
      </c>
      <c r="S492" s="89"/>
      <c r="T492" s="90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6"/>
      <c r="AZ492" s="120">
        <f>COUNTIF(U492:AY492,"A")</f>
      </c>
      <c r="BA492" s="121">
        <f>COUNTIF(U492:AY492,"F")</f>
      </c>
      <c r="BB492" s="119">
        <f>COUNTIF(U492:AY492,"E")</f>
      </c>
    </row>
    <row r="493" spans="1:54" x14ac:dyDescent="0.2">
      <c r="A493" s="84"/>
      <c r="B493" s="85"/>
      <c r="C493" s="85"/>
      <c r="D493" s="85"/>
      <c r="E493" s="86"/>
      <c r="F493" s="16">
        <f>IF(E493="","",DATEDIF(E493,$I$7,"Y"))</f>
      </c>
      <c r="G493" s="85"/>
      <c r="H493" s="85"/>
      <c r="I493" s="87"/>
      <c r="J493" s="85"/>
      <c r="K493" s="85"/>
      <c r="L493" s="10"/>
      <c r="M493" s="10"/>
      <c r="N493" s="10"/>
      <c r="O493" s="10"/>
      <c r="P493" s="85"/>
      <c r="Q493" s="88"/>
      <c r="R493" s="3">
        <f>IFERROR(VLOOKUP(TablaMayo[[#This Row],[BARRIO]],SECTOR!$A:$B,2,0),"")</f>
      </c>
      <c r="S493" s="89"/>
      <c r="T493" s="90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6"/>
      <c r="AZ493" s="120">
        <f>COUNTIF(U493:AY493,"A")</f>
      </c>
      <c r="BA493" s="121">
        <f>COUNTIF(U493:AY493,"F")</f>
      </c>
      <c r="BB493" s="119">
        <f>COUNTIF(U493:AY493,"E")</f>
      </c>
    </row>
    <row r="494" spans="1:54" x14ac:dyDescent="0.2">
      <c r="A494" s="84"/>
      <c r="B494" s="85"/>
      <c r="C494" s="85"/>
      <c r="D494" s="85"/>
      <c r="E494" s="86"/>
      <c r="F494" s="16">
        <f>IF(E494="","",DATEDIF(E494,$I$7,"Y"))</f>
      </c>
      <c r="G494" s="85"/>
      <c r="H494" s="85"/>
      <c r="I494" s="87"/>
      <c r="J494" s="85"/>
      <c r="K494" s="85"/>
      <c r="L494" s="10"/>
      <c r="M494" s="10"/>
      <c r="N494" s="10"/>
      <c r="O494" s="10"/>
      <c r="P494" s="85"/>
      <c r="Q494" s="88"/>
      <c r="R494" s="3">
        <f>IFERROR(VLOOKUP(TablaMayo[[#This Row],[BARRIO]],SECTOR!$A:$B,2,0),"")</f>
      </c>
      <c r="S494" s="89"/>
      <c r="T494" s="90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6"/>
      <c r="AZ494" s="120">
        <f>COUNTIF(U494:AY494,"A")</f>
      </c>
      <c r="BA494" s="121">
        <f>COUNTIF(U494:AY494,"F")</f>
      </c>
      <c r="BB494" s="119">
        <f>COUNTIF(U494:AY494,"E")</f>
      </c>
    </row>
    <row r="495" spans="1:54" x14ac:dyDescent="0.2">
      <c r="A495" s="84"/>
      <c r="B495" s="85"/>
      <c r="C495" s="85"/>
      <c r="D495" s="85"/>
      <c r="E495" s="86"/>
      <c r="F495" s="16">
        <f>IF(E495="","",DATEDIF(E495,$I$7,"Y"))</f>
      </c>
      <c r="G495" s="85"/>
      <c r="H495" s="85"/>
      <c r="I495" s="87"/>
      <c r="J495" s="85"/>
      <c r="K495" s="85"/>
      <c r="L495" s="10"/>
      <c r="M495" s="10"/>
      <c r="N495" s="10"/>
      <c r="O495" s="10"/>
      <c r="P495" s="85"/>
      <c r="Q495" s="88"/>
      <c r="R495" s="3">
        <f>IFERROR(VLOOKUP(TablaMayo[[#This Row],[BARRIO]],SECTOR!$A:$B,2,0),"")</f>
      </c>
      <c r="S495" s="89"/>
      <c r="T495" s="90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6"/>
      <c r="AZ495" s="120">
        <f>COUNTIF(U495:AY495,"A")</f>
      </c>
      <c r="BA495" s="121">
        <f>COUNTIF(U495:AY495,"F")</f>
      </c>
      <c r="BB495" s="119">
        <f>COUNTIF(U495:AY495,"E")</f>
      </c>
    </row>
    <row r="496" spans="1:54" x14ac:dyDescent="0.2">
      <c r="A496" s="84"/>
      <c r="B496" s="85"/>
      <c r="C496" s="85"/>
      <c r="D496" s="85"/>
      <c r="E496" s="86"/>
      <c r="F496" s="16">
        <f>IF(E496="","",DATEDIF(E496,$I$7,"Y"))</f>
      </c>
      <c r="G496" s="85"/>
      <c r="H496" s="85"/>
      <c r="I496" s="87"/>
      <c r="J496" s="85"/>
      <c r="K496" s="85"/>
      <c r="L496" s="10"/>
      <c r="M496" s="10"/>
      <c r="N496" s="10"/>
      <c r="O496" s="10"/>
      <c r="P496" s="85"/>
      <c r="Q496" s="88"/>
      <c r="R496" s="3">
        <f>IFERROR(VLOOKUP(TablaMayo[[#This Row],[BARRIO]],SECTOR!$A:$B,2,0),"")</f>
      </c>
      <c r="S496" s="89"/>
      <c r="T496" s="90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6"/>
      <c r="AZ496" s="120">
        <f>COUNTIF(U496:AY496,"A")</f>
      </c>
      <c r="BA496" s="121">
        <f>COUNTIF(U496:AY496,"F")</f>
      </c>
      <c r="BB496" s="119">
        <f>COUNTIF(U496:AY496,"E")</f>
      </c>
    </row>
    <row r="497" spans="1:54" x14ac:dyDescent="0.2">
      <c r="A497" s="84"/>
      <c r="B497" s="85"/>
      <c r="C497" s="85"/>
      <c r="D497" s="85"/>
      <c r="E497" s="86"/>
      <c r="F497" s="16">
        <f>IF(E497="","",DATEDIF(E497,$I$7,"Y"))</f>
      </c>
      <c r="G497" s="85"/>
      <c r="H497" s="85"/>
      <c r="I497" s="87"/>
      <c r="J497" s="85"/>
      <c r="K497" s="85"/>
      <c r="L497" s="10"/>
      <c r="M497" s="10"/>
      <c r="N497" s="10"/>
      <c r="O497" s="10"/>
      <c r="P497" s="85"/>
      <c r="Q497" s="88"/>
      <c r="R497" s="3">
        <f>IFERROR(VLOOKUP(TablaMayo[[#This Row],[BARRIO]],SECTOR!$A:$B,2,0),"")</f>
      </c>
      <c r="S497" s="89"/>
      <c r="T497" s="90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6"/>
      <c r="AZ497" s="120">
        <f>COUNTIF(U497:AY497,"A")</f>
      </c>
      <c r="BA497" s="121">
        <f>COUNTIF(U497:AY497,"F")</f>
      </c>
      <c r="BB497" s="119">
        <f>COUNTIF(U497:AY497,"E")</f>
      </c>
    </row>
    <row r="498" spans="1:54" x14ac:dyDescent="0.2">
      <c r="A498" s="84"/>
      <c r="B498" s="85"/>
      <c r="C498" s="85"/>
      <c r="D498" s="85"/>
      <c r="E498" s="86"/>
      <c r="F498" s="16">
        <f>IF(E498="","",DATEDIF(E498,$I$7,"Y"))</f>
      </c>
      <c r="G498" s="85"/>
      <c r="H498" s="85"/>
      <c r="I498" s="87"/>
      <c r="J498" s="85"/>
      <c r="K498" s="85"/>
      <c r="L498" s="10"/>
      <c r="M498" s="10"/>
      <c r="N498" s="10"/>
      <c r="O498" s="10"/>
      <c r="P498" s="85"/>
      <c r="Q498" s="88"/>
      <c r="R498" s="3">
        <f>IFERROR(VLOOKUP(TablaMayo[[#This Row],[BARRIO]],SECTOR!$A:$B,2,0),"")</f>
      </c>
      <c r="S498" s="89"/>
      <c r="T498" s="90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6"/>
      <c r="AZ498" s="120">
        <f>COUNTIF(U498:AY498,"A")</f>
      </c>
      <c r="BA498" s="121">
        <f>COUNTIF(U498:AY498,"F")</f>
      </c>
      <c r="BB498" s="119">
        <f>COUNTIF(U498:AY498,"E")</f>
      </c>
    </row>
    <row r="499" spans="1:54" x14ac:dyDescent="0.2">
      <c r="A499" s="84"/>
      <c r="B499" s="85"/>
      <c r="C499" s="85"/>
      <c r="D499" s="85"/>
      <c r="E499" s="86"/>
      <c r="F499" s="16">
        <f>IF(E499="","",DATEDIF(E499,$I$7,"Y"))</f>
      </c>
      <c r="G499" s="85"/>
      <c r="H499" s="85"/>
      <c r="I499" s="87"/>
      <c r="J499" s="85"/>
      <c r="K499" s="85"/>
      <c r="L499" s="10"/>
      <c r="M499" s="10"/>
      <c r="N499" s="10"/>
      <c r="O499" s="10"/>
      <c r="P499" s="85"/>
      <c r="Q499" s="88"/>
      <c r="R499" s="3">
        <f>IFERROR(VLOOKUP(TablaMayo[[#This Row],[BARRIO]],SECTOR!$A:$B,2,0),"")</f>
      </c>
      <c r="S499" s="89"/>
      <c r="T499" s="90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6"/>
      <c r="AZ499" s="120">
        <f>COUNTIF(U499:AY499,"A")</f>
      </c>
      <c r="BA499" s="121">
        <f>COUNTIF(U499:AY499,"F")</f>
      </c>
      <c r="BB499" s="119">
        <f>COUNTIF(U499:AY499,"E")</f>
      </c>
    </row>
    <row r="500" spans="1:54" x14ac:dyDescent="0.2">
      <c r="A500" s="84"/>
      <c r="B500" s="85"/>
      <c r="C500" s="85"/>
      <c r="D500" s="85"/>
      <c r="E500" s="86"/>
      <c r="F500" s="16">
        <f>IF(E500="","",DATEDIF(E500,$I$7,"Y"))</f>
      </c>
      <c r="G500" s="85"/>
      <c r="H500" s="85"/>
      <c r="I500" s="87"/>
      <c r="J500" s="85"/>
      <c r="K500" s="85"/>
      <c r="L500" s="10"/>
      <c r="M500" s="10"/>
      <c r="N500" s="10"/>
      <c r="O500" s="10"/>
      <c r="P500" s="85"/>
      <c r="Q500" s="88"/>
      <c r="R500" s="3">
        <f>IFERROR(VLOOKUP(TablaMayo[[#This Row],[BARRIO]],SECTOR!$A:$B,2,0),"")</f>
      </c>
      <c r="S500" s="89"/>
      <c r="T500" s="90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6"/>
      <c r="AZ500" s="120">
        <f>COUNTIF(U500:AY500,"A")</f>
      </c>
      <c r="BA500" s="121">
        <f>COUNTIF(U500:AY500,"F")</f>
      </c>
      <c r="BB500" s="119">
        <f>COUNTIF(U500:AY500,"E")</f>
      </c>
    </row>
    <row r="501" spans="1:54" x14ac:dyDescent="0.2">
      <c r="A501" s="84"/>
      <c r="B501" s="85"/>
      <c r="C501" s="85"/>
      <c r="D501" s="85"/>
      <c r="E501" s="86"/>
      <c r="F501" s="16">
        <f>IF(E501="","",DATEDIF(E501,$I$7,"Y"))</f>
      </c>
      <c r="G501" s="85"/>
      <c r="H501" s="85"/>
      <c r="I501" s="87"/>
      <c r="J501" s="85"/>
      <c r="K501" s="85"/>
      <c r="L501" s="10"/>
      <c r="M501" s="10"/>
      <c r="N501" s="10"/>
      <c r="O501" s="10"/>
      <c r="P501" s="85"/>
      <c r="Q501" s="88"/>
      <c r="R501" s="3">
        <f>IFERROR(VLOOKUP(TablaMayo[[#This Row],[BARRIO]],SECTOR!$A:$B,2,0),"")</f>
      </c>
      <c r="S501" s="89"/>
      <c r="T501" s="90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6"/>
      <c r="AZ501" s="120">
        <f>COUNTIF(U501:AY501,"A")</f>
      </c>
      <c r="BA501" s="121">
        <f>COUNTIF(U501:AY501,"F")</f>
      </c>
      <c r="BB501" s="119">
        <f>COUNTIF(U501:AY501,"E")</f>
      </c>
    </row>
    <row r="502" spans="1:54" x14ac:dyDescent="0.2">
      <c r="A502" s="84"/>
      <c r="B502" s="85"/>
      <c r="C502" s="85"/>
      <c r="D502" s="85"/>
      <c r="E502" s="86"/>
      <c r="F502" s="16">
        <f>IF(E502="","",DATEDIF(E502,$I$7,"Y"))</f>
      </c>
      <c r="G502" s="85"/>
      <c r="H502" s="85"/>
      <c r="I502" s="87"/>
      <c r="J502" s="85"/>
      <c r="K502" s="85"/>
      <c r="L502" s="10"/>
      <c r="M502" s="10"/>
      <c r="N502" s="10"/>
      <c r="O502" s="10"/>
      <c r="P502" s="85"/>
      <c r="Q502" s="88"/>
      <c r="R502" s="3">
        <f>IFERROR(VLOOKUP(TablaMayo[[#This Row],[BARRIO]],SECTOR!$A:$B,2,0),"")</f>
      </c>
      <c r="S502" s="89"/>
      <c r="T502" s="90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6"/>
      <c r="AZ502" s="120">
        <f>COUNTIF(U502:AY502,"A")</f>
      </c>
      <c r="BA502" s="121">
        <f>COUNTIF(U502:AY502,"F")</f>
      </c>
      <c r="BB502" s="119">
        <f>COUNTIF(U502:AY502,"E")</f>
      </c>
    </row>
    <row r="503" spans="1:54" x14ac:dyDescent="0.2">
      <c r="A503" s="84"/>
      <c r="B503" s="85"/>
      <c r="C503" s="85"/>
      <c r="D503" s="85"/>
      <c r="E503" s="86"/>
      <c r="F503" s="16">
        <f>IF(E503="","",DATEDIF(E503,$I$7,"Y"))</f>
      </c>
      <c r="G503" s="85"/>
      <c r="H503" s="85"/>
      <c r="I503" s="87"/>
      <c r="J503" s="85"/>
      <c r="K503" s="85"/>
      <c r="L503" s="10"/>
      <c r="M503" s="10"/>
      <c r="N503" s="10"/>
      <c r="O503" s="10"/>
      <c r="P503" s="85"/>
      <c r="Q503" s="88"/>
      <c r="R503" s="3">
        <f>IFERROR(VLOOKUP(TablaMayo[[#This Row],[BARRIO]],SECTOR!$A:$B,2,0),"")</f>
      </c>
      <c r="S503" s="89"/>
      <c r="T503" s="90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6"/>
      <c r="AZ503" s="120">
        <f>COUNTIF(U503:AY503,"A")</f>
      </c>
      <c r="BA503" s="121">
        <f>COUNTIF(U503:AY503,"F")</f>
      </c>
      <c r="BB503" s="119">
        <f>COUNTIF(U503:AY503,"E")</f>
      </c>
    </row>
    <row r="504" spans="1:54" x14ac:dyDescent="0.2">
      <c r="A504" s="100"/>
      <c r="B504" s="101"/>
      <c r="C504" s="101"/>
      <c r="D504" s="101"/>
      <c r="E504" s="102"/>
      <c r="F504" s="31">
        <f>IF(E504="","",DATEDIF(E504,$I$7,"Y"))</f>
      </c>
      <c r="G504" s="101"/>
      <c r="H504" s="101"/>
      <c r="I504" s="103"/>
      <c r="J504" s="101"/>
      <c r="K504" s="101"/>
      <c r="L504" s="10"/>
      <c r="M504" s="10"/>
      <c r="N504" s="10"/>
      <c r="O504" s="10"/>
      <c r="P504" s="101"/>
      <c r="Q504" s="91"/>
      <c r="R504" s="14">
        <f>IFERROR(VLOOKUP(TablaMayo[[#This Row],[BARRIO]],SECTOR!$A:$B,2,0),"")</f>
      </c>
      <c r="S504" s="104"/>
      <c r="T504" s="10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7"/>
      <c r="AZ504" s="120">
        <f>COUNTIF(U504:AY504,"A")</f>
      </c>
      <c r="BA504" s="121">
        <f>COUNTIF(U504:AY504,"F")</f>
      </c>
      <c r="BB504" s="118">
        <f>COUNTIF(U504:AY504,"E")</f>
      </c>
    </row>
  </sheetData>
  <sheetProtection sheet="1" objects="1" scenarios="1" autoFilter="0"/>
  <mergeCells count="137">
    <mergeCell ref="B2:B5"/>
    <mergeCell ref="C2:I2"/>
    <mergeCell ref="C3:G3"/>
    <mergeCell ref="C4:G4"/>
    <mergeCell ref="C5:G5"/>
    <mergeCell ref="B7:C7"/>
    <mergeCell ref="D7:G7"/>
    <mergeCell ref="W7:AE7"/>
    <mergeCell ref="AG7:AH7"/>
    <mergeCell ref="AI7:AM7"/>
    <mergeCell ref="AO7:AQ7"/>
    <mergeCell ref="B8:C8"/>
    <mergeCell ref="D8:G8"/>
    <mergeCell ref="S8:T8"/>
    <mergeCell ref="W8:AA8"/>
    <mergeCell ref="AB8:AC8"/>
    <mergeCell ref="AD8:AH8"/>
    <mergeCell ref="AK8:AR8"/>
    <mergeCell ref="AS8:BB8"/>
    <mergeCell ref="B9:C9"/>
    <mergeCell ref="D9:G9"/>
    <mergeCell ref="W9:Y9"/>
    <mergeCell ref="Z9:AA9"/>
    <mergeCell ref="AD9:AF9"/>
    <mergeCell ref="AG9:AH9"/>
    <mergeCell ref="AK9:AL9"/>
    <mergeCell ref="AM9:AN9"/>
    <mergeCell ref="AO9:AP9"/>
    <mergeCell ref="AQ9:AR9"/>
    <mergeCell ref="AS9:BB9"/>
    <mergeCell ref="B10:C10"/>
    <mergeCell ref="D10:G10"/>
    <mergeCell ref="W10:Y10"/>
    <mergeCell ref="Z10:AA10"/>
    <mergeCell ref="AD10:AF10"/>
    <mergeCell ref="AG10:AH10"/>
    <mergeCell ref="AK10:AL10"/>
    <mergeCell ref="AM10:AN10"/>
    <mergeCell ref="AO10:AP10"/>
    <mergeCell ref="AQ10:AR10"/>
    <mergeCell ref="AS10:BB10"/>
    <mergeCell ref="W11:Y11"/>
    <mergeCell ref="Z11:AA11"/>
    <mergeCell ref="AD11:AF11"/>
    <mergeCell ref="AG11:AH11"/>
    <mergeCell ref="AK11:AL11"/>
    <mergeCell ref="AM11:AN11"/>
    <mergeCell ref="AO11:AP11"/>
    <mergeCell ref="AQ11:AR11"/>
    <mergeCell ref="AS11:BB13"/>
    <mergeCell ref="AQ12:AR12"/>
    <mergeCell ref="AQ13:AR13"/>
    <mergeCell ref="B12:B18"/>
    <mergeCell ref="C12:I12"/>
    <mergeCell ref="W12:Y12"/>
    <mergeCell ref="Z12:AA12"/>
    <mergeCell ref="AD12:AF12"/>
    <mergeCell ref="AG12:AH12"/>
    <mergeCell ref="AK12:AL12"/>
    <mergeCell ref="AM12:AN12"/>
    <mergeCell ref="AO12:AP12"/>
    <mergeCell ref="F13:G13"/>
    <mergeCell ref="O13:Q13"/>
    <mergeCell ref="W13:Y13"/>
    <mergeCell ref="Z13:AA13"/>
    <mergeCell ref="AD13:AF13"/>
    <mergeCell ref="AG13:AH13"/>
    <mergeCell ref="AK13:AL13"/>
    <mergeCell ref="AM13:AN13"/>
    <mergeCell ref="AO13:AP13"/>
    <mergeCell ref="C14:C15"/>
    <mergeCell ref="D14:D15"/>
    <mergeCell ref="F14:G15"/>
    <mergeCell ref="H14:H15"/>
    <mergeCell ref="I14:I15"/>
    <mergeCell ref="K14:K15"/>
    <mergeCell ref="L14:L15"/>
    <mergeCell ref="AX15:BA16"/>
    <mergeCell ref="C16:I16"/>
    <mergeCell ref="K16:K17"/>
    <mergeCell ref="L16:L17"/>
    <mergeCell ref="O16:P16"/>
    <mergeCell ref="W16:Y16"/>
    <mergeCell ref="AM14:AN14"/>
    <mergeCell ref="AO14:AP14"/>
    <mergeCell ref="AQ14:AR14"/>
    <mergeCell ref="AV14:AW14"/>
    <mergeCell ref="O15:P15"/>
    <mergeCell ref="W15:Y15"/>
    <mergeCell ref="Z15:AA15"/>
    <mergeCell ref="AD15:AF15"/>
    <mergeCell ref="AG15:AH15"/>
    <mergeCell ref="AK15:AL15"/>
    <mergeCell ref="O14:P14"/>
    <mergeCell ref="W14:Y14"/>
    <mergeCell ref="Z14:AA14"/>
    <mergeCell ref="AD14:AF14"/>
    <mergeCell ref="AG14:AH14"/>
    <mergeCell ref="AK14:AL14"/>
    <mergeCell ref="Z16:AA16"/>
    <mergeCell ref="AD16:AF16"/>
    <mergeCell ref="AG16:AH16"/>
    <mergeCell ref="AK16:AL16"/>
    <mergeCell ref="AM16:AN16"/>
    <mergeCell ref="AV16:AW16"/>
    <mergeCell ref="AM15:AN15"/>
    <mergeCell ref="AO15:AP15"/>
    <mergeCell ref="AQ15:AR15"/>
    <mergeCell ref="AV15:AW15"/>
    <mergeCell ref="AD17:AF17"/>
    <mergeCell ref="AG17:AH17"/>
    <mergeCell ref="AN17:AP17"/>
    <mergeCell ref="AV17:AW17"/>
    <mergeCell ref="AX17:AZ17"/>
    <mergeCell ref="C18:D18"/>
    <mergeCell ref="E18:G18"/>
    <mergeCell ref="H18:I18"/>
    <mergeCell ref="O18:P18"/>
    <mergeCell ref="W18:Y18"/>
    <mergeCell ref="C17:D17"/>
    <mergeCell ref="E17:G17"/>
    <mergeCell ref="H17:I17"/>
    <mergeCell ref="O17:P17"/>
    <mergeCell ref="W17:Y17"/>
    <mergeCell ref="Z17:AA17"/>
    <mergeCell ref="U21:AY22"/>
    <mergeCell ref="AZ21:BB22"/>
    <mergeCell ref="Z18:AA18"/>
    <mergeCell ref="AN18:AP18"/>
    <mergeCell ref="AV18:AW18"/>
    <mergeCell ref="AX18:AZ18"/>
    <mergeCell ref="K19:L19"/>
    <mergeCell ref="O19:P19"/>
    <mergeCell ref="W19:Y19"/>
    <mergeCell ref="Z19:AA19"/>
    <mergeCell ref="AV19:AW19"/>
    <mergeCell ref="AX19:AZ19"/>
  </mergeCells>
  <dataValidations count="12">
    <dataValidation type="custom" allowBlank="1" showInputMessage="1" showErrorMessage="1" errorTitle="SÓLO MAYÚSCULA" sqref="S24:S504">
      <formula1>EXACT(S24, UPPER(S24))</formula1>
    </dataValidation>
    <dataValidation type="custom" allowBlank="1" showInputMessage="1" showErrorMessage="1" errorTitle="SÓLO MAÚSCULA" sqref="P24:P504">
      <formula1>EXACT(P24, UPPER(P24))</formula1>
    </dataValidation>
    <dataValidation type="custom" allowBlank="1" showInputMessage="1" showErrorMessage="1" errorTitle="ERROR" error="SÓLO MAYÚSCULAS" sqref="B24:D504 J24:J504">
      <formula1>EXACT(B24, UPPER(B24))</formula1>
    </dataValidation>
    <dataValidation type="list" allowBlank="1" showInputMessage="1" showErrorMessage="1" sqref="N24:N504">
      <formula1>"SI, NO"</formula1>
    </dataValidation>
    <dataValidation type="list" allowBlank="1" showInputMessage="1" showErrorMessage="1" sqref="G24:G504">
      <formula1>"R.C, T.I, C.C, C.E, PPT, PEP, NES"</formula1>
    </dataValidation>
    <dataValidation type="list" allowBlank="1" showInputMessage="1" showErrorMessage="1" sqref="I24:I504">
      <formula1>"HOMBRE, MUJER"</formula1>
    </dataValidation>
    <dataValidation type="list" allowBlank="1" showInputMessage="1" showErrorMessage="1" sqref="L24:L504">
      <formula1>"OLFATIVA Y TACTO, MENTAL, MOVILIDAD, MULTIPLE, ORAL, PSICOSOCIAL, VISUAL, VOZ Y HABLA, NO SABE NOMBRARLA, N/A"</formula1>
    </dataValidation>
    <dataValidation type="list" allowBlank="1" showInputMessage="1" showErrorMessage="1" sqref="M24:M504">
      <formula1>"HETEROSEXUAL, LESBIANA, ASEXUAL, BISEXUAL, GAY, INTERSEXUAL, NO BINARIO, PANSEXUAL, QUEER, TRANSEXUAL O TRANSGÉNERO, OTRO"</formula1>
    </dataValidation>
    <dataValidation type="list" allowBlank="1" showInputMessage="1" showErrorMessage="1" sqref="O24:O504">
      <formula1>"AFROCOLOMBIANO, INDÍGENA, MESTIZO, MULATO, NO SABE NO RESPONDE, OTRO, PALENQUERO, RAIZAL, ROM GITANO"</formula1>
    </dataValidation>
    <dataValidation type="list" allowBlank="1" showInputMessage="1" showErrorMessage="1" sqref="O23">
      <formula1>"AFRO, INDIGENA, MESTIZA"</formula1>
    </dataValidation>
    <dataValidation type="list" allowBlank="1" showErrorMessage="1" sqref="AI7">
      <formula1>$BH$11:$BH$23</formula1>
    </dataValidation>
    <dataValidation type="list" allowBlank="1" showInputMessage="1" showErrorMessage="1" sqref="Q24:Q504">
      <formula1>SECTOR!$A$2:$A$83</formula1>
    </dataValidation>
  </dataValidations>
  <pageMargins left="0.7" right="0.7" top="0.75" bottom="0.75" header="0.3" footer="0.3"/>
  <pageSetup orientation="portrait"/>
  <ignoredErrors>
    <ignoredError sqref="O23" listDataValidation="1"/>
  </ignoredErrors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2:BB504"/>
  <sheetViews>
    <sheetView showGridLines="0" zoomScaleNormal="100" workbookViewId="0">
      <selection activeCell="A24" sqref="A24"/>
    </sheetView>
  </sheetViews>
  <sheetFormatPr defaultColWidth="9.14453125" defaultRowHeight="15" x14ac:dyDescent="0.2"/>
  <cols>
    <col min="1" max="1" width="6.1875" style="34" customWidth="1"/>
    <col min="2" max="2" width="21.7890625" style="34" customWidth="1"/>
    <col min="3" max="3" width="21.65625" style="34" customWidth="1"/>
    <col min="4" max="4" width="21.7890625" style="34" customWidth="1"/>
    <col min="5" max="5" width="19.50390625" style="34" customWidth="1"/>
    <col min="6" max="6" width="11.1640625" style="34" customWidth="1"/>
    <col min="7" max="7" width="11.56640625" style="34" customWidth="1"/>
    <col min="8" max="8" width="18.4296875" style="34" customWidth="1"/>
    <col min="9" max="9" width="22.59765625" style="34" customWidth="1"/>
    <col min="10" max="10" width="35.109375" style="34" customWidth="1"/>
    <col min="11" max="11" width="11.43359375" style="34" customWidth="1"/>
    <col min="12" max="12" width="16.8125" style="34" customWidth="1"/>
    <col min="13" max="14" width="10.22265625" style="34" customWidth="1"/>
    <col min="15" max="15" width="23.9453125" style="34" bestFit="1" customWidth="1"/>
    <col min="16" max="16" width="23.40625" style="34" customWidth="1"/>
    <col min="17" max="17" width="18.0234375" style="34" customWidth="1"/>
    <col min="18" max="18" width="16.6796875" style="34" customWidth="1"/>
    <col min="19" max="19" width="18.6953125" style="34" bestFit="1" customWidth="1"/>
    <col min="20" max="20" width="17.62109375" style="34" customWidth="1"/>
    <col min="21" max="35" width="5.91796875" style="34" customWidth="1"/>
    <col min="36" max="36" width="6.05078125" style="34" customWidth="1"/>
    <col min="37" max="54" width="5.91796875" style="34" customWidth="1"/>
    <col min="55" max="55" width="9.14453125" style="34"/>
    <col min="56" max="56" width="13.5859375" style="34" bestFit="1" customWidth="1"/>
    <col min="57" max="59" width="10.76171875" style="34" bestFit="1" customWidth="1"/>
    <col min="60" max="16384" width="9.14453125" style="34"/>
  </cols>
  <sheetData>
    <row r="2" spans="1:54" x14ac:dyDescent="0.2">
      <c r="B2" s="244"/>
      <c r="C2" s="247" t="s">
        <v>0</v>
      </c>
      <c r="D2" s="248"/>
      <c r="E2" s="248"/>
      <c r="F2" s="248"/>
      <c r="G2" s="248"/>
      <c r="H2" s="248"/>
      <c r="I2" s="249"/>
    </row>
    <row r="3" spans="1:54" x14ac:dyDescent="0.2">
      <c r="B3" s="245"/>
      <c r="C3" s="250" t="s">
        <v>1</v>
      </c>
      <c r="D3" s="251"/>
      <c r="E3" s="251"/>
      <c r="F3" s="251"/>
      <c r="G3" s="252"/>
      <c r="H3" s="35" t="s">
        <v>2</v>
      </c>
      <c r="I3" s="35" t="s">
        <v>3</v>
      </c>
    </row>
    <row r="4" spans="1:54" x14ac:dyDescent="0.2">
      <c r="B4" s="245"/>
      <c r="C4" s="250" t="s">
        <v>4</v>
      </c>
      <c r="D4" s="251"/>
      <c r="E4" s="251"/>
      <c r="F4" s="251"/>
      <c r="G4" s="252"/>
      <c r="H4" s="35" t="s">
        <v>5</v>
      </c>
      <c r="I4" s="36" t="s">
        <v>6</v>
      </c>
    </row>
    <row r="5" spans="1:54" ht="60" customHeight="1" x14ac:dyDescent="0.2">
      <c r="B5" s="246"/>
      <c r="C5" s="253" t="s">
        <v>7</v>
      </c>
      <c r="D5" s="254"/>
      <c r="E5" s="254"/>
      <c r="F5" s="254"/>
      <c r="G5" s="255"/>
      <c r="H5" s="35" t="s">
        <v>8</v>
      </c>
      <c r="I5" s="37">
        <v>46073</v>
      </c>
    </row>
    <row r="7" spans="1:54" ht="22.5" customHeight="1" x14ac:dyDescent="0.2">
      <c r="A7" s="13"/>
      <c r="B7" s="256" t="s">
        <v>9</v>
      </c>
      <c r="C7" s="257"/>
      <c r="D7" s="230"/>
      <c r="E7" s="231"/>
      <c r="F7" s="231"/>
      <c r="G7" s="232"/>
      <c r="H7" s="38"/>
      <c r="I7" s="39"/>
      <c r="J7" s="40"/>
      <c r="K7" s="40"/>
      <c r="L7" s="12"/>
      <c r="M7" s="12"/>
      <c r="N7" s="12"/>
      <c r="O7" s="12"/>
      <c r="P7" s="12"/>
      <c r="Q7" s="12"/>
      <c r="R7" s="12"/>
      <c r="S7" s="12"/>
      <c r="T7" s="41"/>
      <c r="U7" s="42"/>
      <c r="V7" s="42"/>
      <c r="W7" s="258"/>
      <c r="X7" s="258"/>
      <c r="Y7" s="258"/>
      <c r="Z7" s="258"/>
      <c r="AA7" s="258"/>
      <c r="AB7" s="258"/>
      <c r="AC7" s="258"/>
      <c r="AD7" s="258"/>
      <c r="AE7" s="258"/>
      <c r="AF7" s="13"/>
      <c r="AG7" s="234"/>
      <c r="AH7" s="152"/>
      <c r="AI7" s="233"/>
      <c r="AJ7" s="152"/>
      <c r="AK7" s="152"/>
      <c r="AL7" s="152"/>
      <c r="AM7" s="152"/>
      <c r="AN7" s="13"/>
      <c r="AO7" s="234"/>
      <c r="AP7" s="152"/>
      <c r="AQ7" s="152"/>
      <c r="AR7" s="44"/>
      <c r="AS7" s="45"/>
      <c r="AT7" s="45"/>
      <c r="AU7" s="45"/>
      <c r="AV7" s="45"/>
      <c r="AW7" s="45"/>
      <c r="AX7" s="45"/>
      <c r="AY7" s="12"/>
      <c r="AZ7" s="13"/>
      <c r="BA7" s="13"/>
      <c r="BB7" s="13"/>
    </row>
    <row r="8" spans="1:54" ht="21.75" customHeight="1" x14ac:dyDescent="0.2">
      <c r="A8" s="13"/>
      <c r="B8" s="235" t="s">
        <v>10</v>
      </c>
      <c r="C8" s="236"/>
      <c r="D8" s="223"/>
      <c r="E8" s="224"/>
      <c r="F8" s="224"/>
      <c r="G8" s="225"/>
      <c r="H8" s="11"/>
      <c r="I8" s="11"/>
      <c r="J8" s="11"/>
      <c r="K8" s="11"/>
      <c r="L8" s="12"/>
      <c r="M8" s="12"/>
      <c r="N8" s="12"/>
      <c r="O8" s="12"/>
      <c r="P8" s="12"/>
      <c r="Q8" s="12"/>
      <c r="R8" s="12"/>
      <c r="S8" s="237" t="s">
        <v>11</v>
      </c>
      <c r="T8" s="238"/>
      <c r="U8" s="13"/>
      <c r="V8" s="13"/>
      <c r="W8" s="239" t="s">
        <v>12</v>
      </c>
      <c r="X8" s="239"/>
      <c r="Y8" s="239"/>
      <c r="Z8" s="239"/>
      <c r="AA8" s="239"/>
      <c r="AB8" s="240"/>
      <c r="AC8" s="152"/>
      <c r="AD8" s="241" t="s">
        <v>13</v>
      </c>
      <c r="AE8" s="241"/>
      <c r="AF8" s="241"/>
      <c r="AG8" s="241"/>
      <c r="AH8" s="241"/>
      <c r="AI8" s="12"/>
      <c r="AJ8" s="12"/>
      <c r="AK8" s="242" t="s">
        <v>14</v>
      </c>
      <c r="AL8" s="243"/>
      <c r="AM8" s="243"/>
      <c r="AN8" s="243"/>
      <c r="AO8" s="243"/>
      <c r="AP8" s="243"/>
      <c r="AQ8" s="243"/>
      <c r="AR8" s="243"/>
      <c r="AS8" s="183"/>
      <c r="AT8" s="183"/>
      <c r="AU8" s="183"/>
      <c r="AV8" s="183"/>
      <c r="AW8" s="183"/>
      <c r="AX8" s="183"/>
      <c r="AY8" s="183"/>
      <c r="AZ8" s="183"/>
      <c r="BA8" s="183"/>
      <c r="BB8" s="183"/>
    </row>
    <row r="9" spans="1:54" ht="20.25" customHeight="1" x14ac:dyDescent="0.2">
      <c r="A9" s="13"/>
      <c r="B9" s="228" t="s">
        <v>15</v>
      </c>
      <c r="C9" s="229"/>
      <c r="D9" s="230"/>
      <c r="E9" s="231"/>
      <c r="F9" s="231"/>
      <c r="G9" s="232"/>
      <c r="H9" s="13"/>
      <c r="I9" s="13"/>
      <c r="J9" s="12"/>
      <c r="K9" s="12"/>
      <c r="L9" s="12"/>
      <c r="M9" s="12"/>
      <c r="N9" s="12"/>
      <c r="O9" s="12"/>
      <c r="P9" s="12"/>
      <c r="Q9" s="12"/>
      <c r="R9" s="12"/>
      <c r="S9" s="46" t="s">
        <v>16</v>
      </c>
      <c r="T9" s="114">
        <f>COUNTIFS(TablaJunio[TIPO DISCAPACIDAD], S9)</f>
      </c>
      <c r="U9" s="13"/>
      <c r="V9" s="13"/>
      <c r="W9" s="164" t="s">
        <v>17</v>
      </c>
      <c r="X9" s="164"/>
      <c r="Y9" s="164"/>
      <c r="Z9" s="147">
        <f>COUNTIFS(TablaJunio[ORI. SEXUAL], W9)</f>
      </c>
      <c r="AA9" s="148"/>
      <c r="AB9" s="13"/>
      <c r="AC9" s="13"/>
      <c r="AD9" s="164" t="s">
        <v>18</v>
      </c>
      <c r="AE9" s="164"/>
      <c r="AF9" s="164"/>
      <c r="AG9" s="165">
        <f>COUNTIFS(TablaJunio[[ETNIA ]], AD9)</f>
      </c>
      <c r="AH9" s="165"/>
      <c r="AI9" s="12"/>
      <c r="AJ9" s="12"/>
      <c r="AK9" s="226">
        <v>1</v>
      </c>
      <c r="AL9" s="226"/>
      <c r="AM9" s="202">
        <f>COUNTIFS(TablaJunio[[ COMUNA]], AK9)</f>
      </c>
      <c r="AN9" s="202"/>
      <c r="AO9" s="227">
        <v>3</v>
      </c>
      <c r="AP9" s="227"/>
      <c r="AQ9" s="218">
        <f>COUNTIFS(TablaJunio[[ COMUNA]], AO9)</f>
      </c>
      <c r="AR9" s="218"/>
      <c r="AS9" s="183"/>
      <c r="AT9" s="183"/>
      <c r="AU9" s="183"/>
      <c r="AV9" s="183"/>
      <c r="AW9" s="183"/>
      <c r="AX9" s="183"/>
      <c r="AY9" s="183"/>
      <c r="AZ9" s="183"/>
      <c r="BA9" s="183"/>
      <c r="BB9" s="183"/>
    </row>
    <row r="10" spans="1:54" ht="21.75" customHeight="1" x14ac:dyDescent="0.2">
      <c r="A10" s="13"/>
      <c r="B10" s="221" t="s">
        <v>19</v>
      </c>
      <c r="C10" s="222"/>
      <c r="D10" s="223"/>
      <c r="E10" s="224"/>
      <c r="F10" s="224"/>
      <c r="G10" s="225"/>
      <c r="H10" s="13"/>
      <c r="I10" s="13"/>
      <c r="J10" s="12"/>
      <c r="K10" s="12"/>
      <c r="L10" s="12"/>
      <c r="M10" s="12"/>
      <c r="N10" s="12"/>
      <c r="O10" s="12"/>
      <c r="P10" s="12"/>
      <c r="Q10" s="12"/>
      <c r="R10" s="12"/>
      <c r="S10" s="47" t="s">
        <v>20</v>
      </c>
      <c r="T10" s="115">
        <f>COUNTIFS(TablaJunio[TIPO DISCAPACIDAD], S10)</f>
      </c>
      <c r="U10" s="13"/>
      <c r="V10" s="13"/>
      <c r="W10" s="164" t="s">
        <v>21</v>
      </c>
      <c r="X10" s="164"/>
      <c r="Y10" s="164"/>
      <c r="Z10" s="147">
        <f>COUNTIFS(TablaJunio[ORI. SEXUAL], W10)</f>
      </c>
      <c r="AA10" s="148"/>
      <c r="AB10" s="13"/>
      <c r="AC10" s="13"/>
      <c r="AD10" s="164" t="s">
        <v>22</v>
      </c>
      <c r="AE10" s="164"/>
      <c r="AF10" s="164"/>
      <c r="AG10" s="165">
        <f>COUNTIFS(TablaJunio[[ETNIA ]], AD10)</f>
      </c>
      <c r="AH10" s="165"/>
      <c r="AI10" s="12"/>
      <c r="AJ10" s="12"/>
      <c r="AK10" s="226">
        <v>2</v>
      </c>
      <c r="AL10" s="226"/>
      <c r="AM10" s="202">
        <f>COUNTIFS(TablaJunio[[ COMUNA]], AK10)</f>
      </c>
      <c r="AN10" s="202"/>
      <c r="AO10" s="227">
        <v>4</v>
      </c>
      <c r="AP10" s="227"/>
      <c r="AQ10" s="218">
        <f>COUNTIFS(TablaJunio[[ COMUNA]], AO10)</f>
      </c>
      <c r="AR10" s="218"/>
      <c r="AS10" s="183"/>
      <c r="AT10" s="183"/>
      <c r="AU10" s="183"/>
      <c r="AV10" s="183"/>
      <c r="AW10" s="183"/>
      <c r="AX10" s="183"/>
      <c r="AY10" s="183"/>
      <c r="AZ10" s="183"/>
      <c r="BA10" s="183"/>
      <c r="BB10" s="183"/>
    </row>
    <row r="11" spans="1:54" ht="26.25" customHeight="1" x14ac:dyDescent="0.2">
      <c r="A11" s="13"/>
      <c r="B11" s="13"/>
      <c r="C11" s="33"/>
      <c r="D11" s="33"/>
      <c r="E11" s="33"/>
      <c r="F11" s="33"/>
      <c r="G11" s="33"/>
      <c r="H11" s="33"/>
      <c r="I11" s="33"/>
      <c r="J11" s="33"/>
      <c r="K11" s="33"/>
      <c r="L11" s="12"/>
      <c r="M11" s="12"/>
      <c r="N11" s="12"/>
      <c r="O11" s="12"/>
      <c r="P11" s="12"/>
      <c r="Q11" s="12"/>
      <c r="R11" s="12"/>
      <c r="S11" s="47" t="s">
        <v>23</v>
      </c>
      <c r="T11" s="115">
        <f>COUNTIFS(TablaJunio[TIPO DISCAPACIDAD], S11)</f>
      </c>
      <c r="U11" s="13"/>
      <c r="V11" s="13"/>
      <c r="W11" s="164" t="s">
        <v>24</v>
      </c>
      <c r="X11" s="164"/>
      <c r="Y11" s="164"/>
      <c r="Z11" s="147">
        <f>COUNTIFS(TablaJunio[ORI. SEXUAL], W11)</f>
      </c>
      <c r="AA11" s="148"/>
      <c r="AB11" s="13"/>
      <c r="AC11" s="13"/>
      <c r="AD11" s="164" t="s">
        <v>25</v>
      </c>
      <c r="AE11" s="164"/>
      <c r="AF11" s="164"/>
      <c r="AG11" s="165">
        <f>COUNTIFS(TablaJunio[[ETNIA ]], AD11)</f>
      </c>
      <c r="AH11" s="165"/>
      <c r="AI11" s="13"/>
      <c r="AJ11" s="13"/>
      <c r="AK11" s="201" t="s">
        <v>26</v>
      </c>
      <c r="AL11" s="201"/>
      <c r="AM11" s="202">
        <f>COUNTIFS(TablaJunio[[ COMUNA]], AK11)</f>
      </c>
      <c r="AN11" s="202"/>
      <c r="AO11" s="219" t="s">
        <v>27</v>
      </c>
      <c r="AP11" s="219"/>
      <c r="AQ11" s="218">
        <f>COUNTIFS(TablaJunio[[ COMUNA]], AO11)</f>
      </c>
      <c r="AR11" s="218"/>
      <c r="AS11" s="220"/>
      <c r="AT11" s="220"/>
      <c r="AU11" s="220"/>
      <c r="AV11" s="220"/>
      <c r="AW11" s="220"/>
      <c r="AX11" s="220"/>
      <c r="AY11" s="220"/>
      <c r="AZ11" s="220"/>
      <c r="BA11" s="220"/>
      <c r="BB11" s="220"/>
    </row>
    <row r="12" spans="1:54" ht="26.25" customHeight="1" thickBot="1" x14ac:dyDescent="0.25">
      <c r="A12" s="13"/>
      <c r="B12" s="195" t="s">
        <v>28</v>
      </c>
      <c r="C12" s="198" t="s">
        <v>29</v>
      </c>
      <c r="D12" s="199"/>
      <c r="E12" s="199"/>
      <c r="F12" s="199"/>
      <c r="G12" s="199"/>
      <c r="H12" s="199"/>
      <c r="I12" s="200"/>
      <c r="L12" s="12"/>
      <c r="M12" s="12"/>
      <c r="N12" s="12"/>
      <c r="O12" s="12"/>
      <c r="P12" s="12"/>
      <c r="Q12" s="12"/>
      <c r="R12" s="12"/>
      <c r="S12" s="48" t="s">
        <v>30</v>
      </c>
      <c r="T12" s="115">
        <f>COUNTIFS(TablaJunio[TIPO DISCAPACIDAD], S12)</f>
      </c>
      <c r="U12" s="13"/>
      <c r="V12" s="13"/>
      <c r="W12" s="164" t="s">
        <v>31</v>
      </c>
      <c r="X12" s="164"/>
      <c r="Y12" s="164"/>
      <c r="Z12" s="147">
        <f>COUNTIFS(TablaJunio[ORI. SEXUAL], W12)</f>
      </c>
      <c r="AA12" s="148"/>
      <c r="AB12" s="13"/>
      <c r="AC12" s="13"/>
      <c r="AD12" s="164" t="s">
        <v>32</v>
      </c>
      <c r="AE12" s="164"/>
      <c r="AF12" s="164"/>
      <c r="AG12" s="165">
        <f>COUNTIFS(TablaJunio[[ETNIA ]], AD12)</f>
      </c>
      <c r="AH12" s="165"/>
      <c r="AI12" s="49"/>
      <c r="AJ12" s="49"/>
      <c r="AK12" s="201" t="s">
        <v>33</v>
      </c>
      <c r="AL12" s="201"/>
      <c r="AM12" s="202">
        <f>COUNTIFS(TablaJunio[[ COMUNA]], AK12)</f>
      </c>
      <c r="AN12" s="202"/>
      <c r="AO12" s="180"/>
      <c r="AP12" s="180"/>
      <c r="AQ12" s="183"/>
      <c r="AR12" s="183"/>
      <c r="AS12" s="220"/>
      <c r="AT12" s="220"/>
      <c r="AU12" s="220"/>
      <c r="AV12" s="220"/>
      <c r="AW12" s="220"/>
      <c r="AX12" s="220"/>
      <c r="AY12" s="220"/>
      <c r="AZ12" s="220"/>
      <c r="BA12" s="220"/>
      <c r="BB12" s="220"/>
    </row>
    <row r="13" spans="1:54" ht="29.25" customHeight="1" thickBot="1" x14ac:dyDescent="0.25">
      <c r="B13" s="196"/>
      <c r="C13" s="50" t="s">
        <v>34</v>
      </c>
      <c r="D13" s="51" t="s">
        <v>35</v>
      </c>
      <c r="E13" s="51" t="s">
        <v>36</v>
      </c>
      <c r="F13" s="203" t="s">
        <v>37</v>
      </c>
      <c r="G13" s="204"/>
      <c r="H13" s="52" t="s">
        <v>38</v>
      </c>
      <c r="I13" s="53" t="s">
        <v>39</v>
      </c>
      <c r="K13" s="54"/>
      <c r="L13" s="55"/>
      <c r="M13" s="12"/>
      <c r="N13" s="12"/>
      <c r="O13" s="205" t="s">
        <v>40</v>
      </c>
      <c r="P13" s="206"/>
      <c r="Q13" s="207"/>
      <c r="R13" s="56"/>
      <c r="S13" s="57" t="s">
        <v>41</v>
      </c>
      <c r="T13" s="115">
        <f>COUNTIFS(TablaJunio[TIPO DISCAPACIDAD], S13)</f>
      </c>
      <c r="U13" s="56"/>
      <c r="V13" s="56"/>
      <c r="W13" s="160" t="s">
        <v>42</v>
      </c>
      <c r="X13" s="160"/>
      <c r="Y13" s="160"/>
      <c r="Z13" s="147">
        <f>COUNTIFS(TablaJunio[ORI. SEXUAL], W13)</f>
      </c>
      <c r="AA13" s="148"/>
      <c r="AB13" s="58"/>
      <c r="AC13" s="59"/>
      <c r="AD13" s="208" t="s">
        <v>43</v>
      </c>
      <c r="AE13" s="208"/>
      <c r="AF13" s="208"/>
      <c r="AG13" s="165">
        <f>COUNTIFS(TablaJunio[[ETNIA ]], AD13)</f>
      </c>
      <c r="AH13" s="165"/>
      <c r="AI13" s="56"/>
      <c r="AJ13" s="56"/>
      <c r="AK13" s="209"/>
      <c r="AL13" s="209"/>
      <c r="AM13" s="182"/>
      <c r="AN13" s="182"/>
      <c r="AO13" s="180"/>
      <c r="AP13" s="180"/>
      <c r="AQ13" s="183"/>
      <c r="AR13" s="183"/>
      <c r="AS13" s="220"/>
      <c r="AT13" s="220"/>
      <c r="AU13" s="220"/>
      <c r="AV13" s="220"/>
      <c r="AW13" s="220"/>
      <c r="AX13" s="220"/>
      <c r="AY13" s="220"/>
      <c r="AZ13" s="220"/>
      <c r="BA13" s="220"/>
      <c r="BB13" s="220"/>
    </row>
    <row r="14" spans="1:54" ht="19.5" customHeight="1" thickBot="1" x14ac:dyDescent="0.25">
      <c r="A14" s="13"/>
      <c r="B14" s="196"/>
      <c r="C14" s="210"/>
      <c r="D14" s="210"/>
      <c r="E14" s="8"/>
      <c r="F14" s="212"/>
      <c r="G14" s="213"/>
      <c r="H14" s="210"/>
      <c r="I14" s="210"/>
      <c r="K14" s="216" t="s">
        <v>44</v>
      </c>
      <c r="L14" s="184">
        <f>COUNTIFS(TablaJunio[SEXO], K14)</f>
      </c>
      <c r="M14" s="12"/>
      <c r="N14" s="12"/>
      <c r="O14" s="158" t="s">
        <v>45</v>
      </c>
      <c r="P14" s="159"/>
      <c r="Q14" s="116">
        <f>COUNTIFS(TablaJunio[EDAD], "&lt;6")</f>
      </c>
      <c r="R14" s="56"/>
      <c r="S14" s="47" t="s">
        <v>46</v>
      </c>
      <c r="T14" s="115">
        <f>COUNTIFS(TablaJunio[TIPO DISCAPACIDAD], S14)</f>
      </c>
      <c r="U14" s="60"/>
      <c r="V14" s="56"/>
      <c r="W14" s="160" t="s">
        <v>47</v>
      </c>
      <c r="X14" s="160"/>
      <c r="Y14" s="160"/>
      <c r="Z14" s="147">
        <f>COUNTIFS(TablaJunio[ORI. SEXUAL], W14)</f>
      </c>
      <c r="AA14" s="148"/>
      <c r="AB14" s="13"/>
      <c r="AC14" s="13"/>
      <c r="AD14" s="164" t="s">
        <v>48</v>
      </c>
      <c r="AE14" s="164"/>
      <c r="AF14" s="164"/>
      <c r="AG14" s="165">
        <f>COUNTIFS(TablaJunio[[ETNIA ]], AD14)</f>
      </c>
      <c r="AH14" s="165"/>
      <c r="AI14" s="56"/>
      <c r="AJ14" s="56"/>
      <c r="AK14" s="194"/>
      <c r="AL14" s="194"/>
      <c r="AM14" s="182"/>
      <c r="AN14" s="182"/>
      <c r="AO14" s="180"/>
      <c r="AP14" s="180"/>
      <c r="AQ14" s="183"/>
      <c r="AR14" s="183"/>
      <c r="AV14" s="151"/>
      <c r="AW14" s="152"/>
      <c r="BB14" s="13"/>
    </row>
    <row r="15" spans="1:54" ht="19.5" customHeight="1" thickBot="1" x14ac:dyDescent="0.25">
      <c r="A15" s="13"/>
      <c r="B15" s="196"/>
      <c r="C15" s="211"/>
      <c r="D15" s="211"/>
      <c r="E15" s="9"/>
      <c r="F15" s="214"/>
      <c r="G15" s="215"/>
      <c r="H15" s="211"/>
      <c r="I15" s="211"/>
      <c r="K15" s="217"/>
      <c r="L15" s="185"/>
      <c r="M15" s="12"/>
      <c r="N15" s="12"/>
      <c r="O15" s="192" t="s">
        <v>49</v>
      </c>
      <c r="P15" s="193"/>
      <c r="Q15" s="116">
        <f>COUNTIFS(TablaJunio[EDAD], "&gt;5", TablaJunio[EDAD], "&lt;11")</f>
      </c>
      <c r="R15" s="56"/>
      <c r="S15" s="57" t="s">
        <v>50</v>
      </c>
      <c r="T15" s="115">
        <f>COUNTIFS(TablaJunio[TIPO DISCAPACIDAD], S15)</f>
      </c>
      <c r="U15" s="60"/>
      <c r="V15" s="56"/>
      <c r="W15" s="160" t="s">
        <v>51</v>
      </c>
      <c r="X15" s="160"/>
      <c r="Y15" s="160"/>
      <c r="Z15" s="147">
        <f>COUNTIFS(TablaJunio[ORI. SEXUAL], W15)</f>
      </c>
      <c r="AA15" s="148"/>
      <c r="AB15" s="58"/>
      <c r="AC15" s="59"/>
      <c r="AD15" s="179" t="s">
        <v>52</v>
      </c>
      <c r="AE15" s="179"/>
      <c r="AF15" s="179"/>
      <c r="AG15" s="165">
        <f>COUNTIFS(TablaJunio[[ETNIA ]], AD15)</f>
      </c>
      <c r="AH15" s="165"/>
      <c r="AI15" s="56"/>
      <c r="AJ15" s="56"/>
      <c r="AK15" s="180"/>
      <c r="AL15" s="181"/>
      <c r="AM15" s="182"/>
      <c r="AN15" s="182"/>
      <c r="AO15" s="180"/>
      <c r="AP15" s="180"/>
      <c r="AQ15" s="183"/>
      <c r="AR15" s="183"/>
      <c r="AV15" s="151"/>
      <c r="AW15" s="152"/>
      <c r="AX15" s="186" t="s">
        <v>53</v>
      </c>
      <c r="AY15" s="186"/>
      <c r="AZ15" s="186"/>
      <c r="BA15" s="186"/>
      <c r="BB15" s="13"/>
    </row>
    <row r="16" spans="1:54" ht="19.5" customHeight="1" thickBot="1" x14ac:dyDescent="0.25">
      <c r="A16" s="13"/>
      <c r="B16" s="196"/>
      <c r="C16" s="187" t="s">
        <v>54</v>
      </c>
      <c r="D16" s="188"/>
      <c r="E16" s="188"/>
      <c r="F16" s="188"/>
      <c r="G16" s="188"/>
      <c r="H16" s="188"/>
      <c r="I16" s="189"/>
      <c r="K16" s="190" t="s">
        <v>55</v>
      </c>
      <c r="L16" s="184">
        <f>COUNTIFS(TablaJunio[SEXO], K16)</f>
      </c>
      <c r="M16" s="12"/>
      <c r="N16" s="12"/>
      <c r="O16" s="158" t="s">
        <v>56</v>
      </c>
      <c r="P16" s="159"/>
      <c r="Q16" s="116">
        <f>COUNTIFS(TablaJunio[EDAD], "&gt;10", TablaJunio[EDAD], "&lt;15")</f>
      </c>
      <c r="R16" s="56"/>
      <c r="S16" s="47" t="s">
        <v>57</v>
      </c>
      <c r="T16" s="115">
        <f>COUNTIFS(TablaJunio[TIPO DISCAPACIDAD], S16)</f>
      </c>
      <c r="U16" s="60"/>
      <c r="V16" s="56"/>
      <c r="W16" s="160" t="s">
        <v>58</v>
      </c>
      <c r="X16" s="160"/>
      <c r="Y16" s="160"/>
      <c r="Z16" s="147">
        <f>COUNTIFS(TablaJunio[ORI. SEXUAL], W16)</f>
      </c>
      <c r="AA16" s="148"/>
      <c r="AB16" s="58"/>
      <c r="AC16" s="59"/>
      <c r="AD16" s="179" t="s">
        <v>59</v>
      </c>
      <c r="AE16" s="179"/>
      <c r="AF16" s="179"/>
      <c r="AG16" s="165">
        <f>COUNTIFS(TablaJunio[[ETNIA ]], AD16)</f>
      </c>
      <c r="AH16" s="165"/>
      <c r="AI16" s="56"/>
      <c r="AJ16" s="56"/>
      <c r="AK16" s="180"/>
      <c r="AL16" s="180"/>
      <c r="AM16" s="181"/>
      <c r="AN16" s="181"/>
      <c r="AO16" s="56"/>
      <c r="AP16" s="56"/>
      <c r="AQ16" s="33"/>
      <c r="AV16" s="151"/>
      <c r="AW16" s="152"/>
      <c r="AX16" s="186"/>
      <c r="AY16" s="186"/>
      <c r="AZ16" s="186"/>
      <c r="BA16" s="186"/>
      <c r="BB16" s="13"/>
    </row>
    <row r="17" spans="1:54" ht="19.5" customHeight="1" thickBot="1" x14ac:dyDescent="0.25">
      <c r="A17" s="13"/>
      <c r="B17" s="196"/>
      <c r="C17" s="175" t="s">
        <v>60</v>
      </c>
      <c r="D17" s="176"/>
      <c r="E17" s="175" t="s">
        <v>61</v>
      </c>
      <c r="F17" s="177"/>
      <c r="G17" s="176"/>
      <c r="H17" s="175" t="s">
        <v>62</v>
      </c>
      <c r="I17" s="176"/>
      <c r="K17" s="191"/>
      <c r="L17" s="185"/>
      <c r="M17" s="12"/>
      <c r="N17" s="12"/>
      <c r="O17" s="158" t="s">
        <v>63</v>
      </c>
      <c r="P17" s="159"/>
      <c r="Q17" s="116">
        <f>COUNTIFS(TablaJunio[EDAD], "&gt;14", TablaJunio[EDAD], "&lt;20")</f>
      </c>
      <c r="R17" s="56"/>
      <c r="S17" s="57" t="s">
        <v>64</v>
      </c>
      <c r="T17" s="115">
        <f>COUNTIFS(TablaJunio[TIPO DISCAPACIDAD], S17)</f>
      </c>
      <c r="U17" s="61"/>
      <c r="V17" s="60"/>
      <c r="W17" s="178" t="s">
        <v>65</v>
      </c>
      <c r="X17" s="178"/>
      <c r="Y17" s="178"/>
      <c r="Z17" s="147">
        <f>COUNTIFS(TablaJunio[ORI. SEXUAL], W17)</f>
      </c>
      <c r="AA17" s="148"/>
      <c r="AB17" s="13"/>
      <c r="AC17" s="13"/>
      <c r="AD17" s="164" t="s">
        <v>66</v>
      </c>
      <c r="AE17" s="164"/>
      <c r="AF17" s="164"/>
      <c r="AG17" s="165">
        <f>COUNTIFS(TablaJunio[[ETNIA ]], AD17)</f>
      </c>
      <c r="AH17" s="165"/>
      <c r="AI17" s="56"/>
      <c r="AJ17" s="56"/>
      <c r="AK17" s="56"/>
      <c r="AL17" s="56"/>
      <c r="AM17" s="56"/>
      <c r="AN17" s="149"/>
      <c r="AO17" s="150"/>
      <c r="AP17" s="150"/>
      <c r="AQ17" s="33"/>
      <c r="AV17" s="151"/>
      <c r="AW17" s="152"/>
      <c r="AX17" s="166" t="s">
        <v>67</v>
      </c>
      <c r="AY17" s="167"/>
      <c r="AZ17" s="168"/>
      <c r="BA17" s="62" t="s">
        <v>68</v>
      </c>
      <c r="BB17" s="13"/>
    </row>
    <row r="18" spans="1:54" ht="19.5" customHeight="1" thickBot="1" x14ac:dyDescent="0.25">
      <c r="A18" s="13"/>
      <c r="B18" s="197"/>
      <c r="C18" s="169"/>
      <c r="D18" s="170"/>
      <c r="E18" s="169"/>
      <c r="F18" s="171"/>
      <c r="G18" s="170"/>
      <c r="H18" s="169"/>
      <c r="I18" s="170"/>
      <c r="L18" s="12"/>
      <c r="M18" s="12"/>
      <c r="N18" s="12"/>
      <c r="O18" s="158" t="s">
        <v>69</v>
      </c>
      <c r="P18" s="159"/>
      <c r="Q18" s="116">
        <f>COUNTIFS(TablaJunio[EDAD], "&gt;19", TablaJunio[EDAD], "&lt;60")</f>
      </c>
      <c r="R18" s="56"/>
      <c r="S18" s="47" t="s">
        <v>70</v>
      </c>
      <c r="T18" s="115">
        <f>COUNTIFS(TablaJunio[TIPO DISCAPACIDAD], S18)</f>
      </c>
      <c r="U18" s="60"/>
      <c r="V18" s="56"/>
      <c r="W18" s="172" t="s">
        <v>71</v>
      </c>
      <c r="X18" s="173"/>
      <c r="Y18" s="174"/>
      <c r="Z18" s="147">
        <f>COUNTIFS(TablaJunio[ORI. SEXUAL], W18)</f>
      </c>
      <c r="AA18" s="148"/>
      <c r="AB18" s="13"/>
      <c r="AC18" s="13"/>
      <c r="AD18" s="13"/>
      <c r="AE18" s="13"/>
      <c r="AF18" s="13"/>
      <c r="AG18" s="13"/>
      <c r="AH18" s="60"/>
      <c r="AI18" s="56"/>
      <c r="AJ18" s="56"/>
      <c r="AK18" s="56"/>
      <c r="AL18" s="56"/>
      <c r="AM18" s="56"/>
      <c r="AN18" s="149"/>
      <c r="AO18" s="150"/>
      <c r="AP18" s="150"/>
      <c r="AQ18" s="33"/>
      <c r="AV18" s="151"/>
      <c r="AW18" s="152"/>
      <c r="AX18" s="153" t="s">
        <v>72</v>
      </c>
      <c r="AY18" s="154"/>
      <c r="AZ18" s="155"/>
      <c r="BA18" s="63" t="s">
        <v>73</v>
      </c>
      <c r="BB18" s="13"/>
    </row>
    <row r="19" spans="1:54" ht="19.5" customHeight="1" thickBot="1" x14ac:dyDescent="0.25">
      <c r="A19" s="13"/>
      <c r="B19" s="64"/>
      <c r="C19" s="43"/>
      <c r="D19" s="43"/>
      <c r="E19" s="43"/>
      <c r="F19" s="65"/>
      <c r="G19" s="66"/>
      <c r="H19" s="66"/>
      <c r="I19" s="66"/>
      <c r="J19" s="66"/>
      <c r="K19" s="156" t="s">
        <v>74</v>
      </c>
      <c r="L19" s="157"/>
      <c r="M19" s="12"/>
      <c r="N19" s="12"/>
      <c r="O19" s="158" t="s">
        <v>75</v>
      </c>
      <c r="P19" s="159"/>
      <c r="Q19" s="116">
        <f>COUNTIFS(TablaJunio[EDAD], "&gt;59")</f>
      </c>
      <c r="R19" s="56"/>
      <c r="U19" s="60"/>
      <c r="V19" s="56"/>
      <c r="W19" s="160" t="s">
        <v>66</v>
      </c>
      <c r="X19" s="160"/>
      <c r="Y19" s="160"/>
      <c r="Z19" s="147">
        <f>COUNTIFS(TablaJunio[ORI. SEXUAL], W19)</f>
      </c>
      <c r="AA19" s="148"/>
      <c r="AB19" s="13"/>
      <c r="AC19" s="13"/>
      <c r="AD19" s="13"/>
      <c r="AE19" s="13"/>
      <c r="AF19" s="13"/>
      <c r="AG19" s="13"/>
      <c r="AH19" s="67"/>
      <c r="AI19" s="68"/>
      <c r="AJ19" s="68" t="s">
        <v>76</v>
      </c>
      <c r="AK19" s="68"/>
      <c r="AL19" s="68"/>
      <c r="AM19" s="68"/>
      <c r="AN19" s="68"/>
      <c r="AO19" s="68"/>
      <c r="AP19" s="68"/>
      <c r="AQ19" s="33"/>
      <c r="AV19" s="151"/>
      <c r="AW19" s="152"/>
      <c r="AX19" s="161" t="s">
        <v>77</v>
      </c>
      <c r="AY19" s="162"/>
      <c r="AZ19" s="163"/>
      <c r="BA19" s="69" t="s">
        <v>78</v>
      </c>
      <c r="BB19" s="13"/>
    </row>
    <row r="20" spans="1:54" ht="20.25" customHeight="1" thickBot="1" x14ac:dyDescent="0.25">
      <c r="A20" s="13"/>
      <c r="B20" s="33"/>
      <c r="C20" s="33"/>
      <c r="D20" s="33"/>
      <c r="E20" s="33"/>
      <c r="F20" s="65"/>
      <c r="G20" s="66"/>
      <c r="H20" s="66"/>
      <c r="I20" s="66"/>
      <c r="J20" s="66"/>
      <c r="K20" s="70" t="s">
        <v>79</v>
      </c>
      <c r="L20" s="117">
        <f>COUNTIF(TablaJunio[VICTIMA CONF. ARMADO], K20)</f>
      </c>
      <c r="M20" s="12"/>
      <c r="N20" s="12"/>
      <c r="O20" s="12"/>
      <c r="P20" s="12"/>
      <c r="Q20" s="12"/>
      <c r="R20" s="12"/>
      <c r="S20" s="12"/>
      <c r="T20" s="3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68"/>
      <c r="AI20" s="68"/>
      <c r="AJ20" s="68"/>
      <c r="AK20" s="68"/>
      <c r="AL20" s="68"/>
      <c r="AM20" s="68"/>
      <c r="AN20" s="68"/>
      <c r="AO20" s="68"/>
      <c r="AP20" s="68"/>
      <c r="AQ20" s="33"/>
      <c r="AR20" s="33"/>
      <c r="AS20" s="33"/>
      <c r="AT20" s="33"/>
      <c r="AU20" s="33"/>
      <c r="AV20" s="33"/>
      <c r="AW20" s="33"/>
      <c r="AX20" s="33"/>
      <c r="AY20" s="33"/>
      <c r="AZ20" s="13"/>
      <c r="BA20" s="13"/>
      <c r="BB20" s="13"/>
    </row>
    <row r="21" spans="1:54" ht="18.75" customHeight="1" thickBot="1" x14ac:dyDescent="0.25">
      <c r="A21" s="13"/>
      <c r="B21" s="13"/>
      <c r="C21" s="33"/>
      <c r="D21" s="33"/>
      <c r="E21" s="33"/>
      <c r="F21" s="33"/>
      <c r="G21" s="33"/>
      <c r="H21" s="33"/>
      <c r="I21" s="33"/>
      <c r="J21" s="33"/>
      <c r="K21" s="71" t="s">
        <v>80</v>
      </c>
      <c r="L21" s="117">
        <f>COUNTIF(TablaJunio[VICTIMA CONF. ARMADO], K21)</f>
      </c>
      <c r="M21" s="12"/>
      <c r="N21" s="12"/>
      <c r="O21" s="12"/>
      <c r="P21" s="12"/>
      <c r="Q21" s="12"/>
      <c r="R21" s="12"/>
      <c r="S21" s="12"/>
      <c r="T21" s="33"/>
      <c r="U21" s="135" t="s">
        <v>138</v>
      </c>
      <c r="V21" s="136"/>
      <c r="W21" s="136"/>
      <c r="X21" s="136"/>
      <c r="Y21" s="136"/>
      <c r="Z21" s="136"/>
      <c r="AA21" s="136"/>
      <c r="AB21" s="136"/>
      <c r="AC21" s="136"/>
      <c r="AD21" s="136"/>
      <c r="AE21" s="136"/>
      <c r="AF21" s="136"/>
      <c r="AG21" s="136"/>
      <c r="AH21" s="136"/>
      <c r="AI21" s="136"/>
      <c r="AJ21" s="136"/>
      <c r="AK21" s="136"/>
      <c r="AL21" s="136"/>
      <c r="AM21" s="136"/>
      <c r="AN21" s="136"/>
      <c r="AO21" s="136"/>
      <c r="AP21" s="136"/>
      <c r="AQ21" s="136"/>
      <c r="AR21" s="136"/>
      <c r="AS21" s="136"/>
      <c r="AT21" s="136"/>
      <c r="AU21" s="136"/>
      <c r="AV21" s="136"/>
      <c r="AW21" s="136"/>
      <c r="AX21" s="136"/>
      <c r="AY21" s="137"/>
      <c r="AZ21" s="141" t="s">
        <v>81</v>
      </c>
      <c r="BA21" s="142"/>
      <c r="BB21" s="143"/>
    </row>
    <row r="22" spans="1:54" ht="15" customHeight="1" thickBot="1" x14ac:dyDescent="0.25">
      <c r="A22" s="13"/>
      <c r="B22" s="13"/>
      <c r="C22" s="33"/>
      <c r="D22" s="33"/>
      <c r="E22" s="33"/>
      <c r="F22" s="33"/>
      <c r="G22" s="33"/>
      <c r="H22" s="33"/>
      <c r="I22" s="33"/>
      <c r="J22" s="33"/>
      <c r="K22" s="33"/>
      <c r="L22" s="72"/>
      <c r="M22" s="72"/>
      <c r="N22" s="72"/>
      <c r="O22" s="72"/>
      <c r="P22" s="72"/>
      <c r="Q22" s="12"/>
      <c r="R22" s="12"/>
      <c r="S22" s="12"/>
      <c r="T22" s="73"/>
      <c r="U22" s="138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  <c r="AF22" s="139"/>
      <c r="AG22" s="139"/>
      <c r="AH22" s="139"/>
      <c r="AI22" s="139"/>
      <c r="AJ22" s="139"/>
      <c r="AK22" s="139"/>
      <c r="AL22" s="139"/>
      <c r="AM22" s="139"/>
      <c r="AN22" s="139"/>
      <c r="AO22" s="139"/>
      <c r="AP22" s="139"/>
      <c r="AQ22" s="139"/>
      <c r="AR22" s="139"/>
      <c r="AS22" s="139"/>
      <c r="AT22" s="139"/>
      <c r="AU22" s="139"/>
      <c r="AV22" s="139"/>
      <c r="AW22" s="139"/>
      <c r="AX22" s="139"/>
      <c r="AY22" s="140"/>
      <c r="AZ22" s="144"/>
      <c r="BA22" s="145"/>
      <c r="BB22" s="146"/>
    </row>
    <row r="23" spans="1:54" ht="42" customHeight="1" x14ac:dyDescent="0.2">
      <c r="A23" s="74" t="s">
        <v>82</v>
      </c>
      <c r="B23" s="108" t="s">
        <v>83</v>
      </c>
      <c r="C23" s="108" t="s">
        <v>84</v>
      </c>
      <c r="D23" s="108" t="s">
        <v>85</v>
      </c>
      <c r="E23" s="108" t="s">
        <v>86</v>
      </c>
      <c r="F23" s="109" t="s">
        <v>87</v>
      </c>
      <c r="G23" s="110" t="s">
        <v>88</v>
      </c>
      <c r="H23" s="109" t="s">
        <v>89</v>
      </c>
      <c r="I23" s="111" t="s">
        <v>90</v>
      </c>
      <c r="J23" s="112" t="s">
        <v>91</v>
      </c>
      <c r="K23" s="75" t="s">
        <v>92</v>
      </c>
      <c r="L23" s="76" t="s">
        <v>93</v>
      </c>
      <c r="M23" s="77" t="s">
        <v>94</v>
      </c>
      <c r="N23" s="78" t="s">
        <v>95</v>
      </c>
      <c r="O23" s="79" t="s">
        <v>96</v>
      </c>
      <c r="P23" s="113" t="s">
        <v>97</v>
      </c>
      <c r="Q23" s="80" t="s">
        <v>98</v>
      </c>
      <c r="R23" s="80" t="s">
        <v>99</v>
      </c>
      <c r="S23" s="80" t="s">
        <v>100</v>
      </c>
      <c r="T23" s="81" t="s">
        <v>101</v>
      </c>
      <c r="U23" s="28" t="s">
        <v>102</v>
      </c>
      <c r="V23" s="28" t="s">
        <v>103</v>
      </c>
      <c r="W23" s="27" t="s">
        <v>104</v>
      </c>
      <c r="X23" s="122" t="s">
        <v>105</v>
      </c>
      <c r="Y23" s="26" t="s">
        <v>106</v>
      </c>
      <c r="Z23" s="26" t="s">
        <v>107</v>
      </c>
      <c r="AA23" s="28" t="s">
        <v>108</v>
      </c>
      <c r="AB23" s="28" t="s">
        <v>109</v>
      </c>
      <c r="AC23" s="28" t="s">
        <v>110</v>
      </c>
      <c r="AD23" s="26" t="s">
        <v>111</v>
      </c>
      <c r="AE23" s="122" t="s">
        <v>112</v>
      </c>
      <c r="AF23" s="26" t="s">
        <v>113</v>
      </c>
      <c r="AG23" s="122" t="s">
        <v>114</v>
      </c>
      <c r="AH23" s="26" t="s">
        <v>115</v>
      </c>
      <c r="AI23" s="28" t="s">
        <v>116</v>
      </c>
      <c r="AJ23" s="28" t="s">
        <v>117</v>
      </c>
      <c r="AK23" s="28" t="s">
        <v>118</v>
      </c>
      <c r="AL23" s="122" t="s">
        <v>119</v>
      </c>
      <c r="AM23" s="26" t="s">
        <v>120</v>
      </c>
      <c r="AN23" s="122" t="s">
        <v>121</v>
      </c>
      <c r="AO23" s="122" t="s">
        <v>122</v>
      </c>
      <c r="AP23" s="28" t="s">
        <v>123</v>
      </c>
      <c r="AQ23" s="125" t="s">
        <v>124</v>
      </c>
      <c r="AR23" s="29" t="s">
        <v>125</v>
      </c>
      <c r="AS23" s="123" t="s">
        <v>126</v>
      </c>
      <c r="AT23" s="26" t="s">
        <v>127</v>
      </c>
      <c r="AU23" s="122" t="s">
        <v>128</v>
      </c>
      <c r="AV23" s="122" t="s">
        <v>129</v>
      </c>
      <c r="AW23" s="28" t="s">
        <v>130</v>
      </c>
      <c r="AX23" s="124" t="s">
        <v>131</v>
      </c>
      <c r="AY23" s="122" t="s">
        <v>132</v>
      </c>
      <c r="AZ23" s="82" t="s">
        <v>68</v>
      </c>
      <c r="BA23" s="82" t="s">
        <v>73</v>
      </c>
      <c r="BB23" s="83" t="s">
        <v>78</v>
      </c>
    </row>
    <row r="24" spans="1:54" ht="15.75" customHeight="1" x14ac:dyDescent="0.2">
      <c r="A24" s="84"/>
      <c r="B24" s="85"/>
      <c r="C24" s="85"/>
      <c r="D24" s="85"/>
      <c r="E24" s="86"/>
      <c r="F24" s="16">
        <f>IF(E24="","",DATEDIF(E24,$I$7,"Y"))</f>
      </c>
      <c r="G24" s="85"/>
      <c r="H24" s="85"/>
      <c r="I24" s="87"/>
      <c r="J24" s="85"/>
      <c r="K24" s="85"/>
      <c r="L24" s="2"/>
      <c r="M24" s="2"/>
      <c r="N24" s="2"/>
      <c r="O24" s="2"/>
      <c r="P24" s="85"/>
      <c r="Q24" s="88"/>
      <c r="R24" s="3">
        <f>IFERROR(VLOOKUP(TablaJunio[[#This Row],[BARRIO]],SECTOR!$A:$B,2,0),"")</f>
      </c>
      <c r="S24" s="89"/>
      <c r="T24" s="90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17">
        <f>COUNTIF(U24:AY24,"A")</f>
      </c>
      <c r="BA24" s="17">
        <f>COUNTIF(U24:AY24,"F")</f>
      </c>
      <c r="BB24" s="17">
        <f>COUNTIF(U24:AY24,"E")</f>
      </c>
    </row>
    <row r="25" spans="1:54" ht="15.75" customHeight="1" x14ac:dyDescent="0.2">
      <c r="A25" s="84"/>
      <c r="B25" s="85"/>
      <c r="C25" s="85"/>
      <c r="D25" s="85"/>
      <c r="E25" s="86"/>
      <c r="F25" s="16">
        <f>IF(E25="","",DATEDIF(E25,$I$7,"Y"))</f>
      </c>
      <c r="G25" s="85"/>
      <c r="H25" s="85"/>
      <c r="I25" s="87"/>
      <c r="J25" s="85"/>
      <c r="K25" s="85"/>
      <c r="L25" s="2"/>
      <c r="M25" s="2"/>
      <c r="N25" s="1"/>
      <c r="O25" s="1"/>
      <c r="P25" s="85"/>
      <c r="Q25" s="88"/>
      <c r="R25" s="3">
        <f>IFERROR(VLOOKUP(TablaJunio[[#This Row],[BARRIO]],SECTOR!$A:$B,2,0),"")</f>
      </c>
      <c r="S25" s="89"/>
      <c r="T25" s="90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17">
        <f>COUNTIF(U25:AY25,"A")</f>
      </c>
      <c r="BA25" s="17">
        <f>COUNTIF(U25:AY25,"F")</f>
      </c>
      <c r="BB25" s="17">
        <f>COUNTIF(U25:AY25,"E")</f>
      </c>
    </row>
    <row r="26" spans="1:54" ht="15.75" customHeight="1" x14ac:dyDescent="0.2">
      <c r="A26" s="84"/>
      <c r="B26" s="85"/>
      <c r="C26" s="85"/>
      <c r="D26" s="85"/>
      <c r="E26" s="86"/>
      <c r="F26" s="16">
        <f>IF(E26="","",DATEDIF(E26,$I$7,"Y"))</f>
      </c>
      <c r="G26" s="85"/>
      <c r="H26" s="85"/>
      <c r="I26" s="87"/>
      <c r="J26" s="85"/>
      <c r="K26" s="85"/>
      <c r="L26" s="2"/>
      <c r="M26" s="2"/>
      <c r="N26" s="1"/>
      <c r="O26" s="1"/>
      <c r="P26" s="85"/>
      <c r="Q26" s="88"/>
      <c r="R26" s="3">
        <f>IFERROR(VLOOKUP(TablaJunio[[#This Row],[BARRIO]],SECTOR!$A:$B,2,0),"")</f>
      </c>
      <c r="S26" s="89"/>
      <c r="T26" s="90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17">
        <f>COUNTIF(U26:AY26,"A")</f>
      </c>
      <c r="BA26" s="17">
        <f>COUNTIF(U26:AY26,"F")</f>
      </c>
      <c r="BB26" s="17">
        <f>COUNTIF(U26:AY26,"E")</f>
      </c>
    </row>
    <row r="27" spans="1:54" ht="15.75" customHeight="1" x14ac:dyDescent="0.2">
      <c r="A27" s="84"/>
      <c r="B27" s="85"/>
      <c r="C27" s="85"/>
      <c r="D27" s="85"/>
      <c r="E27" s="86"/>
      <c r="F27" s="16">
        <f>IF(E27="","",DATEDIF(E27,$I$7,"Y"))</f>
      </c>
      <c r="G27" s="85"/>
      <c r="H27" s="85"/>
      <c r="I27" s="87"/>
      <c r="J27" s="85"/>
      <c r="K27" s="85"/>
      <c r="L27" s="2"/>
      <c r="M27" s="2"/>
      <c r="N27" s="1"/>
      <c r="O27" s="1"/>
      <c r="P27" s="85"/>
      <c r="Q27" s="88"/>
      <c r="R27" s="3">
        <f>IFERROR(VLOOKUP(TablaJunio[[#This Row],[BARRIO]],SECTOR!$A:$B,2,0),"")</f>
      </c>
      <c r="S27" s="89"/>
      <c r="T27" s="90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17">
        <f>COUNTIF(U27:AY27,"A")</f>
      </c>
      <c r="BA27" s="17">
        <f>COUNTIF(U27:AY27,"F")</f>
      </c>
      <c r="BB27" s="17">
        <f>COUNTIF(U27:AY27,"E")</f>
      </c>
    </row>
    <row r="28" spans="1:54" ht="15.75" customHeight="1" x14ac:dyDescent="0.2">
      <c r="A28" s="84"/>
      <c r="B28" s="85"/>
      <c r="C28" s="85"/>
      <c r="D28" s="85"/>
      <c r="E28" s="86"/>
      <c r="F28" s="16">
        <f>IF(E28="","",DATEDIF(E28,$I$7,"Y"))</f>
      </c>
      <c r="G28" s="85"/>
      <c r="H28" s="85"/>
      <c r="I28" s="87"/>
      <c r="J28" s="85"/>
      <c r="K28" s="85"/>
      <c r="L28" s="2"/>
      <c r="M28" s="2"/>
      <c r="N28" s="1"/>
      <c r="O28" s="1"/>
      <c r="P28" s="85"/>
      <c r="Q28" s="88"/>
      <c r="R28" s="3">
        <f>IFERROR(VLOOKUP(TablaJunio[[#This Row],[BARRIO]],SECTOR!$A:$B,2,0),"")</f>
      </c>
      <c r="S28" s="89"/>
      <c r="T28" s="90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17">
        <f>COUNTIF(U28:AY28,"A")</f>
      </c>
      <c r="BA28" s="17">
        <f>COUNTIF(U28:AY28,"F")</f>
      </c>
      <c r="BB28" s="17">
        <f>COUNTIF(U28:AY28,"E")</f>
      </c>
    </row>
    <row r="29" spans="1:54" ht="15.75" customHeight="1" x14ac:dyDescent="0.2">
      <c r="A29" s="84"/>
      <c r="B29" s="85"/>
      <c r="C29" s="85"/>
      <c r="D29" s="85"/>
      <c r="E29" s="86"/>
      <c r="F29" s="16">
        <f>IF(E29="","",DATEDIF(E29,$I$7,"Y"))</f>
      </c>
      <c r="G29" s="85"/>
      <c r="H29" s="85"/>
      <c r="I29" s="87"/>
      <c r="J29" s="85"/>
      <c r="K29" s="85"/>
      <c r="L29" s="2"/>
      <c r="M29" s="2"/>
      <c r="N29" s="1"/>
      <c r="O29" s="1"/>
      <c r="P29" s="85"/>
      <c r="Q29" s="88"/>
      <c r="R29" s="3">
        <f>IFERROR(VLOOKUP(TablaJunio[[#This Row],[BARRIO]],SECTOR!$A:$B,2,0),"")</f>
      </c>
      <c r="S29" s="89"/>
      <c r="T29" s="90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17">
        <f>COUNTIF(U29:AY29,"A")</f>
      </c>
      <c r="BA29" s="17">
        <f>COUNTIF(U29:AY29,"F")</f>
      </c>
      <c r="BB29" s="17">
        <f>COUNTIF(U29:AY29,"E")</f>
      </c>
    </row>
    <row r="30" spans="1:54" ht="15.75" customHeight="1" x14ac:dyDescent="0.2">
      <c r="A30" s="84"/>
      <c r="B30" s="85"/>
      <c r="C30" s="85"/>
      <c r="D30" s="85"/>
      <c r="E30" s="86"/>
      <c r="F30" s="16">
        <f>IF(E30="","",DATEDIF(E30,$I$7,"Y"))</f>
      </c>
      <c r="G30" s="85"/>
      <c r="H30" s="85"/>
      <c r="I30" s="87"/>
      <c r="J30" s="85"/>
      <c r="K30" s="85"/>
      <c r="L30" s="2"/>
      <c r="M30" s="2"/>
      <c r="N30" s="1"/>
      <c r="O30" s="1"/>
      <c r="P30" s="85"/>
      <c r="Q30" s="88"/>
      <c r="R30" s="3">
        <f>IFERROR(VLOOKUP(TablaJunio[[#This Row],[BARRIO]],SECTOR!$A:$B,2,0),"")</f>
      </c>
      <c r="S30" s="89"/>
      <c r="T30" s="90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17">
        <f>COUNTIF(U30:AY30,"A")</f>
      </c>
      <c r="BA30" s="17">
        <f>COUNTIF(U30:AY30,"F")</f>
      </c>
      <c r="BB30" s="17">
        <f>COUNTIF(U30:AY30,"E")</f>
      </c>
    </row>
    <row r="31" spans="1:54" ht="15.75" customHeight="1" x14ac:dyDescent="0.2">
      <c r="A31" s="84"/>
      <c r="B31" s="85"/>
      <c r="C31" s="85"/>
      <c r="D31" s="85"/>
      <c r="E31" s="86"/>
      <c r="F31" s="16">
        <f>IF(E31="","",DATEDIF(E31,$I$7,"Y"))</f>
      </c>
      <c r="G31" s="85"/>
      <c r="H31" s="85"/>
      <c r="I31" s="87"/>
      <c r="J31" s="85"/>
      <c r="K31" s="85"/>
      <c r="L31" s="2"/>
      <c r="M31" s="2"/>
      <c r="N31" s="1"/>
      <c r="O31" s="1"/>
      <c r="P31" s="85"/>
      <c r="Q31" s="88"/>
      <c r="R31" s="3">
        <f>IFERROR(VLOOKUP(TablaJunio[[#This Row],[BARRIO]],SECTOR!$A:$B,2,0),"")</f>
      </c>
      <c r="S31" s="89"/>
      <c r="T31" s="90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17">
        <f>COUNTIF(U31:AY31,"A")</f>
      </c>
      <c r="BA31" s="17">
        <f>COUNTIF(U31:AY31,"F")</f>
      </c>
      <c r="BB31" s="17">
        <f>COUNTIF(U31:AY31,"E")</f>
      </c>
    </row>
    <row r="32" spans="1:54" ht="15.75" customHeight="1" x14ac:dyDescent="0.2">
      <c r="A32" s="84"/>
      <c r="B32" s="85"/>
      <c r="C32" s="85"/>
      <c r="D32" s="85"/>
      <c r="E32" s="86"/>
      <c r="F32" s="16">
        <f>IF(E32="","",DATEDIF(E32,$I$7,"Y"))</f>
      </c>
      <c r="G32" s="85"/>
      <c r="H32" s="85"/>
      <c r="I32" s="87"/>
      <c r="J32" s="85"/>
      <c r="K32" s="85"/>
      <c r="L32" s="2"/>
      <c r="M32" s="2"/>
      <c r="N32" s="1"/>
      <c r="O32" s="1"/>
      <c r="P32" s="85"/>
      <c r="Q32" s="88"/>
      <c r="R32" s="3">
        <f>IFERROR(VLOOKUP(TablaJunio[[#This Row],[BARRIO]],SECTOR!$A:$B,2,0),"")</f>
      </c>
      <c r="S32" s="89"/>
      <c r="T32" s="90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17">
        <f>COUNTIF(U32:AY32,"A")</f>
      </c>
      <c r="BA32" s="17">
        <f>COUNTIF(U32:AY32,"F")</f>
      </c>
      <c r="BB32" s="17">
        <f>COUNTIF(U32:AY32,"E")</f>
      </c>
    </row>
    <row r="33" spans="1:54" ht="15.75" customHeight="1" x14ac:dyDescent="0.2">
      <c r="A33" s="84"/>
      <c r="B33" s="85"/>
      <c r="C33" s="85"/>
      <c r="D33" s="85"/>
      <c r="E33" s="86"/>
      <c r="F33" s="16">
        <f>IF(E33="","",DATEDIF(E33,$I$7,"Y"))</f>
      </c>
      <c r="G33" s="85"/>
      <c r="H33" s="85"/>
      <c r="I33" s="87"/>
      <c r="J33" s="85"/>
      <c r="K33" s="85"/>
      <c r="L33" s="2"/>
      <c r="M33" s="2"/>
      <c r="N33" s="1"/>
      <c r="O33" s="1"/>
      <c r="P33" s="85"/>
      <c r="Q33" s="88"/>
      <c r="R33" s="3">
        <f>IFERROR(VLOOKUP(TablaJunio[[#This Row],[BARRIO]],SECTOR!$A:$B,2,0),"")</f>
      </c>
      <c r="S33" s="89"/>
      <c r="T33" s="90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17">
        <f>COUNTIF(U33:AY33,"A")</f>
      </c>
      <c r="BA33" s="17">
        <f>COUNTIF(U33:AY33,"F")</f>
      </c>
      <c r="BB33" s="17">
        <f>COUNTIF(U33:AY33,"E")</f>
      </c>
    </row>
    <row r="34" spans="1:54" ht="15.75" customHeight="1" x14ac:dyDescent="0.2">
      <c r="A34" s="84"/>
      <c r="B34" s="85"/>
      <c r="C34" s="85"/>
      <c r="D34" s="85"/>
      <c r="E34" s="86"/>
      <c r="F34" s="16">
        <f>IF(E34="","",DATEDIF(E34,$I$7,"Y"))</f>
      </c>
      <c r="G34" s="85"/>
      <c r="H34" s="85"/>
      <c r="I34" s="87"/>
      <c r="J34" s="85"/>
      <c r="K34" s="85"/>
      <c r="L34" s="2"/>
      <c r="M34" s="2"/>
      <c r="N34" s="1"/>
      <c r="O34" s="1"/>
      <c r="P34" s="85"/>
      <c r="Q34" s="88"/>
      <c r="R34" s="3">
        <f>IFERROR(VLOOKUP(TablaJunio[[#This Row],[BARRIO]],SECTOR!$A:$B,2,0),"")</f>
      </c>
      <c r="S34" s="89"/>
      <c r="T34" s="90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17">
        <f>COUNTIF(U34:AY34,"A")</f>
      </c>
      <c r="BA34" s="17">
        <f>COUNTIF(U34:AY34,"F")</f>
      </c>
      <c r="BB34" s="17">
        <f>COUNTIF(U34:AY34,"E")</f>
      </c>
    </row>
    <row r="35" spans="1:54" ht="15.75" customHeight="1" x14ac:dyDescent="0.2">
      <c r="A35" s="84"/>
      <c r="B35" s="85"/>
      <c r="C35" s="85"/>
      <c r="D35" s="85"/>
      <c r="E35" s="86"/>
      <c r="F35" s="16">
        <f>IF(E35="","",DATEDIF(E35,$I$7,"Y"))</f>
      </c>
      <c r="G35" s="85"/>
      <c r="H35" s="85"/>
      <c r="I35" s="87"/>
      <c r="J35" s="85"/>
      <c r="K35" s="85"/>
      <c r="L35" s="2"/>
      <c r="M35" s="2"/>
      <c r="N35" s="1"/>
      <c r="O35" s="1"/>
      <c r="P35" s="85"/>
      <c r="Q35" s="88"/>
      <c r="R35" s="3">
        <f>IFERROR(VLOOKUP(TablaJunio[[#This Row],[BARRIO]],SECTOR!$A:$B,2,0),"")</f>
      </c>
      <c r="S35" s="89"/>
      <c r="T35" s="90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17">
        <f>COUNTIF(U35:AY35,"A")</f>
      </c>
      <c r="BA35" s="17">
        <f>COUNTIF(U35:AY35,"F")</f>
      </c>
      <c r="BB35" s="17">
        <f>COUNTIF(U35:AY35,"E")</f>
      </c>
    </row>
    <row r="36" spans="1:54" ht="15.75" customHeight="1" x14ac:dyDescent="0.2">
      <c r="A36" s="84"/>
      <c r="B36" s="85"/>
      <c r="C36" s="85"/>
      <c r="D36" s="85"/>
      <c r="E36" s="86"/>
      <c r="F36" s="16">
        <f>IF(E36="","",DATEDIF(E36,$I$7,"Y"))</f>
      </c>
      <c r="G36" s="85"/>
      <c r="H36" s="85"/>
      <c r="I36" s="87"/>
      <c r="J36" s="85"/>
      <c r="K36" s="85"/>
      <c r="L36" s="2"/>
      <c r="M36" s="2"/>
      <c r="N36" s="1"/>
      <c r="O36" s="1"/>
      <c r="P36" s="85"/>
      <c r="Q36" s="88"/>
      <c r="R36" s="3">
        <f>IFERROR(VLOOKUP(TablaJunio[[#This Row],[BARRIO]],SECTOR!$A:$B,2,0),"")</f>
      </c>
      <c r="S36" s="89"/>
      <c r="T36" s="90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17">
        <f>COUNTIF(U36:AY36,"A")</f>
      </c>
      <c r="BA36" s="17">
        <f>COUNTIF(U36:AY36,"F")</f>
      </c>
      <c r="BB36" s="17">
        <f>COUNTIF(U36:AY36,"E")</f>
      </c>
    </row>
    <row r="37" spans="1:54" ht="15.75" customHeight="1" x14ac:dyDescent="0.2">
      <c r="A37" s="84"/>
      <c r="B37" s="85"/>
      <c r="C37" s="85"/>
      <c r="D37" s="85"/>
      <c r="E37" s="86"/>
      <c r="F37" s="16">
        <f>IF(E37="","",DATEDIF(E37,$I$7,"Y"))</f>
      </c>
      <c r="G37" s="85"/>
      <c r="H37" s="85"/>
      <c r="I37" s="87"/>
      <c r="J37" s="85"/>
      <c r="K37" s="85"/>
      <c r="L37" s="2"/>
      <c r="M37" s="2"/>
      <c r="N37" s="1"/>
      <c r="O37" s="1"/>
      <c r="P37" s="85"/>
      <c r="Q37" s="88"/>
      <c r="R37" s="3">
        <f>IFERROR(VLOOKUP(TablaJunio[[#This Row],[BARRIO]],SECTOR!$A:$B,2,0),"")</f>
      </c>
      <c r="S37" s="89"/>
      <c r="T37" s="90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17">
        <f>COUNTIF(U37:AY37,"A")</f>
      </c>
      <c r="BA37" s="17">
        <f>COUNTIF(U37:AY37,"F")</f>
      </c>
      <c r="BB37" s="17">
        <f>COUNTIF(U37:AY37,"E")</f>
      </c>
    </row>
    <row r="38" spans="1:54" ht="15.75" customHeight="1" x14ac:dyDescent="0.2">
      <c r="A38" s="84"/>
      <c r="B38" s="85"/>
      <c r="C38" s="85"/>
      <c r="D38" s="85"/>
      <c r="E38" s="86"/>
      <c r="F38" s="16">
        <f>IF(E38="","",DATEDIF(E38,$I$7,"Y"))</f>
      </c>
      <c r="G38" s="85"/>
      <c r="H38" s="85"/>
      <c r="I38" s="87"/>
      <c r="J38" s="85"/>
      <c r="K38" s="85"/>
      <c r="L38" s="2"/>
      <c r="M38" s="2"/>
      <c r="N38" s="1"/>
      <c r="O38" s="1"/>
      <c r="P38" s="85"/>
      <c r="Q38" s="88"/>
      <c r="R38" s="3">
        <f>IFERROR(VLOOKUP(TablaJunio[[#This Row],[BARRIO]],SECTOR!$A:$B,2,0),"")</f>
      </c>
      <c r="S38" s="89"/>
      <c r="T38" s="90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17">
        <f>COUNTIF(U38:AY38,"A")</f>
      </c>
      <c r="BA38" s="17">
        <f>COUNTIF(U38:AY38,"F")</f>
      </c>
      <c r="BB38" s="17">
        <f>COUNTIF(U38:AY38,"E")</f>
      </c>
    </row>
    <row r="39" spans="1:54" ht="15.75" customHeight="1" x14ac:dyDescent="0.2">
      <c r="A39" s="84"/>
      <c r="B39" s="85"/>
      <c r="C39" s="85"/>
      <c r="D39" s="85"/>
      <c r="E39" s="86"/>
      <c r="F39" s="16">
        <f>IF(E39="","",DATEDIF(E39,$I$7,"Y"))</f>
      </c>
      <c r="G39" s="85"/>
      <c r="H39" s="85"/>
      <c r="I39" s="87"/>
      <c r="J39" s="85"/>
      <c r="K39" s="85"/>
      <c r="L39" s="2"/>
      <c r="M39" s="2"/>
      <c r="N39" s="1"/>
      <c r="O39" s="1"/>
      <c r="P39" s="85"/>
      <c r="Q39" s="88"/>
      <c r="R39" s="3">
        <f>IFERROR(VLOOKUP(TablaJunio[[#This Row],[BARRIO]],SECTOR!$A:$B,2,0),"")</f>
      </c>
      <c r="S39" s="89"/>
      <c r="T39" s="90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17">
        <f>COUNTIF(U39:AY39,"A")</f>
      </c>
      <c r="BA39" s="17">
        <f>COUNTIF(U39:AY39,"F")</f>
      </c>
      <c r="BB39" s="17">
        <f>COUNTIF(U39:AY39,"E")</f>
      </c>
    </row>
    <row r="40" spans="1:54" ht="15.75" customHeight="1" x14ac:dyDescent="0.2">
      <c r="A40" s="84"/>
      <c r="B40" s="85"/>
      <c r="C40" s="85"/>
      <c r="D40" s="85"/>
      <c r="E40" s="86"/>
      <c r="F40" s="16">
        <f>IF(E40="","",DATEDIF(E40,$I$7,"Y"))</f>
      </c>
      <c r="G40" s="85"/>
      <c r="H40" s="85"/>
      <c r="I40" s="87"/>
      <c r="J40" s="85"/>
      <c r="K40" s="85"/>
      <c r="L40" s="2"/>
      <c r="M40" s="2"/>
      <c r="N40" s="1"/>
      <c r="O40" s="1"/>
      <c r="P40" s="85"/>
      <c r="Q40" s="88"/>
      <c r="R40" s="3">
        <f>IFERROR(VLOOKUP(TablaJunio[[#This Row],[BARRIO]],SECTOR!$A:$B,2,0),"")</f>
      </c>
      <c r="S40" s="89"/>
      <c r="T40" s="90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17">
        <f>COUNTIF(U40:AY40,"A")</f>
      </c>
      <c r="BA40" s="17">
        <f>COUNTIF(U40:AY40,"F")</f>
      </c>
      <c r="BB40" s="17">
        <f>COUNTIF(U40:AY40,"E")</f>
      </c>
    </row>
    <row r="41" spans="1:54" ht="15.75" customHeight="1" x14ac:dyDescent="0.2">
      <c r="A41" s="84"/>
      <c r="B41" s="85"/>
      <c r="C41" s="85"/>
      <c r="D41" s="85"/>
      <c r="E41" s="86"/>
      <c r="F41" s="16">
        <f>IF(E41="","",DATEDIF(E41,$I$7,"Y"))</f>
      </c>
      <c r="G41" s="85"/>
      <c r="H41" s="85"/>
      <c r="I41" s="87"/>
      <c r="J41" s="85"/>
      <c r="K41" s="85"/>
      <c r="L41" s="2"/>
      <c r="M41" s="2"/>
      <c r="N41" s="1"/>
      <c r="O41" s="1"/>
      <c r="P41" s="85"/>
      <c r="Q41" s="88"/>
      <c r="R41" s="3">
        <f>IFERROR(VLOOKUP(TablaJunio[[#This Row],[BARRIO]],SECTOR!$A:$B,2,0),"")</f>
      </c>
      <c r="S41" s="89"/>
      <c r="T41" s="90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17">
        <f>COUNTIF(U41:AY41,"A")</f>
      </c>
      <c r="BA41" s="17">
        <f>COUNTIF(U41:AY41,"F")</f>
      </c>
      <c r="BB41" s="17">
        <f>COUNTIF(U41:AY41,"E")</f>
      </c>
    </row>
    <row r="42" spans="1:54" ht="15.75" customHeight="1" x14ac:dyDescent="0.2">
      <c r="A42" s="84"/>
      <c r="B42" s="85"/>
      <c r="C42" s="85"/>
      <c r="D42" s="85"/>
      <c r="E42" s="86"/>
      <c r="F42" s="16">
        <f>IF(E42="","",DATEDIF(E42,$I$7,"Y"))</f>
      </c>
      <c r="G42" s="85"/>
      <c r="H42" s="85"/>
      <c r="I42" s="87"/>
      <c r="J42" s="85"/>
      <c r="K42" s="85"/>
      <c r="L42" s="2"/>
      <c r="M42" s="2"/>
      <c r="N42" s="1"/>
      <c r="O42" s="1"/>
      <c r="P42" s="85"/>
      <c r="Q42" s="88"/>
      <c r="R42" s="3">
        <f>IFERROR(VLOOKUP(TablaJunio[[#This Row],[BARRIO]],SECTOR!$A:$B,2,0),"")</f>
      </c>
      <c r="S42" s="89"/>
      <c r="T42" s="90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17">
        <f>COUNTIF(U42:AY42,"A")</f>
      </c>
      <c r="BA42" s="17">
        <f>COUNTIF(U42:AY42,"F")</f>
      </c>
      <c r="BB42" s="17">
        <f>COUNTIF(U42:AY42,"E")</f>
      </c>
    </row>
    <row r="43" spans="1:54" ht="15.75" customHeight="1" x14ac:dyDescent="0.2">
      <c r="A43" s="84"/>
      <c r="B43" s="85"/>
      <c r="C43" s="85"/>
      <c r="D43" s="85"/>
      <c r="E43" s="86"/>
      <c r="F43" s="16">
        <f>IF(E43="","",DATEDIF(E43,$I$7,"Y"))</f>
      </c>
      <c r="G43" s="85"/>
      <c r="H43" s="85"/>
      <c r="I43" s="87"/>
      <c r="J43" s="85"/>
      <c r="K43" s="85"/>
      <c r="L43" s="2"/>
      <c r="M43" s="2"/>
      <c r="N43" s="1"/>
      <c r="O43" s="1"/>
      <c r="P43" s="85"/>
      <c r="Q43" s="88"/>
      <c r="R43" s="3">
        <f>IFERROR(VLOOKUP(TablaJunio[[#This Row],[BARRIO]],SECTOR!$A:$B,2,0),"")</f>
      </c>
      <c r="S43" s="89"/>
      <c r="T43" s="90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17">
        <f>COUNTIF(U43:AY43,"A")</f>
      </c>
      <c r="BA43" s="17">
        <f>COUNTIF(U43:AY43,"F")</f>
      </c>
      <c r="BB43" s="17">
        <f>COUNTIF(U43:AY43,"E")</f>
      </c>
    </row>
    <row r="44" spans="1:54" ht="15.75" customHeight="1" x14ac:dyDescent="0.2">
      <c r="A44" s="84"/>
      <c r="B44" s="85"/>
      <c r="C44" s="85"/>
      <c r="D44" s="85"/>
      <c r="E44" s="86"/>
      <c r="F44" s="16">
        <f>IF(E44="","",DATEDIF(E44,$I$7,"Y"))</f>
      </c>
      <c r="G44" s="85"/>
      <c r="H44" s="85"/>
      <c r="I44" s="87"/>
      <c r="J44" s="85"/>
      <c r="K44" s="85"/>
      <c r="L44" s="2"/>
      <c r="M44" s="2"/>
      <c r="N44" s="1"/>
      <c r="O44" s="1"/>
      <c r="P44" s="85"/>
      <c r="Q44" s="88"/>
      <c r="R44" s="3">
        <f>IFERROR(VLOOKUP(TablaJunio[[#This Row],[BARRIO]],SECTOR!$A:$B,2,0),"")</f>
      </c>
      <c r="S44" s="89"/>
      <c r="T44" s="90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17">
        <f>COUNTIF(U44:AY44,"A")</f>
      </c>
      <c r="BA44" s="17">
        <f>COUNTIF(U44:AY44,"F")</f>
      </c>
      <c r="BB44" s="17">
        <f>COUNTIF(U44:AY44,"E")</f>
      </c>
    </row>
    <row r="45" spans="1:54" ht="15.75" customHeight="1" x14ac:dyDescent="0.2">
      <c r="A45" s="84"/>
      <c r="B45" s="85"/>
      <c r="C45" s="85"/>
      <c r="D45" s="85"/>
      <c r="E45" s="86"/>
      <c r="F45" s="16">
        <f>IF(E45="","",DATEDIF(E45,$I$7,"Y"))</f>
      </c>
      <c r="G45" s="85"/>
      <c r="H45" s="85"/>
      <c r="I45" s="87"/>
      <c r="J45" s="85"/>
      <c r="K45" s="85"/>
      <c r="L45" s="2"/>
      <c r="M45" s="2"/>
      <c r="N45" s="1"/>
      <c r="O45" s="1"/>
      <c r="P45" s="85"/>
      <c r="Q45" s="88"/>
      <c r="R45" s="3">
        <f>IFERROR(VLOOKUP(TablaJunio[[#This Row],[BARRIO]],SECTOR!$A:$B,2,0),"")</f>
      </c>
      <c r="S45" s="89"/>
      <c r="T45" s="90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17">
        <f>COUNTIF(U45:AY45,"A")</f>
      </c>
      <c r="BA45" s="17">
        <f>COUNTIF(U45:AY45,"F")</f>
      </c>
      <c r="BB45" s="17">
        <f>COUNTIF(U45:AY45,"E")</f>
      </c>
    </row>
    <row r="46" spans="1:54" ht="15.75" customHeight="1" x14ac:dyDescent="0.2">
      <c r="A46" s="84"/>
      <c r="B46" s="85"/>
      <c r="C46" s="85"/>
      <c r="D46" s="85"/>
      <c r="E46" s="86"/>
      <c r="F46" s="16">
        <f>IF(E46="","",DATEDIF(E46,$I$7,"Y"))</f>
      </c>
      <c r="G46" s="85"/>
      <c r="H46" s="85"/>
      <c r="I46" s="87"/>
      <c r="J46" s="85"/>
      <c r="K46" s="85"/>
      <c r="L46" s="2"/>
      <c r="M46" s="2"/>
      <c r="N46" s="1"/>
      <c r="O46" s="1"/>
      <c r="P46" s="85"/>
      <c r="Q46" s="88"/>
      <c r="R46" s="3">
        <f>IFERROR(VLOOKUP(TablaJunio[[#This Row],[BARRIO]],SECTOR!$A:$B,2,0),"")</f>
      </c>
      <c r="S46" s="89"/>
      <c r="T46" s="90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17">
        <f>COUNTIF(U46:AY46,"A")</f>
      </c>
      <c r="BA46" s="17">
        <f>COUNTIF(U46:AY46,"F")</f>
      </c>
      <c r="BB46" s="17">
        <f>COUNTIF(U46:AY46,"E")</f>
      </c>
    </row>
    <row r="47" spans="1:54" ht="15.75" customHeight="1" x14ac:dyDescent="0.2">
      <c r="A47" s="84"/>
      <c r="B47" s="85"/>
      <c r="C47" s="85"/>
      <c r="D47" s="85"/>
      <c r="E47" s="86"/>
      <c r="F47" s="16">
        <f>IF(E47="","",DATEDIF(E47,$I$7,"Y"))</f>
      </c>
      <c r="G47" s="85"/>
      <c r="H47" s="85"/>
      <c r="I47" s="87"/>
      <c r="J47" s="85"/>
      <c r="K47" s="85"/>
      <c r="L47" s="2"/>
      <c r="M47" s="2"/>
      <c r="N47" s="1"/>
      <c r="O47" s="1"/>
      <c r="P47" s="85"/>
      <c r="Q47" s="88"/>
      <c r="R47" s="3">
        <f>IFERROR(VLOOKUP(TablaJunio[[#This Row],[BARRIO]],SECTOR!$A:$B,2,0),"")</f>
      </c>
      <c r="S47" s="89"/>
      <c r="T47" s="90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17">
        <f>COUNTIF(U47:AY47,"A")</f>
      </c>
      <c r="BA47" s="17">
        <f>COUNTIF(U47:AY47,"F")</f>
      </c>
      <c r="BB47" s="17">
        <f>COUNTIF(U47:AY47,"E")</f>
      </c>
    </row>
    <row r="48" spans="1:54" ht="15.75" customHeight="1" x14ac:dyDescent="0.2">
      <c r="A48" s="84"/>
      <c r="B48" s="85"/>
      <c r="C48" s="85"/>
      <c r="D48" s="85"/>
      <c r="E48" s="86"/>
      <c r="F48" s="16">
        <f>IF(E48="","",DATEDIF(E48,$I$7,"Y"))</f>
      </c>
      <c r="G48" s="85"/>
      <c r="H48" s="85"/>
      <c r="I48" s="87"/>
      <c r="J48" s="85"/>
      <c r="K48" s="85"/>
      <c r="L48" s="2"/>
      <c r="M48" s="2"/>
      <c r="N48" s="1"/>
      <c r="O48" s="1"/>
      <c r="P48" s="85"/>
      <c r="Q48" s="88"/>
      <c r="R48" s="3">
        <f>IFERROR(VLOOKUP(TablaJunio[[#This Row],[BARRIO]],SECTOR!$A:$B,2,0),"")</f>
      </c>
      <c r="S48" s="89"/>
      <c r="T48" s="90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17">
        <f>COUNTIF(U48:AY48,"A")</f>
      </c>
      <c r="BA48" s="17">
        <f>COUNTIF(U48:AY48,"F")</f>
      </c>
      <c r="BB48" s="17">
        <f>COUNTIF(U48:AY48,"E")</f>
      </c>
    </row>
    <row r="49" spans="1:54" ht="15.75" customHeight="1" x14ac:dyDescent="0.2">
      <c r="A49" s="84"/>
      <c r="B49" s="85"/>
      <c r="C49" s="85"/>
      <c r="D49" s="85"/>
      <c r="E49" s="86"/>
      <c r="F49" s="16">
        <f>IF(E49="","",DATEDIF(E49,$I$7,"Y"))</f>
      </c>
      <c r="G49" s="85"/>
      <c r="H49" s="85"/>
      <c r="I49" s="87"/>
      <c r="J49" s="85"/>
      <c r="K49" s="85"/>
      <c r="L49" s="2"/>
      <c r="M49" s="2"/>
      <c r="N49" s="1"/>
      <c r="O49" s="1"/>
      <c r="P49" s="85"/>
      <c r="Q49" s="88"/>
      <c r="R49" s="3">
        <f>IFERROR(VLOOKUP(TablaJunio[[#This Row],[BARRIO]],SECTOR!$A:$B,2,0),"")</f>
      </c>
      <c r="S49" s="89"/>
      <c r="T49" s="90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17">
        <f>COUNTIF(U49:AY49,"A")</f>
      </c>
      <c r="BA49" s="17">
        <f>COUNTIF(U49:AY49,"F")</f>
      </c>
      <c r="BB49" s="17">
        <f>COUNTIF(U49:AY49,"E")</f>
      </c>
    </row>
    <row r="50" spans="1:54" ht="15.75" customHeight="1" x14ac:dyDescent="0.2">
      <c r="A50" s="84"/>
      <c r="B50" s="85"/>
      <c r="C50" s="85"/>
      <c r="D50" s="85"/>
      <c r="E50" s="86"/>
      <c r="F50" s="16">
        <f>IF(E50="","",DATEDIF(E50,$I$7,"Y"))</f>
      </c>
      <c r="G50" s="85"/>
      <c r="H50" s="85"/>
      <c r="I50" s="87"/>
      <c r="J50" s="85"/>
      <c r="K50" s="85"/>
      <c r="L50" s="2"/>
      <c r="M50" s="2"/>
      <c r="N50" s="1"/>
      <c r="O50" s="1"/>
      <c r="P50" s="85"/>
      <c r="Q50" s="88"/>
      <c r="R50" s="3">
        <f>IFERROR(VLOOKUP(TablaJunio[[#This Row],[BARRIO]],SECTOR!$A:$B,2,0),"")</f>
      </c>
      <c r="S50" s="89"/>
      <c r="T50" s="90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17">
        <f>COUNTIF(U50:AY50,"A")</f>
      </c>
      <c r="BA50" s="17">
        <f>COUNTIF(U50:AY50,"F")</f>
      </c>
      <c r="BB50" s="17">
        <f>COUNTIF(U50:AY50,"E")</f>
      </c>
    </row>
    <row r="51" spans="1:54" ht="15.75" customHeight="1" x14ac:dyDescent="0.2">
      <c r="A51" s="84"/>
      <c r="B51" s="85"/>
      <c r="C51" s="85"/>
      <c r="D51" s="85"/>
      <c r="E51" s="86"/>
      <c r="F51" s="16">
        <f>IF(E51="","",DATEDIF(E51,$I$7,"Y"))</f>
      </c>
      <c r="G51" s="85"/>
      <c r="H51" s="85"/>
      <c r="I51" s="87"/>
      <c r="J51" s="85"/>
      <c r="K51" s="85"/>
      <c r="L51" s="2"/>
      <c r="M51" s="2"/>
      <c r="N51" s="1"/>
      <c r="O51" s="1"/>
      <c r="P51" s="85"/>
      <c r="Q51" s="88"/>
      <c r="R51" s="3">
        <f>IFERROR(VLOOKUP(TablaJunio[[#This Row],[BARRIO]],SECTOR!$A:$B,2,0),"")</f>
      </c>
      <c r="S51" s="89"/>
      <c r="T51" s="90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17">
        <f>COUNTIF(U51:AY51,"A")</f>
      </c>
      <c r="BA51" s="17">
        <f>COUNTIF(U51:AY51,"F")</f>
      </c>
      <c r="BB51" s="17">
        <f>COUNTIF(U51:AY51,"E")</f>
      </c>
    </row>
    <row r="52" spans="1:54" ht="15.75" customHeight="1" x14ac:dyDescent="0.2">
      <c r="A52" s="84"/>
      <c r="B52" s="85"/>
      <c r="C52" s="85"/>
      <c r="D52" s="85"/>
      <c r="E52" s="86"/>
      <c r="F52" s="16">
        <f>IF(E52="","",DATEDIF(E52,$I$7,"Y"))</f>
      </c>
      <c r="G52" s="85"/>
      <c r="H52" s="85"/>
      <c r="I52" s="87"/>
      <c r="J52" s="85"/>
      <c r="K52" s="85"/>
      <c r="L52" s="2"/>
      <c r="M52" s="2"/>
      <c r="N52" s="1"/>
      <c r="O52" s="1"/>
      <c r="P52" s="85"/>
      <c r="Q52" s="88"/>
      <c r="R52" s="3">
        <f>IFERROR(VLOOKUP(TablaJunio[[#This Row],[BARRIO]],SECTOR!$A:$B,2,0),"")</f>
      </c>
      <c r="S52" s="89"/>
      <c r="T52" s="90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17">
        <f>COUNTIF(U52:AY52,"A")</f>
      </c>
      <c r="BA52" s="17">
        <f>COUNTIF(U52:AY52,"F")</f>
      </c>
      <c r="BB52" s="17">
        <f>COUNTIF(U52:AY52,"E")</f>
      </c>
    </row>
    <row r="53" spans="1:54" ht="15.75" customHeight="1" x14ac:dyDescent="0.2">
      <c r="A53" s="84"/>
      <c r="B53" s="85"/>
      <c r="C53" s="85"/>
      <c r="D53" s="85"/>
      <c r="E53" s="86"/>
      <c r="F53" s="16">
        <f>IF(E53="","",DATEDIF(E53,$I$7,"Y"))</f>
      </c>
      <c r="G53" s="85"/>
      <c r="H53" s="85"/>
      <c r="I53" s="87"/>
      <c r="J53" s="85"/>
      <c r="K53" s="85"/>
      <c r="L53" s="2"/>
      <c r="M53" s="2"/>
      <c r="N53" s="1"/>
      <c r="O53" s="1"/>
      <c r="P53" s="85"/>
      <c r="Q53" s="88"/>
      <c r="R53" s="3">
        <f>IFERROR(VLOOKUP(TablaJunio[[#This Row],[BARRIO]],SECTOR!$A:$B,2,0),"")</f>
      </c>
      <c r="S53" s="89"/>
      <c r="T53" s="90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17">
        <f>COUNTIF(U53:AY53,"A")</f>
      </c>
      <c r="BA53" s="17">
        <f>COUNTIF(U53:AY53,"F")</f>
      </c>
      <c r="BB53" s="17">
        <f>COUNTIF(U53:AY53,"E")</f>
      </c>
    </row>
    <row r="54" spans="1:54" ht="15.75" customHeight="1" x14ac:dyDescent="0.2">
      <c r="A54" s="84"/>
      <c r="B54" s="85"/>
      <c r="C54" s="85"/>
      <c r="D54" s="85"/>
      <c r="E54" s="86"/>
      <c r="F54" s="16">
        <f>IF(E54="","",DATEDIF(E54,$I$7,"Y"))</f>
      </c>
      <c r="G54" s="85"/>
      <c r="H54" s="85"/>
      <c r="I54" s="87"/>
      <c r="J54" s="85"/>
      <c r="K54" s="85"/>
      <c r="L54" s="2"/>
      <c r="M54" s="2"/>
      <c r="N54" s="1"/>
      <c r="O54" s="1"/>
      <c r="P54" s="85"/>
      <c r="Q54" s="88"/>
      <c r="R54" s="3">
        <f>IFERROR(VLOOKUP(TablaJunio[[#This Row],[BARRIO]],SECTOR!$A:$B,2,0),"")</f>
      </c>
      <c r="S54" s="89"/>
      <c r="T54" s="90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17">
        <f>COUNTIF(U54:AY54,"A")</f>
      </c>
      <c r="BA54" s="17">
        <f>COUNTIF(U54:AY54,"F")</f>
      </c>
      <c r="BB54" s="17">
        <f>COUNTIF(U54:AY54,"E")</f>
      </c>
    </row>
    <row r="55" spans="1:54" ht="15.75" customHeight="1" x14ac:dyDescent="0.2">
      <c r="A55" s="84"/>
      <c r="B55" s="85"/>
      <c r="C55" s="85"/>
      <c r="D55" s="85"/>
      <c r="E55" s="86"/>
      <c r="F55" s="16">
        <f>IF(E55="","",DATEDIF(E55,$I$7,"Y"))</f>
      </c>
      <c r="G55" s="85"/>
      <c r="H55" s="85"/>
      <c r="I55" s="87"/>
      <c r="J55" s="85"/>
      <c r="K55" s="85"/>
      <c r="L55" s="2"/>
      <c r="M55" s="2"/>
      <c r="N55" s="1"/>
      <c r="O55" s="1"/>
      <c r="P55" s="85"/>
      <c r="Q55" s="88"/>
      <c r="R55" s="3">
        <f>IFERROR(VLOOKUP(TablaJunio[[#This Row],[BARRIO]],SECTOR!$A:$B,2,0),"")</f>
      </c>
      <c r="S55" s="89"/>
      <c r="T55" s="90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17">
        <f>COUNTIF(U55:AY55,"A")</f>
      </c>
      <c r="BA55" s="17">
        <f>COUNTIF(U55:AY55,"F")</f>
      </c>
      <c r="BB55" s="17">
        <f>COUNTIF(U55:AY55,"E")</f>
      </c>
    </row>
    <row r="56" spans="1:54" ht="15.75" customHeight="1" x14ac:dyDescent="0.2">
      <c r="A56" s="84"/>
      <c r="B56" s="85"/>
      <c r="C56" s="85"/>
      <c r="D56" s="85"/>
      <c r="E56" s="86"/>
      <c r="F56" s="16">
        <f>IF(E56="","",DATEDIF(E56,$I$7,"Y"))</f>
      </c>
      <c r="G56" s="85"/>
      <c r="H56" s="85"/>
      <c r="I56" s="87"/>
      <c r="J56" s="85"/>
      <c r="K56" s="85"/>
      <c r="L56" s="2"/>
      <c r="M56" s="2"/>
      <c r="N56" s="1"/>
      <c r="O56" s="1"/>
      <c r="P56" s="85"/>
      <c r="Q56" s="88"/>
      <c r="R56" s="3">
        <f>IFERROR(VLOOKUP(TablaJunio[[#This Row],[BARRIO]],SECTOR!$A:$B,2,0),"")</f>
      </c>
      <c r="S56" s="89"/>
      <c r="T56" s="90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17">
        <f>COUNTIF(U56:AY56,"A")</f>
      </c>
      <c r="BA56" s="17">
        <f>COUNTIF(U56:AY56,"F")</f>
      </c>
      <c r="BB56" s="17">
        <f>COUNTIF(U56:AY56,"E")</f>
      </c>
    </row>
    <row r="57" spans="1:54" ht="15.75" customHeight="1" x14ac:dyDescent="0.2">
      <c r="A57" s="84"/>
      <c r="B57" s="85"/>
      <c r="C57" s="85"/>
      <c r="D57" s="85"/>
      <c r="E57" s="86"/>
      <c r="F57" s="16">
        <f>IF(E57="","",DATEDIF(E57,$I$7,"Y"))</f>
      </c>
      <c r="G57" s="85"/>
      <c r="H57" s="85"/>
      <c r="I57" s="87"/>
      <c r="J57" s="85"/>
      <c r="K57" s="85"/>
      <c r="L57" s="2"/>
      <c r="M57" s="2"/>
      <c r="N57" s="1"/>
      <c r="O57" s="1"/>
      <c r="P57" s="85"/>
      <c r="Q57" s="88"/>
      <c r="R57" s="3">
        <f>IFERROR(VLOOKUP(TablaJunio[[#This Row],[BARRIO]],SECTOR!$A:$B,2,0),"")</f>
      </c>
      <c r="S57" s="89"/>
      <c r="T57" s="90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17">
        <f>COUNTIF(U57:AY57,"A")</f>
      </c>
      <c r="BA57" s="17">
        <f>COUNTIF(U57:AY57,"F")</f>
      </c>
      <c r="BB57" s="17">
        <f>COUNTIF(U57:AY57,"E")</f>
      </c>
    </row>
    <row r="58" spans="1:54" ht="15.75" customHeight="1" x14ac:dyDescent="0.2">
      <c r="A58" s="84"/>
      <c r="B58" s="85"/>
      <c r="C58" s="85"/>
      <c r="D58" s="85"/>
      <c r="E58" s="86"/>
      <c r="F58" s="16">
        <f>IF(E58="","",DATEDIF(E58,$I$7,"Y"))</f>
      </c>
      <c r="G58" s="85"/>
      <c r="H58" s="85"/>
      <c r="I58" s="87"/>
      <c r="J58" s="85"/>
      <c r="K58" s="85"/>
      <c r="L58" s="2"/>
      <c r="M58" s="2"/>
      <c r="N58" s="1"/>
      <c r="O58" s="1"/>
      <c r="P58" s="85"/>
      <c r="Q58" s="88"/>
      <c r="R58" s="3">
        <f>IFERROR(VLOOKUP(TablaJunio[[#This Row],[BARRIO]],SECTOR!$A:$B,2,0),"")</f>
      </c>
      <c r="S58" s="89"/>
      <c r="T58" s="90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17">
        <f>COUNTIF(U58:AY58,"A")</f>
      </c>
      <c r="BA58" s="17">
        <f>COUNTIF(U58:AY58,"F")</f>
      </c>
      <c r="BB58" s="17">
        <f>COUNTIF(U58:AY58,"E")</f>
      </c>
    </row>
    <row r="59" spans="1:54" ht="15.75" customHeight="1" x14ac:dyDescent="0.2">
      <c r="A59" s="84"/>
      <c r="B59" s="85"/>
      <c r="C59" s="85"/>
      <c r="D59" s="85"/>
      <c r="E59" s="86"/>
      <c r="F59" s="16">
        <f>IF(E59="","",DATEDIF(E59,$I$7,"Y"))</f>
      </c>
      <c r="G59" s="85"/>
      <c r="H59" s="85"/>
      <c r="I59" s="87"/>
      <c r="J59" s="85"/>
      <c r="K59" s="85"/>
      <c r="L59" s="2"/>
      <c r="M59" s="2"/>
      <c r="N59" s="1"/>
      <c r="O59" s="1"/>
      <c r="P59" s="85"/>
      <c r="Q59" s="88"/>
      <c r="R59" s="3">
        <f>IFERROR(VLOOKUP(TablaJunio[[#This Row],[BARRIO]],SECTOR!$A:$B,2,0),"")</f>
      </c>
      <c r="S59" s="89"/>
      <c r="T59" s="90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17">
        <f>COUNTIF(U59:AY59,"A")</f>
      </c>
      <c r="BA59" s="17">
        <f>COUNTIF(U59:AY59,"F")</f>
      </c>
      <c r="BB59" s="17">
        <f>COUNTIF(U59:AY59,"E")</f>
      </c>
    </row>
    <row r="60" spans="1:54" ht="15.75" customHeight="1" x14ac:dyDescent="0.2">
      <c r="A60" s="84"/>
      <c r="B60" s="85"/>
      <c r="C60" s="85"/>
      <c r="D60" s="85"/>
      <c r="E60" s="86"/>
      <c r="F60" s="16">
        <f>IF(E60="","",DATEDIF(E60,$I$7,"Y"))</f>
      </c>
      <c r="G60" s="85"/>
      <c r="H60" s="85"/>
      <c r="I60" s="87"/>
      <c r="J60" s="85"/>
      <c r="K60" s="85"/>
      <c r="L60" s="2"/>
      <c r="M60" s="2"/>
      <c r="N60" s="1"/>
      <c r="O60" s="1"/>
      <c r="P60" s="85"/>
      <c r="Q60" s="88"/>
      <c r="R60" s="3">
        <f>IFERROR(VLOOKUP(TablaJunio[[#This Row],[BARRIO]],SECTOR!$A:$B,2,0),"")</f>
      </c>
      <c r="S60" s="89"/>
      <c r="T60" s="90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17">
        <f>COUNTIF(U60:AY60,"A")</f>
      </c>
      <c r="BA60" s="17">
        <f>COUNTIF(U60:AY60,"F")</f>
      </c>
      <c r="BB60" s="17">
        <f>COUNTIF(U60:AY60,"E")</f>
      </c>
    </row>
    <row r="61" spans="1:54" ht="15.75" customHeight="1" x14ac:dyDescent="0.2">
      <c r="A61" s="84"/>
      <c r="B61" s="85"/>
      <c r="C61" s="85"/>
      <c r="D61" s="85"/>
      <c r="E61" s="86"/>
      <c r="F61" s="16">
        <f>IF(E61="","",DATEDIF(E61,$I$7,"Y"))</f>
      </c>
      <c r="G61" s="85"/>
      <c r="H61" s="85"/>
      <c r="I61" s="87"/>
      <c r="J61" s="85"/>
      <c r="K61" s="85"/>
      <c r="L61" s="2"/>
      <c r="M61" s="2"/>
      <c r="N61" s="1"/>
      <c r="O61" s="1"/>
      <c r="P61" s="85"/>
      <c r="Q61" s="88"/>
      <c r="R61" s="3">
        <f>IFERROR(VLOOKUP(TablaJunio[[#This Row],[BARRIO]],SECTOR!$A:$B,2,0),"")</f>
      </c>
      <c r="S61" s="89"/>
      <c r="T61" s="90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17">
        <f>COUNTIF(U61:AY61,"A")</f>
      </c>
      <c r="BA61" s="17">
        <f>COUNTIF(U61:AY61,"F")</f>
      </c>
      <c r="BB61" s="17">
        <f>COUNTIF(U61:AY61,"E")</f>
      </c>
    </row>
    <row r="62" spans="1:54" ht="15.75" customHeight="1" x14ac:dyDescent="0.2">
      <c r="A62" s="84"/>
      <c r="B62" s="85"/>
      <c r="C62" s="85"/>
      <c r="D62" s="85"/>
      <c r="E62" s="86"/>
      <c r="F62" s="16">
        <f>IF(E62="","",DATEDIF(E62,$I$7,"Y"))</f>
      </c>
      <c r="G62" s="85"/>
      <c r="H62" s="85"/>
      <c r="I62" s="87"/>
      <c r="J62" s="85"/>
      <c r="K62" s="85"/>
      <c r="L62" s="2"/>
      <c r="M62" s="2"/>
      <c r="N62" s="1"/>
      <c r="O62" s="1"/>
      <c r="P62" s="85"/>
      <c r="Q62" s="88"/>
      <c r="R62" s="3">
        <f>IFERROR(VLOOKUP(TablaJunio[[#This Row],[BARRIO]],SECTOR!$A:$B,2,0),"")</f>
      </c>
      <c r="S62" s="89"/>
      <c r="T62" s="90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17">
        <f>COUNTIF(U62:AY62,"A")</f>
      </c>
      <c r="BA62" s="17">
        <f>COUNTIF(U62:AY62,"F")</f>
      </c>
      <c r="BB62" s="17">
        <f>COUNTIF(U62:AY62,"E")</f>
      </c>
    </row>
    <row r="63" spans="1:54" ht="15.75" customHeight="1" x14ac:dyDescent="0.2">
      <c r="A63" s="84"/>
      <c r="B63" s="85"/>
      <c r="C63" s="85"/>
      <c r="D63" s="85"/>
      <c r="E63" s="86"/>
      <c r="F63" s="16">
        <f>IF(E63="","",DATEDIF(E63,$I$7,"Y"))</f>
      </c>
      <c r="G63" s="85"/>
      <c r="H63" s="85"/>
      <c r="I63" s="87"/>
      <c r="J63" s="85"/>
      <c r="K63" s="85"/>
      <c r="L63" s="2"/>
      <c r="M63" s="2"/>
      <c r="N63" s="1"/>
      <c r="O63" s="1"/>
      <c r="P63" s="85"/>
      <c r="Q63" s="88"/>
      <c r="R63" s="3">
        <f>IFERROR(VLOOKUP(TablaJunio[[#This Row],[BARRIO]],SECTOR!$A:$B,2,0),"")</f>
      </c>
      <c r="S63" s="89"/>
      <c r="T63" s="90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17">
        <f>COUNTIF(U63:AY63,"A")</f>
      </c>
      <c r="BA63" s="17">
        <f>COUNTIF(U63:AY63,"F")</f>
      </c>
      <c r="BB63" s="17">
        <f>COUNTIF(U63:AY63,"E")</f>
      </c>
    </row>
    <row r="64" spans="1:54" ht="15.75" customHeight="1" x14ac:dyDescent="0.2">
      <c r="A64" s="84"/>
      <c r="B64" s="85"/>
      <c r="C64" s="85"/>
      <c r="D64" s="85"/>
      <c r="E64" s="86"/>
      <c r="F64" s="16">
        <f>IF(E64="","",DATEDIF(E64,$I$7,"Y"))</f>
      </c>
      <c r="G64" s="85"/>
      <c r="H64" s="85"/>
      <c r="I64" s="87"/>
      <c r="J64" s="85"/>
      <c r="K64" s="85"/>
      <c r="L64" s="2"/>
      <c r="M64" s="2"/>
      <c r="N64" s="1"/>
      <c r="O64" s="1"/>
      <c r="P64" s="85"/>
      <c r="Q64" s="88"/>
      <c r="R64" s="3">
        <f>IFERROR(VLOOKUP(TablaJunio[[#This Row],[BARRIO]],SECTOR!$A:$B,2,0),"")</f>
      </c>
      <c r="S64" s="89"/>
      <c r="T64" s="90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17">
        <f>COUNTIF(U64:AY64,"A")</f>
      </c>
      <c r="BA64" s="17">
        <f>COUNTIF(U64:AY64,"F")</f>
      </c>
      <c r="BB64" s="17">
        <f>COUNTIF(U64:AY64,"E")</f>
      </c>
    </row>
    <row r="65" spans="1:54" ht="15.75" customHeight="1" x14ac:dyDescent="0.2">
      <c r="A65" s="84"/>
      <c r="B65" s="85"/>
      <c r="C65" s="85"/>
      <c r="D65" s="85"/>
      <c r="E65" s="86"/>
      <c r="F65" s="16">
        <f>IF(E65="","",DATEDIF(E65,$I$7,"Y"))</f>
      </c>
      <c r="G65" s="85"/>
      <c r="H65" s="85"/>
      <c r="I65" s="87"/>
      <c r="J65" s="85"/>
      <c r="K65" s="85"/>
      <c r="L65" s="2"/>
      <c r="M65" s="2"/>
      <c r="N65" s="1"/>
      <c r="O65" s="1"/>
      <c r="P65" s="85"/>
      <c r="Q65" s="88"/>
      <c r="R65" s="3">
        <f>IFERROR(VLOOKUP(TablaJunio[[#This Row],[BARRIO]],SECTOR!$A:$B,2,0),"")</f>
      </c>
      <c r="S65" s="89"/>
      <c r="T65" s="90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17">
        <f>COUNTIF(U65:AY65,"A")</f>
      </c>
      <c r="BA65" s="17">
        <f>COUNTIF(U65:AY65,"F")</f>
      </c>
      <c r="BB65" s="17">
        <f>COUNTIF(U65:AY65,"E")</f>
      </c>
    </row>
    <row r="66" spans="1:54" ht="15.75" customHeight="1" x14ac:dyDescent="0.2">
      <c r="A66" s="84"/>
      <c r="B66" s="85"/>
      <c r="C66" s="85"/>
      <c r="D66" s="85"/>
      <c r="E66" s="86"/>
      <c r="F66" s="16">
        <f>IF(E66="","",DATEDIF(E66,$I$7,"Y"))</f>
      </c>
      <c r="G66" s="85"/>
      <c r="H66" s="85"/>
      <c r="I66" s="87"/>
      <c r="J66" s="85"/>
      <c r="K66" s="85"/>
      <c r="L66" s="2"/>
      <c r="M66" s="2"/>
      <c r="N66" s="1"/>
      <c r="O66" s="1"/>
      <c r="P66" s="85"/>
      <c r="Q66" s="88"/>
      <c r="R66" s="3">
        <f>IFERROR(VLOOKUP(TablaJunio[[#This Row],[BARRIO]],SECTOR!$A:$B,2,0),"")</f>
      </c>
      <c r="S66" s="89"/>
      <c r="T66" s="90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17">
        <f>COUNTIF(U66:AY66,"A")</f>
      </c>
      <c r="BA66" s="17">
        <f>COUNTIF(U66:AY66,"F")</f>
      </c>
      <c r="BB66" s="17">
        <f>COUNTIF(U66:AY66,"E")</f>
      </c>
    </row>
    <row r="67" spans="1:54" ht="15.75" customHeight="1" x14ac:dyDescent="0.2">
      <c r="A67" s="84"/>
      <c r="B67" s="91"/>
      <c r="C67" s="91"/>
      <c r="D67" s="91"/>
      <c r="E67" s="92"/>
      <c r="F67" s="16">
        <f>IF(E67="","",DATEDIF(E67,$I$7,"Y"))</f>
      </c>
      <c r="G67" s="91"/>
      <c r="H67" s="91"/>
      <c r="I67" s="93"/>
      <c r="J67" s="91"/>
      <c r="K67" s="91"/>
      <c r="L67" s="2"/>
      <c r="M67" s="2"/>
      <c r="N67" s="1"/>
      <c r="O67" s="1"/>
      <c r="P67" s="85"/>
      <c r="Q67" s="88"/>
      <c r="R67" s="3">
        <f>IFERROR(VLOOKUP(TablaJunio[[#This Row],[BARRIO]],SECTOR!$A:$B,2,0),"")</f>
      </c>
      <c r="S67" s="89"/>
      <c r="T67" s="90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17">
        <f>COUNTIF(U67:AY67,"A")</f>
      </c>
      <c r="BA67" s="17">
        <f>COUNTIF(U67:AY67,"F")</f>
      </c>
      <c r="BB67" s="17">
        <f>COUNTIF(U67:AY67,"E")</f>
      </c>
    </row>
    <row r="68" spans="1:54" ht="15.75" customHeight="1" x14ac:dyDescent="0.2">
      <c r="A68" s="84"/>
      <c r="B68" s="94"/>
      <c r="C68" s="94"/>
      <c r="D68" s="94"/>
      <c r="E68" s="95"/>
      <c r="F68" s="16">
        <f>IF(E68="","",DATEDIF(E68,$I$7,"Y"))</f>
      </c>
      <c r="G68" s="94"/>
      <c r="H68" s="94"/>
      <c r="I68" s="96"/>
      <c r="J68" s="94"/>
      <c r="K68" s="94"/>
      <c r="L68" s="2"/>
      <c r="M68" s="2"/>
      <c r="N68" s="1"/>
      <c r="O68" s="1"/>
      <c r="P68" s="85"/>
      <c r="Q68" s="88"/>
      <c r="R68" s="3">
        <f>IFERROR(VLOOKUP(TablaJunio[[#This Row],[BARRIO]],SECTOR!$A:$B,2,0),"")</f>
      </c>
      <c r="S68" s="89"/>
      <c r="T68" s="90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17">
        <f>COUNTIF(U68:AY68,"A")</f>
      </c>
      <c r="BA68" s="17">
        <f>COUNTIF(U68:AY68,"F")</f>
      </c>
      <c r="BB68" s="17">
        <f>COUNTIF(U68:AY68,"E")</f>
      </c>
    </row>
    <row r="69" spans="1:54" ht="15.75" customHeight="1" x14ac:dyDescent="0.2">
      <c r="A69" s="84"/>
      <c r="B69" s="97"/>
      <c r="C69" s="97"/>
      <c r="D69" s="97"/>
      <c r="E69" s="98"/>
      <c r="F69" s="16">
        <f>IF(E69="","",DATEDIF(E69,$I$7,"Y"))</f>
      </c>
      <c r="G69" s="97"/>
      <c r="H69" s="97"/>
      <c r="I69" s="99"/>
      <c r="J69" s="97"/>
      <c r="K69" s="97"/>
      <c r="L69" s="2"/>
      <c r="M69" s="2"/>
      <c r="N69" s="1"/>
      <c r="O69" s="1"/>
      <c r="P69" s="85"/>
      <c r="Q69" s="88"/>
      <c r="R69" s="3">
        <f>IFERROR(VLOOKUP(TablaJunio[[#This Row],[BARRIO]],SECTOR!$A:$B,2,0),"")</f>
      </c>
      <c r="S69" s="89"/>
      <c r="T69" s="90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5"/>
      <c r="AZ69" s="18">
        <f>COUNTIF(U69:AY69,"A")</f>
      </c>
      <c r="BA69" s="17">
        <f>COUNTIF(U69:AY69,"F")</f>
      </c>
      <c r="BB69" s="17">
        <f>COUNTIF(U69:AY69,"E")</f>
      </c>
    </row>
    <row r="70" spans="1:54" ht="15.75" customHeight="1" x14ac:dyDescent="0.2">
      <c r="A70" s="84"/>
      <c r="B70" s="97"/>
      <c r="C70" s="97"/>
      <c r="D70" s="97"/>
      <c r="E70" s="98"/>
      <c r="F70" s="16">
        <f>IF(E70="","",DATEDIF(E70,$I$7,"Y"))</f>
      </c>
      <c r="G70" s="97"/>
      <c r="H70" s="97"/>
      <c r="I70" s="99"/>
      <c r="J70" s="97"/>
      <c r="K70" s="97"/>
      <c r="L70" s="2"/>
      <c r="M70" s="2"/>
      <c r="N70" s="1"/>
      <c r="O70" s="1"/>
      <c r="P70" s="85"/>
      <c r="Q70" s="88"/>
      <c r="R70" s="3">
        <f>IFERROR(VLOOKUP(TablaJunio[[#This Row],[BARRIO]],SECTOR!$A:$B,2,0),"")</f>
      </c>
      <c r="S70" s="89"/>
      <c r="T70" s="90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6"/>
      <c r="AZ70" s="19">
        <f>COUNTIF(U70:AY70,"A")</f>
      </c>
      <c r="BA70" s="17">
        <f>COUNTIF(U70:AY70,"F")</f>
      </c>
      <c r="BB70" s="17">
        <f>COUNTIF(U70:AY70,"E")</f>
      </c>
    </row>
    <row r="71" spans="1:54" ht="15.75" customHeight="1" x14ac:dyDescent="0.2">
      <c r="A71" s="84"/>
      <c r="B71" s="97"/>
      <c r="C71" s="97"/>
      <c r="D71" s="97"/>
      <c r="E71" s="98"/>
      <c r="F71" s="16">
        <f>IF(E71="","",DATEDIF(E71,$I$7,"Y"))</f>
      </c>
      <c r="G71" s="97"/>
      <c r="H71" s="97"/>
      <c r="I71" s="99"/>
      <c r="J71" s="97"/>
      <c r="K71" s="97"/>
      <c r="L71" s="2"/>
      <c r="M71" s="2"/>
      <c r="N71" s="1"/>
      <c r="O71" s="1"/>
      <c r="P71" s="85"/>
      <c r="Q71" s="88"/>
      <c r="R71" s="3">
        <f>IFERROR(VLOOKUP(TablaJunio[[#This Row],[BARRIO]],SECTOR!$A:$B,2,0),"")</f>
      </c>
      <c r="S71" s="89"/>
      <c r="T71" s="90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6"/>
      <c r="AZ71" s="19">
        <f>COUNTIF(U71:AY71,"A")</f>
      </c>
      <c r="BA71" s="17">
        <f>COUNTIF(U71:AY71,"F")</f>
      </c>
      <c r="BB71" s="17">
        <f>COUNTIF(U71:AY71,"E")</f>
      </c>
    </row>
    <row r="72" spans="1:54" ht="15.75" customHeight="1" x14ac:dyDescent="0.2">
      <c r="A72" s="84"/>
      <c r="B72" s="97"/>
      <c r="C72" s="97"/>
      <c r="D72" s="97"/>
      <c r="E72" s="98"/>
      <c r="F72" s="16">
        <f>IF(E72="","",DATEDIF(E72,$I$7,"Y"))</f>
      </c>
      <c r="G72" s="97"/>
      <c r="H72" s="97"/>
      <c r="I72" s="99"/>
      <c r="J72" s="97"/>
      <c r="K72" s="97"/>
      <c r="L72" s="2"/>
      <c r="M72" s="2"/>
      <c r="N72" s="1"/>
      <c r="O72" s="1"/>
      <c r="P72" s="85"/>
      <c r="Q72" s="88"/>
      <c r="R72" s="3">
        <f>IFERROR(VLOOKUP(TablaJunio[[#This Row],[BARRIO]],SECTOR!$A:$B,2,0),"")</f>
      </c>
      <c r="S72" s="89"/>
      <c r="T72" s="90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6"/>
      <c r="AZ72" s="19">
        <f>COUNTIF(U72:AY72,"A")</f>
      </c>
      <c r="BA72" s="17">
        <f>COUNTIF(U72:AY72,"F")</f>
      </c>
      <c r="BB72" s="17">
        <f>COUNTIF(U72:AY72,"E")</f>
      </c>
    </row>
    <row r="73" spans="1:54" ht="15.75" customHeight="1" x14ac:dyDescent="0.2">
      <c r="A73" s="84"/>
      <c r="B73" s="97"/>
      <c r="C73" s="97"/>
      <c r="D73" s="97"/>
      <c r="E73" s="98"/>
      <c r="F73" s="16">
        <f>IF(E73="","",DATEDIF(E73,$I$7,"Y"))</f>
      </c>
      <c r="G73" s="97"/>
      <c r="H73" s="97"/>
      <c r="I73" s="99"/>
      <c r="J73" s="97"/>
      <c r="K73" s="97"/>
      <c r="L73" s="2"/>
      <c r="M73" s="2"/>
      <c r="N73" s="1"/>
      <c r="O73" s="1"/>
      <c r="P73" s="85"/>
      <c r="Q73" s="88"/>
      <c r="R73" s="3">
        <f>IFERROR(VLOOKUP(TablaJunio[[#This Row],[BARRIO]],SECTOR!$A:$B,2,0),"")</f>
      </c>
      <c r="S73" s="89"/>
      <c r="T73" s="90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6"/>
      <c r="AZ73" s="19">
        <f>COUNTIF(U73:AY73,"A")</f>
      </c>
      <c r="BA73" s="17">
        <f>COUNTIF(U73:AY73,"F")</f>
      </c>
      <c r="BB73" s="17">
        <f>COUNTIF(U73:AY73,"E")</f>
      </c>
    </row>
    <row r="74" spans="1:54" ht="15.75" customHeight="1" x14ac:dyDescent="0.2">
      <c r="A74" s="84"/>
      <c r="B74" s="97"/>
      <c r="C74" s="97"/>
      <c r="D74" s="97"/>
      <c r="E74" s="98"/>
      <c r="F74" s="16">
        <f>IF(E74="","",DATEDIF(E74,$I$7,"Y"))</f>
      </c>
      <c r="G74" s="97"/>
      <c r="H74" s="97"/>
      <c r="I74" s="99"/>
      <c r="J74" s="97"/>
      <c r="K74" s="97"/>
      <c r="L74" s="2"/>
      <c r="M74" s="2"/>
      <c r="N74" s="1"/>
      <c r="O74" s="1"/>
      <c r="P74" s="85"/>
      <c r="Q74" s="88"/>
      <c r="R74" s="3">
        <f>IFERROR(VLOOKUP(TablaJunio[[#This Row],[BARRIO]],SECTOR!$A:$B,2,0),"")</f>
      </c>
      <c r="S74" s="89"/>
      <c r="T74" s="90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6"/>
      <c r="AZ74" s="19">
        <f>COUNTIF(U74:AY74,"A")</f>
      </c>
      <c r="BA74" s="17">
        <f>COUNTIF(U74:AY74,"F")</f>
      </c>
      <c r="BB74" s="17">
        <f>COUNTIF(U74:AY74,"E")</f>
      </c>
    </row>
    <row r="75" spans="1:54" ht="15.75" customHeight="1" x14ac:dyDescent="0.2">
      <c r="A75" s="84"/>
      <c r="B75" s="97"/>
      <c r="C75" s="97"/>
      <c r="D75" s="97"/>
      <c r="E75" s="98"/>
      <c r="F75" s="16">
        <f>IF(E75="","",DATEDIF(E75,$I$7,"Y"))</f>
      </c>
      <c r="G75" s="97"/>
      <c r="H75" s="97"/>
      <c r="I75" s="99"/>
      <c r="J75" s="97"/>
      <c r="K75" s="97"/>
      <c r="L75" s="2"/>
      <c r="M75" s="2"/>
      <c r="N75" s="1"/>
      <c r="O75" s="1"/>
      <c r="P75" s="85"/>
      <c r="Q75" s="88"/>
      <c r="R75" s="3">
        <f>IFERROR(VLOOKUP(TablaJunio[[#This Row],[BARRIO]],SECTOR!$A:$B,2,0),"")</f>
      </c>
      <c r="S75" s="89"/>
      <c r="T75" s="90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6"/>
      <c r="AZ75" s="19">
        <f>COUNTIF(U75:AY75,"A")</f>
      </c>
      <c r="BA75" s="17">
        <f>COUNTIF(U75:AY75,"F")</f>
      </c>
      <c r="BB75" s="17">
        <f>COUNTIF(U75:AY75,"E")</f>
      </c>
    </row>
    <row r="76" spans="1:54" ht="15.75" customHeight="1" x14ac:dyDescent="0.2">
      <c r="A76" s="84"/>
      <c r="B76" s="97"/>
      <c r="C76" s="97"/>
      <c r="D76" s="97"/>
      <c r="E76" s="98"/>
      <c r="F76" s="16">
        <f>IF(E76="","",DATEDIF(E76,$I$7,"Y"))</f>
      </c>
      <c r="G76" s="97"/>
      <c r="H76" s="97"/>
      <c r="I76" s="99"/>
      <c r="J76" s="97"/>
      <c r="K76" s="97"/>
      <c r="L76" s="2"/>
      <c r="M76" s="2"/>
      <c r="N76" s="1"/>
      <c r="O76" s="1"/>
      <c r="P76" s="85"/>
      <c r="Q76" s="88"/>
      <c r="R76" s="3">
        <f>IFERROR(VLOOKUP(TablaJunio[[#This Row],[BARRIO]],SECTOR!$A:$B,2,0),"")</f>
      </c>
      <c r="S76" s="89"/>
      <c r="T76" s="90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6"/>
      <c r="AZ76" s="19">
        <f>COUNTIF(U76:AY76,"A")</f>
      </c>
      <c r="BA76" s="17">
        <f>COUNTIF(U76:AY76,"F")</f>
      </c>
      <c r="BB76" s="17">
        <f>COUNTIF(U76:AY76,"E")</f>
      </c>
    </row>
    <row r="77" spans="1:54" ht="15.75" customHeight="1" x14ac:dyDescent="0.2">
      <c r="A77" s="84"/>
      <c r="B77" s="97"/>
      <c r="C77" s="97"/>
      <c r="D77" s="97"/>
      <c r="E77" s="98"/>
      <c r="F77" s="16">
        <f>IF(E77="","",DATEDIF(E77,$I$7,"Y"))</f>
      </c>
      <c r="G77" s="97"/>
      <c r="H77" s="97"/>
      <c r="I77" s="99"/>
      <c r="J77" s="97"/>
      <c r="K77" s="97"/>
      <c r="L77" s="2"/>
      <c r="M77" s="2"/>
      <c r="N77" s="1"/>
      <c r="O77" s="1"/>
      <c r="P77" s="85"/>
      <c r="Q77" s="88"/>
      <c r="R77" s="3">
        <f>IFERROR(VLOOKUP(TablaJunio[[#This Row],[BARRIO]],SECTOR!$A:$B,2,0),"")</f>
      </c>
      <c r="S77" s="89"/>
      <c r="T77" s="90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6"/>
      <c r="AZ77" s="19">
        <f>COUNTIF(U77:AY77,"A")</f>
      </c>
      <c r="BA77" s="17">
        <f>COUNTIF(U77:AY77,"F")</f>
      </c>
      <c r="BB77" s="17">
        <f>COUNTIF(U77:AY77,"E")</f>
      </c>
    </row>
    <row r="78" spans="1:54" ht="15.75" customHeight="1" x14ac:dyDescent="0.2">
      <c r="A78" s="84"/>
      <c r="B78" s="97"/>
      <c r="C78" s="97"/>
      <c r="D78" s="97"/>
      <c r="E78" s="98"/>
      <c r="F78" s="16">
        <f>IF(E78="","",DATEDIF(E78,$I$7,"Y"))</f>
      </c>
      <c r="G78" s="97"/>
      <c r="H78" s="97"/>
      <c r="I78" s="99"/>
      <c r="J78" s="97"/>
      <c r="K78" s="97"/>
      <c r="L78" s="2"/>
      <c r="M78" s="2"/>
      <c r="N78" s="1"/>
      <c r="O78" s="1"/>
      <c r="P78" s="85"/>
      <c r="Q78" s="88"/>
      <c r="R78" s="3">
        <f>IFERROR(VLOOKUP(TablaJunio[[#This Row],[BARRIO]],SECTOR!$A:$B,2,0),"")</f>
      </c>
      <c r="S78" s="89"/>
      <c r="T78" s="90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6"/>
      <c r="AZ78" s="19">
        <f>COUNTIF(U78:AY78,"A")</f>
      </c>
      <c r="BA78" s="17">
        <f>COUNTIF(U78:AY78,"F")</f>
      </c>
      <c r="BB78" s="17">
        <f>COUNTIF(U78:AY78,"E")</f>
      </c>
    </row>
    <row r="79" spans="1:54" ht="15.75" customHeight="1" x14ac:dyDescent="0.2">
      <c r="A79" s="84"/>
      <c r="B79" s="85"/>
      <c r="C79" s="85"/>
      <c r="D79" s="85"/>
      <c r="E79" s="86"/>
      <c r="F79" s="16">
        <f>IF(E79="","",DATEDIF(E79,$I$7,"Y"))</f>
      </c>
      <c r="G79" s="85"/>
      <c r="H79" s="85"/>
      <c r="I79" s="87"/>
      <c r="J79" s="85"/>
      <c r="K79" s="85"/>
      <c r="L79" s="2"/>
      <c r="M79" s="2"/>
      <c r="N79" s="1"/>
      <c r="O79" s="1"/>
      <c r="P79" s="85"/>
      <c r="Q79" s="88"/>
      <c r="R79" s="3">
        <f>IFERROR(VLOOKUP(TablaJunio[[#This Row],[BARRIO]],SECTOR!$A:$B,2,0),"")</f>
      </c>
      <c r="S79" s="89"/>
      <c r="T79" s="90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6"/>
      <c r="AZ79" s="19">
        <f>COUNTIF(U79:AY79,"A")</f>
      </c>
      <c r="BA79" s="17">
        <f>COUNTIF(U79:AY79,"F")</f>
      </c>
      <c r="BB79" s="17">
        <f>COUNTIF(U79:AY79,"E")</f>
      </c>
    </row>
    <row r="80" spans="1:54" ht="15.75" customHeight="1" x14ac:dyDescent="0.2">
      <c r="A80" s="84"/>
      <c r="B80" s="85"/>
      <c r="C80" s="85"/>
      <c r="D80" s="85"/>
      <c r="E80" s="86"/>
      <c r="F80" s="16">
        <f>IF(E80="","",DATEDIF(E80,$I$7,"Y"))</f>
      </c>
      <c r="G80" s="85"/>
      <c r="H80" s="85"/>
      <c r="I80" s="87"/>
      <c r="J80" s="85"/>
      <c r="K80" s="85"/>
      <c r="L80" s="2"/>
      <c r="M80" s="2"/>
      <c r="N80" s="1"/>
      <c r="O80" s="1"/>
      <c r="P80" s="85"/>
      <c r="Q80" s="88"/>
      <c r="R80" s="3">
        <f>IFERROR(VLOOKUP(TablaJunio[[#This Row],[BARRIO]],SECTOR!$A:$B,2,0),"")</f>
      </c>
      <c r="S80" s="89"/>
      <c r="T80" s="90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6"/>
      <c r="AZ80" s="19">
        <f>COUNTIF(U80:AY80,"A")</f>
      </c>
      <c r="BA80" s="17">
        <f>COUNTIF(U80:AY80,"F")</f>
      </c>
      <c r="BB80" s="17">
        <f>COUNTIF(U80:AY80,"E")</f>
      </c>
    </row>
    <row r="81" spans="1:54" ht="15.75" customHeight="1" x14ac:dyDescent="0.2">
      <c r="A81" s="84"/>
      <c r="B81" s="85"/>
      <c r="C81" s="85"/>
      <c r="D81" s="85"/>
      <c r="E81" s="86"/>
      <c r="F81" s="16">
        <f>IF(E81="","",DATEDIF(E81,$I$7,"Y"))</f>
      </c>
      <c r="G81" s="85"/>
      <c r="H81" s="85"/>
      <c r="I81" s="87"/>
      <c r="J81" s="85"/>
      <c r="K81" s="85"/>
      <c r="L81" s="2"/>
      <c r="M81" s="2"/>
      <c r="N81" s="1"/>
      <c r="O81" s="1"/>
      <c r="P81" s="85"/>
      <c r="Q81" s="88"/>
      <c r="R81" s="3">
        <f>IFERROR(VLOOKUP(TablaJunio[[#This Row],[BARRIO]],SECTOR!$A:$B,2,0),"")</f>
      </c>
      <c r="S81" s="89"/>
      <c r="T81" s="90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6"/>
      <c r="AZ81" s="19">
        <f>COUNTIF(U81:AY81,"A")</f>
      </c>
      <c r="BA81" s="17">
        <f>COUNTIF(U81:AY81,"F")</f>
      </c>
      <c r="BB81" s="17">
        <f>COUNTIF(U81:AY81,"E")</f>
      </c>
    </row>
    <row r="82" spans="1:54" ht="15.75" customHeight="1" x14ac:dyDescent="0.2">
      <c r="A82" s="84"/>
      <c r="B82" s="85"/>
      <c r="C82" s="85"/>
      <c r="D82" s="85"/>
      <c r="E82" s="86"/>
      <c r="F82" s="16">
        <f>IF(E82="","",DATEDIF(E82,$I$7,"Y"))</f>
      </c>
      <c r="G82" s="85"/>
      <c r="H82" s="85"/>
      <c r="I82" s="87"/>
      <c r="J82" s="85"/>
      <c r="K82" s="85"/>
      <c r="L82" s="2"/>
      <c r="M82" s="2"/>
      <c r="N82" s="1"/>
      <c r="O82" s="1"/>
      <c r="P82" s="85"/>
      <c r="Q82" s="88"/>
      <c r="R82" s="3">
        <f>IFERROR(VLOOKUP(TablaJunio[[#This Row],[BARRIO]],SECTOR!$A:$B,2,0),"")</f>
      </c>
      <c r="S82" s="89"/>
      <c r="T82" s="90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6"/>
      <c r="AZ82" s="19">
        <f>COUNTIF(U82:AY82,"A")</f>
      </c>
      <c r="BA82" s="17">
        <f>COUNTIF(U82:AY82,"F")</f>
      </c>
      <c r="BB82" s="17">
        <f>COUNTIF(U82:AY82,"E")</f>
      </c>
    </row>
    <row r="83" spans="1:54" ht="15.75" customHeight="1" x14ac:dyDescent="0.2">
      <c r="A83" s="84"/>
      <c r="B83" s="85"/>
      <c r="C83" s="85"/>
      <c r="D83" s="85"/>
      <c r="E83" s="86"/>
      <c r="F83" s="16">
        <f>IF(E83="","",DATEDIF(E83,$I$7,"Y"))</f>
      </c>
      <c r="G83" s="85"/>
      <c r="H83" s="85"/>
      <c r="I83" s="87"/>
      <c r="J83" s="85"/>
      <c r="K83" s="85"/>
      <c r="L83" s="2"/>
      <c r="M83" s="2"/>
      <c r="N83" s="1"/>
      <c r="O83" s="1"/>
      <c r="P83" s="85"/>
      <c r="Q83" s="88"/>
      <c r="R83" s="3">
        <f>IFERROR(VLOOKUP(TablaJunio[[#This Row],[BARRIO]],SECTOR!$A:$B,2,0),"")</f>
      </c>
      <c r="S83" s="89"/>
      <c r="T83" s="90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6"/>
      <c r="AZ83" s="19">
        <f>COUNTIF(U83:AY83,"A")</f>
      </c>
      <c r="BA83" s="17">
        <f>COUNTIF(U83:AY83,"F")</f>
      </c>
      <c r="BB83" s="17">
        <f>COUNTIF(U83:AY83,"E")</f>
      </c>
    </row>
    <row r="84" spans="1:54" ht="15.75" customHeight="1" x14ac:dyDescent="0.2">
      <c r="A84" s="84"/>
      <c r="B84" s="85"/>
      <c r="C84" s="85"/>
      <c r="D84" s="85"/>
      <c r="E84" s="86"/>
      <c r="F84" s="16">
        <f>IF(E84="","",DATEDIF(E84,$I$7,"Y"))</f>
      </c>
      <c r="G84" s="85"/>
      <c r="H84" s="85"/>
      <c r="I84" s="87"/>
      <c r="J84" s="85"/>
      <c r="K84" s="85"/>
      <c r="L84" s="2"/>
      <c r="M84" s="2"/>
      <c r="N84" s="1"/>
      <c r="O84" s="1"/>
      <c r="P84" s="85"/>
      <c r="Q84" s="88"/>
      <c r="R84" s="3">
        <f>IFERROR(VLOOKUP(TablaJunio[[#This Row],[BARRIO]],SECTOR!$A:$B,2,0),"")</f>
      </c>
      <c r="S84" s="89"/>
      <c r="T84" s="90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6"/>
      <c r="AZ84" s="19">
        <f>COUNTIF(U84:AY84,"A")</f>
      </c>
      <c r="BA84" s="17">
        <f>COUNTIF(U84:AY84,"F")</f>
      </c>
      <c r="BB84" s="17">
        <f>COUNTIF(U84:AY84,"E")</f>
      </c>
    </row>
    <row r="85" spans="1:54" ht="15.75" customHeight="1" x14ac:dyDescent="0.2">
      <c r="A85" s="84"/>
      <c r="B85" s="85"/>
      <c r="C85" s="85"/>
      <c r="D85" s="85"/>
      <c r="E85" s="86"/>
      <c r="F85" s="16">
        <f>IF(E85="","",DATEDIF(E85,$I$7,"Y"))</f>
      </c>
      <c r="G85" s="85"/>
      <c r="H85" s="85"/>
      <c r="I85" s="87"/>
      <c r="J85" s="85"/>
      <c r="K85" s="85"/>
      <c r="L85" s="2"/>
      <c r="M85" s="2"/>
      <c r="N85" s="1"/>
      <c r="O85" s="1"/>
      <c r="P85" s="85"/>
      <c r="Q85" s="88"/>
      <c r="R85" s="3">
        <f>IFERROR(VLOOKUP(TablaJunio[[#This Row],[BARRIO]],SECTOR!$A:$B,2,0),"")</f>
      </c>
      <c r="S85" s="89"/>
      <c r="T85" s="90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6"/>
      <c r="AZ85" s="19">
        <f>COUNTIF(U85:AY85,"A")</f>
      </c>
      <c r="BA85" s="17">
        <f>COUNTIF(U85:AY85,"F")</f>
      </c>
      <c r="BB85" s="17">
        <f>COUNTIF(U85:AY85,"E")</f>
      </c>
    </row>
    <row r="86" spans="1:54" ht="15.75" customHeight="1" x14ac:dyDescent="0.2">
      <c r="A86" s="84"/>
      <c r="B86" s="85"/>
      <c r="C86" s="85"/>
      <c r="D86" s="85"/>
      <c r="E86" s="86"/>
      <c r="F86" s="16">
        <f>IF(E86="","",DATEDIF(E86,$I$7,"Y"))</f>
      </c>
      <c r="G86" s="85"/>
      <c r="H86" s="85"/>
      <c r="I86" s="87"/>
      <c r="J86" s="85"/>
      <c r="K86" s="85"/>
      <c r="L86" s="2"/>
      <c r="M86" s="2"/>
      <c r="N86" s="1"/>
      <c r="O86" s="1"/>
      <c r="P86" s="85"/>
      <c r="Q86" s="88"/>
      <c r="R86" s="3">
        <f>IFERROR(VLOOKUP(TablaJunio[[#This Row],[BARRIO]],SECTOR!$A:$B,2,0),"")</f>
      </c>
      <c r="S86" s="89"/>
      <c r="T86" s="90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6"/>
      <c r="AZ86" s="19">
        <f>COUNTIF(U86:AY86,"A")</f>
      </c>
      <c r="BA86" s="17">
        <f>COUNTIF(U86:AY86,"F")</f>
      </c>
      <c r="BB86" s="17">
        <f>COUNTIF(U86:AY86,"E")</f>
      </c>
    </row>
    <row r="87" spans="1:54" ht="15.75" customHeight="1" x14ac:dyDescent="0.2">
      <c r="A87" s="84"/>
      <c r="B87" s="85"/>
      <c r="C87" s="85"/>
      <c r="D87" s="85"/>
      <c r="E87" s="86"/>
      <c r="F87" s="16">
        <f>IF(E87="","",DATEDIF(E87,$I$7,"Y"))</f>
      </c>
      <c r="G87" s="85"/>
      <c r="H87" s="85"/>
      <c r="I87" s="87"/>
      <c r="J87" s="85"/>
      <c r="K87" s="85"/>
      <c r="L87" s="2"/>
      <c r="M87" s="2"/>
      <c r="N87" s="1"/>
      <c r="O87" s="1"/>
      <c r="P87" s="85"/>
      <c r="Q87" s="88"/>
      <c r="R87" s="3">
        <f>IFERROR(VLOOKUP(TablaJunio[[#This Row],[BARRIO]],SECTOR!$A:$B,2,0),"")</f>
      </c>
      <c r="S87" s="89"/>
      <c r="T87" s="90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6"/>
      <c r="AZ87" s="19">
        <f>COUNTIF(U87:AY87,"A")</f>
      </c>
      <c r="BA87" s="17">
        <f>COUNTIF(U87:AY87,"F")</f>
      </c>
      <c r="BB87" s="17">
        <f>COUNTIF(U87:AY87,"E")</f>
      </c>
    </row>
    <row r="88" spans="1:54" ht="15.75" customHeight="1" x14ac:dyDescent="0.2">
      <c r="A88" s="84"/>
      <c r="B88" s="85"/>
      <c r="C88" s="85"/>
      <c r="D88" s="85"/>
      <c r="E88" s="86"/>
      <c r="F88" s="16">
        <f>IF(E88="","",DATEDIF(E88,$I$7,"Y"))</f>
      </c>
      <c r="G88" s="85"/>
      <c r="H88" s="85"/>
      <c r="I88" s="87"/>
      <c r="J88" s="85"/>
      <c r="K88" s="85"/>
      <c r="L88" s="2"/>
      <c r="M88" s="2"/>
      <c r="N88" s="1"/>
      <c r="O88" s="1"/>
      <c r="P88" s="85"/>
      <c r="Q88" s="88"/>
      <c r="R88" s="3">
        <f>IFERROR(VLOOKUP(TablaJunio[[#This Row],[BARRIO]],SECTOR!$A:$B,2,0),"")</f>
      </c>
      <c r="S88" s="89"/>
      <c r="T88" s="90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6"/>
      <c r="AZ88" s="19">
        <f>COUNTIF(U88:AY88,"A")</f>
      </c>
      <c r="BA88" s="17">
        <f>COUNTIF(U88:AY88,"F")</f>
      </c>
      <c r="BB88" s="17">
        <f>COUNTIF(U88:AY88,"E")</f>
      </c>
    </row>
    <row r="89" spans="1:54" ht="15.75" customHeight="1" x14ac:dyDescent="0.2">
      <c r="A89" s="84"/>
      <c r="B89" s="85"/>
      <c r="C89" s="85"/>
      <c r="D89" s="85"/>
      <c r="E89" s="86"/>
      <c r="F89" s="16">
        <f>IF(E89="","",DATEDIF(E89,$I$7,"Y"))</f>
      </c>
      <c r="G89" s="85"/>
      <c r="H89" s="85"/>
      <c r="I89" s="87"/>
      <c r="J89" s="85"/>
      <c r="K89" s="85"/>
      <c r="L89" s="2"/>
      <c r="M89" s="2"/>
      <c r="N89" s="1"/>
      <c r="O89" s="1"/>
      <c r="P89" s="85"/>
      <c r="Q89" s="88"/>
      <c r="R89" s="3">
        <f>IFERROR(VLOOKUP(TablaJunio[[#This Row],[BARRIO]],SECTOR!$A:$B,2,0),"")</f>
      </c>
      <c r="S89" s="89"/>
      <c r="T89" s="90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6"/>
      <c r="AZ89" s="19">
        <f>COUNTIF(U89:AY89,"A")</f>
      </c>
      <c r="BA89" s="17">
        <f>COUNTIF(U89:AY89,"F")</f>
      </c>
      <c r="BB89" s="17">
        <f>COUNTIF(U89:AY89,"E")</f>
      </c>
    </row>
    <row r="90" spans="1:54" ht="15.75" customHeight="1" x14ac:dyDescent="0.2">
      <c r="A90" s="84"/>
      <c r="B90" s="85"/>
      <c r="C90" s="85"/>
      <c r="D90" s="85"/>
      <c r="E90" s="86"/>
      <c r="F90" s="16">
        <f>IF(E90="","",DATEDIF(E90,$I$7,"Y"))</f>
      </c>
      <c r="G90" s="85"/>
      <c r="H90" s="85"/>
      <c r="I90" s="87"/>
      <c r="J90" s="85"/>
      <c r="K90" s="85"/>
      <c r="L90" s="2"/>
      <c r="M90" s="2"/>
      <c r="N90" s="1"/>
      <c r="O90" s="1"/>
      <c r="P90" s="85"/>
      <c r="Q90" s="88"/>
      <c r="R90" s="3">
        <f>IFERROR(VLOOKUP(TablaJunio[[#This Row],[BARRIO]],SECTOR!$A:$B,2,0),"")</f>
      </c>
      <c r="S90" s="89"/>
      <c r="T90" s="90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6"/>
      <c r="AZ90" s="19">
        <f>COUNTIF(U90:AY90,"A")</f>
      </c>
      <c r="BA90" s="17">
        <f>COUNTIF(U90:AY90,"F")</f>
      </c>
      <c r="BB90" s="17">
        <f>COUNTIF(U90:AY90,"E")</f>
      </c>
    </row>
    <row r="91" spans="1:54" ht="15.75" customHeight="1" x14ac:dyDescent="0.2">
      <c r="A91" s="84"/>
      <c r="B91" s="85"/>
      <c r="C91" s="85"/>
      <c r="D91" s="85"/>
      <c r="E91" s="86"/>
      <c r="F91" s="16">
        <f>IF(E91="","",DATEDIF(E91,$I$7,"Y"))</f>
      </c>
      <c r="G91" s="85"/>
      <c r="H91" s="85"/>
      <c r="I91" s="87"/>
      <c r="J91" s="85"/>
      <c r="K91" s="85"/>
      <c r="L91" s="2"/>
      <c r="M91" s="2"/>
      <c r="N91" s="1"/>
      <c r="O91" s="1"/>
      <c r="P91" s="85"/>
      <c r="Q91" s="88"/>
      <c r="R91" s="3">
        <f>IFERROR(VLOOKUP(TablaJunio[[#This Row],[BARRIO]],SECTOR!$A:$B,2,0),"")</f>
      </c>
      <c r="S91" s="89"/>
      <c r="T91" s="90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6"/>
      <c r="AZ91" s="19">
        <f>COUNTIF(U91:AY91,"A")</f>
      </c>
      <c r="BA91" s="17">
        <f>COUNTIF(U91:AY91,"F")</f>
      </c>
      <c r="BB91" s="17">
        <f>COUNTIF(U91:AY91,"E")</f>
      </c>
    </row>
    <row r="92" spans="1:54" ht="15.75" customHeight="1" x14ac:dyDescent="0.2">
      <c r="A92" s="84"/>
      <c r="B92" s="85"/>
      <c r="C92" s="85"/>
      <c r="D92" s="85"/>
      <c r="E92" s="86"/>
      <c r="F92" s="16">
        <f>IF(E92="","",DATEDIF(E92,$I$7,"Y"))</f>
      </c>
      <c r="G92" s="85"/>
      <c r="H92" s="85"/>
      <c r="I92" s="87"/>
      <c r="J92" s="85"/>
      <c r="K92" s="85"/>
      <c r="L92" s="2"/>
      <c r="M92" s="2"/>
      <c r="N92" s="1"/>
      <c r="O92" s="1"/>
      <c r="P92" s="85"/>
      <c r="Q92" s="88"/>
      <c r="R92" s="3">
        <f>IFERROR(VLOOKUP(TablaJunio[[#This Row],[BARRIO]],SECTOR!$A:$B,2,0),"")</f>
      </c>
      <c r="S92" s="89"/>
      <c r="T92" s="90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6"/>
      <c r="AZ92" s="19">
        <f>COUNTIF(U92:AY92,"A")</f>
      </c>
      <c r="BA92" s="17">
        <f>COUNTIF(U92:AY92,"F")</f>
      </c>
      <c r="BB92" s="17">
        <f>COUNTIF(U92:AY92,"E")</f>
      </c>
    </row>
    <row r="93" spans="1:54" ht="15.75" customHeight="1" x14ac:dyDescent="0.2">
      <c r="A93" s="84"/>
      <c r="B93" s="85"/>
      <c r="C93" s="85"/>
      <c r="D93" s="85"/>
      <c r="E93" s="86"/>
      <c r="F93" s="16">
        <f>IF(E93="","",DATEDIF(E93,$I$7,"Y"))</f>
      </c>
      <c r="G93" s="85"/>
      <c r="H93" s="85"/>
      <c r="I93" s="87"/>
      <c r="J93" s="85"/>
      <c r="K93" s="85"/>
      <c r="L93" s="2"/>
      <c r="M93" s="2"/>
      <c r="N93" s="1"/>
      <c r="O93" s="1"/>
      <c r="P93" s="85"/>
      <c r="Q93" s="88"/>
      <c r="R93" s="3">
        <f>IFERROR(VLOOKUP(TablaJunio[[#This Row],[BARRIO]],SECTOR!$A:$B,2,0),"")</f>
      </c>
      <c r="S93" s="89"/>
      <c r="T93" s="90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6"/>
      <c r="AZ93" s="19">
        <f>COUNTIF(U93:AY93,"A")</f>
      </c>
      <c r="BA93" s="17">
        <f>COUNTIF(U93:AY93,"F")</f>
      </c>
      <c r="BB93" s="17">
        <f>COUNTIF(U93:AY93,"E")</f>
      </c>
    </row>
    <row r="94" spans="1:54" ht="15.75" customHeight="1" x14ac:dyDescent="0.2">
      <c r="A94" s="84"/>
      <c r="B94" s="85"/>
      <c r="C94" s="85"/>
      <c r="D94" s="85"/>
      <c r="E94" s="86"/>
      <c r="F94" s="16">
        <f>IF(E94="","",DATEDIF(E94,$I$7,"Y"))</f>
      </c>
      <c r="G94" s="85"/>
      <c r="H94" s="85"/>
      <c r="I94" s="87"/>
      <c r="J94" s="85"/>
      <c r="K94" s="85"/>
      <c r="L94" s="2"/>
      <c r="M94" s="2"/>
      <c r="N94" s="1"/>
      <c r="O94" s="1"/>
      <c r="P94" s="85"/>
      <c r="Q94" s="88"/>
      <c r="R94" s="3">
        <f>IFERROR(VLOOKUP(TablaJunio[[#This Row],[BARRIO]],SECTOR!$A:$B,2,0),"")</f>
      </c>
      <c r="S94" s="89"/>
      <c r="T94" s="90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6"/>
      <c r="AZ94" s="19">
        <f>COUNTIF(U94:AY94,"A")</f>
      </c>
      <c r="BA94" s="17">
        <f>COUNTIF(U94:AY94,"F")</f>
      </c>
      <c r="BB94" s="17">
        <f>COUNTIF(U94:AY94,"E")</f>
      </c>
    </row>
    <row r="95" spans="1:54" ht="15.75" customHeight="1" x14ac:dyDescent="0.2">
      <c r="A95" s="84"/>
      <c r="B95" s="85"/>
      <c r="C95" s="85"/>
      <c r="D95" s="85"/>
      <c r="E95" s="86"/>
      <c r="F95" s="16">
        <f>IF(E95="","",DATEDIF(E95,$I$7,"Y"))</f>
      </c>
      <c r="G95" s="85"/>
      <c r="H95" s="85"/>
      <c r="I95" s="87"/>
      <c r="J95" s="85"/>
      <c r="K95" s="85"/>
      <c r="L95" s="2"/>
      <c r="M95" s="2"/>
      <c r="N95" s="1"/>
      <c r="O95" s="1"/>
      <c r="P95" s="85"/>
      <c r="Q95" s="88"/>
      <c r="R95" s="3">
        <f>IFERROR(VLOOKUP(TablaJunio[[#This Row],[BARRIO]],SECTOR!$A:$B,2,0),"")</f>
      </c>
      <c r="S95" s="89"/>
      <c r="T95" s="90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6"/>
      <c r="AZ95" s="19">
        <f>COUNTIF(U95:AY95,"A")</f>
      </c>
      <c r="BA95" s="17">
        <f>COUNTIF(U95:AY95,"F")</f>
      </c>
      <c r="BB95" s="17">
        <f>COUNTIF(U95:AY95,"E")</f>
      </c>
    </row>
    <row r="96" spans="1:54" ht="15.75" customHeight="1" x14ac:dyDescent="0.2">
      <c r="A96" s="84"/>
      <c r="B96" s="85"/>
      <c r="C96" s="85"/>
      <c r="D96" s="85"/>
      <c r="E96" s="86"/>
      <c r="F96" s="16">
        <f>IF(E96="","",DATEDIF(E96,$I$7,"Y"))</f>
      </c>
      <c r="G96" s="85"/>
      <c r="H96" s="85"/>
      <c r="I96" s="87"/>
      <c r="J96" s="85"/>
      <c r="K96" s="85"/>
      <c r="L96" s="2"/>
      <c r="M96" s="2"/>
      <c r="N96" s="1"/>
      <c r="O96" s="1"/>
      <c r="P96" s="85"/>
      <c r="Q96" s="88"/>
      <c r="R96" s="3">
        <f>IFERROR(VLOOKUP(TablaJunio[[#This Row],[BARRIO]],SECTOR!$A:$B,2,0),"")</f>
      </c>
      <c r="S96" s="89"/>
      <c r="T96" s="90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7"/>
      <c r="AZ96" s="30">
        <f>COUNTIF(U96:AY96,"A")</f>
      </c>
      <c r="BA96" s="17">
        <f>COUNTIF(U96:AY96,"F")</f>
      </c>
      <c r="BB96" s="17">
        <f>COUNTIF(U96:AY96,"E")</f>
      </c>
    </row>
    <row r="97" spans="1:54" ht="15.75" customHeight="1" x14ac:dyDescent="0.2">
      <c r="A97" s="84"/>
      <c r="B97" s="85"/>
      <c r="C97" s="85"/>
      <c r="D97" s="85"/>
      <c r="E97" s="86"/>
      <c r="F97" s="16">
        <f>IF(E97="","",DATEDIF(E97,$I$7,"Y"))</f>
      </c>
      <c r="G97" s="85"/>
      <c r="H97" s="85"/>
      <c r="I97" s="87"/>
      <c r="J97" s="85"/>
      <c r="K97" s="85"/>
      <c r="L97" s="2"/>
      <c r="M97" s="2"/>
      <c r="N97" s="1"/>
      <c r="O97" s="1"/>
      <c r="P97" s="85"/>
      <c r="Q97" s="88"/>
      <c r="R97" s="3">
        <f>IFERROR(VLOOKUP(TablaJunio[[#This Row],[BARRIO]],SECTOR!$A:$B,2,0),"")</f>
      </c>
      <c r="S97" s="89"/>
      <c r="T97" s="90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6"/>
      <c r="AZ97" s="30">
        <f>COUNTIF(U97:AY97,"A")</f>
      </c>
      <c r="BA97" s="17">
        <f>COUNTIF(U97:AY97,"F")</f>
      </c>
      <c r="BB97" s="17">
        <f>COUNTIF(U97:AY97,"E")</f>
      </c>
    </row>
    <row r="98" spans="1:54" ht="15.75" customHeight="1" x14ac:dyDescent="0.2">
      <c r="A98" s="84"/>
      <c r="B98" s="85"/>
      <c r="C98" s="85"/>
      <c r="D98" s="85"/>
      <c r="E98" s="86"/>
      <c r="F98" s="16">
        <f>IF(E98="","",DATEDIF(E98,$I$7,"Y"))</f>
      </c>
      <c r="G98" s="85"/>
      <c r="H98" s="85"/>
      <c r="I98" s="87"/>
      <c r="J98" s="85"/>
      <c r="K98" s="85"/>
      <c r="L98" s="2"/>
      <c r="M98" s="2"/>
      <c r="N98" s="1"/>
      <c r="O98" s="1"/>
      <c r="P98" s="85"/>
      <c r="Q98" s="88"/>
      <c r="R98" s="3">
        <f>IFERROR(VLOOKUP(TablaJunio[[#This Row],[BARRIO]],SECTOR!$A:$B,2,0),"")</f>
      </c>
      <c r="S98" s="89"/>
      <c r="T98" s="90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6"/>
      <c r="AZ98" s="30">
        <f>COUNTIF(U98:AY98,"A")</f>
      </c>
      <c r="BA98" s="17">
        <f>COUNTIF(U98:AY98,"F")</f>
      </c>
      <c r="BB98" s="17">
        <f>COUNTIF(U98:AY98,"E")</f>
      </c>
    </row>
    <row r="99" spans="1:54" ht="15.75" customHeight="1" x14ac:dyDescent="0.2">
      <c r="A99" s="84"/>
      <c r="B99" s="85"/>
      <c r="C99" s="85"/>
      <c r="D99" s="85"/>
      <c r="E99" s="86"/>
      <c r="F99" s="16">
        <f>IF(E99="","",DATEDIF(E99,$I$7,"Y"))</f>
      </c>
      <c r="G99" s="85"/>
      <c r="H99" s="85"/>
      <c r="I99" s="87"/>
      <c r="J99" s="85"/>
      <c r="K99" s="85"/>
      <c r="L99" s="2"/>
      <c r="M99" s="2"/>
      <c r="N99" s="1"/>
      <c r="O99" s="1"/>
      <c r="P99" s="85"/>
      <c r="Q99" s="88"/>
      <c r="R99" s="3">
        <f>IFERROR(VLOOKUP(TablaJunio[[#This Row],[BARRIO]],SECTOR!$A:$B,2,0),"")</f>
      </c>
      <c r="S99" s="89"/>
      <c r="T99" s="90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6"/>
      <c r="AZ99" s="30">
        <f>COUNTIF(U99:AY99,"A")</f>
      </c>
      <c r="BA99" s="17">
        <f>COUNTIF(U99:AY99,"F")</f>
      </c>
      <c r="BB99" s="17">
        <f>COUNTIF(U99:AY99,"E")</f>
      </c>
    </row>
    <row r="100" spans="1:54" ht="15.75" customHeight="1" x14ac:dyDescent="0.2">
      <c r="A100" s="84"/>
      <c r="B100" s="85"/>
      <c r="C100" s="85"/>
      <c r="D100" s="85"/>
      <c r="E100" s="86"/>
      <c r="F100" s="16">
        <f>IF(E100="","",DATEDIF(E100,$I$7,"Y"))</f>
      </c>
      <c r="G100" s="85"/>
      <c r="H100" s="85"/>
      <c r="I100" s="87"/>
      <c r="J100" s="85"/>
      <c r="K100" s="85"/>
      <c r="L100" s="2"/>
      <c r="M100" s="2"/>
      <c r="N100" s="1"/>
      <c r="O100" s="1"/>
      <c r="P100" s="85"/>
      <c r="Q100" s="88"/>
      <c r="R100" s="3">
        <f>IFERROR(VLOOKUP(TablaJunio[[#This Row],[BARRIO]],SECTOR!$A:$B,2,0),"")</f>
      </c>
      <c r="S100" s="89"/>
      <c r="T100" s="90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6"/>
      <c r="AZ100" s="30">
        <f>COUNTIF(U100:AY100,"A")</f>
      </c>
      <c r="BA100" s="17">
        <f>COUNTIF(U100:AY100,"F")</f>
      </c>
      <c r="BB100" s="17">
        <f>COUNTIF(U100:AY100,"E")</f>
      </c>
    </row>
    <row r="101" spans="1:54" ht="15.75" customHeight="1" x14ac:dyDescent="0.2">
      <c r="A101" s="84"/>
      <c r="B101" s="85"/>
      <c r="C101" s="85"/>
      <c r="D101" s="85"/>
      <c r="E101" s="86"/>
      <c r="F101" s="16">
        <f>IF(E101="","",DATEDIF(E101,$I$7,"Y"))</f>
      </c>
      <c r="G101" s="85"/>
      <c r="H101" s="85"/>
      <c r="I101" s="87"/>
      <c r="J101" s="85"/>
      <c r="K101" s="85"/>
      <c r="L101" s="2"/>
      <c r="M101" s="2"/>
      <c r="N101" s="1"/>
      <c r="O101" s="1"/>
      <c r="P101" s="85"/>
      <c r="Q101" s="88"/>
      <c r="R101" s="3">
        <f>IFERROR(VLOOKUP(TablaJunio[[#This Row],[BARRIO]],SECTOR!$A:$B,2,0),"")</f>
      </c>
      <c r="S101" s="89"/>
      <c r="T101" s="90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6"/>
      <c r="AZ101" s="30">
        <f>COUNTIF(U101:AY101,"A")</f>
      </c>
      <c r="BA101" s="17">
        <f>COUNTIF(U101:AY101,"F")</f>
      </c>
      <c r="BB101" s="17">
        <f>COUNTIF(U101:AY101,"E")</f>
      </c>
    </row>
    <row r="102" spans="1:54" ht="15.75" customHeight="1" x14ac:dyDescent="0.2">
      <c r="A102" s="84"/>
      <c r="B102" s="85"/>
      <c r="C102" s="85"/>
      <c r="D102" s="85"/>
      <c r="E102" s="86"/>
      <c r="F102" s="16">
        <f>IF(E102="","",DATEDIF(E102,$I$7,"Y"))</f>
      </c>
      <c r="G102" s="85"/>
      <c r="H102" s="85"/>
      <c r="I102" s="87"/>
      <c r="J102" s="85"/>
      <c r="K102" s="85"/>
      <c r="L102" s="2"/>
      <c r="M102" s="2"/>
      <c r="N102" s="1"/>
      <c r="O102" s="1"/>
      <c r="P102" s="85"/>
      <c r="Q102" s="88"/>
      <c r="R102" s="3">
        <f>IFERROR(VLOOKUP(TablaJunio[[#This Row],[BARRIO]],SECTOR!$A:$B,2,0),"")</f>
      </c>
      <c r="S102" s="89"/>
      <c r="T102" s="90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6"/>
      <c r="AZ102" s="30">
        <f>COUNTIF(U102:AY102,"A")</f>
      </c>
      <c r="BA102" s="17">
        <f>COUNTIF(U102:AY102,"F")</f>
      </c>
      <c r="BB102" s="17">
        <f>COUNTIF(U102:AY102,"E")</f>
      </c>
    </row>
    <row r="103" spans="1:54" ht="15.75" customHeight="1" x14ac:dyDescent="0.2">
      <c r="A103" s="84"/>
      <c r="B103" s="85"/>
      <c r="C103" s="85"/>
      <c r="D103" s="85"/>
      <c r="E103" s="86"/>
      <c r="F103" s="16">
        <f>IF(E103="","",DATEDIF(E103,$I$7,"Y"))</f>
      </c>
      <c r="G103" s="85"/>
      <c r="H103" s="85"/>
      <c r="I103" s="87"/>
      <c r="J103" s="85"/>
      <c r="K103" s="85"/>
      <c r="L103" s="2"/>
      <c r="M103" s="2"/>
      <c r="N103" s="1"/>
      <c r="O103" s="1"/>
      <c r="P103" s="85"/>
      <c r="Q103" s="88"/>
      <c r="R103" s="3">
        <f>IFERROR(VLOOKUP(TablaJunio[[#This Row],[BARRIO]],SECTOR!$A:$B,2,0),"")</f>
      </c>
      <c r="S103" s="89"/>
      <c r="T103" s="90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6"/>
      <c r="AZ103" s="30">
        <f>COUNTIF(U103:AY103,"A")</f>
      </c>
      <c r="BA103" s="17">
        <f>COUNTIF(U103:AY103,"F")</f>
      </c>
      <c r="BB103" s="17">
        <f>COUNTIF(U103:AY103,"E")</f>
      </c>
    </row>
    <row r="104" spans="1:54" ht="15.75" customHeight="1" x14ac:dyDescent="0.2">
      <c r="A104" s="84"/>
      <c r="B104" s="85"/>
      <c r="C104" s="85"/>
      <c r="D104" s="85"/>
      <c r="E104" s="86"/>
      <c r="F104" s="16">
        <f>IF(E104="","",DATEDIF(E104,$I$7,"Y"))</f>
      </c>
      <c r="G104" s="85"/>
      <c r="H104" s="85"/>
      <c r="I104" s="87"/>
      <c r="J104" s="85"/>
      <c r="K104" s="85"/>
      <c r="L104" s="2"/>
      <c r="M104" s="2"/>
      <c r="N104" s="1"/>
      <c r="O104" s="1"/>
      <c r="P104" s="85"/>
      <c r="Q104" s="88"/>
      <c r="R104" s="3">
        <f>IFERROR(VLOOKUP(TablaJunio[[#This Row],[BARRIO]],SECTOR!$A:$B,2,0),"")</f>
      </c>
      <c r="S104" s="89"/>
      <c r="T104" s="90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6"/>
      <c r="AZ104" s="30">
        <f>COUNTIF(U104:AY104,"A")</f>
      </c>
      <c r="BA104" s="17">
        <f>COUNTIF(U104:AY104,"F")</f>
      </c>
      <c r="BB104" s="17">
        <f>COUNTIF(U104:AY104,"E")</f>
      </c>
    </row>
    <row r="105" spans="1:54" ht="15.75" customHeight="1" x14ac:dyDescent="0.2">
      <c r="A105" s="84"/>
      <c r="B105" s="85"/>
      <c r="C105" s="85"/>
      <c r="D105" s="85"/>
      <c r="E105" s="86"/>
      <c r="F105" s="16">
        <f>IF(E105="","",DATEDIF(E105,$I$7,"Y"))</f>
      </c>
      <c r="G105" s="85"/>
      <c r="H105" s="85"/>
      <c r="I105" s="87"/>
      <c r="J105" s="85"/>
      <c r="K105" s="85"/>
      <c r="L105" s="2"/>
      <c r="M105" s="2"/>
      <c r="N105" s="1"/>
      <c r="O105" s="1"/>
      <c r="P105" s="85"/>
      <c r="Q105" s="88"/>
      <c r="R105" s="3">
        <f>IFERROR(VLOOKUP(TablaJunio[[#This Row],[BARRIO]],SECTOR!$A:$B,2,0),"")</f>
      </c>
      <c r="S105" s="89"/>
      <c r="T105" s="90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6"/>
      <c r="AZ105" s="30">
        <f>COUNTIF(U105:AY105,"A")</f>
      </c>
      <c r="BA105" s="17">
        <f>COUNTIF(U105:AY105,"F")</f>
      </c>
      <c r="BB105" s="17">
        <f>COUNTIF(U105:AY105,"E")</f>
      </c>
    </row>
    <row r="106" spans="1:54" ht="15.75" customHeight="1" x14ac:dyDescent="0.2">
      <c r="A106" s="84"/>
      <c r="B106" s="85"/>
      <c r="C106" s="85"/>
      <c r="D106" s="85"/>
      <c r="E106" s="86"/>
      <c r="F106" s="16">
        <f>IF(E106="","",DATEDIF(E106,$I$7,"Y"))</f>
      </c>
      <c r="G106" s="85"/>
      <c r="H106" s="85"/>
      <c r="I106" s="87"/>
      <c r="J106" s="85"/>
      <c r="K106" s="85"/>
      <c r="L106" s="2"/>
      <c r="M106" s="2"/>
      <c r="N106" s="1"/>
      <c r="O106" s="1"/>
      <c r="P106" s="85"/>
      <c r="Q106" s="88"/>
      <c r="R106" s="3">
        <f>IFERROR(VLOOKUP(TablaJunio[[#This Row],[BARRIO]],SECTOR!$A:$B,2,0),"")</f>
      </c>
      <c r="S106" s="89"/>
      <c r="T106" s="90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6"/>
      <c r="AZ106" s="30">
        <f>COUNTIF(U106:AY106,"A")</f>
      </c>
      <c r="BA106" s="17">
        <f>COUNTIF(U106:AY106,"F")</f>
      </c>
      <c r="BB106" s="17">
        <f>COUNTIF(U106:AY106,"E")</f>
      </c>
    </row>
    <row r="107" spans="1:54" ht="15.75" customHeight="1" x14ac:dyDescent="0.2">
      <c r="A107" s="84"/>
      <c r="B107" s="85"/>
      <c r="C107" s="85"/>
      <c r="D107" s="85"/>
      <c r="E107" s="86"/>
      <c r="F107" s="16">
        <f>IF(E107="","",DATEDIF(E107,$I$7,"Y"))</f>
      </c>
      <c r="G107" s="85"/>
      <c r="H107" s="85"/>
      <c r="I107" s="87"/>
      <c r="J107" s="85"/>
      <c r="K107" s="85"/>
      <c r="L107" s="2"/>
      <c r="M107" s="2"/>
      <c r="N107" s="1"/>
      <c r="O107" s="1"/>
      <c r="P107" s="85"/>
      <c r="Q107" s="88"/>
      <c r="R107" s="3">
        <f>IFERROR(VLOOKUP(TablaJunio[[#This Row],[BARRIO]],SECTOR!$A:$B,2,0),"")</f>
      </c>
      <c r="S107" s="89"/>
      <c r="T107" s="90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6"/>
      <c r="AZ107" s="30">
        <f>COUNTIF(U107:AY107,"A")</f>
      </c>
      <c r="BA107" s="17">
        <f>COUNTIF(U107:AY107,"F")</f>
      </c>
      <c r="BB107" s="17">
        <f>COUNTIF(U107:AY107,"E")</f>
      </c>
    </row>
    <row r="108" spans="1:54" ht="15.75" customHeight="1" x14ac:dyDescent="0.2">
      <c r="A108" s="84"/>
      <c r="B108" s="85"/>
      <c r="C108" s="85"/>
      <c r="D108" s="85"/>
      <c r="E108" s="86"/>
      <c r="F108" s="16">
        <f>IF(E108="","",DATEDIF(E108,$I$7,"Y"))</f>
      </c>
      <c r="G108" s="85"/>
      <c r="H108" s="85"/>
      <c r="I108" s="87"/>
      <c r="J108" s="85"/>
      <c r="K108" s="85"/>
      <c r="L108" s="2"/>
      <c r="M108" s="2"/>
      <c r="N108" s="1"/>
      <c r="O108" s="1"/>
      <c r="P108" s="85"/>
      <c r="Q108" s="88"/>
      <c r="R108" s="3">
        <f>IFERROR(VLOOKUP(TablaJunio[[#This Row],[BARRIO]],SECTOR!$A:$B,2,0),"")</f>
      </c>
      <c r="S108" s="89"/>
      <c r="T108" s="90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6"/>
      <c r="AZ108" s="30">
        <f>COUNTIF(U108:AY108,"A")</f>
      </c>
      <c r="BA108" s="17">
        <f>COUNTIF(U108:AY108,"F")</f>
      </c>
      <c r="BB108" s="17">
        <f>COUNTIF(U108:AY108,"E")</f>
      </c>
    </row>
    <row r="109" spans="1:54" ht="15.75" customHeight="1" x14ac:dyDescent="0.2">
      <c r="A109" s="84"/>
      <c r="B109" s="85"/>
      <c r="C109" s="85"/>
      <c r="D109" s="85"/>
      <c r="E109" s="86"/>
      <c r="F109" s="16">
        <f>IF(E109="","",DATEDIF(E109,$I$7,"Y"))</f>
      </c>
      <c r="G109" s="85"/>
      <c r="H109" s="85"/>
      <c r="I109" s="87"/>
      <c r="J109" s="85"/>
      <c r="K109" s="85"/>
      <c r="L109" s="2"/>
      <c r="M109" s="2"/>
      <c r="N109" s="1"/>
      <c r="O109" s="1"/>
      <c r="P109" s="85"/>
      <c r="Q109" s="88"/>
      <c r="R109" s="3">
        <f>IFERROR(VLOOKUP(TablaJunio[[#This Row],[BARRIO]],SECTOR!$A:$B,2,0),"")</f>
      </c>
      <c r="S109" s="89"/>
      <c r="T109" s="90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6"/>
      <c r="AZ109" s="30">
        <f>COUNTIF(U109:AY109,"A")</f>
      </c>
      <c r="BA109" s="17">
        <f>COUNTIF(U109:AY109,"F")</f>
      </c>
      <c r="BB109" s="17">
        <f>COUNTIF(U109:AY109,"E")</f>
      </c>
    </row>
    <row r="110" spans="1:54" ht="15.75" customHeight="1" x14ac:dyDescent="0.2">
      <c r="A110" s="84"/>
      <c r="B110" s="85"/>
      <c r="C110" s="85"/>
      <c r="D110" s="85"/>
      <c r="E110" s="86"/>
      <c r="F110" s="16">
        <f>IF(E110="","",DATEDIF(E110,$I$7,"Y"))</f>
      </c>
      <c r="G110" s="85"/>
      <c r="H110" s="85"/>
      <c r="I110" s="87"/>
      <c r="J110" s="85"/>
      <c r="K110" s="85"/>
      <c r="L110" s="2"/>
      <c r="M110" s="2"/>
      <c r="N110" s="1"/>
      <c r="O110" s="1"/>
      <c r="P110" s="85"/>
      <c r="Q110" s="88"/>
      <c r="R110" s="3">
        <f>IFERROR(VLOOKUP(TablaJunio[[#This Row],[BARRIO]],SECTOR!$A:$B,2,0),"")</f>
      </c>
      <c r="S110" s="89"/>
      <c r="T110" s="90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6"/>
      <c r="AZ110" s="30">
        <f>COUNTIF(U110:AY110,"A")</f>
      </c>
      <c r="BA110" s="17">
        <f>COUNTIF(U110:AY110,"F")</f>
      </c>
      <c r="BB110" s="17">
        <f>COUNTIF(U110:AY110,"E")</f>
      </c>
    </row>
    <row r="111" spans="1:54" ht="15.75" customHeight="1" x14ac:dyDescent="0.2">
      <c r="A111" s="84"/>
      <c r="B111" s="85"/>
      <c r="C111" s="85"/>
      <c r="D111" s="85"/>
      <c r="E111" s="86"/>
      <c r="F111" s="16">
        <f>IF(E111="","",DATEDIF(E111,$I$7,"Y"))</f>
      </c>
      <c r="G111" s="85"/>
      <c r="H111" s="85"/>
      <c r="I111" s="87"/>
      <c r="J111" s="85"/>
      <c r="K111" s="85"/>
      <c r="L111" s="2"/>
      <c r="M111" s="2"/>
      <c r="N111" s="1"/>
      <c r="O111" s="1"/>
      <c r="P111" s="85"/>
      <c r="Q111" s="88"/>
      <c r="R111" s="3">
        <f>IFERROR(VLOOKUP(TablaJunio[[#This Row],[BARRIO]],SECTOR!$A:$B,2,0),"")</f>
      </c>
      <c r="S111" s="89"/>
      <c r="T111" s="90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6"/>
      <c r="AZ111" s="30">
        <f>COUNTIF(U111:AY111,"A")</f>
      </c>
      <c r="BA111" s="17">
        <f>COUNTIF(U111:AY111,"F")</f>
      </c>
      <c r="BB111" s="17">
        <f>COUNTIF(U111:AY111,"E")</f>
      </c>
    </row>
    <row r="112" spans="1:54" ht="15.75" customHeight="1" x14ac:dyDescent="0.2">
      <c r="A112" s="84"/>
      <c r="B112" s="85"/>
      <c r="C112" s="85"/>
      <c r="D112" s="85"/>
      <c r="E112" s="86"/>
      <c r="F112" s="16">
        <f>IF(E112="","",DATEDIF(E112,$I$7,"Y"))</f>
      </c>
      <c r="G112" s="85"/>
      <c r="H112" s="85"/>
      <c r="I112" s="87"/>
      <c r="J112" s="85"/>
      <c r="K112" s="85"/>
      <c r="L112" s="2"/>
      <c r="M112" s="2"/>
      <c r="N112" s="1"/>
      <c r="O112" s="1"/>
      <c r="P112" s="85"/>
      <c r="Q112" s="88"/>
      <c r="R112" s="3">
        <f>IFERROR(VLOOKUP(TablaJunio[[#This Row],[BARRIO]],SECTOR!$A:$B,2,0),"")</f>
      </c>
      <c r="S112" s="89"/>
      <c r="T112" s="90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6"/>
      <c r="AZ112" s="30">
        <f>COUNTIF(U112:AY112,"A")</f>
      </c>
      <c r="BA112" s="17">
        <f>COUNTIF(U112:AY112,"F")</f>
      </c>
      <c r="BB112" s="17">
        <f>COUNTIF(U112:AY112,"E")</f>
      </c>
    </row>
    <row r="113" spans="1:54" ht="15.75" customHeight="1" x14ac:dyDescent="0.2">
      <c r="A113" s="84"/>
      <c r="B113" s="85"/>
      <c r="C113" s="85"/>
      <c r="D113" s="85"/>
      <c r="E113" s="86"/>
      <c r="F113" s="16">
        <f>IF(E113="","",DATEDIF(E113,$I$7,"Y"))</f>
      </c>
      <c r="G113" s="85"/>
      <c r="H113" s="85"/>
      <c r="I113" s="87"/>
      <c r="J113" s="85"/>
      <c r="K113" s="85"/>
      <c r="L113" s="2"/>
      <c r="M113" s="2"/>
      <c r="N113" s="1"/>
      <c r="O113" s="1"/>
      <c r="P113" s="85"/>
      <c r="Q113" s="88"/>
      <c r="R113" s="3">
        <f>IFERROR(VLOOKUP(TablaJunio[[#This Row],[BARRIO]],SECTOR!$A:$B,2,0),"")</f>
      </c>
      <c r="S113" s="89"/>
      <c r="T113" s="90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6"/>
      <c r="AZ113" s="30">
        <f>COUNTIF(U113:AY113,"A")</f>
      </c>
      <c r="BA113" s="17">
        <f>COUNTIF(U113:AY113,"F")</f>
      </c>
      <c r="BB113" s="17">
        <f>COUNTIF(U113:AY113,"E")</f>
      </c>
    </row>
    <row r="114" spans="1:54" ht="15.75" customHeight="1" x14ac:dyDescent="0.2">
      <c r="A114" s="84"/>
      <c r="B114" s="85"/>
      <c r="C114" s="85"/>
      <c r="D114" s="85"/>
      <c r="E114" s="86"/>
      <c r="F114" s="16">
        <f>IF(E114="","",DATEDIF(E114,$I$7,"Y"))</f>
      </c>
      <c r="G114" s="85"/>
      <c r="H114" s="85"/>
      <c r="I114" s="87"/>
      <c r="J114" s="85"/>
      <c r="K114" s="85"/>
      <c r="L114" s="2"/>
      <c r="M114" s="2"/>
      <c r="N114" s="1"/>
      <c r="O114" s="1"/>
      <c r="P114" s="85"/>
      <c r="Q114" s="88"/>
      <c r="R114" s="3">
        <f>IFERROR(VLOOKUP(TablaJunio[[#This Row],[BARRIO]],SECTOR!$A:$B,2,0),"")</f>
      </c>
      <c r="S114" s="89"/>
      <c r="T114" s="90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6"/>
      <c r="AZ114" s="30">
        <f>COUNTIF(U114:AY114,"A")</f>
      </c>
      <c r="BA114" s="17">
        <f>COUNTIF(U114:AY114,"F")</f>
      </c>
      <c r="BB114" s="17">
        <f>COUNTIF(U114:AY114,"E")</f>
      </c>
    </row>
    <row r="115" spans="1:54" ht="15.75" customHeight="1" x14ac:dyDescent="0.2">
      <c r="A115" s="84"/>
      <c r="B115" s="85"/>
      <c r="C115" s="85"/>
      <c r="D115" s="85"/>
      <c r="E115" s="86"/>
      <c r="F115" s="16">
        <f>IF(E115="","",DATEDIF(E115,$I$7,"Y"))</f>
      </c>
      <c r="G115" s="85"/>
      <c r="H115" s="85"/>
      <c r="I115" s="87"/>
      <c r="J115" s="85"/>
      <c r="K115" s="85"/>
      <c r="L115" s="2"/>
      <c r="M115" s="2"/>
      <c r="N115" s="1"/>
      <c r="O115" s="1"/>
      <c r="P115" s="85"/>
      <c r="Q115" s="88"/>
      <c r="R115" s="3">
        <f>IFERROR(VLOOKUP(TablaJunio[[#This Row],[BARRIO]],SECTOR!$A:$B,2,0),"")</f>
      </c>
      <c r="S115" s="89"/>
      <c r="T115" s="90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6"/>
      <c r="AZ115" s="30">
        <f>COUNTIF(U115:AY115,"A")</f>
      </c>
      <c r="BA115" s="17">
        <f>COUNTIF(U115:AY115,"F")</f>
      </c>
      <c r="BB115" s="17">
        <f>COUNTIF(U115:AY115,"E")</f>
      </c>
    </row>
    <row r="116" spans="1:54" ht="15.75" customHeight="1" x14ac:dyDescent="0.2">
      <c r="A116" s="84"/>
      <c r="B116" s="85"/>
      <c r="C116" s="85"/>
      <c r="D116" s="85"/>
      <c r="E116" s="86"/>
      <c r="F116" s="16">
        <f>IF(E116="","",DATEDIF(E116,$I$7,"Y"))</f>
      </c>
      <c r="G116" s="85"/>
      <c r="H116" s="85"/>
      <c r="I116" s="87"/>
      <c r="J116" s="85"/>
      <c r="K116" s="85"/>
      <c r="L116" s="2"/>
      <c r="M116" s="2"/>
      <c r="N116" s="1"/>
      <c r="O116" s="1"/>
      <c r="P116" s="85"/>
      <c r="Q116" s="88"/>
      <c r="R116" s="3">
        <f>IFERROR(VLOOKUP(TablaJunio[[#This Row],[BARRIO]],SECTOR!$A:$B,2,0),"")</f>
      </c>
      <c r="S116" s="89"/>
      <c r="T116" s="90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6"/>
      <c r="AZ116" s="30">
        <f>COUNTIF(U116:AY116,"A")</f>
      </c>
      <c r="BA116" s="17">
        <f>COUNTIF(U116:AY116,"F")</f>
      </c>
      <c r="BB116" s="17">
        <f>COUNTIF(U116:AY116,"E")</f>
      </c>
    </row>
    <row r="117" spans="1:54" ht="15.75" customHeight="1" x14ac:dyDescent="0.2">
      <c r="A117" s="84"/>
      <c r="B117" s="85"/>
      <c r="C117" s="85"/>
      <c r="D117" s="85"/>
      <c r="E117" s="86"/>
      <c r="F117" s="16">
        <f>IF(E117="","",DATEDIF(E117,$I$7,"Y"))</f>
      </c>
      <c r="G117" s="85"/>
      <c r="H117" s="85"/>
      <c r="I117" s="87"/>
      <c r="J117" s="85"/>
      <c r="K117" s="85"/>
      <c r="L117" s="2"/>
      <c r="M117" s="2"/>
      <c r="N117" s="1"/>
      <c r="O117" s="1"/>
      <c r="P117" s="85"/>
      <c r="Q117" s="88"/>
      <c r="R117" s="3">
        <f>IFERROR(VLOOKUP(TablaJunio[[#This Row],[BARRIO]],SECTOR!$A:$B,2,0),"")</f>
      </c>
      <c r="S117" s="89"/>
      <c r="T117" s="90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6"/>
      <c r="AZ117" s="30">
        <f>COUNTIF(U117:AY117,"A")</f>
      </c>
      <c r="BA117" s="17">
        <f>COUNTIF(U117:AY117,"F")</f>
      </c>
      <c r="BB117" s="17">
        <f>COUNTIF(U117:AY117,"E")</f>
      </c>
    </row>
    <row r="118" spans="1:54" ht="15.75" customHeight="1" x14ac:dyDescent="0.2">
      <c r="A118" s="84"/>
      <c r="B118" s="85"/>
      <c r="C118" s="85"/>
      <c r="D118" s="85"/>
      <c r="E118" s="86"/>
      <c r="F118" s="16">
        <f>IF(E118="","",DATEDIF(E118,$I$7,"Y"))</f>
      </c>
      <c r="G118" s="85"/>
      <c r="H118" s="85"/>
      <c r="I118" s="87"/>
      <c r="J118" s="85"/>
      <c r="K118" s="85"/>
      <c r="L118" s="2"/>
      <c r="M118" s="2"/>
      <c r="N118" s="1"/>
      <c r="O118" s="1"/>
      <c r="P118" s="85"/>
      <c r="Q118" s="88"/>
      <c r="R118" s="3">
        <f>IFERROR(VLOOKUP(TablaJunio[[#This Row],[BARRIO]],SECTOR!$A:$B,2,0),"")</f>
      </c>
      <c r="S118" s="89"/>
      <c r="T118" s="90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6"/>
      <c r="AZ118" s="30">
        <f>COUNTIF(U118:AY118,"A")</f>
      </c>
      <c r="BA118" s="17">
        <f>COUNTIF(U118:AY118,"F")</f>
      </c>
      <c r="BB118" s="17">
        <f>COUNTIF(U118:AY118,"E")</f>
      </c>
    </row>
    <row r="119" spans="1:54" ht="15.75" customHeight="1" x14ac:dyDescent="0.2">
      <c r="A119" s="84"/>
      <c r="B119" s="85"/>
      <c r="C119" s="85"/>
      <c r="D119" s="85"/>
      <c r="E119" s="86"/>
      <c r="F119" s="16">
        <f>IF(E119="","",DATEDIF(E119,$I$7,"Y"))</f>
      </c>
      <c r="G119" s="85"/>
      <c r="H119" s="85"/>
      <c r="I119" s="87"/>
      <c r="J119" s="85"/>
      <c r="K119" s="85"/>
      <c r="L119" s="2"/>
      <c r="M119" s="2"/>
      <c r="N119" s="1"/>
      <c r="O119" s="1"/>
      <c r="P119" s="85"/>
      <c r="Q119" s="88"/>
      <c r="R119" s="3">
        <f>IFERROR(VLOOKUP(TablaJunio[[#This Row],[BARRIO]],SECTOR!$A:$B,2,0),"")</f>
      </c>
      <c r="S119" s="89"/>
      <c r="T119" s="90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6"/>
      <c r="AZ119" s="30">
        <f>COUNTIF(U119:AY119,"A")</f>
      </c>
      <c r="BA119" s="17">
        <f>COUNTIF(U119:AY119,"F")</f>
      </c>
      <c r="BB119" s="17">
        <f>COUNTIF(U119:AY119,"E")</f>
      </c>
    </row>
    <row r="120" spans="1:54" ht="15.75" customHeight="1" x14ac:dyDescent="0.2">
      <c r="A120" s="84"/>
      <c r="B120" s="85"/>
      <c r="C120" s="85"/>
      <c r="D120" s="85"/>
      <c r="E120" s="86"/>
      <c r="F120" s="16">
        <f>IF(E120="","",DATEDIF(E120,$I$7,"Y"))</f>
      </c>
      <c r="G120" s="85"/>
      <c r="H120" s="85"/>
      <c r="I120" s="87"/>
      <c r="J120" s="85"/>
      <c r="K120" s="85"/>
      <c r="L120" s="2"/>
      <c r="M120" s="2"/>
      <c r="N120" s="1"/>
      <c r="O120" s="1"/>
      <c r="P120" s="85"/>
      <c r="Q120" s="88"/>
      <c r="R120" s="3">
        <f>IFERROR(VLOOKUP(TablaJunio[[#This Row],[BARRIO]],SECTOR!$A:$B,2,0),"")</f>
      </c>
      <c r="S120" s="89"/>
      <c r="T120" s="90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6"/>
      <c r="AZ120" s="30">
        <f>COUNTIF(U120:AY120,"A")</f>
      </c>
      <c r="BA120" s="17">
        <f>COUNTIF(U120:AY120,"F")</f>
      </c>
      <c r="BB120" s="17">
        <f>COUNTIF(U120:AY120,"E")</f>
      </c>
    </row>
    <row r="121" spans="1:54" ht="15.75" customHeight="1" x14ac:dyDescent="0.2">
      <c r="A121" s="84"/>
      <c r="B121" s="85"/>
      <c r="C121" s="85"/>
      <c r="D121" s="85"/>
      <c r="E121" s="86"/>
      <c r="F121" s="16">
        <f>IF(E121="","",DATEDIF(E121,$I$7,"Y"))</f>
      </c>
      <c r="G121" s="85"/>
      <c r="H121" s="85"/>
      <c r="I121" s="87"/>
      <c r="J121" s="85"/>
      <c r="K121" s="85"/>
      <c r="L121" s="2"/>
      <c r="M121" s="2"/>
      <c r="N121" s="1"/>
      <c r="O121" s="1"/>
      <c r="P121" s="85"/>
      <c r="Q121" s="88"/>
      <c r="R121" s="3">
        <f>IFERROR(VLOOKUP(TablaJunio[[#This Row],[BARRIO]],SECTOR!$A:$B,2,0),"")</f>
      </c>
      <c r="S121" s="89"/>
      <c r="T121" s="90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6"/>
      <c r="AZ121" s="30">
        <f>COUNTIF(U121:AY121,"A")</f>
      </c>
      <c r="BA121" s="17">
        <f>COUNTIF(U121:AY121,"F")</f>
      </c>
      <c r="BB121" s="17">
        <f>COUNTIF(U121:AY121,"E")</f>
      </c>
    </row>
    <row r="122" spans="1:54" ht="15.75" customHeight="1" x14ac:dyDescent="0.2">
      <c r="A122" s="84"/>
      <c r="B122" s="85"/>
      <c r="C122" s="85"/>
      <c r="D122" s="85"/>
      <c r="E122" s="86"/>
      <c r="F122" s="16">
        <f>IF(E122="","",DATEDIF(E122,$I$7,"Y"))</f>
      </c>
      <c r="G122" s="85"/>
      <c r="H122" s="85"/>
      <c r="I122" s="87"/>
      <c r="J122" s="85"/>
      <c r="K122" s="85"/>
      <c r="L122" s="2"/>
      <c r="M122" s="2"/>
      <c r="N122" s="1"/>
      <c r="O122" s="1"/>
      <c r="P122" s="85"/>
      <c r="Q122" s="88"/>
      <c r="R122" s="3">
        <f>IFERROR(VLOOKUP(TablaJunio[[#This Row],[BARRIO]],SECTOR!$A:$B,2,0),"")</f>
      </c>
      <c r="S122" s="89"/>
      <c r="T122" s="90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30">
        <f>COUNTIF(U122:AY122,"A")</f>
      </c>
      <c r="BA122" s="17">
        <f>COUNTIF(U122:AY122,"F")</f>
      </c>
      <c r="BB122" s="17">
        <f>COUNTIF(U122:AY122,"E")</f>
      </c>
    </row>
    <row r="123" spans="1:54" x14ac:dyDescent="0.2">
      <c r="A123" s="100"/>
      <c r="B123" s="101"/>
      <c r="C123" s="101"/>
      <c r="D123" s="101"/>
      <c r="E123" s="102"/>
      <c r="F123" s="16">
        <f>IF(E123="","",DATEDIF(E123,$I$7,"Y"))</f>
      </c>
      <c r="G123" s="101"/>
      <c r="H123" s="101"/>
      <c r="I123" s="103"/>
      <c r="J123" s="101"/>
      <c r="K123" s="101"/>
      <c r="L123" s="10"/>
      <c r="M123" s="10"/>
      <c r="N123" s="10"/>
      <c r="O123" s="10"/>
      <c r="P123" s="101"/>
      <c r="Q123" s="88"/>
      <c r="R123" s="3">
        <f>IFERROR(VLOOKUP(TablaJunio[[#This Row],[BARRIO]],SECTOR!$A:$B,2,0),"")</f>
      </c>
      <c r="S123" s="104"/>
      <c r="T123" s="10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7"/>
      <c r="AZ123" s="30">
        <f>COUNTIF(U123:AY123,"A")</f>
      </c>
      <c r="BA123" s="32">
        <f>COUNTIF(U123:AY123,"F")</f>
      </c>
      <c r="BB123" s="118">
        <f>COUNTIF(U123:AY123,"E")</f>
      </c>
    </row>
    <row r="124" spans="1:54" x14ac:dyDescent="0.2">
      <c r="A124" s="100"/>
      <c r="B124" s="101"/>
      <c r="C124" s="101"/>
      <c r="D124" s="101"/>
      <c r="E124" s="102"/>
      <c r="F124" s="16">
        <f>IF(E124="","",DATEDIF(E124,$I$7,"Y"))</f>
      </c>
      <c r="G124" s="101"/>
      <c r="H124" s="101"/>
      <c r="I124" s="103"/>
      <c r="J124" s="101"/>
      <c r="K124" s="101"/>
      <c r="L124" s="10"/>
      <c r="M124" s="10"/>
      <c r="N124" s="10"/>
      <c r="O124" s="10"/>
      <c r="P124" s="101"/>
      <c r="Q124" s="88"/>
      <c r="R124" s="3">
        <f>IFERROR(VLOOKUP(TablaJunio[[#This Row],[BARRIO]],SECTOR!$A:$B,2,0),"")</f>
      </c>
      <c r="S124" s="104"/>
      <c r="T124" s="10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7"/>
      <c r="AZ124" s="30">
        <f>COUNTIF(U124:AY124,"A")</f>
      </c>
      <c r="BA124" s="32">
        <f>COUNTIF(U124:AY124,"F")</f>
      </c>
      <c r="BB124" s="118">
        <f>COUNTIF(U124:AY124,"E")</f>
      </c>
    </row>
    <row r="125" spans="1:54" x14ac:dyDescent="0.2">
      <c r="A125" s="100"/>
      <c r="B125" s="106"/>
      <c r="C125" s="101"/>
      <c r="D125" s="101"/>
      <c r="E125" s="102"/>
      <c r="F125" s="16">
        <f>IF(E125="","",DATEDIF(E125,$I$7,"Y"))</f>
      </c>
      <c r="G125" s="101"/>
      <c r="H125" s="101"/>
      <c r="I125" s="103"/>
      <c r="J125" s="101"/>
      <c r="K125" s="101"/>
      <c r="L125" s="10"/>
      <c r="M125" s="10"/>
      <c r="N125" s="10"/>
      <c r="O125" s="10"/>
      <c r="P125" s="101"/>
      <c r="Q125" s="88"/>
      <c r="R125" s="3">
        <f>IFERROR(VLOOKUP(TablaJunio[[#This Row],[BARRIO]],SECTOR!$A:$B,2,0),"")</f>
      </c>
      <c r="S125" s="104"/>
      <c r="T125" s="10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7"/>
      <c r="AZ125" s="30">
        <f>COUNTIF(U125:AY125,"A")</f>
      </c>
      <c r="BA125" s="32">
        <f>COUNTIF(U125:AY125,"F")</f>
      </c>
      <c r="BB125" s="118">
        <f>COUNTIF(U125:AY125,"E")</f>
      </c>
    </row>
    <row r="126" spans="1:54" x14ac:dyDescent="0.2">
      <c r="A126" s="84"/>
      <c r="B126" s="107"/>
      <c r="C126" s="85"/>
      <c r="D126" s="85"/>
      <c r="E126" s="86"/>
      <c r="F126" s="16">
        <f>IF(E126="","",DATEDIF(E126,$I$7,"Y"))</f>
      </c>
      <c r="G126" s="85"/>
      <c r="H126" s="85"/>
      <c r="I126" s="87"/>
      <c r="J126" s="85"/>
      <c r="K126" s="85"/>
      <c r="L126" s="10"/>
      <c r="M126" s="10"/>
      <c r="N126" s="10"/>
      <c r="O126" s="10"/>
      <c r="P126" s="85"/>
      <c r="Q126" s="88"/>
      <c r="R126" s="3">
        <f>IFERROR(VLOOKUP(TablaJunio[[#This Row],[BARRIO]],SECTOR!$A:$B,2,0),"")</f>
      </c>
      <c r="S126" s="89"/>
      <c r="T126" s="90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6"/>
      <c r="AZ126" s="30">
        <f>COUNTIF(U126:AY126,"A")</f>
      </c>
      <c r="BA126" s="32">
        <f>COUNTIF(U126:AY126,"F")</f>
      </c>
      <c r="BB126" s="119">
        <f>COUNTIF(U126:AY126,"E")</f>
      </c>
    </row>
    <row r="127" spans="1:54" x14ac:dyDescent="0.2">
      <c r="A127" s="84"/>
      <c r="B127" s="107"/>
      <c r="C127" s="85"/>
      <c r="D127" s="85"/>
      <c r="E127" s="86"/>
      <c r="F127" s="16">
        <f>IF(E127="","",DATEDIF(E127,$I$7,"Y"))</f>
      </c>
      <c r="G127" s="85"/>
      <c r="H127" s="85"/>
      <c r="I127" s="87"/>
      <c r="J127" s="85"/>
      <c r="K127" s="85"/>
      <c r="L127" s="10"/>
      <c r="M127" s="10"/>
      <c r="N127" s="10"/>
      <c r="O127" s="10"/>
      <c r="P127" s="85"/>
      <c r="Q127" s="88"/>
      <c r="R127" s="3">
        <f>IFERROR(VLOOKUP(TablaJunio[[#This Row],[BARRIO]],SECTOR!$A:$B,2,0),"")</f>
      </c>
      <c r="S127" s="89"/>
      <c r="T127" s="90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6"/>
      <c r="AZ127" s="120">
        <f>COUNTIF(U127:AY127,"A")</f>
      </c>
      <c r="BA127" s="121">
        <f>COUNTIF(U127:AY127,"F")</f>
      </c>
      <c r="BB127" s="119">
        <f>COUNTIF(U127:AY127,"E")</f>
      </c>
    </row>
    <row r="128" spans="1:54" x14ac:dyDescent="0.2">
      <c r="A128" s="84"/>
      <c r="B128" s="107"/>
      <c r="C128" s="85"/>
      <c r="D128" s="85"/>
      <c r="E128" s="86"/>
      <c r="F128" s="16">
        <f>IF(E128="","",DATEDIF(E128,$I$7,"Y"))</f>
      </c>
      <c r="G128" s="85"/>
      <c r="H128" s="85"/>
      <c r="I128" s="87"/>
      <c r="J128" s="85"/>
      <c r="K128" s="85"/>
      <c r="L128" s="10"/>
      <c r="M128" s="10"/>
      <c r="N128" s="10"/>
      <c r="O128" s="10"/>
      <c r="P128" s="85"/>
      <c r="Q128" s="88"/>
      <c r="R128" s="3">
        <f>IFERROR(VLOOKUP(TablaJunio[[#This Row],[BARRIO]],SECTOR!$A:$B,2,0),"")</f>
      </c>
      <c r="S128" s="89"/>
      <c r="T128" s="90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6"/>
      <c r="AZ128" s="120">
        <f>COUNTIF(U128:AY128,"A")</f>
      </c>
      <c r="BA128" s="121">
        <f>COUNTIF(U128:AY128,"F")</f>
      </c>
      <c r="BB128" s="119">
        <f>COUNTIF(U128:AY128,"E")</f>
      </c>
    </row>
    <row r="129" spans="1:54" x14ac:dyDescent="0.2">
      <c r="A129" s="84"/>
      <c r="B129" s="107"/>
      <c r="C129" s="85"/>
      <c r="D129" s="85"/>
      <c r="E129" s="86"/>
      <c r="F129" s="16">
        <f>IF(E129="","",DATEDIF(E129,$I$7,"Y"))</f>
      </c>
      <c r="G129" s="85"/>
      <c r="H129" s="85"/>
      <c r="I129" s="87"/>
      <c r="J129" s="85"/>
      <c r="K129" s="85"/>
      <c r="L129" s="10"/>
      <c r="M129" s="10"/>
      <c r="N129" s="10"/>
      <c r="O129" s="10"/>
      <c r="P129" s="85"/>
      <c r="Q129" s="88"/>
      <c r="R129" s="3">
        <f>IFERROR(VLOOKUP(TablaJunio[[#This Row],[BARRIO]],SECTOR!$A:$B,2,0),"")</f>
      </c>
      <c r="S129" s="89"/>
      <c r="T129" s="90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6"/>
      <c r="AZ129" s="120">
        <f>COUNTIF(U129:AY129,"A")</f>
      </c>
      <c r="BA129" s="121">
        <f>COUNTIF(U129:AY129,"F")</f>
      </c>
      <c r="BB129" s="119">
        <f>COUNTIF(U129:AY129,"E")</f>
      </c>
    </row>
    <row r="130" spans="1:54" x14ac:dyDescent="0.2">
      <c r="A130" s="84"/>
      <c r="B130" s="107"/>
      <c r="C130" s="85"/>
      <c r="D130" s="85"/>
      <c r="E130" s="86"/>
      <c r="F130" s="16">
        <f>IF(E130="","",DATEDIF(E130,$I$7,"Y"))</f>
      </c>
      <c r="G130" s="85"/>
      <c r="H130" s="85"/>
      <c r="I130" s="87"/>
      <c r="J130" s="85"/>
      <c r="K130" s="85"/>
      <c r="L130" s="10"/>
      <c r="M130" s="10"/>
      <c r="N130" s="10"/>
      <c r="O130" s="10"/>
      <c r="P130" s="85"/>
      <c r="Q130" s="88"/>
      <c r="R130" s="3">
        <f>IFERROR(VLOOKUP(TablaJunio[[#This Row],[BARRIO]],SECTOR!$A:$B,2,0),"")</f>
      </c>
      <c r="S130" s="89"/>
      <c r="T130" s="90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6"/>
      <c r="AZ130" s="120">
        <f>COUNTIF(U130:AY130,"A")</f>
      </c>
      <c r="BA130" s="121">
        <f>COUNTIF(U130:AY130,"F")</f>
      </c>
      <c r="BB130" s="119">
        <f>COUNTIF(U130:AY130,"E")</f>
      </c>
    </row>
    <row r="131" spans="1:54" x14ac:dyDescent="0.2">
      <c r="A131" s="84"/>
      <c r="B131" s="107"/>
      <c r="C131" s="85"/>
      <c r="D131" s="85"/>
      <c r="E131" s="86"/>
      <c r="F131" s="16">
        <f>IF(E131="","",DATEDIF(E131,$I$7,"Y"))</f>
      </c>
      <c r="G131" s="85"/>
      <c r="H131" s="85"/>
      <c r="I131" s="87"/>
      <c r="J131" s="85"/>
      <c r="K131" s="85"/>
      <c r="L131" s="10"/>
      <c r="M131" s="10"/>
      <c r="N131" s="10"/>
      <c r="O131" s="10"/>
      <c r="P131" s="85"/>
      <c r="Q131" s="88"/>
      <c r="R131" s="3">
        <f>IFERROR(VLOOKUP(TablaJunio[[#This Row],[BARRIO]],SECTOR!$A:$B,2,0),"")</f>
      </c>
      <c r="S131" s="89"/>
      <c r="T131" s="90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6"/>
      <c r="AZ131" s="120">
        <f>COUNTIF(U131:AY131,"A")</f>
      </c>
      <c r="BA131" s="121">
        <f>COUNTIF(U131:AY131,"F")</f>
      </c>
      <c r="BB131" s="119">
        <f>COUNTIF(U131:AY131,"E")</f>
      </c>
    </row>
    <row r="132" spans="1:54" x14ac:dyDescent="0.2">
      <c r="A132" s="84"/>
      <c r="B132" s="107"/>
      <c r="C132" s="85"/>
      <c r="D132" s="85"/>
      <c r="E132" s="86"/>
      <c r="F132" s="16">
        <f>IF(E132="","",DATEDIF(E132,$I$7,"Y"))</f>
      </c>
      <c r="G132" s="85"/>
      <c r="H132" s="85"/>
      <c r="I132" s="87"/>
      <c r="J132" s="85"/>
      <c r="K132" s="85"/>
      <c r="L132" s="10"/>
      <c r="M132" s="10"/>
      <c r="N132" s="10"/>
      <c r="O132" s="10"/>
      <c r="P132" s="85"/>
      <c r="Q132" s="88"/>
      <c r="R132" s="3">
        <f>IFERROR(VLOOKUP(TablaJunio[[#This Row],[BARRIO]],SECTOR!$A:$B,2,0),"")</f>
      </c>
      <c r="S132" s="89"/>
      <c r="T132" s="90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6"/>
      <c r="AZ132" s="120">
        <f>COUNTIF(U132:AY132,"A")</f>
      </c>
      <c r="BA132" s="121">
        <f>COUNTIF(U132:AY132,"F")</f>
      </c>
      <c r="BB132" s="119">
        <f>COUNTIF(U132:AY132,"E")</f>
      </c>
    </row>
    <row r="133" spans="1:54" x14ac:dyDescent="0.2">
      <c r="A133" s="84"/>
      <c r="B133" s="107"/>
      <c r="C133" s="85"/>
      <c r="D133" s="85"/>
      <c r="E133" s="86"/>
      <c r="F133" s="16">
        <f>IF(E133="","",DATEDIF(E133,$I$7,"Y"))</f>
      </c>
      <c r="G133" s="85"/>
      <c r="H133" s="85"/>
      <c r="I133" s="87"/>
      <c r="J133" s="85"/>
      <c r="K133" s="85"/>
      <c r="L133" s="10"/>
      <c r="M133" s="10"/>
      <c r="N133" s="10"/>
      <c r="O133" s="10"/>
      <c r="P133" s="85"/>
      <c r="Q133" s="88"/>
      <c r="R133" s="3">
        <f>IFERROR(VLOOKUP(TablaJunio[[#This Row],[BARRIO]],SECTOR!$A:$B,2,0),"")</f>
      </c>
      <c r="S133" s="89"/>
      <c r="T133" s="90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6"/>
      <c r="AZ133" s="120">
        <f>COUNTIF(U133:AY133,"A")</f>
      </c>
      <c r="BA133" s="121">
        <f>COUNTIF(U133:AY133,"F")</f>
      </c>
      <c r="BB133" s="119">
        <f>COUNTIF(U133:AY133,"E")</f>
      </c>
    </row>
    <row r="134" spans="1:54" x14ac:dyDescent="0.2">
      <c r="A134" s="84"/>
      <c r="B134" s="107"/>
      <c r="C134" s="85"/>
      <c r="D134" s="85"/>
      <c r="E134" s="86"/>
      <c r="F134" s="16">
        <f>IF(E134="","",DATEDIF(E134,$I$7,"Y"))</f>
      </c>
      <c r="G134" s="85"/>
      <c r="H134" s="85"/>
      <c r="I134" s="87"/>
      <c r="J134" s="85"/>
      <c r="K134" s="85"/>
      <c r="L134" s="10"/>
      <c r="M134" s="10"/>
      <c r="N134" s="10"/>
      <c r="O134" s="10"/>
      <c r="P134" s="85"/>
      <c r="Q134" s="88"/>
      <c r="R134" s="3">
        <f>IFERROR(VLOOKUP(TablaJunio[[#This Row],[BARRIO]],SECTOR!$A:$B,2,0),"")</f>
      </c>
      <c r="S134" s="89"/>
      <c r="T134" s="90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6"/>
      <c r="AZ134" s="120">
        <f>COUNTIF(U134:AY134,"A")</f>
      </c>
      <c r="BA134" s="121">
        <f>COUNTIF(U134:AY134,"F")</f>
      </c>
      <c r="BB134" s="119">
        <f>COUNTIF(U134:AY134,"E")</f>
      </c>
    </row>
    <row r="135" spans="1:54" x14ac:dyDescent="0.2">
      <c r="A135" s="84"/>
      <c r="B135" s="107"/>
      <c r="C135" s="85"/>
      <c r="D135" s="85"/>
      <c r="E135" s="86"/>
      <c r="F135" s="16">
        <f>IF(E135="","",DATEDIF(E135,$I$7,"Y"))</f>
      </c>
      <c r="G135" s="85"/>
      <c r="H135" s="85"/>
      <c r="I135" s="87"/>
      <c r="J135" s="85"/>
      <c r="K135" s="85"/>
      <c r="L135" s="10"/>
      <c r="M135" s="10"/>
      <c r="N135" s="10"/>
      <c r="O135" s="10"/>
      <c r="P135" s="85"/>
      <c r="Q135" s="88"/>
      <c r="R135" s="3">
        <f>IFERROR(VLOOKUP(TablaJunio[[#This Row],[BARRIO]],SECTOR!$A:$B,2,0),"")</f>
      </c>
      <c r="S135" s="89"/>
      <c r="T135" s="90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6"/>
      <c r="AZ135" s="120">
        <f>COUNTIF(U135:AY135,"A")</f>
      </c>
      <c r="BA135" s="121">
        <f>COUNTIF(U135:AY135,"F")</f>
      </c>
      <c r="BB135" s="119">
        <f>COUNTIF(U135:AY135,"E")</f>
      </c>
    </row>
    <row r="136" spans="1:54" x14ac:dyDescent="0.2">
      <c r="A136" s="84"/>
      <c r="B136" s="107"/>
      <c r="C136" s="85"/>
      <c r="D136" s="85"/>
      <c r="E136" s="86"/>
      <c r="F136" s="16">
        <f>IF(E136="","",DATEDIF(E136,$I$7,"Y"))</f>
      </c>
      <c r="G136" s="85"/>
      <c r="H136" s="85"/>
      <c r="I136" s="87"/>
      <c r="J136" s="85"/>
      <c r="K136" s="85"/>
      <c r="L136" s="10"/>
      <c r="M136" s="10"/>
      <c r="N136" s="10"/>
      <c r="O136" s="10"/>
      <c r="P136" s="85"/>
      <c r="Q136" s="88"/>
      <c r="R136" s="3">
        <f>IFERROR(VLOOKUP(TablaJunio[[#This Row],[BARRIO]],SECTOR!$A:$B,2,0),"")</f>
      </c>
      <c r="S136" s="89"/>
      <c r="T136" s="90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6"/>
      <c r="AZ136" s="120">
        <f>COUNTIF(U136:AY136,"A")</f>
      </c>
      <c r="BA136" s="121">
        <f>COUNTIF(U136:AY136,"F")</f>
      </c>
      <c r="BB136" s="119">
        <f>COUNTIF(U136:AY136,"E")</f>
      </c>
    </row>
    <row r="137" spans="1:54" x14ac:dyDescent="0.2">
      <c r="A137" s="84"/>
      <c r="B137" s="107"/>
      <c r="C137" s="85"/>
      <c r="D137" s="85"/>
      <c r="E137" s="86"/>
      <c r="F137" s="16">
        <f>IF(E137="","",DATEDIF(E137,$I$7,"Y"))</f>
      </c>
      <c r="G137" s="85"/>
      <c r="H137" s="85"/>
      <c r="I137" s="87"/>
      <c r="J137" s="85"/>
      <c r="K137" s="85"/>
      <c r="L137" s="10"/>
      <c r="M137" s="10"/>
      <c r="N137" s="10"/>
      <c r="O137" s="10"/>
      <c r="P137" s="85"/>
      <c r="Q137" s="88"/>
      <c r="R137" s="3">
        <f>IFERROR(VLOOKUP(TablaJunio[[#This Row],[BARRIO]],SECTOR!$A:$B,2,0),"")</f>
      </c>
      <c r="S137" s="89"/>
      <c r="T137" s="90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6"/>
      <c r="AZ137" s="120">
        <f>COUNTIF(U137:AY137,"A")</f>
      </c>
      <c r="BA137" s="121">
        <f>COUNTIF(U137:AY137,"F")</f>
      </c>
      <c r="BB137" s="119">
        <f>COUNTIF(U137:AY137,"E")</f>
      </c>
    </row>
    <row r="138" spans="1:54" x14ac:dyDescent="0.2">
      <c r="A138" s="84"/>
      <c r="B138" s="107"/>
      <c r="C138" s="85"/>
      <c r="D138" s="85"/>
      <c r="E138" s="86"/>
      <c r="F138" s="16">
        <f>IF(E138="","",DATEDIF(E138,$I$7,"Y"))</f>
      </c>
      <c r="G138" s="85"/>
      <c r="H138" s="85"/>
      <c r="I138" s="87"/>
      <c r="J138" s="85"/>
      <c r="K138" s="85"/>
      <c r="L138" s="10"/>
      <c r="M138" s="10"/>
      <c r="N138" s="10"/>
      <c r="O138" s="10"/>
      <c r="P138" s="85"/>
      <c r="Q138" s="88"/>
      <c r="R138" s="3">
        <f>IFERROR(VLOOKUP(TablaJunio[[#This Row],[BARRIO]],SECTOR!$A:$B,2,0),"")</f>
      </c>
      <c r="S138" s="89"/>
      <c r="T138" s="90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6"/>
      <c r="AZ138" s="120">
        <f>COUNTIF(U138:AY138,"A")</f>
      </c>
      <c r="BA138" s="121">
        <f>COUNTIF(U138:AY138,"F")</f>
      </c>
      <c r="BB138" s="119">
        <f>COUNTIF(U138:AY138,"E")</f>
      </c>
    </row>
    <row r="139" spans="1:54" x14ac:dyDescent="0.2">
      <c r="A139" s="84"/>
      <c r="B139" s="107"/>
      <c r="C139" s="85"/>
      <c r="D139" s="85"/>
      <c r="E139" s="86"/>
      <c r="F139" s="16">
        <f>IF(E139="","",DATEDIF(E139,$I$7,"Y"))</f>
      </c>
      <c r="G139" s="85"/>
      <c r="H139" s="85"/>
      <c r="I139" s="87"/>
      <c r="J139" s="85"/>
      <c r="K139" s="85"/>
      <c r="L139" s="10"/>
      <c r="M139" s="10"/>
      <c r="N139" s="10"/>
      <c r="O139" s="10"/>
      <c r="P139" s="85"/>
      <c r="Q139" s="88"/>
      <c r="R139" s="3">
        <f>IFERROR(VLOOKUP(TablaJunio[[#This Row],[BARRIO]],SECTOR!$A:$B,2,0),"")</f>
      </c>
      <c r="S139" s="89"/>
      <c r="T139" s="90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6"/>
      <c r="AZ139" s="120">
        <f>COUNTIF(U139:AY139,"A")</f>
      </c>
      <c r="BA139" s="121">
        <f>COUNTIF(U139:AY139,"F")</f>
      </c>
      <c r="BB139" s="119">
        <f>COUNTIF(U139:AY139,"E")</f>
      </c>
    </row>
    <row r="140" spans="1:54" x14ac:dyDescent="0.2">
      <c r="A140" s="84"/>
      <c r="B140" s="107"/>
      <c r="C140" s="85"/>
      <c r="D140" s="85"/>
      <c r="E140" s="86"/>
      <c r="F140" s="16">
        <f>IF(E140="","",DATEDIF(E140,$I$7,"Y"))</f>
      </c>
      <c r="G140" s="85"/>
      <c r="H140" s="85"/>
      <c r="I140" s="87"/>
      <c r="J140" s="85"/>
      <c r="K140" s="85"/>
      <c r="L140" s="10"/>
      <c r="M140" s="10"/>
      <c r="N140" s="10"/>
      <c r="O140" s="10"/>
      <c r="P140" s="85"/>
      <c r="Q140" s="88"/>
      <c r="R140" s="3">
        <f>IFERROR(VLOOKUP(TablaJunio[[#This Row],[BARRIO]],SECTOR!$A:$B,2,0),"")</f>
      </c>
      <c r="S140" s="89"/>
      <c r="T140" s="90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6"/>
      <c r="AZ140" s="120">
        <f>COUNTIF(U140:AY140,"A")</f>
      </c>
      <c r="BA140" s="121">
        <f>COUNTIF(U140:AY140,"F")</f>
      </c>
      <c r="BB140" s="119">
        <f>COUNTIF(U140:AY140,"E")</f>
      </c>
    </row>
    <row r="141" spans="1:54" x14ac:dyDescent="0.2">
      <c r="A141" s="84"/>
      <c r="B141" s="107"/>
      <c r="C141" s="85"/>
      <c r="D141" s="85"/>
      <c r="E141" s="86"/>
      <c r="F141" s="16">
        <f>IF(E141="","",DATEDIF(E141,$I$7,"Y"))</f>
      </c>
      <c r="G141" s="85"/>
      <c r="H141" s="85"/>
      <c r="I141" s="87"/>
      <c r="J141" s="85"/>
      <c r="K141" s="85"/>
      <c r="L141" s="10"/>
      <c r="M141" s="10"/>
      <c r="N141" s="10"/>
      <c r="O141" s="10"/>
      <c r="P141" s="85"/>
      <c r="Q141" s="88"/>
      <c r="R141" s="3">
        <f>IFERROR(VLOOKUP(TablaJunio[[#This Row],[BARRIO]],SECTOR!$A:$B,2,0),"")</f>
      </c>
      <c r="S141" s="89"/>
      <c r="T141" s="90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6"/>
      <c r="AZ141" s="120">
        <f>COUNTIF(U141:AY141,"A")</f>
      </c>
      <c r="BA141" s="121">
        <f>COUNTIF(U141:AY141,"F")</f>
      </c>
      <c r="BB141" s="119">
        <f>COUNTIF(U141:AY141,"E")</f>
      </c>
    </row>
    <row r="142" spans="1:54" x14ac:dyDescent="0.2">
      <c r="A142" s="84"/>
      <c r="B142" s="107"/>
      <c r="C142" s="85"/>
      <c r="D142" s="85"/>
      <c r="E142" s="86"/>
      <c r="F142" s="16">
        <f>IF(E142="","",DATEDIF(E142,$I$7,"Y"))</f>
      </c>
      <c r="G142" s="85"/>
      <c r="H142" s="85"/>
      <c r="I142" s="87"/>
      <c r="J142" s="85"/>
      <c r="K142" s="85"/>
      <c r="L142" s="10"/>
      <c r="M142" s="10"/>
      <c r="N142" s="10"/>
      <c r="O142" s="10"/>
      <c r="P142" s="85"/>
      <c r="Q142" s="88"/>
      <c r="R142" s="3">
        <f>IFERROR(VLOOKUP(TablaJunio[[#This Row],[BARRIO]],SECTOR!$A:$B,2,0),"")</f>
      </c>
      <c r="S142" s="89"/>
      <c r="T142" s="90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6"/>
      <c r="AZ142" s="120">
        <f>COUNTIF(U142:AY142,"A")</f>
      </c>
      <c r="BA142" s="121">
        <f>COUNTIF(U142:AY142,"F")</f>
      </c>
      <c r="BB142" s="119">
        <f>COUNTIF(U142:AY142,"E")</f>
      </c>
    </row>
    <row r="143" spans="1:54" x14ac:dyDescent="0.2">
      <c r="A143" s="84"/>
      <c r="B143" s="107"/>
      <c r="C143" s="85"/>
      <c r="D143" s="85"/>
      <c r="E143" s="86"/>
      <c r="F143" s="16">
        <f>IF(E143="","",DATEDIF(E143,$I$7,"Y"))</f>
      </c>
      <c r="G143" s="85"/>
      <c r="H143" s="85"/>
      <c r="I143" s="87"/>
      <c r="J143" s="85"/>
      <c r="K143" s="85"/>
      <c r="L143" s="10"/>
      <c r="M143" s="10"/>
      <c r="N143" s="10"/>
      <c r="O143" s="10"/>
      <c r="P143" s="85"/>
      <c r="Q143" s="88"/>
      <c r="R143" s="3">
        <f>IFERROR(VLOOKUP(TablaJunio[[#This Row],[BARRIO]],SECTOR!$A:$B,2,0),"")</f>
      </c>
      <c r="S143" s="89"/>
      <c r="T143" s="90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6"/>
      <c r="AZ143" s="120">
        <f>COUNTIF(U143:AY143,"A")</f>
      </c>
      <c r="BA143" s="121">
        <f>COUNTIF(U143:AY143,"F")</f>
      </c>
      <c r="BB143" s="119">
        <f>COUNTIF(U143:AY143,"E")</f>
      </c>
    </row>
    <row r="144" spans="1:54" x14ac:dyDescent="0.2">
      <c r="A144" s="84"/>
      <c r="B144" s="107"/>
      <c r="C144" s="85"/>
      <c r="D144" s="85"/>
      <c r="E144" s="86"/>
      <c r="F144" s="16">
        <f>IF(E144="","",DATEDIF(E144,$I$7,"Y"))</f>
      </c>
      <c r="G144" s="85"/>
      <c r="H144" s="85"/>
      <c r="I144" s="87"/>
      <c r="J144" s="85"/>
      <c r="K144" s="85"/>
      <c r="L144" s="10"/>
      <c r="M144" s="10"/>
      <c r="N144" s="10"/>
      <c r="O144" s="10"/>
      <c r="P144" s="85"/>
      <c r="Q144" s="88"/>
      <c r="R144" s="3">
        <f>IFERROR(VLOOKUP(TablaJunio[[#This Row],[BARRIO]],SECTOR!$A:$B,2,0),"")</f>
      </c>
      <c r="S144" s="89"/>
      <c r="T144" s="90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6"/>
      <c r="AZ144" s="120">
        <f>COUNTIF(U144:AY144,"A")</f>
      </c>
      <c r="BA144" s="121">
        <f>COUNTIF(U144:AY144,"F")</f>
      </c>
      <c r="BB144" s="119">
        <f>COUNTIF(U144:AY144,"E")</f>
      </c>
    </row>
    <row r="145" spans="1:54" x14ac:dyDescent="0.2">
      <c r="A145" s="84"/>
      <c r="B145" s="107"/>
      <c r="C145" s="85"/>
      <c r="D145" s="85"/>
      <c r="E145" s="86"/>
      <c r="F145" s="16">
        <f>IF(E145="","",DATEDIF(E145,$I$7,"Y"))</f>
      </c>
      <c r="G145" s="85"/>
      <c r="H145" s="85"/>
      <c r="I145" s="87"/>
      <c r="J145" s="85"/>
      <c r="K145" s="85"/>
      <c r="L145" s="10"/>
      <c r="M145" s="10"/>
      <c r="N145" s="10"/>
      <c r="O145" s="10"/>
      <c r="P145" s="85"/>
      <c r="Q145" s="88"/>
      <c r="R145" s="3">
        <f>IFERROR(VLOOKUP(TablaJunio[[#This Row],[BARRIO]],SECTOR!$A:$B,2,0),"")</f>
      </c>
      <c r="S145" s="89"/>
      <c r="T145" s="90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6"/>
      <c r="AZ145" s="120">
        <f>COUNTIF(U145:AY145,"A")</f>
      </c>
      <c r="BA145" s="121">
        <f>COUNTIF(U145:AY145,"F")</f>
      </c>
      <c r="BB145" s="119">
        <f>COUNTIF(U145:AY145,"E")</f>
      </c>
    </row>
    <row r="146" spans="1:54" x14ac:dyDescent="0.2">
      <c r="A146" s="84"/>
      <c r="B146" s="107"/>
      <c r="C146" s="85"/>
      <c r="D146" s="85"/>
      <c r="E146" s="86"/>
      <c r="F146" s="16">
        <f>IF(E146="","",DATEDIF(E146,$I$7,"Y"))</f>
      </c>
      <c r="G146" s="85"/>
      <c r="H146" s="85"/>
      <c r="I146" s="87"/>
      <c r="J146" s="85"/>
      <c r="K146" s="85"/>
      <c r="L146" s="10"/>
      <c r="M146" s="10"/>
      <c r="N146" s="10"/>
      <c r="O146" s="10"/>
      <c r="P146" s="85"/>
      <c r="Q146" s="88"/>
      <c r="R146" s="3">
        <f>IFERROR(VLOOKUP(TablaJunio[[#This Row],[BARRIO]],SECTOR!$A:$B,2,0),"")</f>
      </c>
      <c r="S146" s="89"/>
      <c r="T146" s="90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6"/>
      <c r="AZ146" s="120">
        <f>COUNTIF(U146:AY146,"A")</f>
      </c>
      <c r="BA146" s="121">
        <f>COUNTIF(U146:AY146,"F")</f>
      </c>
      <c r="BB146" s="119">
        <f>COUNTIF(U146:AY146,"E")</f>
      </c>
    </row>
    <row r="147" spans="1:54" x14ac:dyDescent="0.2">
      <c r="A147" s="84"/>
      <c r="B147" s="107"/>
      <c r="C147" s="85"/>
      <c r="D147" s="85"/>
      <c r="E147" s="86"/>
      <c r="F147" s="16">
        <f>IF(E147="","",DATEDIF(E147,$I$7,"Y"))</f>
      </c>
      <c r="G147" s="85"/>
      <c r="H147" s="85"/>
      <c r="I147" s="87"/>
      <c r="J147" s="85"/>
      <c r="K147" s="85"/>
      <c r="L147" s="10"/>
      <c r="M147" s="10"/>
      <c r="N147" s="10"/>
      <c r="O147" s="10"/>
      <c r="P147" s="85"/>
      <c r="Q147" s="88"/>
      <c r="R147" s="3">
        <f>IFERROR(VLOOKUP(TablaJunio[[#This Row],[BARRIO]],SECTOR!$A:$B,2,0),"")</f>
      </c>
      <c r="S147" s="89"/>
      <c r="T147" s="90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6"/>
      <c r="AZ147" s="120">
        <f>COUNTIF(U147:AY147,"A")</f>
      </c>
      <c r="BA147" s="121">
        <f>COUNTIF(U147:AY147,"F")</f>
      </c>
      <c r="BB147" s="119">
        <f>COUNTIF(U147:AY147,"E")</f>
      </c>
    </row>
    <row r="148" spans="1:54" x14ac:dyDescent="0.2">
      <c r="A148" s="84"/>
      <c r="B148" s="107"/>
      <c r="C148" s="85"/>
      <c r="D148" s="85"/>
      <c r="E148" s="86"/>
      <c r="F148" s="16">
        <f>IF(E148="","",DATEDIF(E148,$I$7,"Y"))</f>
      </c>
      <c r="G148" s="85"/>
      <c r="H148" s="85"/>
      <c r="I148" s="87"/>
      <c r="J148" s="85"/>
      <c r="K148" s="85"/>
      <c r="L148" s="10"/>
      <c r="M148" s="10"/>
      <c r="N148" s="10"/>
      <c r="O148" s="10"/>
      <c r="P148" s="85"/>
      <c r="Q148" s="88"/>
      <c r="R148" s="3">
        <f>IFERROR(VLOOKUP(TablaJunio[[#This Row],[BARRIO]],SECTOR!$A:$B,2,0),"")</f>
      </c>
      <c r="S148" s="89"/>
      <c r="T148" s="90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6"/>
      <c r="AZ148" s="120">
        <f>COUNTIF(U148:AY148,"A")</f>
      </c>
      <c r="BA148" s="121">
        <f>COUNTIF(U148:AY148,"F")</f>
      </c>
      <c r="BB148" s="119">
        <f>COUNTIF(U148:AY148,"E")</f>
      </c>
    </row>
    <row r="149" spans="1:54" x14ac:dyDescent="0.2">
      <c r="A149" s="84"/>
      <c r="B149" s="107"/>
      <c r="C149" s="85"/>
      <c r="D149" s="85"/>
      <c r="E149" s="86"/>
      <c r="F149" s="16">
        <f>IF(E149="","",DATEDIF(E149,$I$7,"Y"))</f>
      </c>
      <c r="G149" s="85"/>
      <c r="H149" s="85"/>
      <c r="I149" s="87"/>
      <c r="J149" s="85"/>
      <c r="K149" s="85"/>
      <c r="L149" s="10"/>
      <c r="M149" s="10"/>
      <c r="N149" s="10"/>
      <c r="O149" s="10"/>
      <c r="P149" s="85"/>
      <c r="Q149" s="88"/>
      <c r="R149" s="3">
        <f>IFERROR(VLOOKUP(TablaJunio[[#This Row],[BARRIO]],SECTOR!$A:$B,2,0),"")</f>
      </c>
      <c r="S149" s="89"/>
      <c r="T149" s="90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6"/>
      <c r="AZ149" s="120">
        <f>COUNTIF(U149:AY149,"A")</f>
      </c>
      <c r="BA149" s="121">
        <f>COUNTIF(U149:AY149,"F")</f>
      </c>
      <c r="BB149" s="119">
        <f>COUNTIF(U149:AY149,"E")</f>
      </c>
    </row>
    <row r="150" spans="1:54" x14ac:dyDescent="0.2">
      <c r="A150" s="84"/>
      <c r="B150" s="107"/>
      <c r="C150" s="85"/>
      <c r="D150" s="85"/>
      <c r="E150" s="86"/>
      <c r="F150" s="16">
        <f>IF(E150="","",DATEDIF(E150,$I$7,"Y"))</f>
      </c>
      <c r="G150" s="85"/>
      <c r="H150" s="85"/>
      <c r="I150" s="87"/>
      <c r="J150" s="85"/>
      <c r="K150" s="85"/>
      <c r="L150" s="10"/>
      <c r="M150" s="10"/>
      <c r="N150" s="10"/>
      <c r="O150" s="10"/>
      <c r="P150" s="85"/>
      <c r="Q150" s="88"/>
      <c r="R150" s="3">
        <f>IFERROR(VLOOKUP(TablaJunio[[#This Row],[BARRIO]],SECTOR!$A:$B,2,0),"")</f>
      </c>
      <c r="S150" s="89"/>
      <c r="T150" s="90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6"/>
      <c r="AZ150" s="120">
        <f>COUNTIF(U150:AY150,"A")</f>
      </c>
      <c r="BA150" s="121">
        <f>COUNTIF(U150:AY150,"F")</f>
      </c>
      <c r="BB150" s="119">
        <f>COUNTIF(U150:AY150,"E")</f>
      </c>
    </row>
    <row r="151" spans="1:54" x14ac:dyDescent="0.2">
      <c r="A151" s="84"/>
      <c r="B151" s="107"/>
      <c r="C151" s="85"/>
      <c r="D151" s="85"/>
      <c r="E151" s="86"/>
      <c r="F151" s="16">
        <f>IF(E151="","",DATEDIF(E151,$I$7,"Y"))</f>
      </c>
      <c r="G151" s="85"/>
      <c r="H151" s="85"/>
      <c r="I151" s="87"/>
      <c r="J151" s="85"/>
      <c r="K151" s="85"/>
      <c r="L151" s="10"/>
      <c r="M151" s="10"/>
      <c r="N151" s="10"/>
      <c r="O151" s="10"/>
      <c r="P151" s="85"/>
      <c r="Q151" s="88"/>
      <c r="R151" s="3">
        <f>IFERROR(VLOOKUP(TablaJunio[[#This Row],[BARRIO]],SECTOR!$A:$B,2,0),"")</f>
      </c>
      <c r="S151" s="89"/>
      <c r="T151" s="90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6"/>
      <c r="AZ151" s="120">
        <f>COUNTIF(U151:AY151,"A")</f>
      </c>
      <c r="BA151" s="121">
        <f>COUNTIF(U151:AY151,"F")</f>
      </c>
      <c r="BB151" s="119">
        <f>COUNTIF(U151:AY151,"E")</f>
      </c>
    </row>
    <row r="152" spans="1:54" x14ac:dyDescent="0.2">
      <c r="A152" s="84"/>
      <c r="B152" s="107"/>
      <c r="C152" s="85"/>
      <c r="D152" s="85"/>
      <c r="E152" s="86"/>
      <c r="F152" s="16">
        <f>IF(E152="","",DATEDIF(E152,$I$7,"Y"))</f>
      </c>
      <c r="G152" s="85"/>
      <c r="H152" s="85"/>
      <c r="I152" s="87"/>
      <c r="J152" s="85"/>
      <c r="K152" s="85"/>
      <c r="L152" s="10"/>
      <c r="M152" s="10"/>
      <c r="N152" s="10"/>
      <c r="O152" s="10"/>
      <c r="P152" s="85"/>
      <c r="Q152" s="88"/>
      <c r="R152" s="3">
        <f>IFERROR(VLOOKUP(TablaJunio[[#This Row],[BARRIO]],SECTOR!$A:$B,2,0),"")</f>
      </c>
      <c r="S152" s="89"/>
      <c r="T152" s="90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6"/>
      <c r="AZ152" s="120">
        <f>COUNTIF(U152:AY152,"A")</f>
      </c>
      <c r="BA152" s="121">
        <f>COUNTIF(U152:AY152,"F")</f>
      </c>
      <c r="BB152" s="119">
        <f>COUNTIF(U152:AY152,"E")</f>
      </c>
    </row>
    <row r="153" spans="1:54" x14ac:dyDescent="0.2">
      <c r="A153" s="84"/>
      <c r="B153" s="107"/>
      <c r="C153" s="85"/>
      <c r="D153" s="85"/>
      <c r="E153" s="86"/>
      <c r="F153" s="16">
        <f>IF(E153="","",DATEDIF(E153,$I$7,"Y"))</f>
      </c>
      <c r="G153" s="85"/>
      <c r="H153" s="85"/>
      <c r="I153" s="87"/>
      <c r="J153" s="85"/>
      <c r="K153" s="85"/>
      <c r="L153" s="10"/>
      <c r="M153" s="10"/>
      <c r="N153" s="10"/>
      <c r="O153" s="10"/>
      <c r="P153" s="85"/>
      <c r="Q153" s="88"/>
      <c r="R153" s="3">
        <f>IFERROR(VLOOKUP(TablaJunio[[#This Row],[BARRIO]],SECTOR!$A:$B,2,0),"")</f>
      </c>
      <c r="S153" s="89"/>
      <c r="T153" s="90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6"/>
      <c r="AZ153" s="120">
        <f>COUNTIF(U153:AY153,"A")</f>
      </c>
      <c r="BA153" s="121">
        <f>COUNTIF(U153:AY153,"F")</f>
      </c>
      <c r="BB153" s="119">
        <f>COUNTIF(U153:AY153,"E")</f>
      </c>
    </row>
    <row r="154" spans="1:54" x14ac:dyDescent="0.2">
      <c r="A154" s="84"/>
      <c r="B154" s="107"/>
      <c r="C154" s="85"/>
      <c r="D154" s="85"/>
      <c r="E154" s="86"/>
      <c r="F154" s="16">
        <f>IF(E154="","",DATEDIF(E154,$I$7,"Y"))</f>
      </c>
      <c r="G154" s="85"/>
      <c r="H154" s="85"/>
      <c r="I154" s="87"/>
      <c r="J154" s="85"/>
      <c r="K154" s="85"/>
      <c r="L154" s="10"/>
      <c r="M154" s="10"/>
      <c r="N154" s="10"/>
      <c r="O154" s="10"/>
      <c r="P154" s="85"/>
      <c r="Q154" s="88"/>
      <c r="R154" s="3">
        <f>IFERROR(VLOOKUP(TablaJunio[[#This Row],[BARRIO]],SECTOR!$A:$B,2,0),"")</f>
      </c>
      <c r="S154" s="89"/>
      <c r="T154" s="90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6"/>
      <c r="AZ154" s="120">
        <f>COUNTIF(U154:AY154,"A")</f>
      </c>
      <c r="BA154" s="121">
        <f>COUNTIF(U154:AY154,"F")</f>
      </c>
      <c r="BB154" s="119">
        <f>COUNTIF(U154:AY154,"E")</f>
      </c>
    </row>
    <row r="155" spans="1:54" x14ac:dyDescent="0.2">
      <c r="A155" s="84"/>
      <c r="B155" s="107"/>
      <c r="C155" s="85"/>
      <c r="D155" s="85"/>
      <c r="E155" s="86"/>
      <c r="F155" s="16">
        <f>IF(E155="","",DATEDIF(E155,$I$7,"Y"))</f>
      </c>
      <c r="G155" s="85"/>
      <c r="H155" s="85"/>
      <c r="I155" s="87"/>
      <c r="J155" s="85"/>
      <c r="K155" s="85"/>
      <c r="L155" s="10"/>
      <c r="M155" s="10"/>
      <c r="N155" s="10"/>
      <c r="O155" s="10"/>
      <c r="P155" s="85"/>
      <c r="Q155" s="88"/>
      <c r="R155" s="3">
        <f>IFERROR(VLOOKUP(TablaJunio[[#This Row],[BARRIO]],SECTOR!$A:$B,2,0),"")</f>
      </c>
      <c r="S155" s="89"/>
      <c r="T155" s="90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6"/>
      <c r="AZ155" s="120">
        <f>COUNTIF(U155:AY155,"A")</f>
      </c>
      <c r="BA155" s="121">
        <f>COUNTIF(U155:AY155,"F")</f>
      </c>
      <c r="BB155" s="119">
        <f>COUNTIF(U155:AY155,"E")</f>
      </c>
    </row>
    <row r="156" spans="1:54" x14ac:dyDescent="0.2">
      <c r="A156" s="84"/>
      <c r="B156" s="107"/>
      <c r="C156" s="85"/>
      <c r="D156" s="85"/>
      <c r="E156" s="86"/>
      <c r="F156" s="16">
        <f>IF(E156="","",DATEDIF(E156,$I$7,"Y"))</f>
      </c>
      <c r="G156" s="85"/>
      <c r="H156" s="85"/>
      <c r="I156" s="87"/>
      <c r="J156" s="85"/>
      <c r="K156" s="85"/>
      <c r="L156" s="10"/>
      <c r="M156" s="10"/>
      <c r="N156" s="10"/>
      <c r="O156" s="10"/>
      <c r="P156" s="85"/>
      <c r="Q156" s="88"/>
      <c r="R156" s="3">
        <f>IFERROR(VLOOKUP(TablaJunio[[#This Row],[BARRIO]],SECTOR!$A:$B,2,0),"")</f>
      </c>
      <c r="S156" s="89"/>
      <c r="T156" s="90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6"/>
      <c r="AZ156" s="120">
        <f>COUNTIF(U156:AY156,"A")</f>
      </c>
      <c r="BA156" s="121">
        <f>COUNTIF(U156:AY156,"F")</f>
      </c>
      <c r="BB156" s="119">
        <f>COUNTIF(U156:AY156,"E")</f>
      </c>
    </row>
    <row r="157" spans="1:54" x14ac:dyDescent="0.2">
      <c r="A157" s="84"/>
      <c r="B157" s="107"/>
      <c r="C157" s="85"/>
      <c r="D157" s="85"/>
      <c r="E157" s="86"/>
      <c r="F157" s="16">
        <f>IF(E157="","",DATEDIF(E157,$I$7,"Y"))</f>
      </c>
      <c r="G157" s="85"/>
      <c r="H157" s="85"/>
      <c r="I157" s="87"/>
      <c r="J157" s="85"/>
      <c r="K157" s="85"/>
      <c r="L157" s="10"/>
      <c r="M157" s="10"/>
      <c r="N157" s="10"/>
      <c r="O157" s="10"/>
      <c r="P157" s="85"/>
      <c r="Q157" s="88"/>
      <c r="R157" s="3">
        <f>IFERROR(VLOOKUP(TablaJunio[[#This Row],[BARRIO]],SECTOR!$A:$B,2,0),"")</f>
      </c>
      <c r="S157" s="89"/>
      <c r="T157" s="90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6"/>
      <c r="AZ157" s="120">
        <f>COUNTIF(U157:AY157,"A")</f>
      </c>
      <c r="BA157" s="121">
        <f>COUNTIF(U157:AY157,"F")</f>
      </c>
      <c r="BB157" s="119">
        <f>COUNTIF(U157:AY157,"E")</f>
      </c>
    </row>
    <row r="158" spans="1:54" x14ac:dyDescent="0.2">
      <c r="A158" s="84"/>
      <c r="B158" s="107"/>
      <c r="C158" s="85"/>
      <c r="D158" s="85"/>
      <c r="E158" s="86"/>
      <c r="F158" s="16">
        <f>IF(E158="","",DATEDIF(E158,$I$7,"Y"))</f>
      </c>
      <c r="G158" s="85"/>
      <c r="H158" s="85"/>
      <c r="I158" s="87"/>
      <c r="J158" s="85"/>
      <c r="K158" s="85"/>
      <c r="L158" s="10"/>
      <c r="M158" s="10"/>
      <c r="N158" s="10"/>
      <c r="O158" s="10"/>
      <c r="P158" s="85"/>
      <c r="Q158" s="88"/>
      <c r="R158" s="3">
        <f>IFERROR(VLOOKUP(TablaJunio[[#This Row],[BARRIO]],SECTOR!$A:$B,2,0),"")</f>
      </c>
      <c r="S158" s="89"/>
      <c r="T158" s="90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6"/>
      <c r="AZ158" s="120">
        <f>COUNTIF(U158:AY158,"A")</f>
      </c>
      <c r="BA158" s="121">
        <f>COUNTIF(U158:AY158,"F")</f>
      </c>
      <c r="BB158" s="119">
        <f>COUNTIF(U158:AY158,"E")</f>
      </c>
    </row>
    <row r="159" spans="1:54" x14ac:dyDescent="0.2">
      <c r="A159" s="84"/>
      <c r="B159" s="107"/>
      <c r="C159" s="85"/>
      <c r="D159" s="85"/>
      <c r="E159" s="86"/>
      <c r="F159" s="16">
        <f>IF(E159="","",DATEDIF(E159,$I$7,"Y"))</f>
      </c>
      <c r="G159" s="85"/>
      <c r="H159" s="85"/>
      <c r="I159" s="87"/>
      <c r="J159" s="85"/>
      <c r="K159" s="85"/>
      <c r="L159" s="10"/>
      <c r="M159" s="10"/>
      <c r="N159" s="10"/>
      <c r="O159" s="10"/>
      <c r="P159" s="85"/>
      <c r="Q159" s="88"/>
      <c r="R159" s="3">
        <f>IFERROR(VLOOKUP(TablaJunio[[#This Row],[BARRIO]],SECTOR!$A:$B,2,0),"")</f>
      </c>
      <c r="S159" s="89"/>
      <c r="T159" s="90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6"/>
      <c r="AZ159" s="120">
        <f>COUNTIF(U159:AY159,"A")</f>
      </c>
      <c r="BA159" s="121">
        <f>COUNTIF(U159:AY159,"F")</f>
      </c>
      <c r="BB159" s="119">
        <f>COUNTIF(U159:AY159,"E")</f>
      </c>
    </row>
    <row r="160" spans="1:54" x14ac:dyDescent="0.2">
      <c r="A160" s="84"/>
      <c r="B160" s="107"/>
      <c r="C160" s="85"/>
      <c r="D160" s="85"/>
      <c r="E160" s="86"/>
      <c r="F160" s="16">
        <f>IF(E160="","",DATEDIF(E160,$I$7,"Y"))</f>
      </c>
      <c r="G160" s="85"/>
      <c r="H160" s="85"/>
      <c r="I160" s="87"/>
      <c r="J160" s="85"/>
      <c r="K160" s="85"/>
      <c r="L160" s="10"/>
      <c r="M160" s="10"/>
      <c r="N160" s="10"/>
      <c r="O160" s="10"/>
      <c r="P160" s="85"/>
      <c r="Q160" s="88"/>
      <c r="R160" s="3">
        <f>IFERROR(VLOOKUP(TablaJunio[[#This Row],[BARRIO]],SECTOR!$A:$B,2,0),"")</f>
      </c>
      <c r="S160" s="89"/>
      <c r="T160" s="90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6"/>
      <c r="AZ160" s="120">
        <f>COUNTIF(U160:AY160,"A")</f>
      </c>
      <c r="BA160" s="121">
        <f>COUNTIF(U160:AY160,"F")</f>
      </c>
      <c r="BB160" s="119">
        <f>COUNTIF(U160:AY160,"E")</f>
      </c>
    </row>
    <row r="161" spans="1:54" x14ac:dyDescent="0.2">
      <c r="A161" s="84"/>
      <c r="B161" s="107"/>
      <c r="C161" s="85"/>
      <c r="D161" s="85"/>
      <c r="E161" s="86"/>
      <c r="F161" s="16">
        <f>IF(E161="","",DATEDIF(E161,$I$7,"Y"))</f>
      </c>
      <c r="G161" s="85"/>
      <c r="H161" s="85"/>
      <c r="I161" s="87"/>
      <c r="J161" s="85"/>
      <c r="K161" s="85"/>
      <c r="L161" s="10"/>
      <c r="M161" s="10"/>
      <c r="N161" s="10"/>
      <c r="O161" s="10"/>
      <c r="P161" s="85"/>
      <c r="Q161" s="88"/>
      <c r="R161" s="3">
        <f>IFERROR(VLOOKUP(TablaJunio[[#This Row],[BARRIO]],SECTOR!$A:$B,2,0),"")</f>
      </c>
      <c r="S161" s="89"/>
      <c r="T161" s="90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6"/>
      <c r="AZ161" s="120">
        <f>COUNTIF(U161:AY161,"A")</f>
      </c>
      <c r="BA161" s="121">
        <f>COUNTIF(U161:AY161,"F")</f>
      </c>
      <c r="BB161" s="119">
        <f>COUNTIF(U161:AY161,"E")</f>
      </c>
    </row>
    <row r="162" spans="1:54" x14ac:dyDescent="0.2">
      <c r="A162" s="84"/>
      <c r="B162" s="107"/>
      <c r="C162" s="85"/>
      <c r="D162" s="85"/>
      <c r="E162" s="86"/>
      <c r="F162" s="16">
        <f>IF(E162="","",DATEDIF(E162,$I$7,"Y"))</f>
      </c>
      <c r="G162" s="85"/>
      <c r="H162" s="85"/>
      <c r="I162" s="87"/>
      <c r="J162" s="85"/>
      <c r="K162" s="85"/>
      <c r="L162" s="10"/>
      <c r="M162" s="10"/>
      <c r="N162" s="10"/>
      <c r="O162" s="10"/>
      <c r="P162" s="85"/>
      <c r="Q162" s="88"/>
      <c r="R162" s="3">
        <f>IFERROR(VLOOKUP(TablaJunio[[#This Row],[BARRIO]],SECTOR!$A:$B,2,0),"")</f>
      </c>
      <c r="S162" s="89"/>
      <c r="T162" s="90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6"/>
      <c r="AZ162" s="120">
        <f>COUNTIF(U162:AY162,"A")</f>
      </c>
      <c r="BA162" s="121">
        <f>COUNTIF(U162:AY162,"F")</f>
      </c>
      <c r="BB162" s="119">
        <f>COUNTIF(U162:AY162,"E")</f>
      </c>
    </row>
    <row r="163" spans="1:54" x14ac:dyDescent="0.2">
      <c r="A163" s="84"/>
      <c r="B163" s="107"/>
      <c r="C163" s="85"/>
      <c r="D163" s="85"/>
      <c r="E163" s="86"/>
      <c r="F163" s="16">
        <f>IF(E163="","",DATEDIF(E163,$I$7,"Y"))</f>
      </c>
      <c r="G163" s="85"/>
      <c r="H163" s="85"/>
      <c r="I163" s="87"/>
      <c r="J163" s="85"/>
      <c r="K163" s="85"/>
      <c r="L163" s="10"/>
      <c r="M163" s="10"/>
      <c r="N163" s="10"/>
      <c r="O163" s="10"/>
      <c r="P163" s="85"/>
      <c r="Q163" s="88"/>
      <c r="R163" s="3">
        <f>IFERROR(VLOOKUP(TablaJunio[[#This Row],[BARRIO]],SECTOR!$A:$B,2,0),"")</f>
      </c>
      <c r="S163" s="89"/>
      <c r="T163" s="90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6"/>
      <c r="AZ163" s="120">
        <f>COUNTIF(U163:AY163,"A")</f>
      </c>
      <c r="BA163" s="121">
        <f>COUNTIF(U163:AY163,"F")</f>
      </c>
      <c r="BB163" s="119">
        <f>COUNTIF(U163:AY163,"E")</f>
      </c>
    </row>
    <row r="164" spans="1:54" x14ac:dyDescent="0.2">
      <c r="A164" s="84"/>
      <c r="B164" s="107"/>
      <c r="C164" s="85"/>
      <c r="D164" s="85"/>
      <c r="E164" s="86"/>
      <c r="F164" s="16">
        <f>IF(E164="","",DATEDIF(E164,$I$7,"Y"))</f>
      </c>
      <c r="G164" s="85"/>
      <c r="H164" s="85"/>
      <c r="I164" s="87"/>
      <c r="J164" s="85"/>
      <c r="K164" s="85"/>
      <c r="L164" s="10"/>
      <c r="M164" s="10"/>
      <c r="N164" s="10"/>
      <c r="O164" s="10"/>
      <c r="P164" s="85"/>
      <c r="Q164" s="88"/>
      <c r="R164" s="3">
        <f>IFERROR(VLOOKUP(TablaJunio[[#This Row],[BARRIO]],SECTOR!$A:$B,2,0),"")</f>
      </c>
      <c r="S164" s="89"/>
      <c r="T164" s="90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6"/>
      <c r="AZ164" s="120">
        <f>COUNTIF(U164:AY164,"A")</f>
      </c>
      <c r="BA164" s="121">
        <f>COUNTIF(U164:AY164,"F")</f>
      </c>
      <c r="BB164" s="119">
        <f>COUNTIF(U164:AY164,"E")</f>
      </c>
    </row>
    <row r="165" spans="1:54" x14ac:dyDescent="0.2">
      <c r="A165" s="84"/>
      <c r="B165" s="107"/>
      <c r="C165" s="85"/>
      <c r="D165" s="85"/>
      <c r="E165" s="86"/>
      <c r="F165" s="16">
        <f>IF(E165="","",DATEDIF(E165,$I$7,"Y"))</f>
      </c>
      <c r="G165" s="85"/>
      <c r="H165" s="85"/>
      <c r="I165" s="87"/>
      <c r="J165" s="85"/>
      <c r="K165" s="85"/>
      <c r="L165" s="10"/>
      <c r="M165" s="10"/>
      <c r="N165" s="10"/>
      <c r="O165" s="10"/>
      <c r="P165" s="85"/>
      <c r="Q165" s="88"/>
      <c r="R165" s="3">
        <f>IFERROR(VLOOKUP(TablaJunio[[#This Row],[BARRIO]],SECTOR!$A:$B,2,0),"")</f>
      </c>
      <c r="S165" s="89"/>
      <c r="T165" s="90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6"/>
      <c r="AZ165" s="120">
        <f>COUNTIF(U165:AY165,"A")</f>
      </c>
      <c r="BA165" s="121">
        <f>COUNTIF(U165:AY165,"F")</f>
      </c>
      <c r="BB165" s="119">
        <f>COUNTIF(U165:AY165,"E")</f>
      </c>
    </row>
    <row r="166" spans="1:54" x14ac:dyDescent="0.2">
      <c r="A166" s="84"/>
      <c r="B166" s="107"/>
      <c r="C166" s="85"/>
      <c r="D166" s="85"/>
      <c r="E166" s="86"/>
      <c r="F166" s="16">
        <f>IF(E166="","",DATEDIF(E166,$I$7,"Y"))</f>
      </c>
      <c r="G166" s="85"/>
      <c r="H166" s="85"/>
      <c r="I166" s="87"/>
      <c r="J166" s="85"/>
      <c r="K166" s="85"/>
      <c r="L166" s="10"/>
      <c r="M166" s="10"/>
      <c r="N166" s="10"/>
      <c r="O166" s="10"/>
      <c r="P166" s="85"/>
      <c r="Q166" s="88"/>
      <c r="R166" s="3">
        <f>IFERROR(VLOOKUP(TablaJunio[[#This Row],[BARRIO]],SECTOR!$A:$B,2,0),"")</f>
      </c>
      <c r="S166" s="89"/>
      <c r="T166" s="90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6"/>
      <c r="AZ166" s="120">
        <f>COUNTIF(U166:AY166,"A")</f>
      </c>
      <c r="BA166" s="121">
        <f>COUNTIF(U166:AY166,"F")</f>
      </c>
      <c r="BB166" s="119">
        <f>COUNTIF(U166:AY166,"E")</f>
      </c>
    </row>
    <row r="167" spans="1:54" x14ac:dyDescent="0.2">
      <c r="A167" s="84"/>
      <c r="B167" s="107"/>
      <c r="C167" s="85"/>
      <c r="D167" s="85"/>
      <c r="E167" s="86"/>
      <c r="F167" s="16">
        <f>IF(E167="","",DATEDIF(E167,$I$7,"Y"))</f>
      </c>
      <c r="G167" s="85"/>
      <c r="H167" s="85"/>
      <c r="I167" s="87"/>
      <c r="J167" s="85"/>
      <c r="K167" s="85"/>
      <c r="L167" s="10"/>
      <c r="M167" s="10"/>
      <c r="N167" s="10"/>
      <c r="O167" s="10"/>
      <c r="P167" s="85"/>
      <c r="Q167" s="88"/>
      <c r="R167" s="3">
        <f>IFERROR(VLOOKUP(TablaJunio[[#This Row],[BARRIO]],SECTOR!$A:$B,2,0),"")</f>
      </c>
      <c r="S167" s="89"/>
      <c r="T167" s="90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6"/>
      <c r="AZ167" s="120">
        <f>COUNTIF(U167:AY167,"A")</f>
      </c>
      <c r="BA167" s="121">
        <f>COUNTIF(U167:AY167,"F")</f>
      </c>
      <c r="BB167" s="119">
        <f>COUNTIF(U167:AY167,"E")</f>
      </c>
    </row>
    <row r="168" spans="1:54" x14ac:dyDescent="0.2">
      <c r="A168" s="84"/>
      <c r="B168" s="107"/>
      <c r="C168" s="85"/>
      <c r="D168" s="85"/>
      <c r="E168" s="86"/>
      <c r="F168" s="16">
        <f>IF(E168="","",DATEDIF(E168,$I$7,"Y"))</f>
      </c>
      <c r="G168" s="85"/>
      <c r="H168" s="85"/>
      <c r="I168" s="87"/>
      <c r="J168" s="85"/>
      <c r="K168" s="85"/>
      <c r="L168" s="2"/>
      <c r="M168" s="2"/>
      <c r="N168" s="10"/>
      <c r="O168" s="2"/>
      <c r="P168" s="85"/>
      <c r="Q168" s="88"/>
      <c r="R168" s="3">
        <f>IFERROR(VLOOKUP(TablaJunio[[#This Row],[BARRIO]],SECTOR!$A:$B,2,0),"")</f>
      </c>
      <c r="S168" s="89"/>
      <c r="T168" s="90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6"/>
      <c r="AZ168" s="120">
        <f>COUNTIF(U168:AY168,"A")</f>
      </c>
      <c r="BA168" s="121">
        <f>COUNTIF(U168:AY168,"F")</f>
      </c>
      <c r="BB168" s="119">
        <f>COUNTIF(U168:AY168,"E")</f>
      </c>
    </row>
    <row r="169" spans="1:54" x14ac:dyDescent="0.2">
      <c r="A169" s="84"/>
      <c r="B169" s="85"/>
      <c r="C169" s="85"/>
      <c r="D169" s="85"/>
      <c r="E169" s="86"/>
      <c r="F169" s="16">
        <f>IF(E169="","",DATEDIF(E169,$I$7,"Y"))</f>
      </c>
      <c r="G169" s="85"/>
      <c r="H169" s="85"/>
      <c r="I169" s="87"/>
      <c r="J169" s="85"/>
      <c r="K169" s="85"/>
      <c r="L169" s="10"/>
      <c r="M169" s="10"/>
      <c r="N169" s="10"/>
      <c r="O169" s="10"/>
      <c r="P169" s="85"/>
      <c r="Q169" s="88"/>
      <c r="R169" s="3">
        <f>IFERROR(VLOOKUP(TablaJunio[[#This Row],[BARRIO]],SECTOR!$A:$B,2,0),"")</f>
      </c>
      <c r="S169" s="89"/>
      <c r="T169" s="90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6"/>
      <c r="AZ169" s="30">
        <f>COUNTIF(U169:AY169,"A")</f>
      </c>
      <c r="BA169" s="32">
        <f>COUNTIF(U169:AY169,"F")</f>
      </c>
      <c r="BB169" s="119">
        <f>COUNTIF(U169:AY169,"E")</f>
      </c>
    </row>
    <row r="170" spans="1:54" x14ac:dyDescent="0.2">
      <c r="A170" s="84"/>
      <c r="B170" s="85"/>
      <c r="C170" s="85"/>
      <c r="D170" s="85"/>
      <c r="E170" s="86"/>
      <c r="F170" s="16">
        <f>IF(E170="","",DATEDIF(E170,$I$7,"Y"))</f>
      </c>
      <c r="G170" s="85"/>
      <c r="H170" s="85"/>
      <c r="I170" s="87"/>
      <c r="J170" s="85"/>
      <c r="K170" s="85"/>
      <c r="L170" s="10"/>
      <c r="M170" s="10"/>
      <c r="N170" s="10"/>
      <c r="O170" s="10"/>
      <c r="P170" s="85"/>
      <c r="Q170" s="88"/>
      <c r="R170" s="3">
        <f>IFERROR(VLOOKUP(TablaJunio[[#This Row],[BARRIO]],SECTOR!$A:$B,2,0),"")</f>
      </c>
      <c r="S170" s="89"/>
      <c r="T170" s="90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6"/>
      <c r="AZ170" s="120">
        <f>COUNTIF(U170:AY170,"A")</f>
      </c>
      <c r="BA170" s="121">
        <f>COUNTIF(U170:AY170,"F")</f>
      </c>
      <c r="BB170" s="119">
        <f>COUNTIF(U170:AY170,"E")</f>
      </c>
    </row>
    <row r="171" spans="1:54" x14ac:dyDescent="0.2">
      <c r="A171" s="84"/>
      <c r="B171" s="85"/>
      <c r="C171" s="85"/>
      <c r="D171" s="85"/>
      <c r="E171" s="86"/>
      <c r="F171" s="16">
        <f>IF(E171="","",DATEDIF(E171,$I$7,"Y"))</f>
      </c>
      <c r="G171" s="85"/>
      <c r="H171" s="85"/>
      <c r="I171" s="87"/>
      <c r="J171" s="85"/>
      <c r="K171" s="85"/>
      <c r="L171" s="10"/>
      <c r="M171" s="10"/>
      <c r="N171" s="10"/>
      <c r="O171" s="10"/>
      <c r="P171" s="85"/>
      <c r="Q171" s="88"/>
      <c r="R171" s="3">
        <f>IFERROR(VLOOKUP(TablaJunio[[#This Row],[BARRIO]],SECTOR!$A:$B,2,0),"")</f>
      </c>
      <c r="S171" s="89"/>
      <c r="T171" s="90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6"/>
      <c r="AZ171" s="120">
        <f>COUNTIF(U171:AY171,"A")</f>
      </c>
      <c r="BA171" s="121">
        <f>COUNTIF(U171:AY171,"F")</f>
      </c>
      <c r="BB171" s="119">
        <f>COUNTIF(U171:AY171,"E")</f>
      </c>
    </row>
    <row r="172" spans="1:54" x14ac:dyDescent="0.2">
      <c r="A172" s="84"/>
      <c r="B172" s="85"/>
      <c r="C172" s="85"/>
      <c r="D172" s="85"/>
      <c r="E172" s="86"/>
      <c r="F172" s="16">
        <f>IF(E172="","",DATEDIF(E172,$I$7,"Y"))</f>
      </c>
      <c r="G172" s="85"/>
      <c r="H172" s="85"/>
      <c r="I172" s="87"/>
      <c r="J172" s="85"/>
      <c r="K172" s="85"/>
      <c r="L172" s="10"/>
      <c r="M172" s="10"/>
      <c r="N172" s="10"/>
      <c r="O172" s="10"/>
      <c r="P172" s="85"/>
      <c r="Q172" s="88"/>
      <c r="R172" s="3">
        <f>IFERROR(VLOOKUP(TablaJunio[[#This Row],[BARRIO]],SECTOR!$A:$B,2,0),"")</f>
      </c>
      <c r="S172" s="89"/>
      <c r="T172" s="90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6"/>
      <c r="AZ172" s="120">
        <f>COUNTIF(U172:AY172,"A")</f>
      </c>
      <c r="BA172" s="121">
        <f>COUNTIF(U172:AY172,"F")</f>
      </c>
      <c r="BB172" s="119">
        <f>COUNTIF(U172:AY172,"E")</f>
      </c>
    </row>
    <row r="173" spans="1:54" x14ac:dyDescent="0.2">
      <c r="A173" s="84"/>
      <c r="B173" s="85"/>
      <c r="C173" s="85"/>
      <c r="D173" s="85"/>
      <c r="E173" s="86"/>
      <c r="F173" s="16">
        <f>IF(E173="","",DATEDIF(E173,$I$7,"Y"))</f>
      </c>
      <c r="G173" s="85"/>
      <c r="H173" s="85"/>
      <c r="I173" s="87"/>
      <c r="J173" s="85"/>
      <c r="K173" s="85"/>
      <c r="L173" s="10"/>
      <c r="M173" s="10"/>
      <c r="N173" s="10"/>
      <c r="O173" s="10"/>
      <c r="P173" s="85"/>
      <c r="Q173" s="88"/>
      <c r="R173" s="3">
        <f>IFERROR(VLOOKUP(TablaJunio[[#This Row],[BARRIO]],SECTOR!$A:$B,2,0),"")</f>
      </c>
      <c r="S173" s="89"/>
      <c r="T173" s="90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6"/>
      <c r="AZ173" s="120">
        <f>COUNTIF(U173:AY173,"A")</f>
      </c>
      <c r="BA173" s="121">
        <f>COUNTIF(U173:AY173,"F")</f>
      </c>
      <c r="BB173" s="119">
        <f>COUNTIF(U173:AY173,"E")</f>
      </c>
    </row>
    <row r="174" spans="1:54" x14ac:dyDescent="0.2">
      <c r="A174" s="84"/>
      <c r="B174" s="85"/>
      <c r="C174" s="85"/>
      <c r="D174" s="85"/>
      <c r="E174" s="86"/>
      <c r="F174" s="16">
        <f>IF(E174="","",DATEDIF(E174,$I$7,"Y"))</f>
      </c>
      <c r="G174" s="85"/>
      <c r="H174" s="85"/>
      <c r="I174" s="87"/>
      <c r="J174" s="85"/>
      <c r="K174" s="85"/>
      <c r="L174" s="10"/>
      <c r="M174" s="10"/>
      <c r="N174" s="10"/>
      <c r="O174" s="10"/>
      <c r="P174" s="85"/>
      <c r="Q174" s="88"/>
      <c r="R174" s="3">
        <f>IFERROR(VLOOKUP(TablaJunio[[#This Row],[BARRIO]],SECTOR!$A:$B,2,0),"")</f>
      </c>
      <c r="S174" s="89"/>
      <c r="T174" s="90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6"/>
      <c r="AZ174" s="120">
        <f>COUNTIF(U174:AY174,"A")</f>
      </c>
      <c r="BA174" s="121">
        <f>COUNTIF(U174:AY174,"F")</f>
      </c>
      <c r="BB174" s="119">
        <f>COUNTIF(U174:AY174,"E")</f>
      </c>
    </row>
    <row r="175" spans="1:54" x14ac:dyDescent="0.2">
      <c r="A175" s="84"/>
      <c r="B175" s="85"/>
      <c r="C175" s="85"/>
      <c r="D175" s="85"/>
      <c r="E175" s="86"/>
      <c r="F175" s="16">
        <f>IF(E175="","",DATEDIF(E175,$I$7,"Y"))</f>
      </c>
      <c r="G175" s="85"/>
      <c r="H175" s="85"/>
      <c r="I175" s="87"/>
      <c r="J175" s="85"/>
      <c r="K175" s="85"/>
      <c r="L175" s="10"/>
      <c r="M175" s="10"/>
      <c r="N175" s="10"/>
      <c r="O175" s="10"/>
      <c r="P175" s="85"/>
      <c r="Q175" s="88"/>
      <c r="R175" s="3">
        <f>IFERROR(VLOOKUP(TablaJunio[[#This Row],[BARRIO]],SECTOR!$A:$B,2,0),"")</f>
      </c>
      <c r="S175" s="89"/>
      <c r="T175" s="90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6"/>
      <c r="AZ175" s="120">
        <f>COUNTIF(U175:AY175,"A")</f>
      </c>
      <c r="BA175" s="121">
        <f>COUNTIF(U175:AY175,"F")</f>
      </c>
      <c r="BB175" s="119">
        <f>COUNTIF(U175:AY175,"E")</f>
      </c>
    </row>
    <row r="176" spans="1:54" x14ac:dyDescent="0.2">
      <c r="A176" s="84"/>
      <c r="B176" s="85"/>
      <c r="C176" s="85"/>
      <c r="D176" s="85"/>
      <c r="E176" s="86"/>
      <c r="F176" s="16">
        <f>IF(E176="","",DATEDIF(E176,$I$7,"Y"))</f>
      </c>
      <c r="G176" s="85"/>
      <c r="H176" s="85"/>
      <c r="I176" s="87"/>
      <c r="J176" s="85"/>
      <c r="K176" s="85"/>
      <c r="L176" s="10"/>
      <c r="M176" s="10"/>
      <c r="N176" s="10"/>
      <c r="O176" s="10"/>
      <c r="P176" s="85"/>
      <c r="Q176" s="88"/>
      <c r="R176" s="3">
        <f>IFERROR(VLOOKUP(TablaJunio[[#This Row],[BARRIO]],SECTOR!$A:$B,2,0),"")</f>
      </c>
      <c r="S176" s="89"/>
      <c r="T176" s="90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6"/>
      <c r="AZ176" s="120">
        <f>COUNTIF(U176:AY176,"A")</f>
      </c>
      <c r="BA176" s="121">
        <f>COUNTIF(U176:AY176,"F")</f>
      </c>
      <c r="BB176" s="119">
        <f>COUNTIF(U176:AY176,"E")</f>
      </c>
    </row>
    <row r="177" spans="1:54" x14ac:dyDescent="0.2">
      <c r="A177" s="84"/>
      <c r="B177" s="85"/>
      <c r="C177" s="85"/>
      <c r="D177" s="85"/>
      <c r="E177" s="86"/>
      <c r="F177" s="16">
        <f>IF(E177="","",DATEDIF(E177,$I$7,"Y"))</f>
      </c>
      <c r="G177" s="85"/>
      <c r="H177" s="85"/>
      <c r="I177" s="87"/>
      <c r="J177" s="85"/>
      <c r="K177" s="85"/>
      <c r="L177" s="10"/>
      <c r="M177" s="10"/>
      <c r="N177" s="10"/>
      <c r="O177" s="10"/>
      <c r="P177" s="85"/>
      <c r="Q177" s="88"/>
      <c r="R177" s="3">
        <f>IFERROR(VLOOKUP(TablaJunio[[#This Row],[BARRIO]],SECTOR!$A:$B,2,0),"")</f>
      </c>
      <c r="S177" s="89"/>
      <c r="T177" s="90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6"/>
      <c r="AZ177" s="120">
        <f>COUNTIF(U177:AY177,"A")</f>
      </c>
      <c r="BA177" s="121">
        <f>COUNTIF(U177:AY177,"F")</f>
      </c>
      <c r="BB177" s="119">
        <f>COUNTIF(U177:AY177,"E")</f>
      </c>
    </row>
    <row r="178" spans="1:54" x14ac:dyDescent="0.2">
      <c r="A178" s="84"/>
      <c r="B178" s="85"/>
      <c r="C178" s="85"/>
      <c r="D178" s="85"/>
      <c r="E178" s="86"/>
      <c r="F178" s="16">
        <f>IF(E178="","",DATEDIF(E178,$I$7,"Y"))</f>
      </c>
      <c r="G178" s="85"/>
      <c r="H178" s="85"/>
      <c r="I178" s="87"/>
      <c r="J178" s="85"/>
      <c r="K178" s="85"/>
      <c r="L178" s="10"/>
      <c r="M178" s="10"/>
      <c r="N178" s="10"/>
      <c r="O178" s="10"/>
      <c r="P178" s="85"/>
      <c r="Q178" s="88"/>
      <c r="R178" s="3">
        <f>IFERROR(VLOOKUP(TablaJunio[[#This Row],[BARRIO]],SECTOR!$A:$B,2,0),"")</f>
      </c>
      <c r="S178" s="89"/>
      <c r="T178" s="90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6"/>
      <c r="AZ178" s="120">
        <f>COUNTIF(U178:AY178,"A")</f>
      </c>
      <c r="BA178" s="121">
        <f>COUNTIF(U178:AY178,"F")</f>
      </c>
      <c r="BB178" s="119">
        <f>COUNTIF(U178:AY178,"E")</f>
      </c>
    </row>
    <row r="179" spans="1:54" x14ac:dyDescent="0.2">
      <c r="A179" s="84"/>
      <c r="B179" s="85"/>
      <c r="C179" s="85"/>
      <c r="D179" s="85"/>
      <c r="E179" s="86"/>
      <c r="F179" s="16">
        <f>IF(E179="","",DATEDIF(E179,$I$7,"Y"))</f>
      </c>
      <c r="G179" s="85"/>
      <c r="H179" s="85"/>
      <c r="I179" s="87"/>
      <c r="J179" s="85"/>
      <c r="K179" s="85"/>
      <c r="L179" s="10"/>
      <c r="M179" s="10"/>
      <c r="N179" s="10"/>
      <c r="O179" s="10"/>
      <c r="P179" s="85"/>
      <c r="Q179" s="88"/>
      <c r="R179" s="3">
        <f>IFERROR(VLOOKUP(TablaJunio[[#This Row],[BARRIO]],SECTOR!$A:$B,2,0),"")</f>
      </c>
      <c r="S179" s="89"/>
      <c r="T179" s="90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6"/>
      <c r="AZ179" s="120">
        <f>COUNTIF(U179:AY179,"A")</f>
      </c>
      <c r="BA179" s="121">
        <f>COUNTIF(U179:AY179,"F")</f>
      </c>
      <c r="BB179" s="119">
        <f>COUNTIF(U179:AY179,"E")</f>
      </c>
    </row>
    <row r="180" spans="1:54" x14ac:dyDescent="0.2">
      <c r="A180" s="84"/>
      <c r="B180" s="85"/>
      <c r="C180" s="85"/>
      <c r="D180" s="85"/>
      <c r="E180" s="86"/>
      <c r="F180" s="16">
        <f>IF(E180="","",DATEDIF(E180,$I$7,"Y"))</f>
      </c>
      <c r="G180" s="85"/>
      <c r="H180" s="85"/>
      <c r="I180" s="87"/>
      <c r="J180" s="85"/>
      <c r="K180" s="85"/>
      <c r="L180" s="10"/>
      <c r="M180" s="10"/>
      <c r="N180" s="10"/>
      <c r="O180" s="10"/>
      <c r="P180" s="85"/>
      <c r="Q180" s="88"/>
      <c r="R180" s="3">
        <f>IFERROR(VLOOKUP(TablaJunio[[#This Row],[BARRIO]],SECTOR!$A:$B,2,0),"")</f>
      </c>
      <c r="S180" s="89"/>
      <c r="T180" s="90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6"/>
      <c r="AZ180" s="120">
        <f>COUNTIF(U180:AY180,"A")</f>
      </c>
      <c r="BA180" s="121">
        <f>COUNTIF(U180:AY180,"F")</f>
      </c>
      <c r="BB180" s="119">
        <f>COUNTIF(U180:AY180,"E")</f>
      </c>
    </row>
    <row r="181" spans="1:54" x14ac:dyDescent="0.2">
      <c r="A181" s="84"/>
      <c r="B181" s="85"/>
      <c r="C181" s="85"/>
      <c r="D181" s="85"/>
      <c r="E181" s="86"/>
      <c r="F181" s="16">
        <f>IF(E181="","",DATEDIF(E181,$I$7,"Y"))</f>
      </c>
      <c r="G181" s="85"/>
      <c r="H181" s="85"/>
      <c r="I181" s="87"/>
      <c r="J181" s="85"/>
      <c r="K181" s="85"/>
      <c r="L181" s="10"/>
      <c r="M181" s="10"/>
      <c r="N181" s="10"/>
      <c r="O181" s="10"/>
      <c r="P181" s="85"/>
      <c r="Q181" s="88"/>
      <c r="R181" s="3">
        <f>IFERROR(VLOOKUP(TablaJunio[[#This Row],[BARRIO]],SECTOR!$A:$B,2,0),"")</f>
      </c>
      <c r="S181" s="89"/>
      <c r="T181" s="90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6"/>
      <c r="AZ181" s="120">
        <f>COUNTIF(U181:AY181,"A")</f>
      </c>
      <c r="BA181" s="121">
        <f>COUNTIF(U181:AY181,"F")</f>
      </c>
      <c r="BB181" s="119">
        <f>COUNTIF(U181:AY181,"E")</f>
      </c>
    </row>
    <row r="182" spans="1:54" x14ac:dyDescent="0.2">
      <c r="A182" s="84"/>
      <c r="B182" s="85"/>
      <c r="C182" s="85"/>
      <c r="D182" s="85"/>
      <c r="E182" s="86"/>
      <c r="F182" s="16">
        <f>IF(E182="","",DATEDIF(E182,$I$7,"Y"))</f>
      </c>
      <c r="G182" s="85"/>
      <c r="H182" s="85"/>
      <c r="I182" s="87"/>
      <c r="J182" s="85"/>
      <c r="K182" s="85"/>
      <c r="L182" s="10"/>
      <c r="M182" s="10"/>
      <c r="N182" s="10"/>
      <c r="O182" s="10"/>
      <c r="P182" s="85"/>
      <c r="Q182" s="88"/>
      <c r="R182" s="3">
        <f>IFERROR(VLOOKUP(TablaJunio[[#This Row],[BARRIO]],SECTOR!$A:$B,2,0),"")</f>
      </c>
      <c r="S182" s="89"/>
      <c r="T182" s="90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6"/>
      <c r="AZ182" s="120">
        <f>COUNTIF(U182:AY182,"A")</f>
      </c>
      <c r="BA182" s="121">
        <f>COUNTIF(U182:AY182,"F")</f>
      </c>
      <c r="BB182" s="119">
        <f>COUNTIF(U182:AY182,"E")</f>
      </c>
    </row>
    <row r="183" spans="1:54" x14ac:dyDescent="0.2">
      <c r="A183" s="84"/>
      <c r="B183" s="85"/>
      <c r="C183" s="85"/>
      <c r="D183" s="85"/>
      <c r="E183" s="86"/>
      <c r="F183" s="16">
        <f>IF(E183="","",DATEDIF(E183,$I$7,"Y"))</f>
      </c>
      <c r="G183" s="85"/>
      <c r="H183" s="85"/>
      <c r="I183" s="87"/>
      <c r="J183" s="85"/>
      <c r="K183" s="85"/>
      <c r="L183" s="10"/>
      <c r="M183" s="10"/>
      <c r="N183" s="10"/>
      <c r="O183" s="10"/>
      <c r="P183" s="85"/>
      <c r="Q183" s="88"/>
      <c r="R183" s="3">
        <f>IFERROR(VLOOKUP(TablaJunio[[#This Row],[BARRIO]],SECTOR!$A:$B,2,0),"")</f>
      </c>
      <c r="S183" s="89"/>
      <c r="T183" s="90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6"/>
      <c r="AZ183" s="120">
        <f>COUNTIF(U183:AY183,"A")</f>
      </c>
      <c r="BA183" s="121">
        <f>COUNTIF(U183:AY183,"F")</f>
      </c>
      <c r="BB183" s="119">
        <f>COUNTIF(U183:AY183,"E")</f>
      </c>
    </row>
    <row r="184" spans="1:54" x14ac:dyDescent="0.2">
      <c r="A184" s="84"/>
      <c r="B184" s="85"/>
      <c r="C184" s="85"/>
      <c r="D184" s="85"/>
      <c r="E184" s="86"/>
      <c r="F184" s="16">
        <f>IF(E184="","",DATEDIF(E184,$I$7,"Y"))</f>
      </c>
      <c r="G184" s="85"/>
      <c r="H184" s="85"/>
      <c r="I184" s="87"/>
      <c r="J184" s="85"/>
      <c r="K184" s="85"/>
      <c r="L184" s="10"/>
      <c r="M184" s="10"/>
      <c r="N184" s="10"/>
      <c r="O184" s="10"/>
      <c r="P184" s="85"/>
      <c r="Q184" s="88"/>
      <c r="R184" s="3">
        <f>IFERROR(VLOOKUP(TablaJunio[[#This Row],[BARRIO]],SECTOR!$A:$B,2,0),"")</f>
      </c>
      <c r="S184" s="89"/>
      <c r="T184" s="90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6"/>
      <c r="AZ184" s="120">
        <f>COUNTIF(U184:AY184,"A")</f>
      </c>
      <c r="BA184" s="121">
        <f>COUNTIF(U184:AY184,"F")</f>
      </c>
      <c r="BB184" s="119">
        <f>COUNTIF(U184:AY184,"E")</f>
      </c>
    </row>
    <row r="185" spans="1:54" x14ac:dyDescent="0.2">
      <c r="A185" s="84"/>
      <c r="B185" s="85"/>
      <c r="C185" s="85"/>
      <c r="D185" s="85"/>
      <c r="E185" s="86"/>
      <c r="F185" s="16">
        <f>IF(E185="","",DATEDIF(E185,$I$7,"Y"))</f>
      </c>
      <c r="G185" s="85"/>
      <c r="H185" s="85"/>
      <c r="I185" s="87"/>
      <c r="J185" s="85"/>
      <c r="K185" s="85"/>
      <c r="L185" s="10"/>
      <c r="M185" s="10"/>
      <c r="N185" s="10"/>
      <c r="O185" s="10"/>
      <c r="P185" s="85"/>
      <c r="Q185" s="88"/>
      <c r="R185" s="3">
        <f>IFERROR(VLOOKUP(TablaJunio[[#This Row],[BARRIO]],SECTOR!$A:$B,2,0),"")</f>
      </c>
      <c r="S185" s="89"/>
      <c r="T185" s="90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6"/>
      <c r="AZ185" s="120">
        <f>COUNTIF(U185:AY185,"A")</f>
      </c>
      <c r="BA185" s="121">
        <f>COUNTIF(U185:AY185,"F")</f>
      </c>
      <c r="BB185" s="119">
        <f>COUNTIF(U185:AY185,"E")</f>
      </c>
    </row>
    <row r="186" spans="1:54" x14ac:dyDescent="0.2">
      <c r="A186" s="84"/>
      <c r="B186" s="85"/>
      <c r="C186" s="85"/>
      <c r="D186" s="85"/>
      <c r="E186" s="86"/>
      <c r="F186" s="16">
        <f>IF(E186="","",DATEDIF(E186,$I$7,"Y"))</f>
      </c>
      <c r="G186" s="85"/>
      <c r="H186" s="85"/>
      <c r="I186" s="87"/>
      <c r="J186" s="85"/>
      <c r="K186" s="85"/>
      <c r="L186" s="10"/>
      <c r="M186" s="10"/>
      <c r="N186" s="10"/>
      <c r="O186" s="10"/>
      <c r="P186" s="85"/>
      <c r="Q186" s="88"/>
      <c r="R186" s="3">
        <f>IFERROR(VLOOKUP(TablaJunio[[#This Row],[BARRIO]],SECTOR!$A:$B,2,0),"")</f>
      </c>
      <c r="S186" s="89"/>
      <c r="T186" s="90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6"/>
      <c r="AZ186" s="120">
        <f>COUNTIF(U186:AY186,"A")</f>
      </c>
      <c r="BA186" s="121">
        <f>COUNTIF(U186:AY186,"F")</f>
      </c>
      <c r="BB186" s="119">
        <f>COUNTIF(U186:AY186,"E")</f>
      </c>
    </row>
    <row r="187" spans="1:54" x14ac:dyDescent="0.2">
      <c r="A187" s="84"/>
      <c r="B187" s="85"/>
      <c r="C187" s="85"/>
      <c r="D187" s="85"/>
      <c r="E187" s="86"/>
      <c r="F187" s="16">
        <f>IF(E187="","",DATEDIF(E187,$I$7,"Y"))</f>
      </c>
      <c r="G187" s="85"/>
      <c r="H187" s="85"/>
      <c r="I187" s="87"/>
      <c r="J187" s="85"/>
      <c r="K187" s="85"/>
      <c r="L187" s="10"/>
      <c r="M187" s="10"/>
      <c r="N187" s="10"/>
      <c r="O187" s="10"/>
      <c r="P187" s="85"/>
      <c r="Q187" s="88"/>
      <c r="R187" s="3">
        <f>IFERROR(VLOOKUP(TablaJunio[[#This Row],[BARRIO]],SECTOR!$A:$B,2,0),"")</f>
      </c>
      <c r="S187" s="89"/>
      <c r="T187" s="90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6"/>
      <c r="AZ187" s="120">
        <f>COUNTIF(U187:AY187,"A")</f>
      </c>
      <c r="BA187" s="121">
        <f>COUNTIF(U187:AY187,"F")</f>
      </c>
      <c r="BB187" s="119">
        <f>COUNTIF(U187:AY187,"E")</f>
      </c>
    </row>
    <row r="188" spans="1:54" x14ac:dyDescent="0.2">
      <c r="A188" s="84"/>
      <c r="B188" s="85"/>
      <c r="C188" s="85"/>
      <c r="D188" s="85"/>
      <c r="E188" s="86"/>
      <c r="F188" s="16">
        <f>IF(E188="","",DATEDIF(E188,$I$7,"Y"))</f>
      </c>
      <c r="G188" s="85"/>
      <c r="H188" s="85"/>
      <c r="I188" s="87"/>
      <c r="J188" s="85"/>
      <c r="K188" s="85"/>
      <c r="L188" s="10"/>
      <c r="M188" s="10"/>
      <c r="N188" s="10"/>
      <c r="O188" s="10"/>
      <c r="P188" s="85"/>
      <c r="Q188" s="88"/>
      <c r="R188" s="3">
        <f>IFERROR(VLOOKUP(TablaJunio[[#This Row],[BARRIO]],SECTOR!$A:$B,2,0),"")</f>
      </c>
      <c r="S188" s="89"/>
      <c r="T188" s="90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6"/>
      <c r="AZ188" s="120">
        <f>COUNTIF(U188:AY188,"A")</f>
      </c>
      <c r="BA188" s="121">
        <f>COUNTIF(U188:AY188,"F")</f>
      </c>
      <c r="BB188" s="119">
        <f>COUNTIF(U188:AY188,"E")</f>
      </c>
    </row>
    <row r="189" spans="1:54" x14ac:dyDescent="0.2">
      <c r="A189" s="84"/>
      <c r="B189" s="85"/>
      <c r="C189" s="85"/>
      <c r="D189" s="85"/>
      <c r="E189" s="86"/>
      <c r="F189" s="16">
        <f>IF(E189="","",DATEDIF(E189,$I$7,"Y"))</f>
      </c>
      <c r="G189" s="85"/>
      <c r="H189" s="85"/>
      <c r="I189" s="87"/>
      <c r="J189" s="85"/>
      <c r="K189" s="85"/>
      <c r="L189" s="10"/>
      <c r="M189" s="10"/>
      <c r="N189" s="10"/>
      <c r="O189" s="10"/>
      <c r="P189" s="85"/>
      <c r="Q189" s="88"/>
      <c r="R189" s="3">
        <f>IFERROR(VLOOKUP(TablaJunio[[#This Row],[BARRIO]],SECTOR!$A:$B,2,0),"")</f>
      </c>
      <c r="S189" s="89"/>
      <c r="T189" s="90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6"/>
      <c r="AZ189" s="120">
        <f>COUNTIF(U189:AY189,"A")</f>
      </c>
      <c r="BA189" s="121">
        <f>COUNTIF(U189:AY189,"F")</f>
      </c>
      <c r="BB189" s="119">
        <f>COUNTIF(U189:AY189,"E")</f>
      </c>
    </row>
    <row r="190" spans="1:54" x14ac:dyDescent="0.2">
      <c r="A190" s="84"/>
      <c r="B190" s="85"/>
      <c r="C190" s="85"/>
      <c r="D190" s="85"/>
      <c r="E190" s="86"/>
      <c r="F190" s="16">
        <f>IF(E190="","",DATEDIF(E190,$I$7,"Y"))</f>
      </c>
      <c r="G190" s="85"/>
      <c r="H190" s="85"/>
      <c r="I190" s="87"/>
      <c r="J190" s="85"/>
      <c r="K190" s="85"/>
      <c r="L190" s="10"/>
      <c r="M190" s="10"/>
      <c r="N190" s="10"/>
      <c r="O190" s="10"/>
      <c r="P190" s="85"/>
      <c r="Q190" s="88"/>
      <c r="R190" s="3">
        <f>IFERROR(VLOOKUP(TablaJunio[[#This Row],[BARRIO]],SECTOR!$A:$B,2,0),"")</f>
      </c>
      <c r="S190" s="89"/>
      <c r="T190" s="90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6"/>
      <c r="AZ190" s="120">
        <f>COUNTIF(U190:AY190,"A")</f>
      </c>
      <c r="BA190" s="121">
        <f>COUNTIF(U190:AY190,"F")</f>
      </c>
      <c r="BB190" s="119">
        <f>COUNTIF(U190:AY190,"E")</f>
      </c>
    </row>
    <row r="191" spans="1:54" x14ac:dyDescent="0.2">
      <c r="A191" s="84"/>
      <c r="B191" s="85"/>
      <c r="C191" s="85"/>
      <c r="D191" s="85"/>
      <c r="E191" s="86"/>
      <c r="F191" s="16">
        <f>IF(E191="","",DATEDIF(E191,$I$7,"Y"))</f>
      </c>
      <c r="G191" s="85"/>
      <c r="H191" s="85"/>
      <c r="I191" s="87"/>
      <c r="J191" s="85"/>
      <c r="K191" s="85"/>
      <c r="L191" s="10"/>
      <c r="M191" s="10"/>
      <c r="N191" s="10"/>
      <c r="O191" s="10"/>
      <c r="P191" s="85"/>
      <c r="Q191" s="88"/>
      <c r="R191" s="3">
        <f>IFERROR(VLOOKUP(TablaJunio[[#This Row],[BARRIO]],SECTOR!$A:$B,2,0),"")</f>
      </c>
      <c r="S191" s="89"/>
      <c r="T191" s="90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6"/>
      <c r="AZ191" s="120">
        <f>COUNTIF(U191:AY191,"A")</f>
      </c>
      <c r="BA191" s="121">
        <f>COUNTIF(U191:AY191,"F")</f>
      </c>
      <c r="BB191" s="119">
        <f>COUNTIF(U191:AY191,"E")</f>
      </c>
    </row>
    <row r="192" spans="1:54" x14ac:dyDescent="0.2">
      <c r="A192" s="84"/>
      <c r="B192" s="85"/>
      <c r="C192" s="85"/>
      <c r="D192" s="85"/>
      <c r="E192" s="86"/>
      <c r="F192" s="16">
        <f>IF(E192="","",DATEDIF(E192,$I$7,"Y"))</f>
      </c>
      <c r="G192" s="85"/>
      <c r="H192" s="85"/>
      <c r="I192" s="87"/>
      <c r="J192" s="85"/>
      <c r="K192" s="85"/>
      <c r="L192" s="10"/>
      <c r="M192" s="10"/>
      <c r="N192" s="10"/>
      <c r="O192" s="10"/>
      <c r="P192" s="85"/>
      <c r="Q192" s="88"/>
      <c r="R192" s="3">
        <f>IFERROR(VLOOKUP(TablaJunio[[#This Row],[BARRIO]],SECTOR!$A:$B,2,0),"")</f>
      </c>
      <c r="S192" s="89"/>
      <c r="T192" s="90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6"/>
      <c r="AZ192" s="120">
        <f>COUNTIF(U192:AY192,"A")</f>
      </c>
      <c r="BA192" s="121">
        <f>COUNTIF(U192:AY192,"F")</f>
      </c>
      <c r="BB192" s="119">
        <f>COUNTIF(U192:AY192,"E")</f>
      </c>
    </row>
    <row r="193" spans="1:54" x14ac:dyDescent="0.2">
      <c r="A193" s="84"/>
      <c r="B193" s="85"/>
      <c r="C193" s="85"/>
      <c r="D193" s="85"/>
      <c r="E193" s="86"/>
      <c r="F193" s="16">
        <f>IF(E193="","",DATEDIF(E193,$I$7,"Y"))</f>
      </c>
      <c r="G193" s="85"/>
      <c r="H193" s="85"/>
      <c r="I193" s="87"/>
      <c r="J193" s="85"/>
      <c r="K193" s="85"/>
      <c r="L193" s="10"/>
      <c r="M193" s="10"/>
      <c r="N193" s="10"/>
      <c r="O193" s="10"/>
      <c r="P193" s="85"/>
      <c r="Q193" s="88"/>
      <c r="R193" s="3">
        <f>IFERROR(VLOOKUP(TablaJunio[[#This Row],[BARRIO]],SECTOR!$A:$B,2,0),"")</f>
      </c>
      <c r="S193" s="89"/>
      <c r="T193" s="90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6"/>
      <c r="AZ193" s="120">
        <f>COUNTIF(U193:AY193,"A")</f>
      </c>
      <c r="BA193" s="121">
        <f>COUNTIF(U193:AY193,"F")</f>
      </c>
      <c r="BB193" s="119">
        <f>COUNTIF(U193:AY193,"E")</f>
      </c>
    </row>
    <row r="194" spans="1:54" x14ac:dyDescent="0.2">
      <c r="A194" s="84"/>
      <c r="B194" s="85"/>
      <c r="C194" s="85"/>
      <c r="D194" s="85"/>
      <c r="E194" s="86"/>
      <c r="F194" s="16">
        <f>IF(E194="","",DATEDIF(E194,$I$7,"Y"))</f>
      </c>
      <c r="G194" s="85"/>
      <c r="H194" s="85"/>
      <c r="I194" s="87"/>
      <c r="J194" s="85"/>
      <c r="K194" s="85"/>
      <c r="L194" s="10"/>
      <c r="M194" s="10"/>
      <c r="N194" s="10"/>
      <c r="O194" s="10"/>
      <c r="P194" s="85"/>
      <c r="Q194" s="88"/>
      <c r="R194" s="3">
        <f>IFERROR(VLOOKUP(TablaJunio[[#This Row],[BARRIO]],SECTOR!$A:$B,2,0),"")</f>
      </c>
      <c r="S194" s="89"/>
      <c r="T194" s="90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6"/>
      <c r="AZ194" s="120">
        <f>COUNTIF(U194:AY194,"A")</f>
      </c>
      <c r="BA194" s="121">
        <f>COUNTIF(U194:AY194,"F")</f>
      </c>
      <c r="BB194" s="119">
        <f>COUNTIF(U194:AY194,"E")</f>
      </c>
    </row>
    <row r="195" spans="1:54" x14ac:dyDescent="0.2">
      <c r="A195" s="84"/>
      <c r="B195" s="85"/>
      <c r="C195" s="85"/>
      <c r="D195" s="85"/>
      <c r="E195" s="86"/>
      <c r="F195" s="16">
        <f>IF(E195="","",DATEDIF(E195,$I$7,"Y"))</f>
      </c>
      <c r="G195" s="85"/>
      <c r="H195" s="85"/>
      <c r="I195" s="87"/>
      <c r="J195" s="85"/>
      <c r="K195" s="85"/>
      <c r="L195" s="10"/>
      <c r="M195" s="10"/>
      <c r="N195" s="10"/>
      <c r="O195" s="10"/>
      <c r="P195" s="85"/>
      <c r="Q195" s="88"/>
      <c r="R195" s="3">
        <f>IFERROR(VLOOKUP(TablaJunio[[#This Row],[BARRIO]],SECTOR!$A:$B,2,0),"")</f>
      </c>
      <c r="S195" s="89"/>
      <c r="T195" s="90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6"/>
      <c r="AZ195" s="120">
        <f>COUNTIF(U195:AY195,"A")</f>
      </c>
      <c r="BA195" s="121">
        <f>COUNTIF(U195:AY195,"F")</f>
      </c>
      <c r="BB195" s="119">
        <f>COUNTIF(U195:AY195,"E")</f>
      </c>
    </row>
    <row r="196" spans="1:54" x14ac:dyDescent="0.2">
      <c r="A196" s="84"/>
      <c r="B196" s="85"/>
      <c r="C196" s="85"/>
      <c r="D196" s="85"/>
      <c r="E196" s="86"/>
      <c r="F196" s="16">
        <f>IF(E196="","",DATEDIF(E196,$I$7,"Y"))</f>
      </c>
      <c r="G196" s="85"/>
      <c r="H196" s="85"/>
      <c r="I196" s="87"/>
      <c r="J196" s="85"/>
      <c r="K196" s="85"/>
      <c r="L196" s="10"/>
      <c r="M196" s="10"/>
      <c r="N196" s="10"/>
      <c r="O196" s="10"/>
      <c r="P196" s="85"/>
      <c r="Q196" s="88"/>
      <c r="R196" s="3">
        <f>IFERROR(VLOOKUP(TablaJunio[[#This Row],[BARRIO]],SECTOR!$A:$B,2,0),"")</f>
      </c>
      <c r="S196" s="89"/>
      <c r="T196" s="90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6"/>
      <c r="AZ196" s="120">
        <f>COUNTIF(U196:AY196,"A")</f>
      </c>
      <c r="BA196" s="121">
        <f>COUNTIF(U196:AY196,"F")</f>
      </c>
      <c r="BB196" s="119">
        <f>COUNTIF(U196:AY196,"E")</f>
      </c>
    </row>
    <row r="197" spans="1:54" x14ac:dyDescent="0.2">
      <c r="A197" s="84"/>
      <c r="B197" s="85"/>
      <c r="C197" s="85"/>
      <c r="D197" s="85"/>
      <c r="E197" s="86"/>
      <c r="F197" s="16">
        <f>IF(E197="","",DATEDIF(E197,$I$7,"Y"))</f>
      </c>
      <c r="G197" s="85"/>
      <c r="H197" s="85"/>
      <c r="I197" s="87"/>
      <c r="J197" s="85"/>
      <c r="K197" s="85"/>
      <c r="L197" s="10"/>
      <c r="M197" s="10"/>
      <c r="N197" s="10"/>
      <c r="O197" s="10"/>
      <c r="P197" s="85"/>
      <c r="Q197" s="88"/>
      <c r="R197" s="3">
        <f>IFERROR(VLOOKUP(TablaJunio[[#This Row],[BARRIO]],SECTOR!$A:$B,2,0),"")</f>
      </c>
      <c r="S197" s="89"/>
      <c r="T197" s="90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6"/>
      <c r="AZ197" s="120">
        <f>COUNTIF(U197:AY197,"A")</f>
      </c>
      <c r="BA197" s="121">
        <f>COUNTIF(U197:AY197,"F")</f>
      </c>
      <c r="BB197" s="119">
        <f>COUNTIF(U197:AY197,"E")</f>
      </c>
    </row>
    <row r="198" spans="1:54" x14ac:dyDescent="0.2">
      <c r="A198" s="84"/>
      <c r="B198" s="85"/>
      <c r="C198" s="85"/>
      <c r="D198" s="85"/>
      <c r="E198" s="86"/>
      <c r="F198" s="16">
        <f>IF(E198="","",DATEDIF(E198,$I$7,"Y"))</f>
      </c>
      <c r="G198" s="85"/>
      <c r="H198" s="85"/>
      <c r="I198" s="87"/>
      <c r="J198" s="85"/>
      <c r="K198" s="85"/>
      <c r="L198" s="10"/>
      <c r="M198" s="10"/>
      <c r="N198" s="10"/>
      <c r="O198" s="10"/>
      <c r="P198" s="85"/>
      <c r="Q198" s="88"/>
      <c r="R198" s="3">
        <f>IFERROR(VLOOKUP(TablaJunio[[#This Row],[BARRIO]],SECTOR!$A:$B,2,0),"")</f>
      </c>
      <c r="S198" s="89"/>
      <c r="T198" s="90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6"/>
      <c r="AZ198" s="120">
        <f>COUNTIF(U198:AY198,"A")</f>
      </c>
      <c r="BA198" s="121">
        <f>COUNTIF(U198:AY198,"F")</f>
      </c>
      <c r="BB198" s="119">
        <f>COUNTIF(U198:AY198,"E")</f>
      </c>
    </row>
    <row r="199" spans="1:54" x14ac:dyDescent="0.2">
      <c r="A199" s="84"/>
      <c r="B199" s="85"/>
      <c r="C199" s="85"/>
      <c r="D199" s="85"/>
      <c r="E199" s="86"/>
      <c r="F199" s="16">
        <f>IF(E199="","",DATEDIF(E199,$I$7,"Y"))</f>
      </c>
      <c r="G199" s="85"/>
      <c r="H199" s="85"/>
      <c r="I199" s="87"/>
      <c r="J199" s="85"/>
      <c r="K199" s="85"/>
      <c r="L199" s="10"/>
      <c r="M199" s="10"/>
      <c r="N199" s="10"/>
      <c r="O199" s="10"/>
      <c r="P199" s="85"/>
      <c r="Q199" s="88"/>
      <c r="R199" s="3">
        <f>IFERROR(VLOOKUP(TablaJunio[[#This Row],[BARRIO]],SECTOR!$A:$B,2,0),"")</f>
      </c>
      <c r="S199" s="89"/>
      <c r="T199" s="90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6"/>
      <c r="AZ199" s="120">
        <f>COUNTIF(U199:AY199,"A")</f>
      </c>
      <c r="BA199" s="121">
        <f>COUNTIF(U199:AY199,"F")</f>
      </c>
      <c r="BB199" s="119">
        <f>COUNTIF(U199:AY199,"E")</f>
      </c>
    </row>
    <row r="200" spans="1:54" x14ac:dyDescent="0.2">
      <c r="A200" s="84"/>
      <c r="B200" s="85"/>
      <c r="C200" s="85"/>
      <c r="D200" s="85"/>
      <c r="E200" s="86"/>
      <c r="F200" s="16">
        <f>IF(E200="","",DATEDIF(E200,$I$7,"Y"))</f>
      </c>
      <c r="G200" s="85"/>
      <c r="H200" s="85"/>
      <c r="I200" s="87"/>
      <c r="J200" s="85"/>
      <c r="K200" s="85"/>
      <c r="L200" s="10"/>
      <c r="M200" s="10"/>
      <c r="N200" s="10"/>
      <c r="O200" s="10"/>
      <c r="P200" s="85"/>
      <c r="Q200" s="88"/>
      <c r="R200" s="3">
        <f>IFERROR(VLOOKUP(TablaJunio[[#This Row],[BARRIO]],SECTOR!$A:$B,2,0),"")</f>
      </c>
      <c r="S200" s="89"/>
      <c r="T200" s="90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6"/>
      <c r="AZ200" s="120">
        <f>COUNTIF(U200:AY200,"A")</f>
      </c>
      <c r="BA200" s="121">
        <f>COUNTIF(U200:AY200,"F")</f>
      </c>
      <c r="BB200" s="119">
        <f>COUNTIF(U200:AY200,"E")</f>
      </c>
    </row>
    <row r="201" spans="1:54" x14ac:dyDescent="0.2">
      <c r="A201" s="84"/>
      <c r="B201" s="85"/>
      <c r="C201" s="85"/>
      <c r="D201" s="85"/>
      <c r="E201" s="86"/>
      <c r="F201" s="16">
        <f>IF(E201="","",DATEDIF(E201,$I$7,"Y"))</f>
      </c>
      <c r="G201" s="85"/>
      <c r="H201" s="85"/>
      <c r="I201" s="87"/>
      <c r="J201" s="85"/>
      <c r="K201" s="85"/>
      <c r="L201" s="10"/>
      <c r="M201" s="10"/>
      <c r="N201" s="10"/>
      <c r="O201" s="10"/>
      <c r="P201" s="85"/>
      <c r="Q201" s="88"/>
      <c r="R201" s="3">
        <f>IFERROR(VLOOKUP(TablaJunio[[#This Row],[BARRIO]],SECTOR!$A:$B,2,0),"")</f>
      </c>
      <c r="S201" s="89"/>
      <c r="T201" s="90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6"/>
      <c r="AZ201" s="120">
        <f>COUNTIF(U201:AY201,"A")</f>
      </c>
      <c r="BA201" s="121">
        <f>COUNTIF(U201:AY201,"F")</f>
      </c>
      <c r="BB201" s="119">
        <f>COUNTIF(U201:AY201,"E")</f>
      </c>
    </row>
    <row r="202" spans="1:54" x14ac:dyDescent="0.2">
      <c r="A202" s="84"/>
      <c r="B202" s="85"/>
      <c r="C202" s="85"/>
      <c r="D202" s="85"/>
      <c r="E202" s="86"/>
      <c r="F202" s="16">
        <f>IF(E202="","",DATEDIF(E202,$I$7,"Y"))</f>
      </c>
      <c r="G202" s="85"/>
      <c r="H202" s="85"/>
      <c r="I202" s="87"/>
      <c r="J202" s="85"/>
      <c r="K202" s="85"/>
      <c r="L202" s="10"/>
      <c r="M202" s="10"/>
      <c r="N202" s="10"/>
      <c r="O202" s="10"/>
      <c r="P202" s="85"/>
      <c r="Q202" s="88"/>
      <c r="R202" s="3">
        <f>IFERROR(VLOOKUP(TablaJunio[[#This Row],[BARRIO]],SECTOR!$A:$B,2,0),"")</f>
      </c>
      <c r="S202" s="89"/>
      <c r="T202" s="90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6"/>
      <c r="AZ202" s="120">
        <f>COUNTIF(U202:AY202,"A")</f>
      </c>
      <c r="BA202" s="121">
        <f>COUNTIF(U202:AY202,"F")</f>
      </c>
      <c r="BB202" s="119">
        <f>COUNTIF(U202:AY202,"E")</f>
      </c>
    </row>
    <row r="203" spans="1:54" x14ac:dyDescent="0.2">
      <c r="A203" s="84"/>
      <c r="B203" s="85"/>
      <c r="C203" s="85"/>
      <c r="D203" s="85"/>
      <c r="E203" s="86"/>
      <c r="F203" s="16">
        <f>IF(E203="","",DATEDIF(E203,$I$7,"Y"))</f>
      </c>
      <c r="G203" s="85"/>
      <c r="H203" s="85"/>
      <c r="I203" s="87"/>
      <c r="J203" s="85"/>
      <c r="K203" s="85"/>
      <c r="L203" s="10"/>
      <c r="M203" s="10"/>
      <c r="N203" s="10"/>
      <c r="O203" s="10"/>
      <c r="P203" s="85"/>
      <c r="Q203" s="88"/>
      <c r="R203" s="3">
        <f>IFERROR(VLOOKUP(TablaJunio[[#This Row],[BARRIO]],SECTOR!$A:$B,2,0),"")</f>
      </c>
      <c r="S203" s="89"/>
      <c r="T203" s="90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6"/>
      <c r="AZ203" s="120">
        <f>COUNTIF(U203:AY203,"A")</f>
      </c>
      <c r="BA203" s="121">
        <f>COUNTIF(U203:AY203,"F")</f>
      </c>
      <c r="BB203" s="119">
        <f>COUNTIF(U203:AY203,"E")</f>
      </c>
    </row>
    <row r="204" spans="1:54" x14ac:dyDescent="0.2">
      <c r="A204" s="84"/>
      <c r="B204" s="85"/>
      <c r="C204" s="85"/>
      <c r="D204" s="85"/>
      <c r="E204" s="86"/>
      <c r="F204" s="16">
        <f>IF(E204="","",DATEDIF(E204,$I$7,"Y"))</f>
      </c>
      <c r="G204" s="85"/>
      <c r="H204" s="85"/>
      <c r="I204" s="87"/>
      <c r="J204" s="85"/>
      <c r="K204" s="85"/>
      <c r="L204" s="10"/>
      <c r="M204" s="10"/>
      <c r="N204" s="10"/>
      <c r="O204" s="10"/>
      <c r="P204" s="85"/>
      <c r="Q204" s="88"/>
      <c r="R204" s="3">
        <f>IFERROR(VLOOKUP(TablaJunio[[#This Row],[BARRIO]],SECTOR!$A:$B,2,0),"")</f>
      </c>
      <c r="S204" s="89"/>
      <c r="T204" s="90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6"/>
      <c r="AZ204" s="120">
        <f>COUNTIF(U204:AY204,"A")</f>
      </c>
      <c r="BA204" s="121">
        <f>COUNTIF(U204:AY204,"F")</f>
      </c>
      <c r="BB204" s="119">
        <f>COUNTIF(U204:AY204,"E")</f>
      </c>
    </row>
    <row r="205" spans="1:54" x14ac:dyDescent="0.2">
      <c r="A205" s="84"/>
      <c r="B205" s="85"/>
      <c r="C205" s="85"/>
      <c r="D205" s="85"/>
      <c r="E205" s="86"/>
      <c r="F205" s="16">
        <f>IF(E205="","",DATEDIF(E205,$I$7,"Y"))</f>
      </c>
      <c r="G205" s="85"/>
      <c r="H205" s="85"/>
      <c r="I205" s="87"/>
      <c r="J205" s="85"/>
      <c r="K205" s="85"/>
      <c r="L205" s="10"/>
      <c r="M205" s="10"/>
      <c r="N205" s="10"/>
      <c r="O205" s="10"/>
      <c r="P205" s="85"/>
      <c r="Q205" s="88"/>
      <c r="R205" s="3">
        <f>IFERROR(VLOOKUP(TablaJunio[[#This Row],[BARRIO]],SECTOR!$A:$B,2,0),"")</f>
      </c>
      <c r="S205" s="89"/>
      <c r="T205" s="90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6"/>
      <c r="AZ205" s="120">
        <f>COUNTIF(U205:AY205,"A")</f>
      </c>
      <c r="BA205" s="121">
        <f>COUNTIF(U205:AY205,"F")</f>
      </c>
      <c r="BB205" s="119">
        <f>COUNTIF(U205:AY205,"E")</f>
      </c>
    </row>
    <row r="206" spans="1:54" x14ac:dyDescent="0.2">
      <c r="A206" s="84"/>
      <c r="B206" s="85"/>
      <c r="C206" s="85"/>
      <c r="D206" s="85"/>
      <c r="E206" s="86"/>
      <c r="F206" s="16">
        <f>IF(E206="","",DATEDIF(E206,$I$7,"Y"))</f>
      </c>
      <c r="G206" s="85"/>
      <c r="H206" s="85"/>
      <c r="I206" s="87"/>
      <c r="J206" s="85"/>
      <c r="K206" s="85"/>
      <c r="L206" s="10"/>
      <c r="M206" s="10"/>
      <c r="N206" s="10"/>
      <c r="O206" s="10"/>
      <c r="P206" s="85"/>
      <c r="Q206" s="88"/>
      <c r="R206" s="3">
        <f>IFERROR(VLOOKUP(TablaJunio[[#This Row],[BARRIO]],SECTOR!$A:$B,2,0),"")</f>
      </c>
      <c r="S206" s="89"/>
      <c r="T206" s="90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6"/>
      <c r="AZ206" s="120">
        <f>COUNTIF(U206:AY206,"A")</f>
      </c>
      <c r="BA206" s="121">
        <f>COUNTIF(U206:AY206,"F")</f>
      </c>
      <c r="BB206" s="119">
        <f>COUNTIF(U206:AY206,"E")</f>
      </c>
    </row>
    <row r="207" spans="1:54" x14ac:dyDescent="0.2">
      <c r="A207" s="84"/>
      <c r="B207" s="85"/>
      <c r="C207" s="85"/>
      <c r="D207" s="85"/>
      <c r="E207" s="86"/>
      <c r="F207" s="16">
        <f>IF(E207="","",DATEDIF(E207,$I$7,"Y"))</f>
      </c>
      <c r="G207" s="85"/>
      <c r="H207" s="85"/>
      <c r="I207" s="87"/>
      <c r="J207" s="85"/>
      <c r="K207" s="85"/>
      <c r="L207" s="10"/>
      <c r="M207" s="10"/>
      <c r="N207" s="10"/>
      <c r="O207" s="10"/>
      <c r="P207" s="85"/>
      <c r="Q207" s="88"/>
      <c r="R207" s="3">
        <f>IFERROR(VLOOKUP(TablaJunio[[#This Row],[BARRIO]],SECTOR!$A:$B,2,0),"")</f>
      </c>
      <c r="S207" s="89"/>
      <c r="T207" s="90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6"/>
      <c r="AZ207" s="120">
        <f>COUNTIF(U207:AY207,"A")</f>
      </c>
      <c r="BA207" s="121">
        <f>COUNTIF(U207:AY207,"F")</f>
      </c>
      <c r="BB207" s="119">
        <f>COUNTIF(U207:AY207,"E")</f>
      </c>
    </row>
    <row r="208" spans="1:54" x14ac:dyDescent="0.2">
      <c r="A208" s="84"/>
      <c r="B208" s="85"/>
      <c r="C208" s="85"/>
      <c r="D208" s="85"/>
      <c r="E208" s="86"/>
      <c r="F208" s="16">
        <f>IF(E208="","",DATEDIF(E208,$I$7,"Y"))</f>
      </c>
      <c r="G208" s="85"/>
      <c r="H208" s="85"/>
      <c r="I208" s="87"/>
      <c r="J208" s="85"/>
      <c r="K208" s="85"/>
      <c r="L208" s="10"/>
      <c r="M208" s="10"/>
      <c r="N208" s="10"/>
      <c r="O208" s="10"/>
      <c r="P208" s="85"/>
      <c r="Q208" s="88"/>
      <c r="R208" s="3">
        <f>IFERROR(VLOOKUP(TablaJunio[[#This Row],[BARRIO]],SECTOR!$A:$B,2,0),"")</f>
      </c>
      <c r="S208" s="89"/>
      <c r="T208" s="90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6"/>
      <c r="AZ208" s="120">
        <f>COUNTIF(U208:AY208,"A")</f>
      </c>
      <c r="BA208" s="121">
        <f>COUNTIF(U208:AY208,"F")</f>
      </c>
      <c r="BB208" s="119">
        <f>COUNTIF(U208:AY208,"E")</f>
      </c>
    </row>
    <row r="209" spans="1:54" x14ac:dyDescent="0.2">
      <c r="A209" s="84"/>
      <c r="B209" s="85"/>
      <c r="C209" s="85"/>
      <c r="D209" s="85"/>
      <c r="E209" s="86"/>
      <c r="F209" s="16">
        <f>IF(E209="","",DATEDIF(E209,$I$7,"Y"))</f>
      </c>
      <c r="G209" s="85"/>
      <c r="H209" s="85"/>
      <c r="I209" s="87"/>
      <c r="J209" s="85"/>
      <c r="K209" s="85"/>
      <c r="L209" s="10"/>
      <c r="M209" s="10"/>
      <c r="N209" s="10"/>
      <c r="O209" s="10"/>
      <c r="P209" s="85"/>
      <c r="Q209" s="88"/>
      <c r="R209" s="3">
        <f>IFERROR(VLOOKUP(TablaJunio[[#This Row],[BARRIO]],SECTOR!$A:$B,2,0),"")</f>
      </c>
      <c r="S209" s="89"/>
      <c r="T209" s="90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6"/>
      <c r="AZ209" s="120">
        <f>COUNTIF(U209:AY209,"A")</f>
      </c>
      <c r="BA209" s="121">
        <f>COUNTIF(U209:AY209,"F")</f>
      </c>
      <c r="BB209" s="119">
        <f>COUNTIF(U209:AY209,"E")</f>
      </c>
    </row>
    <row r="210" spans="1:54" x14ac:dyDescent="0.2">
      <c r="A210" s="84"/>
      <c r="B210" s="85"/>
      <c r="C210" s="85"/>
      <c r="D210" s="85"/>
      <c r="E210" s="86"/>
      <c r="F210" s="16">
        <f>IF(E210="","",DATEDIF(E210,$I$7,"Y"))</f>
      </c>
      <c r="G210" s="85"/>
      <c r="H210" s="85"/>
      <c r="I210" s="87"/>
      <c r="J210" s="85"/>
      <c r="K210" s="85"/>
      <c r="L210" s="10"/>
      <c r="M210" s="10"/>
      <c r="N210" s="10"/>
      <c r="O210" s="10"/>
      <c r="P210" s="85"/>
      <c r="Q210" s="88"/>
      <c r="R210" s="3">
        <f>IFERROR(VLOOKUP(TablaJunio[[#This Row],[BARRIO]],SECTOR!$A:$B,2,0),"")</f>
      </c>
      <c r="S210" s="89"/>
      <c r="T210" s="90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6"/>
      <c r="AZ210" s="120">
        <f>COUNTIF(U210:AY210,"A")</f>
      </c>
      <c r="BA210" s="121">
        <f>COUNTIF(U210:AY210,"F")</f>
      </c>
      <c r="BB210" s="119">
        <f>COUNTIF(U210:AY210,"E")</f>
      </c>
    </row>
    <row r="211" spans="1:54" x14ac:dyDescent="0.2">
      <c r="A211" s="84"/>
      <c r="B211" s="85"/>
      <c r="C211" s="85"/>
      <c r="D211" s="85"/>
      <c r="E211" s="86"/>
      <c r="F211" s="16">
        <f>IF(E211="","",DATEDIF(E211,$I$7,"Y"))</f>
      </c>
      <c r="G211" s="85"/>
      <c r="H211" s="85"/>
      <c r="I211" s="87"/>
      <c r="J211" s="85"/>
      <c r="K211" s="85"/>
      <c r="L211" s="10"/>
      <c r="M211" s="10"/>
      <c r="N211" s="10"/>
      <c r="O211" s="10"/>
      <c r="P211" s="85"/>
      <c r="Q211" s="88"/>
      <c r="R211" s="3">
        <f>IFERROR(VLOOKUP(TablaJunio[[#This Row],[BARRIO]],SECTOR!$A:$B,2,0),"")</f>
      </c>
      <c r="S211" s="89"/>
      <c r="T211" s="90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6"/>
      <c r="AZ211" s="120">
        <f>COUNTIF(U211:AY211,"A")</f>
      </c>
      <c r="BA211" s="121">
        <f>COUNTIF(U211:AY211,"F")</f>
      </c>
      <c r="BB211" s="119">
        <f>COUNTIF(U211:AY211,"E")</f>
      </c>
    </row>
    <row r="212" spans="1:54" x14ac:dyDescent="0.2">
      <c r="A212" s="84"/>
      <c r="B212" s="85"/>
      <c r="C212" s="85"/>
      <c r="D212" s="85"/>
      <c r="E212" s="86"/>
      <c r="F212" s="16">
        <f>IF(E212="","",DATEDIF(E212,$I$7,"Y"))</f>
      </c>
      <c r="G212" s="85"/>
      <c r="H212" s="85"/>
      <c r="I212" s="87"/>
      <c r="J212" s="85"/>
      <c r="K212" s="85"/>
      <c r="L212" s="10"/>
      <c r="M212" s="10"/>
      <c r="N212" s="10"/>
      <c r="O212" s="10"/>
      <c r="P212" s="85"/>
      <c r="Q212" s="88"/>
      <c r="R212" s="3">
        <f>IFERROR(VLOOKUP(TablaJunio[[#This Row],[BARRIO]],SECTOR!$A:$B,2,0),"")</f>
      </c>
      <c r="S212" s="89"/>
      <c r="T212" s="90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6"/>
      <c r="AZ212" s="120">
        <f>COUNTIF(U212:AY212,"A")</f>
      </c>
      <c r="BA212" s="121">
        <f>COUNTIF(U212:AY212,"F")</f>
      </c>
      <c r="BB212" s="119">
        <f>COUNTIF(U212:AY212,"E")</f>
      </c>
    </row>
    <row r="213" spans="1:54" x14ac:dyDescent="0.2">
      <c r="A213" s="84"/>
      <c r="B213" s="85"/>
      <c r="C213" s="85"/>
      <c r="D213" s="85"/>
      <c r="E213" s="86"/>
      <c r="F213" s="16">
        <f>IF(E213="","",DATEDIF(E213,$I$7,"Y"))</f>
      </c>
      <c r="G213" s="85"/>
      <c r="H213" s="85"/>
      <c r="I213" s="87"/>
      <c r="J213" s="85"/>
      <c r="K213" s="85"/>
      <c r="L213" s="10"/>
      <c r="M213" s="10"/>
      <c r="N213" s="10"/>
      <c r="O213" s="10"/>
      <c r="P213" s="85"/>
      <c r="Q213" s="88"/>
      <c r="R213" s="3">
        <f>IFERROR(VLOOKUP(TablaJunio[[#This Row],[BARRIO]],SECTOR!$A:$B,2,0),"")</f>
      </c>
      <c r="S213" s="89"/>
      <c r="T213" s="90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6"/>
      <c r="AZ213" s="120">
        <f>COUNTIF(U213:AY213,"A")</f>
      </c>
      <c r="BA213" s="121">
        <f>COUNTIF(U213:AY213,"F")</f>
      </c>
      <c r="BB213" s="119">
        <f>COUNTIF(U213:AY213,"E")</f>
      </c>
    </row>
    <row r="214" spans="1:54" x14ac:dyDescent="0.2">
      <c r="A214" s="84"/>
      <c r="B214" s="85"/>
      <c r="C214" s="85"/>
      <c r="D214" s="85"/>
      <c r="E214" s="86"/>
      <c r="F214" s="16">
        <f>IF(E214="","",DATEDIF(E214,$I$7,"Y"))</f>
      </c>
      <c r="G214" s="85"/>
      <c r="H214" s="85"/>
      <c r="I214" s="87"/>
      <c r="J214" s="85"/>
      <c r="K214" s="85"/>
      <c r="L214" s="10"/>
      <c r="M214" s="10"/>
      <c r="N214" s="10"/>
      <c r="O214" s="10"/>
      <c r="P214" s="85"/>
      <c r="Q214" s="88"/>
      <c r="R214" s="3">
        <f>IFERROR(VLOOKUP(TablaJunio[[#This Row],[BARRIO]],SECTOR!$A:$B,2,0),"")</f>
      </c>
      <c r="S214" s="89"/>
      <c r="T214" s="90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6"/>
      <c r="AZ214" s="120">
        <f>COUNTIF(U214:AY214,"A")</f>
      </c>
      <c r="BA214" s="121">
        <f>COUNTIF(U214:AY214,"F")</f>
      </c>
      <c r="BB214" s="119">
        <f>COUNTIF(U214:AY214,"E")</f>
      </c>
    </row>
    <row r="215" spans="1:54" x14ac:dyDescent="0.2">
      <c r="A215" s="84"/>
      <c r="B215" s="85"/>
      <c r="C215" s="85"/>
      <c r="D215" s="85"/>
      <c r="E215" s="86"/>
      <c r="F215" s="16">
        <f>IF(E215="","",DATEDIF(E215,$I$7,"Y"))</f>
      </c>
      <c r="G215" s="85"/>
      <c r="H215" s="85"/>
      <c r="I215" s="87"/>
      <c r="J215" s="85"/>
      <c r="K215" s="85"/>
      <c r="L215" s="10"/>
      <c r="M215" s="10"/>
      <c r="N215" s="10"/>
      <c r="O215" s="10"/>
      <c r="P215" s="85"/>
      <c r="Q215" s="88"/>
      <c r="R215" s="3">
        <f>IFERROR(VLOOKUP(TablaJunio[[#This Row],[BARRIO]],SECTOR!$A:$B,2,0),"")</f>
      </c>
      <c r="S215" s="89"/>
      <c r="T215" s="90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6"/>
      <c r="AZ215" s="120">
        <f>COUNTIF(U215:AY215,"A")</f>
      </c>
      <c r="BA215" s="121">
        <f>COUNTIF(U215:AY215,"F")</f>
      </c>
      <c r="BB215" s="119">
        <f>COUNTIF(U215:AY215,"E")</f>
      </c>
    </row>
    <row r="216" spans="1:54" x14ac:dyDescent="0.2">
      <c r="A216" s="84"/>
      <c r="B216" s="85"/>
      <c r="C216" s="85"/>
      <c r="D216" s="85"/>
      <c r="E216" s="86"/>
      <c r="F216" s="16">
        <f>IF(E216="","",DATEDIF(E216,$I$7,"Y"))</f>
      </c>
      <c r="G216" s="85"/>
      <c r="H216" s="85"/>
      <c r="I216" s="87"/>
      <c r="J216" s="85"/>
      <c r="K216" s="85"/>
      <c r="L216" s="10"/>
      <c r="M216" s="10"/>
      <c r="N216" s="10"/>
      <c r="O216" s="10"/>
      <c r="P216" s="85"/>
      <c r="Q216" s="88"/>
      <c r="R216" s="3">
        <f>IFERROR(VLOOKUP(TablaJunio[[#This Row],[BARRIO]],SECTOR!$A:$B,2,0),"")</f>
      </c>
      <c r="S216" s="89"/>
      <c r="T216" s="90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6"/>
      <c r="AZ216" s="120">
        <f>COUNTIF(U216:AY216,"A")</f>
      </c>
      <c r="BA216" s="121">
        <f>COUNTIF(U216:AY216,"F")</f>
      </c>
      <c r="BB216" s="119">
        <f>COUNTIF(U216:AY216,"E")</f>
      </c>
    </row>
    <row r="217" spans="1:54" x14ac:dyDescent="0.2">
      <c r="A217" s="84"/>
      <c r="B217" s="85"/>
      <c r="C217" s="85"/>
      <c r="D217" s="85"/>
      <c r="E217" s="86"/>
      <c r="F217" s="16">
        <f>IF(E217="","",DATEDIF(E217,$I$7,"Y"))</f>
      </c>
      <c r="G217" s="85"/>
      <c r="H217" s="85"/>
      <c r="I217" s="87"/>
      <c r="J217" s="85"/>
      <c r="K217" s="85"/>
      <c r="L217" s="10"/>
      <c r="M217" s="10"/>
      <c r="N217" s="10"/>
      <c r="O217" s="10"/>
      <c r="P217" s="85"/>
      <c r="Q217" s="88"/>
      <c r="R217" s="3">
        <f>IFERROR(VLOOKUP(TablaJunio[[#This Row],[BARRIO]],SECTOR!$A:$B,2,0),"")</f>
      </c>
      <c r="S217" s="89"/>
      <c r="T217" s="90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6"/>
      <c r="AZ217" s="120">
        <f>COUNTIF(U217:AY217,"A")</f>
      </c>
      <c r="BA217" s="121">
        <f>COUNTIF(U217:AY217,"F")</f>
      </c>
      <c r="BB217" s="119">
        <f>COUNTIF(U217:AY217,"E")</f>
      </c>
    </row>
    <row r="218" spans="1:54" x14ac:dyDescent="0.2">
      <c r="A218" s="84"/>
      <c r="B218" s="85"/>
      <c r="C218" s="85"/>
      <c r="D218" s="85"/>
      <c r="E218" s="86"/>
      <c r="F218" s="16">
        <f>IF(E218="","",DATEDIF(E218,$I$7,"Y"))</f>
      </c>
      <c r="G218" s="85"/>
      <c r="H218" s="85"/>
      <c r="I218" s="87"/>
      <c r="J218" s="85"/>
      <c r="K218" s="85"/>
      <c r="L218" s="10"/>
      <c r="M218" s="10"/>
      <c r="N218" s="10"/>
      <c r="O218" s="10"/>
      <c r="P218" s="85"/>
      <c r="Q218" s="88"/>
      <c r="R218" s="3">
        <f>IFERROR(VLOOKUP(TablaJunio[[#This Row],[BARRIO]],SECTOR!$A:$B,2,0),"")</f>
      </c>
      <c r="S218" s="89"/>
      <c r="T218" s="90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6"/>
      <c r="AZ218" s="120">
        <f>COUNTIF(U218:AY218,"A")</f>
      </c>
      <c r="BA218" s="121">
        <f>COUNTIF(U218:AY218,"F")</f>
      </c>
      <c r="BB218" s="119">
        <f>COUNTIF(U218:AY218,"E")</f>
      </c>
    </row>
    <row r="219" spans="1:54" x14ac:dyDescent="0.2">
      <c r="A219" s="84"/>
      <c r="B219" s="85"/>
      <c r="C219" s="85"/>
      <c r="D219" s="85"/>
      <c r="E219" s="86"/>
      <c r="F219" s="16">
        <f>IF(E219="","",DATEDIF(E219,$I$7,"Y"))</f>
      </c>
      <c r="G219" s="85"/>
      <c r="H219" s="85"/>
      <c r="I219" s="87"/>
      <c r="J219" s="85"/>
      <c r="K219" s="85"/>
      <c r="L219" s="10"/>
      <c r="M219" s="10"/>
      <c r="N219" s="10"/>
      <c r="O219" s="10"/>
      <c r="P219" s="85"/>
      <c r="Q219" s="88"/>
      <c r="R219" s="3">
        <f>IFERROR(VLOOKUP(TablaJunio[[#This Row],[BARRIO]],SECTOR!$A:$B,2,0),"")</f>
      </c>
      <c r="S219" s="89"/>
      <c r="T219" s="90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6"/>
      <c r="AZ219" s="120">
        <f>COUNTIF(U219:AY219,"A")</f>
      </c>
      <c r="BA219" s="121">
        <f>COUNTIF(U219:AY219,"F")</f>
      </c>
      <c r="BB219" s="119">
        <f>COUNTIF(U219:AY219,"E")</f>
      </c>
    </row>
    <row r="220" spans="1:54" x14ac:dyDescent="0.2">
      <c r="A220" s="84"/>
      <c r="B220" s="85"/>
      <c r="C220" s="85"/>
      <c r="D220" s="85"/>
      <c r="E220" s="86"/>
      <c r="F220" s="16">
        <f>IF(E220="","",DATEDIF(E220,$I$7,"Y"))</f>
      </c>
      <c r="G220" s="85"/>
      <c r="H220" s="85"/>
      <c r="I220" s="87"/>
      <c r="J220" s="85"/>
      <c r="K220" s="85"/>
      <c r="L220" s="10"/>
      <c r="M220" s="10"/>
      <c r="N220" s="10"/>
      <c r="O220" s="10"/>
      <c r="P220" s="85"/>
      <c r="Q220" s="88"/>
      <c r="R220" s="3">
        <f>IFERROR(VLOOKUP(TablaJunio[[#This Row],[BARRIO]],SECTOR!$A:$B,2,0),"")</f>
      </c>
      <c r="S220" s="89"/>
      <c r="T220" s="90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6"/>
      <c r="AZ220" s="120">
        <f>COUNTIF(U220:AY220,"A")</f>
      </c>
      <c r="BA220" s="121">
        <f>COUNTIF(U220:AY220,"F")</f>
      </c>
      <c r="BB220" s="119">
        <f>COUNTIF(U220:AY220,"E")</f>
      </c>
    </row>
    <row r="221" spans="1:54" x14ac:dyDescent="0.2">
      <c r="A221" s="84"/>
      <c r="B221" s="85"/>
      <c r="C221" s="85"/>
      <c r="D221" s="85"/>
      <c r="E221" s="86"/>
      <c r="F221" s="16">
        <f>IF(E221="","",DATEDIF(E221,$I$7,"Y"))</f>
      </c>
      <c r="G221" s="85"/>
      <c r="H221" s="85"/>
      <c r="I221" s="87"/>
      <c r="J221" s="85"/>
      <c r="K221" s="85"/>
      <c r="L221" s="10"/>
      <c r="M221" s="10"/>
      <c r="N221" s="10"/>
      <c r="O221" s="10"/>
      <c r="P221" s="85"/>
      <c r="Q221" s="88"/>
      <c r="R221" s="3">
        <f>IFERROR(VLOOKUP(TablaJunio[[#This Row],[BARRIO]],SECTOR!$A:$B,2,0),"")</f>
      </c>
      <c r="S221" s="89"/>
      <c r="T221" s="90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6"/>
      <c r="AZ221" s="120">
        <f>COUNTIF(U221:AY221,"A")</f>
      </c>
      <c r="BA221" s="121">
        <f>COUNTIF(U221:AY221,"F")</f>
      </c>
      <c r="BB221" s="119">
        <f>COUNTIF(U221:AY221,"E")</f>
      </c>
    </row>
    <row r="222" spans="1:54" x14ac:dyDescent="0.2">
      <c r="A222" s="84"/>
      <c r="B222" s="85"/>
      <c r="C222" s="85"/>
      <c r="D222" s="85"/>
      <c r="E222" s="86"/>
      <c r="F222" s="16">
        <f>IF(E222="","",DATEDIF(E222,$I$7,"Y"))</f>
      </c>
      <c r="G222" s="85"/>
      <c r="H222" s="85"/>
      <c r="I222" s="87"/>
      <c r="J222" s="85"/>
      <c r="K222" s="85"/>
      <c r="L222" s="10"/>
      <c r="M222" s="10"/>
      <c r="N222" s="10"/>
      <c r="O222" s="10"/>
      <c r="P222" s="85"/>
      <c r="Q222" s="88"/>
      <c r="R222" s="3">
        <f>IFERROR(VLOOKUP(TablaJunio[[#This Row],[BARRIO]],SECTOR!$A:$B,2,0),"")</f>
      </c>
      <c r="S222" s="89"/>
      <c r="T222" s="90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6"/>
      <c r="AZ222" s="120">
        <f>COUNTIF(U222:AY222,"A")</f>
      </c>
      <c r="BA222" s="121">
        <f>COUNTIF(U222:AY222,"F")</f>
      </c>
      <c r="BB222" s="119">
        <f>COUNTIF(U222:AY222,"E")</f>
      </c>
    </row>
    <row r="223" spans="1:54" x14ac:dyDescent="0.2">
      <c r="A223" s="84"/>
      <c r="B223" s="85"/>
      <c r="C223" s="85"/>
      <c r="D223" s="85"/>
      <c r="E223" s="86"/>
      <c r="F223" s="16">
        <f>IF(E223="","",DATEDIF(E223,$I$7,"Y"))</f>
      </c>
      <c r="G223" s="85"/>
      <c r="H223" s="85"/>
      <c r="I223" s="87"/>
      <c r="J223" s="85"/>
      <c r="K223" s="85"/>
      <c r="L223" s="10"/>
      <c r="M223" s="10"/>
      <c r="N223" s="10"/>
      <c r="O223" s="10"/>
      <c r="P223" s="85"/>
      <c r="Q223" s="88"/>
      <c r="R223" s="3">
        <f>IFERROR(VLOOKUP(TablaJunio[[#This Row],[BARRIO]],SECTOR!$A:$B,2,0),"")</f>
      </c>
      <c r="S223" s="89"/>
      <c r="T223" s="90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6"/>
      <c r="AZ223" s="120">
        <f>COUNTIF(U223:AY223,"A")</f>
      </c>
      <c r="BA223" s="121">
        <f>COUNTIF(U223:AY223,"F")</f>
      </c>
      <c r="BB223" s="119">
        <f>COUNTIF(U223:AY223,"E")</f>
      </c>
    </row>
    <row r="224" spans="1:54" x14ac:dyDescent="0.2">
      <c r="A224" s="84"/>
      <c r="B224" s="85"/>
      <c r="C224" s="85"/>
      <c r="D224" s="85"/>
      <c r="E224" s="86"/>
      <c r="F224" s="16">
        <f>IF(E224="","",DATEDIF(E224,$I$7,"Y"))</f>
      </c>
      <c r="G224" s="85"/>
      <c r="H224" s="85"/>
      <c r="I224" s="87"/>
      <c r="J224" s="85"/>
      <c r="K224" s="85"/>
      <c r="L224" s="10"/>
      <c r="M224" s="10"/>
      <c r="N224" s="10"/>
      <c r="O224" s="10"/>
      <c r="P224" s="85"/>
      <c r="Q224" s="88"/>
      <c r="R224" s="3">
        <f>IFERROR(VLOOKUP(TablaJunio[[#This Row],[BARRIO]],SECTOR!$A:$B,2,0),"")</f>
      </c>
      <c r="S224" s="89"/>
      <c r="T224" s="90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6"/>
      <c r="AZ224" s="120">
        <f>COUNTIF(U224:AY224,"A")</f>
      </c>
      <c r="BA224" s="121">
        <f>COUNTIF(U224:AY224,"F")</f>
      </c>
      <c r="BB224" s="119">
        <f>COUNTIF(U224:AY224,"E")</f>
      </c>
    </row>
    <row r="225" spans="1:54" x14ac:dyDescent="0.2">
      <c r="A225" s="84"/>
      <c r="B225" s="85"/>
      <c r="C225" s="85"/>
      <c r="D225" s="85"/>
      <c r="E225" s="86"/>
      <c r="F225" s="16">
        <f>IF(E225="","",DATEDIF(E225,$I$7,"Y"))</f>
      </c>
      <c r="G225" s="85"/>
      <c r="H225" s="85"/>
      <c r="I225" s="87"/>
      <c r="J225" s="85"/>
      <c r="K225" s="85"/>
      <c r="L225" s="10"/>
      <c r="M225" s="10"/>
      <c r="N225" s="10"/>
      <c r="O225" s="10"/>
      <c r="P225" s="85"/>
      <c r="Q225" s="88"/>
      <c r="R225" s="3">
        <f>IFERROR(VLOOKUP(TablaJunio[[#This Row],[BARRIO]],SECTOR!$A:$B,2,0),"")</f>
      </c>
      <c r="S225" s="89"/>
      <c r="T225" s="90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6"/>
      <c r="AZ225" s="120">
        <f>COUNTIF(U225:AY225,"A")</f>
      </c>
      <c r="BA225" s="121">
        <f>COUNTIF(U225:AY225,"F")</f>
      </c>
      <c r="BB225" s="119">
        <f>COUNTIF(U225:AY225,"E")</f>
      </c>
    </row>
    <row r="226" spans="1:54" x14ac:dyDescent="0.2">
      <c r="A226" s="84"/>
      <c r="B226" s="85"/>
      <c r="C226" s="85"/>
      <c r="D226" s="85"/>
      <c r="E226" s="86"/>
      <c r="F226" s="16">
        <f>IF(E226="","",DATEDIF(E226,$I$7,"Y"))</f>
      </c>
      <c r="G226" s="85"/>
      <c r="H226" s="85"/>
      <c r="I226" s="87"/>
      <c r="J226" s="85"/>
      <c r="K226" s="85"/>
      <c r="L226" s="10"/>
      <c r="M226" s="10"/>
      <c r="N226" s="10"/>
      <c r="O226" s="10"/>
      <c r="P226" s="85"/>
      <c r="Q226" s="88"/>
      <c r="R226" s="3">
        <f>IFERROR(VLOOKUP(TablaJunio[[#This Row],[BARRIO]],SECTOR!$A:$B,2,0),"")</f>
      </c>
      <c r="S226" s="89"/>
      <c r="T226" s="90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6"/>
      <c r="AZ226" s="120">
        <f>COUNTIF(U226:AY226,"A")</f>
      </c>
      <c r="BA226" s="121">
        <f>COUNTIF(U226:AY226,"F")</f>
      </c>
      <c r="BB226" s="119">
        <f>COUNTIF(U226:AY226,"E")</f>
      </c>
    </row>
    <row r="227" spans="1:54" x14ac:dyDescent="0.2">
      <c r="A227" s="84"/>
      <c r="B227" s="85"/>
      <c r="C227" s="85"/>
      <c r="D227" s="85"/>
      <c r="E227" s="86"/>
      <c r="F227" s="16">
        <f>IF(E227="","",DATEDIF(E227,$I$7,"Y"))</f>
      </c>
      <c r="G227" s="85"/>
      <c r="H227" s="85"/>
      <c r="I227" s="87"/>
      <c r="J227" s="85"/>
      <c r="K227" s="85"/>
      <c r="L227" s="10"/>
      <c r="M227" s="10"/>
      <c r="N227" s="10"/>
      <c r="O227" s="10"/>
      <c r="P227" s="85"/>
      <c r="Q227" s="88"/>
      <c r="R227" s="3">
        <f>IFERROR(VLOOKUP(TablaJunio[[#This Row],[BARRIO]],SECTOR!$A:$B,2,0),"")</f>
      </c>
      <c r="S227" s="89"/>
      <c r="T227" s="90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6"/>
      <c r="AZ227" s="120">
        <f>COUNTIF(U227:AY227,"A")</f>
      </c>
      <c r="BA227" s="121">
        <f>COUNTIF(U227:AY227,"F")</f>
      </c>
      <c r="BB227" s="119">
        <f>COUNTIF(U227:AY227,"E")</f>
      </c>
    </row>
    <row r="228" spans="1:54" x14ac:dyDescent="0.2">
      <c r="A228" s="84"/>
      <c r="B228" s="85"/>
      <c r="C228" s="85"/>
      <c r="D228" s="85"/>
      <c r="E228" s="86"/>
      <c r="F228" s="16">
        <f>IF(E228="","",DATEDIF(E228,$I$7,"Y"))</f>
      </c>
      <c r="G228" s="85"/>
      <c r="H228" s="85"/>
      <c r="I228" s="87"/>
      <c r="J228" s="85"/>
      <c r="K228" s="85"/>
      <c r="L228" s="10"/>
      <c r="M228" s="10"/>
      <c r="N228" s="10"/>
      <c r="O228" s="10"/>
      <c r="P228" s="85"/>
      <c r="Q228" s="88"/>
      <c r="R228" s="3">
        <f>IFERROR(VLOOKUP(TablaJunio[[#This Row],[BARRIO]],SECTOR!$A:$B,2,0),"")</f>
      </c>
      <c r="S228" s="89"/>
      <c r="T228" s="90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6"/>
      <c r="AZ228" s="120">
        <f>COUNTIF(U228:AY228,"A")</f>
      </c>
      <c r="BA228" s="121">
        <f>COUNTIF(U228:AY228,"F")</f>
      </c>
      <c r="BB228" s="119">
        <f>COUNTIF(U228:AY228,"E")</f>
      </c>
    </row>
    <row r="229" spans="1:54" x14ac:dyDescent="0.2">
      <c r="A229" s="84"/>
      <c r="B229" s="85"/>
      <c r="C229" s="85"/>
      <c r="D229" s="85"/>
      <c r="E229" s="86"/>
      <c r="F229" s="16">
        <f>IF(E229="","",DATEDIF(E229,$I$7,"Y"))</f>
      </c>
      <c r="G229" s="85"/>
      <c r="H229" s="85"/>
      <c r="I229" s="87"/>
      <c r="J229" s="85"/>
      <c r="K229" s="85"/>
      <c r="L229" s="10"/>
      <c r="M229" s="10"/>
      <c r="N229" s="10"/>
      <c r="O229" s="10"/>
      <c r="P229" s="85"/>
      <c r="Q229" s="88"/>
      <c r="R229" s="3">
        <f>IFERROR(VLOOKUP(TablaJunio[[#This Row],[BARRIO]],SECTOR!$A:$B,2,0),"")</f>
      </c>
      <c r="S229" s="89"/>
      <c r="T229" s="90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6"/>
      <c r="AZ229" s="120">
        <f>COUNTIF(U229:AY229,"A")</f>
      </c>
      <c r="BA229" s="121">
        <f>COUNTIF(U229:AY229,"F")</f>
      </c>
      <c r="BB229" s="119">
        <f>COUNTIF(U229:AY229,"E")</f>
      </c>
    </row>
    <row r="230" spans="1:54" x14ac:dyDescent="0.2">
      <c r="A230" s="84"/>
      <c r="B230" s="85"/>
      <c r="C230" s="85"/>
      <c r="D230" s="85"/>
      <c r="E230" s="86"/>
      <c r="F230" s="16">
        <f>IF(E230="","",DATEDIF(E230,$I$7,"Y"))</f>
      </c>
      <c r="G230" s="85"/>
      <c r="H230" s="85"/>
      <c r="I230" s="87"/>
      <c r="J230" s="85"/>
      <c r="K230" s="85"/>
      <c r="L230" s="10"/>
      <c r="M230" s="10"/>
      <c r="N230" s="10"/>
      <c r="O230" s="10"/>
      <c r="P230" s="85"/>
      <c r="Q230" s="88"/>
      <c r="R230" s="3">
        <f>IFERROR(VLOOKUP(TablaJunio[[#This Row],[BARRIO]],SECTOR!$A:$B,2,0),"")</f>
      </c>
      <c r="S230" s="89"/>
      <c r="T230" s="90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6"/>
      <c r="AZ230" s="120">
        <f>COUNTIF(U230:AY230,"A")</f>
      </c>
      <c r="BA230" s="121">
        <f>COUNTIF(U230:AY230,"F")</f>
      </c>
      <c r="BB230" s="119">
        <f>COUNTIF(U230:AY230,"E")</f>
      </c>
    </row>
    <row r="231" spans="1:54" x14ac:dyDescent="0.2">
      <c r="A231" s="84"/>
      <c r="B231" s="85"/>
      <c r="C231" s="85"/>
      <c r="D231" s="85"/>
      <c r="E231" s="86"/>
      <c r="F231" s="16">
        <f>IF(E231="","",DATEDIF(E231,$I$7,"Y"))</f>
      </c>
      <c r="G231" s="85"/>
      <c r="H231" s="85"/>
      <c r="I231" s="87"/>
      <c r="J231" s="85"/>
      <c r="K231" s="85"/>
      <c r="L231" s="10"/>
      <c r="M231" s="10"/>
      <c r="N231" s="10"/>
      <c r="O231" s="10"/>
      <c r="P231" s="85"/>
      <c r="Q231" s="88"/>
      <c r="R231" s="3">
        <f>IFERROR(VLOOKUP(TablaJunio[[#This Row],[BARRIO]],SECTOR!$A:$B,2,0),"")</f>
      </c>
      <c r="S231" s="89"/>
      <c r="T231" s="90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6"/>
      <c r="AZ231" s="120">
        <f>COUNTIF(U231:AY231,"A")</f>
      </c>
      <c r="BA231" s="121">
        <f>COUNTIF(U231:AY231,"F")</f>
      </c>
      <c r="BB231" s="119">
        <f>COUNTIF(U231:AY231,"E")</f>
      </c>
    </row>
    <row r="232" spans="1:54" x14ac:dyDescent="0.2">
      <c r="A232" s="84"/>
      <c r="B232" s="85"/>
      <c r="C232" s="85"/>
      <c r="D232" s="85"/>
      <c r="E232" s="86"/>
      <c r="F232" s="16">
        <f>IF(E232="","",DATEDIF(E232,$I$7,"Y"))</f>
      </c>
      <c r="G232" s="85"/>
      <c r="H232" s="85"/>
      <c r="I232" s="87"/>
      <c r="J232" s="85"/>
      <c r="K232" s="85"/>
      <c r="L232" s="10"/>
      <c r="M232" s="10"/>
      <c r="N232" s="10"/>
      <c r="O232" s="10"/>
      <c r="P232" s="85"/>
      <c r="Q232" s="88"/>
      <c r="R232" s="3">
        <f>IFERROR(VLOOKUP(TablaJunio[[#This Row],[BARRIO]],SECTOR!$A:$B,2,0),"")</f>
      </c>
      <c r="S232" s="89"/>
      <c r="T232" s="90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6"/>
      <c r="AZ232" s="120">
        <f>COUNTIF(U232:AY232,"A")</f>
      </c>
      <c r="BA232" s="121">
        <f>COUNTIF(U232:AY232,"F")</f>
      </c>
      <c r="BB232" s="119">
        <f>COUNTIF(U232:AY232,"E")</f>
      </c>
    </row>
    <row r="233" spans="1:54" x14ac:dyDescent="0.2">
      <c r="A233" s="84"/>
      <c r="B233" s="85"/>
      <c r="C233" s="85"/>
      <c r="D233" s="85"/>
      <c r="E233" s="86"/>
      <c r="F233" s="16">
        <f>IF(E233="","",DATEDIF(E233,$I$7,"Y"))</f>
      </c>
      <c r="G233" s="85"/>
      <c r="H233" s="85"/>
      <c r="I233" s="87"/>
      <c r="J233" s="85"/>
      <c r="K233" s="85"/>
      <c r="L233" s="10"/>
      <c r="M233" s="10"/>
      <c r="N233" s="10"/>
      <c r="O233" s="10"/>
      <c r="P233" s="85"/>
      <c r="Q233" s="88"/>
      <c r="R233" s="3">
        <f>IFERROR(VLOOKUP(TablaJunio[[#This Row],[BARRIO]],SECTOR!$A:$B,2,0),"")</f>
      </c>
      <c r="S233" s="89"/>
      <c r="T233" s="90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6"/>
      <c r="AZ233" s="120">
        <f>COUNTIF(U233:AY233,"A")</f>
      </c>
      <c r="BA233" s="121">
        <f>COUNTIF(U233:AY233,"F")</f>
      </c>
      <c r="BB233" s="119">
        <f>COUNTIF(U233:AY233,"E")</f>
      </c>
    </row>
    <row r="234" spans="1:54" x14ac:dyDescent="0.2">
      <c r="A234" s="84"/>
      <c r="B234" s="85"/>
      <c r="C234" s="85"/>
      <c r="D234" s="85"/>
      <c r="E234" s="86"/>
      <c r="F234" s="16">
        <f>IF(E234="","",DATEDIF(E234,$I$7,"Y"))</f>
      </c>
      <c r="G234" s="85"/>
      <c r="H234" s="85"/>
      <c r="I234" s="87"/>
      <c r="J234" s="85"/>
      <c r="K234" s="85"/>
      <c r="L234" s="10"/>
      <c r="M234" s="10"/>
      <c r="N234" s="10"/>
      <c r="O234" s="10"/>
      <c r="P234" s="85"/>
      <c r="Q234" s="88"/>
      <c r="R234" s="3">
        <f>IFERROR(VLOOKUP(TablaJunio[[#This Row],[BARRIO]],SECTOR!$A:$B,2,0),"")</f>
      </c>
      <c r="S234" s="89"/>
      <c r="T234" s="90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6"/>
      <c r="AZ234" s="120">
        <f>COUNTIF(U234:AY234,"A")</f>
      </c>
      <c r="BA234" s="121">
        <f>COUNTIF(U234:AY234,"F")</f>
      </c>
      <c r="BB234" s="119">
        <f>COUNTIF(U234:AY234,"E")</f>
      </c>
    </row>
    <row r="235" spans="1:54" x14ac:dyDescent="0.2">
      <c r="A235" s="84"/>
      <c r="B235" s="85"/>
      <c r="C235" s="85"/>
      <c r="D235" s="85"/>
      <c r="E235" s="86"/>
      <c r="F235" s="16">
        <f>IF(E235="","",DATEDIF(E235,$I$7,"Y"))</f>
      </c>
      <c r="G235" s="85"/>
      <c r="H235" s="85"/>
      <c r="I235" s="87"/>
      <c r="J235" s="85"/>
      <c r="K235" s="85"/>
      <c r="L235" s="10"/>
      <c r="M235" s="10"/>
      <c r="N235" s="10"/>
      <c r="O235" s="10"/>
      <c r="P235" s="85"/>
      <c r="Q235" s="88"/>
      <c r="R235" s="3">
        <f>IFERROR(VLOOKUP(TablaJunio[[#This Row],[BARRIO]],SECTOR!$A:$B,2,0),"")</f>
      </c>
      <c r="S235" s="89"/>
      <c r="T235" s="90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6"/>
      <c r="AZ235" s="120">
        <f>COUNTIF(U235:AY235,"A")</f>
      </c>
      <c r="BA235" s="121">
        <f>COUNTIF(U235:AY235,"F")</f>
      </c>
      <c r="BB235" s="119">
        <f>COUNTIF(U235:AY235,"E")</f>
      </c>
    </row>
    <row r="236" spans="1:54" x14ac:dyDescent="0.2">
      <c r="A236" s="84"/>
      <c r="B236" s="85"/>
      <c r="C236" s="85"/>
      <c r="D236" s="85"/>
      <c r="E236" s="86"/>
      <c r="F236" s="16">
        <f>IF(E236="","",DATEDIF(E236,$I$7,"Y"))</f>
      </c>
      <c r="G236" s="85"/>
      <c r="H236" s="85"/>
      <c r="I236" s="87"/>
      <c r="J236" s="85"/>
      <c r="K236" s="85"/>
      <c r="L236" s="10"/>
      <c r="M236" s="10"/>
      <c r="N236" s="10"/>
      <c r="O236" s="10"/>
      <c r="P236" s="85"/>
      <c r="Q236" s="88"/>
      <c r="R236" s="3">
        <f>IFERROR(VLOOKUP(TablaJunio[[#This Row],[BARRIO]],SECTOR!$A:$B,2,0),"")</f>
      </c>
      <c r="S236" s="89"/>
      <c r="T236" s="90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6"/>
      <c r="AZ236" s="120">
        <f>COUNTIF(U236:AY236,"A")</f>
      </c>
      <c r="BA236" s="121">
        <f>COUNTIF(U236:AY236,"F")</f>
      </c>
      <c r="BB236" s="119">
        <f>COUNTIF(U236:AY236,"E")</f>
      </c>
    </row>
    <row r="237" spans="1:54" x14ac:dyDescent="0.2">
      <c r="A237" s="84"/>
      <c r="B237" s="85"/>
      <c r="C237" s="85"/>
      <c r="D237" s="85"/>
      <c r="E237" s="86"/>
      <c r="F237" s="16">
        <f>IF(E237="","",DATEDIF(E237,$I$7,"Y"))</f>
      </c>
      <c r="G237" s="85"/>
      <c r="H237" s="85"/>
      <c r="I237" s="87"/>
      <c r="J237" s="85"/>
      <c r="K237" s="85"/>
      <c r="L237" s="10"/>
      <c r="M237" s="10"/>
      <c r="N237" s="10"/>
      <c r="O237" s="10"/>
      <c r="P237" s="85"/>
      <c r="Q237" s="88"/>
      <c r="R237" s="3">
        <f>IFERROR(VLOOKUP(TablaJunio[[#This Row],[BARRIO]],SECTOR!$A:$B,2,0),"")</f>
      </c>
      <c r="S237" s="89"/>
      <c r="T237" s="90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6"/>
      <c r="AZ237" s="120">
        <f>COUNTIF(U237:AY237,"A")</f>
      </c>
      <c r="BA237" s="121">
        <f>COUNTIF(U237:AY237,"F")</f>
      </c>
      <c r="BB237" s="119">
        <f>COUNTIF(U237:AY237,"E")</f>
      </c>
    </row>
    <row r="238" spans="1:54" x14ac:dyDescent="0.2">
      <c r="A238" s="84"/>
      <c r="B238" s="85"/>
      <c r="C238" s="85"/>
      <c r="D238" s="85"/>
      <c r="E238" s="86"/>
      <c r="F238" s="16">
        <f>IF(E238="","",DATEDIF(E238,$I$7,"Y"))</f>
      </c>
      <c r="G238" s="85"/>
      <c r="H238" s="85"/>
      <c r="I238" s="87"/>
      <c r="J238" s="85"/>
      <c r="K238" s="85"/>
      <c r="L238" s="10"/>
      <c r="M238" s="10"/>
      <c r="N238" s="10"/>
      <c r="O238" s="10"/>
      <c r="P238" s="85"/>
      <c r="Q238" s="88"/>
      <c r="R238" s="3">
        <f>IFERROR(VLOOKUP(TablaJunio[[#This Row],[BARRIO]],SECTOR!$A:$B,2,0),"")</f>
      </c>
      <c r="S238" s="89"/>
      <c r="T238" s="90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6"/>
      <c r="AZ238" s="120">
        <f>COUNTIF(U238:AY238,"A")</f>
      </c>
      <c r="BA238" s="121">
        <f>COUNTIF(U238:AY238,"F")</f>
      </c>
      <c r="BB238" s="119">
        <f>COUNTIF(U238:AY238,"E")</f>
      </c>
    </row>
    <row r="239" spans="1:54" x14ac:dyDescent="0.2">
      <c r="A239" s="84"/>
      <c r="B239" s="85"/>
      <c r="C239" s="85"/>
      <c r="D239" s="85"/>
      <c r="E239" s="86"/>
      <c r="F239" s="16">
        <f>IF(E239="","",DATEDIF(E239,$I$7,"Y"))</f>
      </c>
      <c r="G239" s="85"/>
      <c r="H239" s="85"/>
      <c r="I239" s="87"/>
      <c r="J239" s="85"/>
      <c r="K239" s="85"/>
      <c r="L239" s="10"/>
      <c r="M239" s="10"/>
      <c r="N239" s="10"/>
      <c r="O239" s="10"/>
      <c r="P239" s="85"/>
      <c r="Q239" s="88"/>
      <c r="R239" s="3">
        <f>IFERROR(VLOOKUP(TablaJunio[[#This Row],[BARRIO]],SECTOR!$A:$B,2,0),"")</f>
      </c>
      <c r="S239" s="89"/>
      <c r="T239" s="90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6"/>
      <c r="AZ239" s="120">
        <f>COUNTIF(U239:AY239,"A")</f>
      </c>
      <c r="BA239" s="121">
        <f>COUNTIF(U239:AY239,"F")</f>
      </c>
      <c r="BB239" s="119">
        <f>COUNTIF(U239:AY239,"E")</f>
      </c>
    </row>
    <row r="240" spans="1:54" x14ac:dyDescent="0.2">
      <c r="A240" s="84"/>
      <c r="B240" s="85"/>
      <c r="C240" s="85"/>
      <c r="D240" s="85"/>
      <c r="E240" s="86"/>
      <c r="F240" s="16">
        <f>IF(E240="","",DATEDIF(E240,$I$7,"Y"))</f>
      </c>
      <c r="G240" s="85"/>
      <c r="H240" s="85"/>
      <c r="I240" s="87"/>
      <c r="J240" s="85"/>
      <c r="K240" s="85"/>
      <c r="L240" s="10"/>
      <c r="M240" s="10"/>
      <c r="N240" s="10"/>
      <c r="O240" s="10"/>
      <c r="P240" s="85"/>
      <c r="Q240" s="88"/>
      <c r="R240" s="3">
        <f>IFERROR(VLOOKUP(TablaJunio[[#This Row],[BARRIO]],SECTOR!$A:$B,2,0),"")</f>
      </c>
      <c r="S240" s="89"/>
      <c r="T240" s="90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6"/>
      <c r="AZ240" s="120">
        <f>COUNTIF(U240:AY240,"A")</f>
      </c>
      <c r="BA240" s="121">
        <f>COUNTIF(U240:AY240,"F")</f>
      </c>
      <c r="BB240" s="119">
        <f>COUNTIF(U240:AY240,"E")</f>
      </c>
    </row>
    <row r="241" spans="1:54" x14ac:dyDescent="0.2">
      <c r="A241" s="84"/>
      <c r="B241" s="85"/>
      <c r="C241" s="85"/>
      <c r="D241" s="85"/>
      <c r="E241" s="86"/>
      <c r="F241" s="16">
        <f>IF(E241="","",DATEDIF(E241,$I$7,"Y"))</f>
      </c>
      <c r="G241" s="85"/>
      <c r="H241" s="85"/>
      <c r="I241" s="87"/>
      <c r="J241" s="85"/>
      <c r="K241" s="85"/>
      <c r="L241" s="10"/>
      <c r="M241" s="10"/>
      <c r="N241" s="10"/>
      <c r="O241" s="10"/>
      <c r="P241" s="85"/>
      <c r="Q241" s="88"/>
      <c r="R241" s="3">
        <f>IFERROR(VLOOKUP(TablaJunio[[#This Row],[BARRIO]],SECTOR!$A:$B,2,0),"")</f>
      </c>
      <c r="S241" s="89"/>
      <c r="T241" s="90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6"/>
      <c r="AZ241" s="120">
        <f>COUNTIF(U241:AY241,"A")</f>
      </c>
      <c r="BA241" s="121">
        <f>COUNTIF(U241:AY241,"F")</f>
      </c>
      <c r="BB241" s="119">
        <f>COUNTIF(U241:AY241,"E")</f>
      </c>
    </row>
    <row r="242" spans="1:54" x14ac:dyDescent="0.2">
      <c r="A242" s="84"/>
      <c r="B242" s="85"/>
      <c r="C242" s="85"/>
      <c r="D242" s="85"/>
      <c r="E242" s="86"/>
      <c r="F242" s="16">
        <f>IF(E242="","",DATEDIF(E242,$I$7,"Y"))</f>
      </c>
      <c r="G242" s="85"/>
      <c r="H242" s="85"/>
      <c r="I242" s="87"/>
      <c r="J242" s="85"/>
      <c r="K242" s="85"/>
      <c r="L242" s="10"/>
      <c r="M242" s="10"/>
      <c r="N242" s="10"/>
      <c r="O242" s="10"/>
      <c r="P242" s="85"/>
      <c r="Q242" s="88"/>
      <c r="R242" s="3">
        <f>IFERROR(VLOOKUP(TablaJunio[[#This Row],[BARRIO]],SECTOR!$A:$B,2,0),"")</f>
      </c>
      <c r="S242" s="89"/>
      <c r="T242" s="90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6"/>
      <c r="AZ242" s="120">
        <f>COUNTIF(U242:AY242,"A")</f>
      </c>
      <c r="BA242" s="121">
        <f>COUNTIF(U242:AY242,"F")</f>
      </c>
      <c r="BB242" s="119">
        <f>COUNTIF(U242:AY242,"E")</f>
      </c>
    </row>
    <row r="243" spans="1:54" x14ac:dyDescent="0.2">
      <c r="A243" s="84"/>
      <c r="B243" s="85"/>
      <c r="C243" s="85"/>
      <c r="D243" s="85"/>
      <c r="E243" s="86"/>
      <c r="F243" s="16">
        <f>IF(E243="","",DATEDIF(E243,$I$7,"Y"))</f>
      </c>
      <c r="G243" s="85"/>
      <c r="H243" s="85"/>
      <c r="I243" s="87"/>
      <c r="J243" s="85"/>
      <c r="K243" s="85"/>
      <c r="L243" s="10"/>
      <c r="M243" s="10"/>
      <c r="N243" s="10"/>
      <c r="O243" s="10"/>
      <c r="P243" s="85"/>
      <c r="Q243" s="88"/>
      <c r="R243" s="3">
        <f>IFERROR(VLOOKUP(TablaJunio[[#This Row],[BARRIO]],SECTOR!$A:$B,2,0),"")</f>
      </c>
      <c r="S243" s="89"/>
      <c r="T243" s="90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6"/>
      <c r="AZ243" s="120">
        <f>COUNTIF(U243:AY243,"A")</f>
      </c>
      <c r="BA243" s="121">
        <f>COUNTIF(U243:AY243,"F")</f>
      </c>
      <c r="BB243" s="119">
        <f>COUNTIF(U243:AY243,"E")</f>
      </c>
    </row>
    <row r="244" spans="1:54" x14ac:dyDescent="0.2">
      <c r="A244" s="84"/>
      <c r="B244" s="85"/>
      <c r="C244" s="85"/>
      <c r="D244" s="85"/>
      <c r="E244" s="86"/>
      <c r="F244" s="16">
        <f>IF(E244="","",DATEDIF(E244,$I$7,"Y"))</f>
      </c>
      <c r="G244" s="85"/>
      <c r="H244" s="85"/>
      <c r="I244" s="87"/>
      <c r="J244" s="85"/>
      <c r="K244" s="85"/>
      <c r="L244" s="10"/>
      <c r="M244" s="10"/>
      <c r="N244" s="10"/>
      <c r="O244" s="10"/>
      <c r="P244" s="85"/>
      <c r="Q244" s="88"/>
      <c r="R244" s="3">
        <f>IFERROR(VLOOKUP(TablaJunio[[#This Row],[BARRIO]],SECTOR!$A:$B,2,0),"")</f>
      </c>
      <c r="S244" s="89"/>
      <c r="T244" s="90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6"/>
      <c r="AZ244" s="120">
        <f>COUNTIF(U244:AY244,"A")</f>
      </c>
      <c r="BA244" s="121">
        <f>COUNTIF(U244:AY244,"F")</f>
      </c>
      <c r="BB244" s="119">
        <f>COUNTIF(U244:AY244,"E")</f>
      </c>
    </row>
    <row r="245" spans="1:54" x14ac:dyDescent="0.2">
      <c r="A245" s="84"/>
      <c r="B245" s="85"/>
      <c r="C245" s="85"/>
      <c r="D245" s="85"/>
      <c r="E245" s="86"/>
      <c r="F245" s="16">
        <f>IF(E245="","",DATEDIF(E245,$I$7,"Y"))</f>
      </c>
      <c r="G245" s="85"/>
      <c r="H245" s="85"/>
      <c r="I245" s="87"/>
      <c r="J245" s="85"/>
      <c r="K245" s="85"/>
      <c r="L245" s="10"/>
      <c r="M245" s="10"/>
      <c r="N245" s="10"/>
      <c r="O245" s="10"/>
      <c r="P245" s="85"/>
      <c r="Q245" s="88"/>
      <c r="R245" s="3">
        <f>IFERROR(VLOOKUP(TablaJunio[[#This Row],[BARRIO]],SECTOR!$A:$B,2,0),"")</f>
      </c>
      <c r="S245" s="89"/>
      <c r="T245" s="90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6"/>
      <c r="AZ245" s="120">
        <f>COUNTIF(U245:AY245,"A")</f>
      </c>
      <c r="BA245" s="121">
        <f>COUNTIF(U245:AY245,"F")</f>
      </c>
      <c r="BB245" s="119">
        <f>COUNTIF(U245:AY245,"E")</f>
      </c>
    </row>
    <row r="246" spans="1:54" x14ac:dyDescent="0.2">
      <c r="A246" s="84"/>
      <c r="B246" s="85"/>
      <c r="C246" s="85"/>
      <c r="D246" s="85"/>
      <c r="E246" s="86"/>
      <c r="F246" s="16">
        <f>IF(E246="","",DATEDIF(E246,$I$7,"Y"))</f>
      </c>
      <c r="G246" s="85"/>
      <c r="H246" s="85"/>
      <c r="I246" s="87"/>
      <c r="J246" s="85"/>
      <c r="K246" s="85"/>
      <c r="L246" s="10"/>
      <c r="M246" s="10"/>
      <c r="N246" s="10"/>
      <c r="O246" s="10"/>
      <c r="P246" s="85"/>
      <c r="Q246" s="88"/>
      <c r="R246" s="3">
        <f>IFERROR(VLOOKUP(TablaJunio[[#This Row],[BARRIO]],SECTOR!$A:$B,2,0),"")</f>
      </c>
      <c r="S246" s="89"/>
      <c r="T246" s="90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6"/>
      <c r="AZ246" s="120">
        <f>COUNTIF(U246:AY246,"A")</f>
      </c>
      <c r="BA246" s="121">
        <f>COUNTIF(U246:AY246,"F")</f>
      </c>
      <c r="BB246" s="119">
        <f>COUNTIF(U246:AY246,"E")</f>
      </c>
    </row>
    <row r="247" spans="1:54" x14ac:dyDescent="0.2">
      <c r="A247" s="84"/>
      <c r="B247" s="85"/>
      <c r="C247" s="85"/>
      <c r="D247" s="85"/>
      <c r="E247" s="86"/>
      <c r="F247" s="16">
        <f>IF(E247="","",DATEDIF(E247,$I$7,"Y"))</f>
      </c>
      <c r="G247" s="85"/>
      <c r="H247" s="85"/>
      <c r="I247" s="87"/>
      <c r="J247" s="85"/>
      <c r="K247" s="85"/>
      <c r="L247" s="10"/>
      <c r="M247" s="10"/>
      <c r="N247" s="10"/>
      <c r="O247" s="10"/>
      <c r="P247" s="85"/>
      <c r="Q247" s="88"/>
      <c r="R247" s="3">
        <f>IFERROR(VLOOKUP(TablaJunio[[#This Row],[BARRIO]],SECTOR!$A:$B,2,0),"")</f>
      </c>
      <c r="S247" s="89"/>
      <c r="T247" s="90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6"/>
      <c r="AZ247" s="120">
        <f>COUNTIF(U247:AY247,"A")</f>
      </c>
      <c r="BA247" s="121">
        <f>COUNTIF(U247:AY247,"F")</f>
      </c>
      <c r="BB247" s="119">
        <f>COUNTIF(U247:AY247,"E")</f>
      </c>
    </row>
    <row r="248" spans="1:54" x14ac:dyDescent="0.2">
      <c r="A248" s="84"/>
      <c r="B248" s="85"/>
      <c r="C248" s="85"/>
      <c r="D248" s="85"/>
      <c r="E248" s="86"/>
      <c r="F248" s="16">
        <f>IF(E248="","",DATEDIF(E248,$I$7,"Y"))</f>
      </c>
      <c r="G248" s="85"/>
      <c r="H248" s="85"/>
      <c r="I248" s="87"/>
      <c r="J248" s="85"/>
      <c r="K248" s="85"/>
      <c r="L248" s="10"/>
      <c r="M248" s="10"/>
      <c r="N248" s="10"/>
      <c r="O248" s="10"/>
      <c r="P248" s="85"/>
      <c r="Q248" s="88"/>
      <c r="R248" s="3">
        <f>IFERROR(VLOOKUP(TablaJunio[[#This Row],[BARRIO]],SECTOR!$A:$B,2,0),"")</f>
      </c>
      <c r="S248" s="89"/>
      <c r="T248" s="90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6"/>
      <c r="AZ248" s="120">
        <f>COUNTIF(U248:AY248,"A")</f>
      </c>
      <c r="BA248" s="121">
        <f>COUNTIF(U248:AY248,"F")</f>
      </c>
      <c r="BB248" s="119">
        <f>COUNTIF(U248:AY248,"E")</f>
      </c>
    </row>
    <row r="249" spans="1:54" x14ac:dyDescent="0.2">
      <c r="A249" s="84"/>
      <c r="B249" s="85"/>
      <c r="C249" s="85"/>
      <c r="D249" s="85"/>
      <c r="E249" s="86"/>
      <c r="F249" s="16">
        <f>IF(E249="","",DATEDIF(E249,$I$7,"Y"))</f>
      </c>
      <c r="G249" s="85"/>
      <c r="H249" s="85"/>
      <c r="I249" s="87"/>
      <c r="J249" s="85"/>
      <c r="K249" s="85"/>
      <c r="L249" s="10"/>
      <c r="M249" s="10"/>
      <c r="N249" s="10"/>
      <c r="O249" s="10"/>
      <c r="P249" s="85"/>
      <c r="Q249" s="88"/>
      <c r="R249" s="3">
        <f>IFERROR(VLOOKUP(TablaJunio[[#This Row],[BARRIO]],SECTOR!$A:$B,2,0),"")</f>
      </c>
      <c r="S249" s="89"/>
      <c r="T249" s="90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6"/>
      <c r="AZ249" s="120">
        <f>COUNTIF(U249:AY249,"A")</f>
      </c>
      <c r="BA249" s="121">
        <f>COUNTIF(U249:AY249,"F")</f>
      </c>
      <c r="BB249" s="119">
        <f>COUNTIF(U249:AY249,"E")</f>
      </c>
    </row>
    <row r="250" spans="1:54" x14ac:dyDescent="0.2">
      <c r="A250" s="84"/>
      <c r="B250" s="85"/>
      <c r="C250" s="85"/>
      <c r="D250" s="85"/>
      <c r="E250" s="86"/>
      <c r="F250" s="16">
        <f>IF(E250="","",DATEDIF(E250,$I$7,"Y"))</f>
      </c>
      <c r="G250" s="85"/>
      <c r="H250" s="85"/>
      <c r="I250" s="87"/>
      <c r="J250" s="85"/>
      <c r="K250" s="85"/>
      <c r="L250" s="10"/>
      <c r="M250" s="10"/>
      <c r="N250" s="10"/>
      <c r="O250" s="10"/>
      <c r="P250" s="85"/>
      <c r="Q250" s="88"/>
      <c r="R250" s="3">
        <f>IFERROR(VLOOKUP(TablaJunio[[#This Row],[BARRIO]],SECTOR!$A:$B,2,0),"")</f>
      </c>
      <c r="S250" s="89"/>
      <c r="T250" s="90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6"/>
      <c r="AZ250" s="120">
        <f>COUNTIF(U250:AY250,"A")</f>
      </c>
      <c r="BA250" s="121">
        <f>COUNTIF(U250:AY250,"F")</f>
      </c>
      <c r="BB250" s="119">
        <f>COUNTIF(U250:AY250,"E")</f>
      </c>
    </row>
    <row r="251" spans="1:54" x14ac:dyDescent="0.2">
      <c r="A251" s="84"/>
      <c r="B251" s="85"/>
      <c r="C251" s="85"/>
      <c r="D251" s="85"/>
      <c r="E251" s="86"/>
      <c r="F251" s="16">
        <f>IF(E251="","",DATEDIF(E251,$I$7,"Y"))</f>
      </c>
      <c r="G251" s="85"/>
      <c r="H251" s="85"/>
      <c r="I251" s="87"/>
      <c r="J251" s="85"/>
      <c r="K251" s="85"/>
      <c r="L251" s="10"/>
      <c r="M251" s="10"/>
      <c r="N251" s="10"/>
      <c r="O251" s="10"/>
      <c r="P251" s="85"/>
      <c r="Q251" s="88"/>
      <c r="R251" s="3">
        <f>IFERROR(VLOOKUP(TablaJunio[[#This Row],[BARRIO]],SECTOR!$A:$B,2,0),"")</f>
      </c>
      <c r="S251" s="89"/>
      <c r="T251" s="90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6"/>
      <c r="AZ251" s="120">
        <f>COUNTIF(U251:AY251,"A")</f>
      </c>
      <c r="BA251" s="121">
        <f>COUNTIF(U251:AY251,"F")</f>
      </c>
      <c r="BB251" s="119">
        <f>COUNTIF(U251:AY251,"E")</f>
      </c>
    </row>
    <row r="252" spans="1:54" x14ac:dyDescent="0.2">
      <c r="A252" s="84"/>
      <c r="B252" s="85"/>
      <c r="C252" s="85"/>
      <c r="D252" s="85"/>
      <c r="E252" s="86"/>
      <c r="F252" s="16">
        <f>IF(E252="","",DATEDIF(E252,$I$7,"Y"))</f>
      </c>
      <c r="G252" s="85"/>
      <c r="H252" s="85"/>
      <c r="I252" s="87"/>
      <c r="J252" s="85"/>
      <c r="K252" s="85"/>
      <c r="L252" s="10"/>
      <c r="M252" s="10"/>
      <c r="N252" s="10"/>
      <c r="O252" s="10"/>
      <c r="P252" s="85"/>
      <c r="Q252" s="88"/>
      <c r="R252" s="3">
        <f>IFERROR(VLOOKUP(TablaJunio[[#This Row],[BARRIO]],SECTOR!$A:$B,2,0),"")</f>
      </c>
      <c r="S252" s="89"/>
      <c r="T252" s="90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6"/>
      <c r="AZ252" s="120">
        <f>COUNTIF(U252:AY252,"A")</f>
      </c>
      <c r="BA252" s="121">
        <f>COUNTIF(U252:AY252,"F")</f>
      </c>
      <c r="BB252" s="119">
        <f>COUNTIF(U252:AY252,"E")</f>
      </c>
    </row>
    <row r="253" spans="1:54" x14ac:dyDescent="0.2">
      <c r="A253" s="84"/>
      <c r="B253" s="85"/>
      <c r="C253" s="85"/>
      <c r="D253" s="85"/>
      <c r="E253" s="86"/>
      <c r="F253" s="16">
        <f>IF(E253="","",DATEDIF(E253,$I$7,"Y"))</f>
      </c>
      <c r="G253" s="85"/>
      <c r="H253" s="85"/>
      <c r="I253" s="87"/>
      <c r="J253" s="85"/>
      <c r="K253" s="85"/>
      <c r="L253" s="10"/>
      <c r="M253" s="10"/>
      <c r="N253" s="10"/>
      <c r="O253" s="10"/>
      <c r="P253" s="85"/>
      <c r="Q253" s="88"/>
      <c r="R253" s="3">
        <f>IFERROR(VLOOKUP(TablaJunio[[#This Row],[BARRIO]],SECTOR!$A:$B,2,0),"")</f>
      </c>
      <c r="S253" s="89"/>
      <c r="T253" s="90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6"/>
      <c r="AZ253" s="120">
        <f>COUNTIF(U253:AY253,"A")</f>
      </c>
      <c r="BA253" s="121">
        <f>COUNTIF(U253:AY253,"F")</f>
      </c>
      <c r="BB253" s="119">
        <f>COUNTIF(U253:AY253,"E")</f>
      </c>
    </row>
    <row r="254" spans="1:54" x14ac:dyDescent="0.2">
      <c r="A254" s="84"/>
      <c r="B254" s="85"/>
      <c r="C254" s="85"/>
      <c r="D254" s="85"/>
      <c r="E254" s="86"/>
      <c r="F254" s="16">
        <f>IF(E254="","",DATEDIF(E254,$I$7,"Y"))</f>
      </c>
      <c r="G254" s="85"/>
      <c r="H254" s="85"/>
      <c r="I254" s="87"/>
      <c r="J254" s="85"/>
      <c r="K254" s="85"/>
      <c r="L254" s="10"/>
      <c r="M254" s="10"/>
      <c r="N254" s="10"/>
      <c r="O254" s="10"/>
      <c r="P254" s="85"/>
      <c r="Q254" s="88"/>
      <c r="R254" s="3">
        <f>IFERROR(VLOOKUP(TablaJunio[[#This Row],[BARRIO]],SECTOR!$A:$B,2,0),"")</f>
      </c>
      <c r="S254" s="89"/>
      <c r="T254" s="90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6"/>
      <c r="AZ254" s="120">
        <f>COUNTIF(U254:AY254,"A")</f>
      </c>
      <c r="BA254" s="121">
        <f>COUNTIF(U254:AY254,"F")</f>
      </c>
      <c r="BB254" s="119">
        <f>COUNTIF(U254:AY254,"E")</f>
      </c>
    </row>
    <row r="255" spans="1:54" x14ac:dyDescent="0.2">
      <c r="A255" s="84"/>
      <c r="B255" s="85"/>
      <c r="C255" s="85"/>
      <c r="D255" s="85"/>
      <c r="E255" s="86"/>
      <c r="F255" s="16">
        <f>IF(E255="","",DATEDIF(E255,$I$7,"Y"))</f>
      </c>
      <c r="G255" s="85"/>
      <c r="H255" s="85"/>
      <c r="I255" s="87"/>
      <c r="J255" s="85"/>
      <c r="K255" s="85"/>
      <c r="L255" s="10"/>
      <c r="M255" s="10"/>
      <c r="N255" s="10"/>
      <c r="O255" s="10"/>
      <c r="P255" s="85"/>
      <c r="Q255" s="88"/>
      <c r="R255" s="3">
        <f>IFERROR(VLOOKUP(TablaJunio[[#This Row],[BARRIO]],SECTOR!$A:$B,2,0),"")</f>
      </c>
      <c r="S255" s="89"/>
      <c r="T255" s="90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6"/>
      <c r="AZ255" s="120">
        <f>COUNTIF(U255:AY255,"A")</f>
      </c>
      <c r="BA255" s="121">
        <f>COUNTIF(U255:AY255,"F")</f>
      </c>
      <c r="BB255" s="119">
        <f>COUNTIF(U255:AY255,"E")</f>
      </c>
    </row>
    <row r="256" spans="1:54" x14ac:dyDescent="0.2">
      <c r="A256" s="84"/>
      <c r="B256" s="85"/>
      <c r="C256" s="85"/>
      <c r="D256" s="85"/>
      <c r="E256" s="86"/>
      <c r="F256" s="16">
        <f>IF(E256="","",DATEDIF(E256,$I$7,"Y"))</f>
      </c>
      <c r="G256" s="85"/>
      <c r="H256" s="85"/>
      <c r="I256" s="87"/>
      <c r="J256" s="85"/>
      <c r="K256" s="85"/>
      <c r="L256" s="10"/>
      <c r="M256" s="10"/>
      <c r="N256" s="10"/>
      <c r="O256" s="10"/>
      <c r="P256" s="85"/>
      <c r="Q256" s="88"/>
      <c r="R256" s="3">
        <f>IFERROR(VLOOKUP(TablaJunio[[#This Row],[BARRIO]],SECTOR!$A:$B,2,0),"")</f>
      </c>
      <c r="S256" s="89"/>
      <c r="T256" s="90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6"/>
      <c r="AZ256" s="120">
        <f>COUNTIF(U256:AY256,"A")</f>
      </c>
      <c r="BA256" s="121">
        <f>COUNTIF(U256:AY256,"F")</f>
      </c>
      <c r="BB256" s="119">
        <f>COUNTIF(U256:AY256,"E")</f>
      </c>
    </row>
    <row r="257" spans="1:54" x14ac:dyDescent="0.2">
      <c r="A257" s="84"/>
      <c r="B257" s="85"/>
      <c r="C257" s="85"/>
      <c r="D257" s="85"/>
      <c r="E257" s="86"/>
      <c r="F257" s="16">
        <f>IF(E257="","",DATEDIF(E257,$I$7,"Y"))</f>
      </c>
      <c r="G257" s="85"/>
      <c r="H257" s="85"/>
      <c r="I257" s="87"/>
      <c r="J257" s="85"/>
      <c r="K257" s="85"/>
      <c r="L257" s="10"/>
      <c r="M257" s="10"/>
      <c r="N257" s="10"/>
      <c r="O257" s="10"/>
      <c r="P257" s="85"/>
      <c r="Q257" s="88"/>
      <c r="R257" s="3">
        <f>IFERROR(VLOOKUP(TablaJunio[[#This Row],[BARRIO]],SECTOR!$A:$B,2,0),"")</f>
      </c>
      <c r="S257" s="89"/>
      <c r="T257" s="90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6"/>
      <c r="AZ257" s="120">
        <f>COUNTIF(U257:AY257,"A")</f>
      </c>
      <c r="BA257" s="121">
        <f>COUNTIF(U257:AY257,"F")</f>
      </c>
      <c r="BB257" s="119">
        <f>COUNTIF(U257:AY257,"E")</f>
      </c>
    </row>
    <row r="258" spans="1:54" x14ac:dyDescent="0.2">
      <c r="A258" s="84"/>
      <c r="B258" s="85"/>
      <c r="C258" s="85"/>
      <c r="D258" s="85"/>
      <c r="E258" s="86"/>
      <c r="F258" s="16">
        <f>IF(E258="","",DATEDIF(E258,$I$7,"Y"))</f>
      </c>
      <c r="G258" s="85"/>
      <c r="H258" s="85"/>
      <c r="I258" s="87"/>
      <c r="J258" s="85"/>
      <c r="K258" s="85"/>
      <c r="L258" s="10"/>
      <c r="M258" s="10"/>
      <c r="N258" s="10"/>
      <c r="O258" s="10"/>
      <c r="P258" s="85"/>
      <c r="Q258" s="88"/>
      <c r="R258" s="3">
        <f>IFERROR(VLOOKUP(TablaJunio[[#This Row],[BARRIO]],SECTOR!$A:$B,2,0),"")</f>
      </c>
      <c r="S258" s="89"/>
      <c r="T258" s="90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6"/>
      <c r="AZ258" s="120">
        <f>COUNTIF(U258:AY258,"A")</f>
      </c>
      <c r="BA258" s="121">
        <f>COUNTIF(U258:AY258,"F")</f>
      </c>
      <c r="BB258" s="119">
        <f>COUNTIF(U258:AY258,"E")</f>
      </c>
    </row>
    <row r="259" spans="1:54" x14ac:dyDescent="0.2">
      <c r="A259" s="84"/>
      <c r="B259" s="85"/>
      <c r="C259" s="85"/>
      <c r="D259" s="85"/>
      <c r="E259" s="86"/>
      <c r="F259" s="16">
        <f>IF(E259="","",DATEDIF(E259,$I$7,"Y"))</f>
      </c>
      <c r="G259" s="85"/>
      <c r="H259" s="85"/>
      <c r="I259" s="87"/>
      <c r="J259" s="85"/>
      <c r="K259" s="85"/>
      <c r="L259" s="10"/>
      <c r="M259" s="10"/>
      <c r="N259" s="10"/>
      <c r="O259" s="10"/>
      <c r="P259" s="85"/>
      <c r="Q259" s="88"/>
      <c r="R259" s="3">
        <f>IFERROR(VLOOKUP(TablaJunio[[#This Row],[BARRIO]],SECTOR!$A:$B,2,0),"")</f>
      </c>
      <c r="S259" s="89"/>
      <c r="T259" s="90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6"/>
      <c r="AZ259" s="120">
        <f>COUNTIF(U259:AY259,"A")</f>
      </c>
      <c r="BA259" s="121">
        <f>COUNTIF(U259:AY259,"F")</f>
      </c>
      <c r="BB259" s="119">
        <f>COUNTIF(U259:AY259,"E")</f>
      </c>
    </row>
    <row r="260" spans="1:54" x14ac:dyDescent="0.2">
      <c r="A260" s="84"/>
      <c r="B260" s="85"/>
      <c r="C260" s="85"/>
      <c r="D260" s="85"/>
      <c r="E260" s="86"/>
      <c r="F260" s="16">
        <f>IF(E260="","",DATEDIF(E260,$I$7,"Y"))</f>
      </c>
      <c r="G260" s="85"/>
      <c r="H260" s="85"/>
      <c r="I260" s="87"/>
      <c r="J260" s="85"/>
      <c r="K260" s="85"/>
      <c r="L260" s="10"/>
      <c r="M260" s="10"/>
      <c r="N260" s="10"/>
      <c r="O260" s="10"/>
      <c r="P260" s="85"/>
      <c r="Q260" s="88"/>
      <c r="R260" s="3">
        <f>IFERROR(VLOOKUP(TablaJunio[[#This Row],[BARRIO]],SECTOR!$A:$B,2,0),"")</f>
      </c>
      <c r="S260" s="89"/>
      <c r="T260" s="90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6"/>
      <c r="AZ260" s="120">
        <f>COUNTIF(U260:AY260,"A")</f>
      </c>
      <c r="BA260" s="121">
        <f>COUNTIF(U260:AY260,"F")</f>
      </c>
      <c r="BB260" s="119">
        <f>COUNTIF(U260:AY260,"E")</f>
      </c>
    </row>
    <row r="261" spans="1:54" x14ac:dyDescent="0.2">
      <c r="A261" s="84"/>
      <c r="B261" s="85"/>
      <c r="C261" s="85"/>
      <c r="D261" s="85"/>
      <c r="E261" s="86"/>
      <c r="F261" s="16">
        <f>IF(E261="","",DATEDIF(E261,$I$7,"Y"))</f>
      </c>
      <c r="G261" s="85"/>
      <c r="H261" s="85"/>
      <c r="I261" s="87"/>
      <c r="J261" s="85"/>
      <c r="K261" s="85"/>
      <c r="L261" s="10"/>
      <c r="M261" s="10"/>
      <c r="N261" s="10"/>
      <c r="O261" s="10"/>
      <c r="P261" s="85"/>
      <c r="Q261" s="88"/>
      <c r="R261" s="3">
        <f>IFERROR(VLOOKUP(TablaJunio[[#This Row],[BARRIO]],SECTOR!$A:$B,2,0),"")</f>
      </c>
      <c r="S261" s="89"/>
      <c r="T261" s="90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6"/>
      <c r="AZ261" s="120">
        <f>COUNTIF(U261:AY261,"A")</f>
      </c>
      <c r="BA261" s="121">
        <f>COUNTIF(U261:AY261,"F")</f>
      </c>
      <c r="BB261" s="119">
        <f>COUNTIF(U261:AY261,"E")</f>
      </c>
    </row>
    <row r="262" spans="1:54" x14ac:dyDescent="0.2">
      <c r="A262" s="84"/>
      <c r="B262" s="85"/>
      <c r="C262" s="85"/>
      <c r="D262" s="85"/>
      <c r="E262" s="86"/>
      <c r="F262" s="16">
        <f>IF(E262="","",DATEDIF(E262,$I$7,"Y"))</f>
      </c>
      <c r="G262" s="85"/>
      <c r="H262" s="85"/>
      <c r="I262" s="87"/>
      <c r="J262" s="85"/>
      <c r="K262" s="85"/>
      <c r="L262" s="10"/>
      <c r="M262" s="10"/>
      <c r="N262" s="10"/>
      <c r="O262" s="10"/>
      <c r="P262" s="85"/>
      <c r="Q262" s="88"/>
      <c r="R262" s="3">
        <f>IFERROR(VLOOKUP(TablaJunio[[#This Row],[BARRIO]],SECTOR!$A:$B,2,0),"")</f>
      </c>
      <c r="S262" s="89"/>
      <c r="T262" s="90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6"/>
      <c r="AZ262" s="120">
        <f>COUNTIF(U262:AY262,"A")</f>
      </c>
      <c r="BA262" s="121">
        <f>COUNTIF(U262:AY262,"F")</f>
      </c>
      <c r="BB262" s="119">
        <f>COUNTIF(U262:AY262,"E")</f>
      </c>
    </row>
    <row r="263" spans="1:54" x14ac:dyDescent="0.2">
      <c r="A263" s="84"/>
      <c r="B263" s="85"/>
      <c r="C263" s="85"/>
      <c r="D263" s="85"/>
      <c r="E263" s="86"/>
      <c r="F263" s="16">
        <f>IF(E263="","",DATEDIF(E263,$I$7,"Y"))</f>
      </c>
      <c r="G263" s="85"/>
      <c r="H263" s="85"/>
      <c r="I263" s="87"/>
      <c r="J263" s="85"/>
      <c r="K263" s="85"/>
      <c r="L263" s="10"/>
      <c r="M263" s="10"/>
      <c r="N263" s="10"/>
      <c r="O263" s="10"/>
      <c r="P263" s="85"/>
      <c r="Q263" s="88"/>
      <c r="R263" s="3">
        <f>IFERROR(VLOOKUP(TablaJunio[[#This Row],[BARRIO]],SECTOR!$A:$B,2,0),"")</f>
      </c>
      <c r="S263" s="89"/>
      <c r="T263" s="90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6"/>
      <c r="AZ263" s="120">
        <f>COUNTIF(U263:AY263,"A")</f>
      </c>
      <c r="BA263" s="121">
        <f>COUNTIF(U263:AY263,"F")</f>
      </c>
      <c r="BB263" s="119">
        <f>COUNTIF(U263:AY263,"E")</f>
      </c>
    </row>
    <row r="264" spans="1:54" x14ac:dyDescent="0.2">
      <c r="A264" s="84"/>
      <c r="B264" s="85"/>
      <c r="C264" s="85"/>
      <c r="D264" s="85"/>
      <c r="E264" s="86"/>
      <c r="F264" s="16">
        <f>IF(E264="","",DATEDIF(E264,$I$7,"Y"))</f>
      </c>
      <c r="G264" s="85"/>
      <c r="H264" s="85"/>
      <c r="I264" s="87"/>
      <c r="J264" s="85"/>
      <c r="K264" s="85"/>
      <c r="L264" s="10"/>
      <c r="M264" s="10"/>
      <c r="N264" s="10"/>
      <c r="O264" s="10"/>
      <c r="P264" s="85"/>
      <c r="Q264" s="88"/>
      <c r="R264" s="3">
        <f>IFERROR(VLOOKUP(TablaJunio[[#This Row],[BARRIO]],SECTOR!$A:$B,2,0),"")</f>
      </c>
      <c r="S264" s="89"/>
      <c r="T264" s="90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6"/>
      <c r="AZ264" s="120">
        <f>COUNTIF(U264:AY264,"A")</f>
      </c>
      <c r="BA264" s="121">
        <f>COUNTIF(U264:AY264,"F")</f>
      </c>
      <c r="BB264" s="119">
        <f>COUNTIF(U264:AY264,"E")</f>
      </c>
    </row>
    <row r="265" spans="1:54" x14ac:dyDescent="0.2">
      <c r="A265" s="84"/>
      <c r="B265" s="85"/>
      <c r="C265" s="85"/>
      <c r="D265" s="85"/>
      <c r="E265" s="86"/>
      <c r="F265" s="16">
        <f>IF(E265="","",DATEDIF(E265,$I$7,"Y"))</f>
      </c>
      <c r="G265" s="85"/>
      <c r="H265" s="85"/>
      <c r="I265" s="87"/>
      <c r="J265" s="85"/>
      <c r="K265" s="85"/>
      <c r="L265" s="10"/>
      <c r="M265" s="10"/>
      <c r="N265" s="10"/>
      <c r="O265" s="10"/>
      <c r="P265" s="85"/>
      <c r="Q265" s="88"/>
      <c r="R265" s="3">
        <f>IFERROR(VLOOKUP(TablaJunio[[#This Row],[BARRIO]],SECTOR!$A:$B,2,0),"")</f>
      </c>
      <c r="S265" s="89"/>
      <c r="T265" s="90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6"/>
      <c r="AZ265" s="120">
        <f>COUNTIF(U265:AY265,"A")</f>
      </c>
      <c r="BA265" s="121">
        <f>COUNTIF(U265:AY265,"F")</f>
      </c>
      <c r="BB265" s="119">
        <f>COUNTIF(U265:AY265,"E")</f>
      </c>
    </row>
    <row r="266" spans="1:54" x14ac:dyDescent="0.2">
      <c r="A266" s="84"/>
      <c r="B266" s="85"/>
      <c r="C266" s="85"/>
      <c r="D266" s="85"/>
      <c r="E266" s="86"/>
      <c r="F266" s="16">
        <f>IF(E266="","",DATEDIF(E266,$I$7,"Y"))</f>
      </c>
      <c r="G266" s="85"/>
      <c r="H266" s="85"/>
      <c r="I266" s="87"/>
      <c r="J266" s="85"/>
      <c r="K266" s="85"/>
      <c r="L266" s="10"/>
      <c r="M266" s="10"/>
      <c r="N266" s="10"/>
      <c r="O266" s="10"/>
      <c r="P266" s="85"/>
      <c r="Q266" s="88"/>
      <c r="R266" s="3">
        <f>IFERROR(VLOOKUP(TablaJunio[[#This Row],[BARRIO]],SECTOR!$A:$B,2,0),"")</f>
      </c>
      <c r="S266" s="89"/>
      <c r="T266" s="90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6"/>
      <c r="AZ266" s="120">
        <f>COUNTIF(U266:AY266,"A")</f>
      </c>
      <c r="BA266" s="121">
        <f>COUNTIF(U266:AY266,"F")</f>
      </c>
      <c r="BB266" s="119">
        <f>COUNTIF(U266:AY266,"E")</f>
      </c>
    </row>
    <row r="267" spans="1:54" x14ac:dyDescent="0.2">
      <c r="A267" s="84"/>
      <c r="B267" s="85"/>
      <c r="C267" s="85"/>
      <c r="D267" s="85"/>
      <c r="E267" s="86"/>
      <c r="F267" s="16">
        <f>IF(E267="","",DATEDIF(E267,$I$7,"Y"))</f>
      </c>
      <c r="G267" s="85"/>
      <c r="H267" s="85"/>
      <c r="I267" s="87"/>
      <c r="J267" s="85"/>
      <c r="K267" s="85"/>
      <c r="L267" s="10"/>
      <c r="M267" s="10"/>
      <c r="N267" s="10"/>
      <c r="O267" s="10"/>
      <c r="P267" s="85"/>
      <c r="Q267" s="88"/>
      <c r="R267" s="3">
        <f>IFERROR(VLOOKUP(TablaJunio[[#This Row],[BARRIO]],SECTOR!$A:$B,2,0),"")</f>
      </c>
      <c r="S267" s="89"/>
      <c r="T267" s="90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6"/>
      <c r="AZ267" s="120">
        <f>COUNTIF(U267:AY267,"A")</f>
      </c>
      <c r="BA267" s="121">
        <f>COUNTIF(U267:AY267,"F")</f>
      </c>
      <c r="BB267" s="119">
        <f>COUNTIF(U267:AY267,"E")</f>
      </c>
    </row>
    <row r="268" spans="1:54" x14ac:dyDescent="0.2">
      <c r="A268" s="84"/>
      <c r="B268" s="85"/>
      <c r="C268" s="85"/>
      <c r="D268" s="85"/>
      <c r="E268" s="86"/>
      <c r="F268" s="16">
        <f>IF(E268="","",DATEDIF(E268,$I$7,"Y"))</f>
      </c>
      <c r="G268" s="85"/>
      <c r="H268" s="85"/>
      <c r="I268" s="87"/>
      <c r="J268" s="85"/>
      <c r="K268" s="85"/>
      <c r="L268" s="10"/>
      <c r="M268" s="10"/>
      <c r="N268" s="10"/>
      <c r="O268" s="10"/>
      <c r="P268" s="85"/>
      <c r="Q268" s="88"/>
      <c r="R268" s="3">
        <f>IFERROR(VLOOKUP(TablaJunio[[#This Row],[BARRIO]],SECTOR!$A:$B,2,0),"")</f>
      </c>
      <c r="S268" s="89"/>
      <c r="T268" s="90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6"/>
      <c r="AZ268" s="120">
        <f>COUNTIF(U268:AY268,"A")</f>
      </c>
      <c r="BA268" s="121">
        <f>COUNTIF(U268:AY268,"F")</f>
      </c>
      <c r="BB268" s="119">
        <f>COUNTIF(U268:AY268,"E")</f>
      </c>
    </row>
    <row r="269" spans="1:54" x14ac:dyDescent="0.2">
      <c r="A269" s="84"/>
      <c r="B269" s="85"/>
      <c r="C269" s="85"/>
      <c r="D269" s="85"/>
      <c r="E269" s="86"/>
      <c r="F269" s="16">
        <f>IF(E269="","",DATEDIF(E269,$I$7,"Y"))</f>
      </c>
      <c r="G269" s="85"/>
      <c r="H269" s="85"/>
      <c r="I269" s="87"/>
      <c r="J269" s="85"/>
      <c r="K269" s="85"/>
      <c r="L269" s="10"/>
      <c r="M269" s="10"/>
      <c r="N269" s="10"/>
      <c r="O269" s="10"/>
      <c r="P269" s="85"/>
      <c r="Q269" s="88"/>
      <c r="R269" s="3">
        <f>IFERROR(VLOOKUP(TablaJunio[[#This Row],[BARRIO]],SECTOR!$A:$B,2,0),"")</f>
      </c>
      <c r="S269" s="89"/>
      <c r="T269" s="90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6"/>
      <c r="AZ269" s="120">
        <f>COUNTIF(U269:AY269,"A")</f>
      </c>
      <c r="BA269" s="121">
        <f>COUNTIF(U269:AY269,"F")</f>
      </c>
      <c r="BB269" s="119">
        <f>COUNTIF(U269:AY269,"E")</f>
      </c>
    </row>
    <row r="270" spans="1:54" x14ac:dyDescent="0.2">
      <c r="A270" s="84"/>
      <c r="B270" s="85"/>
      <c r="C270" s="85"/>
      <c r="D270" s="85"/>
      <c r="E270" s="86"/>
      <c r="F270" s="16">
        <f>IF(E270="","",DATEDIF(E270,$I$7,"Y"))</f>
      </c>
      <c r="G270" s="85"/>
      <c r="H270" s="85"/>
      <c r="I270" s="87"/>
      <c r="J270" s="85"/>
      <c r="K270" s="85"/>
      <c r="L270" s="10"/>
      <c r="M270" s="10"/>
      <c r="N270" s="10"/>
      <c r="O270" s="10"/>
      <c r="P270" s="85"/>
      <c r="Q270" s="88"/>
      <c r="R270" s="3">
        <f>IFERROR(VLOOKUP(TablaJunio[[#This Row],[BARRIO]],SECTOR!$A:$B,2,0),"")</f>
      </c>
      <c r="S270" s="89"/>
      <c r="T270" s="90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6"/>
      <c r="AZ270" s="120">
        <f>COUNTIF(U270:AY270,"A")</f>
      </c>
      <c r="BA270" s="121">
        <f>COUNTIF(U270:AY270,"F")</f>
      </c>
      <c r="BB270" s="119">
        <f>COUNTIF(U270:AY270,"E")</f>
      </c>
    </row>
    <row r="271" spans="1:54" x14ac:dyDescent="0.2">
      <c r="A271" s="84"/>
      <c r="B271" s="85"/>
      <c r="C271" s="85"/>
      <c r="D271" s="85"/>
      <c r="E271" s="86"/>
      <c r="F271" s="16">
        <f>IF(E271="","",DATEDIF(E271,$I$7,"Y"))</f>
      </c>
      <c r="G271" s="85"/>
      <c r="H271" s="85"/>
      <c r="I271" s="87"/>
      <c r="J271" s="85"/>
      <c r="K271" s="85"/>
      <c r="L271" s="10"/>
      <c r="M271" s="10"/>
      <c r="N271" s="10"/>
      <c r="O271" s="10"/>
      <c r="P271" s="85"/>
      <c r="Q271" s="88"/>
      <c r="R271" s="3">
        <f>IFERROR(VLOOKUP(TablaJunio[[#This Row],[BARRIO]],SECTOR!$A:$B,2,0),"")</f>
      </c>
      <c r="S271" s="89"/>
      <c r="T271" s="90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6"/>
      <c r="AZ271" s="120">
        <f>COUNTIF(U271:AY271,"A")</f>
      </c>
      <c r="BA271" s="121">
        <f>COUNTIF(U271:AY271,"F")</f>
      </c>
      <c r="BB271" s="119">
        <f>COUNTIF(U271:AY271,"E")</f>
      </c>
    </row>
    <row r="272" spans="1:54" x14ac:dyDescent="0.2">
      <c r="A272" s="84"/>
      <c r="B272" s="85"/>
      <c r="C272" s="85"/>
      <c r="D272" s="85"/>
      <c r="E272" s="86"/>
      <c r="F272" s="16">
        <f>IF(E272="","",DATEDIF(E272,$I$7,"Y"))</f>
      </c>
      <c r="G272" s="85"/>
      <c r="H272" s="85"/>
      <c r="I272" s="87"/>
      <c r="J272" s="85"/>
      <c r="K272" s="85"/>
      <c r="L272" s="10"/>
      <c r="M272" s="10"/>
      <c r="N272" s="10"/>
      <c r="O272" s="10"/>
      <c r="P272" s="85"/>
      <c r="Q272" s="88"/>
      <c r="R272" s="3">
        <f>IFERROR(VLOOKUP(TablaJunio[[#This Row],[BARRIO]],SECTOR!$A:$B,2,0),"")</f>
      </c>
      <c r="S272" s="89"/>
      <c r="T272" s="90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6"/>
      <c r="AZ272" s="120">
        <f>COUNTIF(U272:AY272,"A")</f>
      </c>
      <c r="BA272" s="121">
        <f>COUNTIF(U272:AY272,"F")</f>
      </c>
      <c r="BB272" s="119">
        <f>COUNTIF(U272:AY272,"E")</f>
      </c>
    </row>
    <row r="273" spans="1:54" x14ac:dyDescent="0.2">
      <c r="A273" s="84"/>
      <c r="B273" s="85"/>
      <c r="C273" s="85"/>
      <c r="D273" s="85"/>
      <c r="E273" s="86"/>
      <c r="F273" s="16">
        <f>IF(E273="","",DATEDIF(E273,$I$7,"Y"))</f>
      </c>
      <c r="G273" s="85"/>
      <c r="H273" s="85"/>
      <c r="I273" s="87"/>
      <c r="J273" s="85"/>
      <c r="K273" s="85"/>
      <c r="L273" s="10"/>
      <c r="M273" s="10"/>
      <c r="N273" s="10"/>
      <c r="O273" s="10"/>
      <c r="P273" s="85"/>
      <c r="Q273" s="88"/>
      <c r="R273" s="3">
        <f>IFERROR(VLOOKUP(TablaJunio[[#This Row],[BARRIO]],SECTOR!$A:$B,2,0),"")</f>
      </c>
      <c r="S273" s="89"/>
      <c r="T273" s="90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6"/>
      <c r="AZ273" s="120">
        <f>COUNTIF(U273:AY273,"A")</f>
      </c>
      <c r="BA273" s="121">
        <f>COUNTIF(U273:AY273,"F")</f>
      </c>
      <c r="BB273" s="119">
        <f>COUNTIF(U273:AY273,"E")</f>
      </c>
    </row>
    <row r="274" spans="1:54" x14ac:dyDescent="0.2">
      <c r="A274" s="84"/>
      <c r="B274" s="85"/>
      <c r="C274" s="85"/>
      <c r="D274" s="85"/>
      <c r="E274" s="86"/>
      <c r="F274" s="16">
        <f>IF(E274="","",DATEDIF(E274,$I$7,"Y"))</f>
      </c>
      <c r="G274" s="85"/>
      <c r="H274" s="85"/>
      <c r="I274" s="87"/>
      <c r="J274" s="85"/>
      <c r="K274" s="85"/>
      <c r="L274" s="10"/>
      <c r="M274" s="10"/>
      <c r="N274" s="10"/>
      <c r="O274" s="10"/>
      <c r="P274" s="85"/>
      <c r="Q274" s="88"/>
      <c r="R274" s="3">
        <f>IFERROR(VLOOKUP(TablaJunio[[#This Row],[BARRIO]],SECTOR!$A:$B,2,0),"")</f>
      </c>
      <c r="S274" s="89"/>
      <c r="T274" s="90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6"/>
      <c r="AZ274" s="120">
        <f>COUNTIF(U274:AY274,"A")</f>
      </c>
      <c r="BA274" s="121">
        <f>COUNTIF(U274:AY274,"F")</f>
      </c>
      <c r="BB274" s="119">
        <f>COUNTIF(U274:AY274,"E")</f>
      </c>
    </row>
    <row r="275" spans="1:54" x14ac:dyDescent="0.2">
      <c r="A275" s="84"/>
      <c r="B275" s="85"/>
      <c r="C275" s="85"/>
      <c r="D275" s="85"/>
      <c r="E275" s="86"/>
      <c r="F275" s="16">
        <f>IF(E275="","",DATEDIF(E275,$I$7,"Y"))</f>
      </c>
      <c r="G275" s="85"/>
      <c r="H275" s="85"/>
      <c r="I275" s="87"/>
      <c r="J275" s="85"/>
      <c r="K275" s="85"/>
      <c r="L275" s="10"/>
      <c r="M275" s="10"/>
      <c r="N275" s="10"/>
      <c r="O275" s="10"/>
      <c r="P275" s="85"/>
      <c r="Q275" s="88"/>
      <c r="R275" s="3">
        <f>IFERROR(VLOOKUP(TablaJunio[[#This Row],[BARRIO]],SECTOR!$A:$B,2,0),"")</f>
      </c>
      <c r="S275" s="89"/>
      <c r="T275" s="90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6"/>
      <c r="AZ275" s="120">
        <f>COUNTIF(U275:AY275,"A")</f>
      </c>
      <c r="BA275" s="121">
        <f>COUNTIF(U275:AY275,"F")</f>
      </c>
      <c r="BB275" s="119">
        <f>COUNTIF(U275:AY275,"E")</f>
      </c>
    </row>
    <row r="276" spans="1:54" x14ac:dyDescent="0.2">
      <c r="A276" s="84"/>
      <c r="B276" s="85"/>
      <c r="C276" s="85"/>
      <c r="D276" s="85"/>
      <c r="E276" s="86"/>
      <c r="F276" s="16">
        <f>IF(E276="","",DATEDIF(E276,$I$7,"Y"))</f>
      </c>
      <c r="G276" s="85"/>
      <c r="H276" s="85"/>
      <c r="I276" s="87"/>
      <c r="J276" s="85"/>
      <c r="K276" s="85"/>
      <c r="L276" s="10"/>
      <c r="M276" s="10"/>
      <c r="N276" s="10"/>
      <c r="O276" s="10"/>
      <c r="P276" s="85"/>
      <c r="Q276" s="88"/>
      <c r="R276" s="3">
        <f>IFERROR(VLOOKUP(TablaJunio[[#This Row],[BARRIO]],SECTOR!$A:$B,2,0),"")</f>
      </c>
      <c r="S276" s="89"/>
      <c r="T276" s="90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6"/>
      <c r="AZ276" s="120">
        <f>COUNTIF(U276:AY276,"A")</f>
      </c>
      <c r="BA276" s="121">
        <f>COUNTIF(U276:AY276,"F")</f>
      </c>
      <c r="BB276" s="119">
        <f>COUNTIF(U276:AY276,"E")</f>
      </c>
    </row>
    <row r="277" spans="1:54" x14ac:dyDescent="0.2">
      <c r="A277" s="84"/>
      <c r="B277" s="85"/>
      <c r="C277" s="85"/>
      <c r="D277" s="85"/>
      <c r="E277" s="86"/>
      <c r="F277" s="16">
        <f>IF(E277="","",DATEDIF(E277,$I$7,"Y"))</f>
      </c>
      <c r="G277" s="85"/>
      <c r="H277" s="85"/>
      <c r="I277" s="87"/>
      <c r="J277" s="85"/>
      <c r="K277" s="85"/>
      <c r="L277" s="10"/>
      <c r="M277" s="10"/>
      <c r="N277" s="10"/>
      <c r="O277" s="10"/>
      <c r="P277" s="85"/>
      <c r="Q277" s="88"/>
      <c r="R277" s="3">
        <f>IFERROR(VLOOKUP(TablaJunio[[#This Row],[BARRIO]],SECTOR!$A:$B,2,0),"")</f>
      </c>
      <c r="S277" s="89"/>
      <c r="T277" s="90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6"/>
      <c r="AZ277" s="120">
        <f>COUNTIF(U277:AY277,"A")</f>
      </c>
      <c r="BA277" s="121">
        <f>COUNTIF(U277:AY277,"F")</f>
      </c>
      <c r="BB277" s="119">
        <f>COUNTIF(U277:AY277,"E")</f>
      </c>
    </row>
    <row r="278" spans="1:54" x14ac:dyDescent="0.2">
      <c r="A278" s="84"/>
      <c r="B278" s="85"/>
      <c r="C278" s="85"/>
      <c r="D278" s="85"/>
      <c r="E278" s="86"/>
      <c r="F278" s="16">
        <f>IF(E278="","",DATEDIF(E278,$I$7,"Y"))</f>
      </c>
      <c r="G278" s="85"/>
      <c r="H278" s="85"/>
      <c r="I278" s="87"/>
      <c r="J278" s="85"/>
      <c r="K278" s="85"/>
      <c r="L278" s="10"/>
      <c r="M278" s="10"/>
      <c r="N278" s="10"/>
      <c r="O278" s="10"/>
      <c r="P278" s="85"/>
      <c r="Q278" s="88"/>
      <c r="R278" s="3">
        <f>IFERROR(VLOOKUP(TablaJunio[[#This Row],[BARRIO]],SECTOR!$A:$B,2,0),"")</f>
      </c>
      <c r="S278" s="89"/>
      <c r="T278" s="90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6"/>
      <c r="AZ278" s="120">
        <f>COUNTIF(U278:AY278,"A")</f>
      </c>
      <c r="BA278" s="121">
        <f>COUNTIF(U278:AY278,"F")</f>
      </c>
      <c r="BB278" s="119">
        <f>COUNTIF(U278:AY278,"E")</f>
      </c>
    </row>
    <row r="279" spans="1:54" x14ac:dyDescent="0.2">
      <c r="A279" s="84"/>
      <c r="B279" s="85"/>
      <c r="C279" s="85"/>
      <c r="D279" s="85"/>
      <c r="E279" s="86"/>
      <c r="F279" s="16">
        <f>IF(E279="","",DATEDIF(E279,$I$7,"Y"))</f>
      </c>
      <c r="G279" s="85"/>
      <c r="H279" s="85"/>
      <c r="I279" s="87"/>
      <c r="J279" s="85"/>
      <c r="K279" s="85"/>
      <c r="L279" s="10"/>
      <c r="M279" s="10"/>
      <c r="N279" s="10"/>
      <c r="O279" s="10"/>
      <c r="P279" s="85"/>
      <c r="Q279" s="88"/>
      <c r="R279" s="3">
        <f>IFERROR(VLOOKUP(TablaJunio[[#This Row],[BARRIO]],SECTOR!$A:$B,2,0),"")</f>
      </c>
      <c r="S279" s="89"/>
      <c r="T279" s="90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6"/>
      <c r="AZ279" s="120">
        <f>COUNTIF(U279:AY279,"A")</f>
      </c>
      <c r="BA279" s="121">
        <f>COUNTIF(U279:AY279,"F")</f>
      </c>
      <c r="BB279" s="119">
        <f>COUNTIF(U279:AY279,"E")</f>
      </c>
    </row>
    <row r="280" spans="1:54" x14ac:dyDescent="0.2">
      <c r="A280" s="84"/>
      <c r="B280" s="85"/>
      <c r="C280" s="85"/>
      <c r="D280" s="85"/>
      <c r="E280" s="86"/>
      <c r="F280" s="16">
        <f>IF(E280="","",DATEDIF(E280,$I$7,"Y"))</f>
      </c>
      <c r="G280" s="85"/>
      <c r="H280" s="85"/>
      <c r="I280" s="87"/>
      <c r="J280" s="85"/>
      <c r="K280" s="85"/>
      <c r="L280" s="10"/>
      <c r="M280" s="10"/>
      <c r="N280" s="10"/>
      <c r="O280" s="10"/>
      <c r="P280" s="85"/>
      <c r="Q280" s="88"/>
      <c r="R280" s="3">
        <f>IFERROR(VLOOKUP(TablaJunio[[#This Row],[BARRIO]],SECTOR!$A:$B,2,0),"")</f>
      </c>
      <c r="S280" s="89"/>
      <c r="T280" s="90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6"/>
      <c r="AZ280" s="120">
        <f>COUNTIF(U280:AY280,"A")</f>
      </c>
      <c r="BA280" s="121">
        <f>COUNTIF(U280:AY280,"F")</f>
      </c>
      <c r="BB280" s="119">
        <f>COUNTIF(U280:AY280,"E")</f>
      </c>
    </row>
    <row r="281" spans="1:54" x14ac:dyDescent="0.2">
      <c r="A281" s="84"/>
      <c r="B281" s="85"/>
      <c r="C281" s="85"/>
      <c r="D281" s="85"/>
      <c r="E281" s="86"/>
      <c r="F281" s="16">
        <f>IF(E281="","",DATEDIF(E281,$I$7,"Y"))</f>
      </c>
      <c r="G281" s="85"/>
      <c r="H281" s="85"/>
      <c r="I281" s="87"/>
      <c r="J281" s="85"/>
      <c r="K281" s="85"/>
      <c r="L281" s="10"/>
      <c r="M281" s="10"/>
      <c r="N281" s="10"/>
      <c r="O281" s="10"/>
      <c r="P281" s="85"/>
      <c r="Q281" s="88"/>
      <c r="R281" s="3">
        <f>IFERROR(VLOOKUP(TablaJunio[[#This Row],[BARRIO]],SECTOR!$A:$B,2,0),"")</f>
      </c>
      <c r="S281" s="89"/>
      <c r="T281" s="90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6"/>
      <c r="AZ281" s="120">
        <f>COUNTIF(U281:AY281,"A")</f>
      </c>
      <c r="BA281" s="121">
        <f>COUNTIF(U281:AY281,"F")</f>
      </c>
      <c r="BB281" s="119">
        <f>COUNTIF(U281:AY281,"E")</f>
      </c>
    </row>
    <row r="282" spans="1:54" x14ac:dyDescent="0.2">
      <c r="A282" s="84"/>
      <c r="B282" s="85"/>
      <c r="C282" s="85"/>
      <c r="D282" s="85"/>
      <c r="E282" s="86"/>
      <c r="F282" s="16">
        <f>IF(E282="","",DATEDIF(E282,$I$7,"Y"))</f>
      </c>
      <c r="G282" s="85"/>
      <c r="H282" s="85"/>
      <c r="I282" s="87"/>
      <c r="J282" s="85"/>
      <c r="K282" s="85"/>
      <c r="L282" s="10"/>
      <c r="M282" s="10"/>
      <c r="N282" s="10"/>
      <c r="O282" s="10"/>
      <c r="P282" s="85"/>
      <c r="Q282" s="88"/>
      <c r="R282" s="3">
        <f>IFERROR(VLOOKUP(TablaJunio[[#This Row],[BARRIO]],SECTOR!$A:$B,2,0),"")</f>
      </c>
      <c r="S282" s="89"/>
      <c r="T282" s="90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6"/>
      <c r="AZ282" s="120">
        <f>COUNTIF(U282:AY282,"A")</f>
      </c>
      <c r="BA282" s="121">
        <f>COUNTIF(U282:AY282,"F")</f>
      </c>
      <c r="BB282" s="119">
        <f>COUNTIF(U282:AY282,"E")</f>
      </c>
    </row>
    <row r="283" spans="1:54" x14ac:dyDescent="0.2">
      <c r="A283" s="84"/>
      <c r="B283" s="85"/>
      <c r="C283" s="85"/>
      <c r="D283" s="85"/>
      <c r="E283" s="86"/>
      <c r="F283" s="16">
        <f>IF(E283="","",DATEDIF(E283,$I$7,"Y"))</f>
      </c>
      <c r="G283" s="85"/>
      <c r="H283" s="85"/>
      <c r="I283" s="87"/>
      <c r="J283" s="85"/>
      <c r="K283" s="85"/>
      <c r="L283" s="10"/>
      <c r="M283" s="10"/>
      <c r="N283" s="10"/>
      <c r="O283" s="10"/>
      <c r="P283" s="85"/>
      <c r="Q283" s="88"/>
      <c r="R283" s="3">
        <f>IFERROR(VLOOKUP(TablaJunio[[#This Row],[BARRIO]],SECTOR!$A:$B,2,0),"")</f>
      </c>
      <c r="S283" s="89"/>
      <c r="T283" s="90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6"/>
      <c r="AZ283" s="120">
        <f>COUNTIF(U283:AY283,"A")</f>
      </c>
      <c r="BA283" s="121">
        <f>COUNTIF(U283:AY283,"F")</f>
      </c>
      <c r="BB283" s="119">
        <f>COUNTIF(U283:AY283,"E")</f>
      </c>
    </row>
    <row r="284" spans="1:54" x14ac:dyDescent="0.2">
      <c r="A284" s="84"/>
      <c r="B284" s="85"/>
      <c r="C284" s="85"/>
      <c r="D284" s="85"/>
      <c r="E284" s="86"/>
      <c r="F284" s="16">
        <f>IF(E284="","",DATEDIF(E284,$I$7,"Y"))</f>
      </c>
      <c r="G284" s="85"/>
      <c r="H284" s="85"/>
      <c r="I284" s="87"/>
      <c r="J284" s="85"/>
      <c r="K284" s="85"/>
      <c r="L284" s="10"/>
      <c r="M284" s="10"/>
      <c r="N284" s="10"/>
      <c r="O284" s="10"/>
      <c r="P284" s="85"/>
      <c r="Q284" s="88"/>
      <c r="R284" s="3">
        <f>IFERROR(VLOOKUP(TablaJunio[[#This Row],[BARRIO]],SECTOR!$A:$B,2,0),"")</f>
      </c>
      <c r="S284" s="89"/>
      <c r="T284" s="90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6"/>
      <c r="AZ284" s="120">
        <f>COUNTIF(U284:AY284,"A")</f>
      </c>
      <c r="BA284" s="121">
        <f>COUNTIF(U284:AY284,"F")</f>
      </c>
      <c r="BB284" s="119">
        <f>COUNTIF(U284:AY284,"E")</f>
      </c>
    </row>
    <row r="285" spans="1:54" x14ac:dyDescent="0.2">
      <c r="A285" s="84"/>
      <c r="B285" s="85"/>
      <c r="C285" s="85"/>
      <c r="D285" s="85"/>
      <c r="E285" s="86"/>
      <c r="F285" s="16">
        <f>IF(E285="","",DATEDIF(E285,$I$7,"Y"))</f>
      </c>
      <c r="G285" s="85"/>
      <c r="H285" s="85"/>
      <c r="I285" s="87"/>
      <c r="J285" s="85"/>
      <c r="K285" s="85"/>
      <c r="L285" s="10"/>
      <c r="M285" s="10"/>
      <c r="N285" s="10"/>
      <c r="O285" s="10"/>
      <c r="P285" s="85"/>
      <c r="Q285" s="88"/>
      <c r="R285" s="3">
        <f>IFERROR(VLOOKUP(TablaJunio[[#This Row],[BARRIO]],SECTOR!$A:$B,2,0),"")</f>
      </c>
      <c r="S285" s="89"/>
      <c r="T285" s="90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6"/>
      <c r="AZ285" s="120">
        <f>COUNTIF(U285:AY285,"A")</f>
      </c>
      <c r="BA285" s="121">
        <f>COUNTIF(U285:AY285,"F")</f>
      </c>
      <c r="BB285" s="119">
        <f>COUNTIF(U285:AY285,"E")</f>
      </c>
    </row>
    <row r="286" spans="1:54" x14ac:dyDescent="0.2">
      <c r="A286" s="84"/>
      <c r="B286" s="85"/>
      <c r="C286" s="85"/>
      <c r="D286" s="85"/>
      <c r="E286" s="86"/>
      <c r="F286" s="16">
        <f>IF(E286="","",DATEDIF(E286,$I$7,"Y"))</f>
      </c>
      <c r="G286" s="85"/>
      <c r="H286" s="85"/>
      <c r="I286" s="87"/>
      <c r="J286" s="85"/>
      <c r="K286" s="85"/>
      <c r="L286" s="10"/>
      <c r="M286" s="10"/>
      <c r="N286" s="10"/>
      <c r="O286" s="10"/>
      <c r="P286" s="85"/>
      <c r="Q286" s="88"/>
      <c r="R286" s="3">
        <f>IFERROR(VLOOKUP(TablaJunio[[#This Row],[BARRIO]],SECTOR!$A:$B,2,0),"")</f>
      </c>
      <c r="S286" s="89"/>
      <c r="T286" s="90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6"/>
      <c r="AZ286" s="120">
        <f>COUNTIF(U286:AY286,"A")</f>
      </c>
      <c r="BA286" s="121">
        <f>COUNTIF(U286:AY286,"F")</f>
      </c>
      <c r="BB286" s="119">
        <f>COUNTIF(U286:AY286,"E")</f>
      </c>
    </row>
    <row r="287" spans="1:54" x14ac:dyDescent="0.2">
      <c r="A287" s="84"/>
      <c r="B287" s="85"/>
      <c r="C287" s="85"/>
      <c r="D287" s="85"/>
      <c r="E287" s="86"/>
      <c r="F287" s="16">
        <f>IF(E287="","",DATEDIF(E287,$I$7,"Y"))</f>
      </c>
      <c r="G287" s="85"/>
      <c r="H287" s="85"/>
      <c r="I287" s="87"/>
      <c r="J287" s="85"/>
      <c r="K287" s="85"/>
      <c r="L287" s="10"/>
      <c r="M287" s="10"/>
      <c r="N287" s="10"/>
      <c r="O287" s="10"/>
      <c r="P287" s="85"/>
      <c r="Q287" s="88"/>
      <c r="R287" s="3">
        <f>IFERROR(VLOOKUP(TablaJunio[[#This Row],[BARRIO]],SECTOR!$A:$B,2,0),"")</f>
      </c>
      <c r="S287" s="89"/>
      <c r="T287" s="90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6"/>
      <c r="AZ287" s="120">
        <f>COUNTIF(U287:AY287,"A")</f>
      </c>
      <c r="BA287" s="121">
        <f>COUNTIF(U287:AY287,"F")</f>
      </c>
      <c r="BB287" s="119">
        <f>COUNTIF(U287:AY287,"E")</f>
      </c>
    </row>
    <row r="288" spans="1:54" x14ac:dyDescent="0.2">
      <c r="A288" s="84"/>
      <c r="B288" s="85"/>
      <c r="C288" s="85"/>
      <c r="D288" s="85"/>
      <c r="E288" s="86"/>
      <c r="F288" s="16">
        <f>IF(E288="","",DATEDIF(E288,$I$7,"Y"))</f>
      </c>
      <c r="G288" s="85"/>
      <c r="H288" s="85"/>
      <c r="I288" s="87"/>
      <c r="J288" s="85"/>
      <c r="K288" s="85"/>
      <c r="L288" s="10"/>
      <c r="M288" s="10"/>
      <c r="N288" s="10"/>
      <c r="O288" s="10"/>
      <c r="P288" s="85"/>
      <c r="Q288" s="88"/>
      <c r="R288" s="3">
        <f>IFERROR(VLOOKUP(TablaJunio[[#This Row],[BARRIO]],SECTOR!$A:$B,2,0),"")</f>
      </c>
      <c r="S288" s="89"/>
      <c r="T288" s="90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6"/>
      <c r="AZ288" s="120">
        <f>COUNTIF(U288:AY288,"A")</f>
      </c>
      <c r="BA288" s="121">
        <f>COUNTIF(U288:AY288,"F")</f>
      </c>
      <c r="BB288" s="119">
        <f>COUNTIF(U288:AY288,"E")</f>
      </c>
    </row>
    <row r="289" spans="1:54" x14ac:dyDescent="0.2">
      <c r="A289" s="84"/>
      <c r="B289" s="85"/>
      <c r="C289" s="85"/>
      <c r="D289" s="85"/>
      <c r="E289" s="86"/>
      <c r="F289" s="16">
        <f>IF(E289="","",DATEDIF(E289,$I$7,"Y"))</f>
      </c>
      <c r="G289" s="85"/>
      <c r="H289" s="85"/>
      <c r="I289" s="87"/>
      <c r="J289" s="85"/>
      <c r="K289" s="85"/>
      <c r="L289" s="10"/>
      <c r="M289" s="10"/>
      <c r="N289" s="10"/>
      <c r="O289" s="10"/>
      <c r="P289" s="85"/>
      <c r="Q289" s="88"/>
      <c r="R289" s="3">
        <f>IFERROR(VLOOKUP(TablaJunio[[#This Row],[BARRIO]],SECTOR!$A:$B,2,0),"")</f>
      </c>
      <c r="S289" s="89"/>
      <c r="T289" s="90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6"/>
      <c r="AZ289" s="120">
        <f>COUNTIF(U289:AY289,"A")</f>
      </c>
      <c r="BA289" s="121">
        <f>COUNTIF(U289:AY289,"F")</f>
      </c>
      <c r="BB289" s="119">
        <f>COUNTIF(U289:AY289,"E")</f>
      </c>
    </row>
    <row r="290" spans="1:54" x14ac:dyDescent="0.2">
      <c r="A290" s="84"/>
      <c r="B290" s="85"/>
      <c r="C290" s="85"/>
      <c r="D290" s="85"/>
      <c r="E290" s="86"/>
      <c r="F290" s="16">
        <f>IF(E290="","",DATEDIF(E290,$I$7,"Y"))</f>
      </c>
      <c r="G290" s="85"/>
      <c r="H290" s="85"/>
      <c r="I290" s="87"/>
      <c r="J290" s="85"/>
      <c r="K290" s="85"/>
      <c r="L290" s="10"/>
      <c r="M290" s="10"/>
      <c r="N290" s="10"/>
      <c r="O290" s="10"/>
      <c r="P290" s="85"/>
      <c r="Q290" s="88"/>
      <c r="R290" s="3">
        <f>IFERROR(VLOOKUP(TablaJunio[[#This Row],[BARRIO]],SECTOR!$A:$B,2,0),"")</f>
      </c>
      <c r="S290" s="89"/>
      <c r="T290" s="90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6"/>
      <c r="AZ290" s="120">
        <f>COUNTIF(U290:AY290,"A")</f>
      </c>
      <c r="BA290" s="121">
        <f>COUNTIF(U290:AY290,"F")</f>
      </c>
      <c r="BB290" s="119">
        <f>COUNTIF(U290:AY290,"E")</f>
      </c>
    </row>
    <row r="291" spans="1:54" x14ac:dyDescent="0.2">
      <c r="A291" s="84"/>
      <c r="B291" s="85"/>
      <c r="C291" s="85"/>
      <c r="D291" s="85"/>
      <c r="E291" s="86"/>
      <c r="F291" s="16">
        <f>IF(E291="","",DATEDIF(E291,$I$7,"Y"))</f>
      </c>
      <c r="G291" s="85"/>
      <c r="H291" s="85"/>
      <c r="I291" s="87"/>
      <c r="J291" s="85"/>
      <c r="K291" s="85"/>
      <c r="L291" s="10"/>
      <c r="M291" s="10"/>
      <c r="N291" s="10"/>
      <c r="O291" s="10"/>
      <c r="P291" s="85"/>
      <c r="Q291" s="88"/>
      <c r="R291" s="3">
        <f>IFERROR(VLOOKUP(TablaJunio[[#This Row],[BARRIO]],SECTOR!$A:$B,2,0),"")</f>
      </c>
      <c r="S291" s="89"/>
      <c r="T291" s="90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6"/>
      <c r="AZ291" s="120">
        <f>COUNTIF(U291:AY291,"A")</f>
      </c>
      <c r="BA291" s="121">
        <f>COUNTIF(U291:AY291,"F")</f>
      </c>
      <c r="BB291" s="119">
        <f>COUNTIF(U291:AY291,"E")</f>
      </c>
    </row>
    <row r="292" spans="1:54" x14ac:dyDescent="0.2">
      <c r="A292" s="84"/>
      <c r="B292" s="85"/>
      <c r="C292" s="85"/>
      <c r="D292" s="85"/>
      <c r="E292" s="86"/>
      <c r="F292" s="16">
        <f>IF(E292="","",DATEDIF(E292,$I$7,"Y"))</f>
      </c>
      <c r="G292" s="85"/>
      <c r="H292" s="85"/>
      <c r="I292" s="87"/>
      <c r="J292" s="85"/>
      <c r="K292" s="85"/>
      <c r="L292" s="10"/>
      <c r="M292" s="10"/>
      <c r="N292" s="10"/>
      <c r="O292" s="10"/>
      <c r="P292" s="85"/>
      <c r="Q292" s="88"/>
      <c r="R292" s="3">
        <f>IFERROR(VLOOKUP(TablaJunio[[#This Row],[BARRIO]],SECTOR!$A:$B,2,0),"")</f>
      </c>
      <c r="S292" s="89"/>
      <c r="T292" s="90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6"/>
      <c r="AZ292" s="120">
        <f>COUNTIF(U292:AY292,"A")</f>
      </c>
      <c r="BA292" s="121">
        <f>COUNTIF(U292:AY292,"F")</f>
      </c>
      <c r="BB292" s="119">
        <f>COUNTIF(U292:AY292,"E")</f>
      </c>
    </row>
    <row r="293" spans="1:54" x14ac:dyDescent="0.2">
      <c r="A293" s="84"/>
      <c r="B293" s="85"/>
      <c r="C293" s="85"/>
      <c r="D293" s="85"/>
      <c r="E293" s="86"/>
      <c r="F293" s="16">
        <f>IF(E293="","",DATEDIF(E293,$I$7,"Y"))</f>
      </c>
      <c r="G293" s="85"/>
      <c r="H293" s="85"/>
      <c r="I293" s="87"/>
      <c r="J293" s="85"/>
      <c r="K293" s="85"/>
      <c r="L293" s="10"/>
      <c r="M293" s="10"/>
      <c r="N293" s="10"/>
      <c r="O293" s="10"/>
      <c r="P293" s="85"/>
      <c r="Q293" s="88"/>
      <c r="R293" s="3">
        <f>IFERROR(VLOOKUP(TablaJunio[[#This Row],[BARRIO]],SECTOR!$A:$B,2,0),"")</f>
      </c>
      <c r="S293" s="89"/>
      <c r="T293" s="90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6"/>
      <c r="AZ293" s="120">
        <f>COUNTIF(U293:AY293,"A")</f>
      </c>
      <c r="BA293" s="121">
        <f>COUNTIF(U293:AY293,"F")</f>
      </c>
      <c r="BB293" s="119">
        <f>COUNTIF(U293:AY293,"E")</f>
      </c>
    </row>
    <row r="294" spans="1:54" x14ac:dyDescent="0.2">
      <c r="A294" s="84"/>
      <c r="B294" s="85"/>
      <c r="C294" s="85"/>
      <c r="D294" s="85"/>
      <c r="E294" s="86"/>
      <c r="F294" s="16">
        <f>IF(E294="","",DATEDIF(E294,$I$7,"Y"))</f>
      </c>
      <c r="G294" s="85"/>
      <c r="H294" s="85"/>
      <c r="I294" s="87"/>
      <c r="J294" s="85"/>
      <c r="K294" s="85"/>
      <c r="L294" s="10"/>
      <c r="M294" s="10"/>
      <c r="N294" s="10"/>
      <c r="O294" s="10"/>
      <c r="P294" s="85"/>
      <c r="Q294" s="88"/>
      <c r="R294" s="3">
        <f>IFERROR(VLOOKUP(TablaJunio[[#This Row],[BARRIO]],SECTOR!$A:$B,2,0),"")</f>
      </c>
      <c r="S294" s="89"/>
      <c r="T294" s="90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6"/>
      <c r="AZ294" s="120">
        <f>COUNTIF(U294:AY294,"A")</f>
      </c>
      <c r="BA294" s="121">
        <f>COUNTIF(U294:AY294,"F")</f>
      </c>
      <c r="BB294" s="119">
        <f>COUNTIF(U294:AY294,"E")</f>
      </c>
    </row>
    <row r="295" spans="1:54" x14ac:dyDescent="0.2">
      <c r="A295" s="84"/>
      <c r="B295" s="85"/>
      <c r="C295" s="85"/>
      <c r="D295" s="85"/>
      <c r="E295" s="86"/>
      <c r="F295" s="16">
        <f>IF(E295="","",DATEDIF(E295,$I$7,"Y"))</f>
      </c>
      <c r="G295" s="85"/>
      <c r="H295" s="85"/>
      <c r="I295" s="87"/>
      <c r="J295" s="85"/>
      <c r="K295" s="85"/>
      <c r="L295" s="10"/>
      <c r="M295" s="10"/>
      <c r="N295" s="10"/>
      <c r="O295" s="10"/>
      <c r="P295" s="85"/>
      <c r="Q295" s="88"/>
      <c r="R295" s="3">
        <f>IFERROR(VLOOKUP(TablaJunio[[#This Row],[BARRIO]],SECTOR!$A:$B,2,0),"")</f>
      </c>
      <c r="S295" s="89"/>
      <c r="T295" s="90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6"/>
      <c r="AZ295" s="120">
        <f>COUNTIF(U295:AY295,"A")</f>
      </c>
      <c r="BA295" s="121">
        <f>COUNTIF(U295:AY295,"F")</f>
      </c>
      <c r="BB295" s="119">
        <f>COUNTIF(U295:AY295,"E")</f>
      </c>
    </row>
    <row r="296" spans="1:54" x14ac:dyDescent="0.2">
      <c r="A296" s="84"/>
      <c r="B296" s="85"/>
      <c r="C296" s="85"/>
      <c r="D296" s="85"/>
      <c r="E296" s="86"/>
      <c r="F296" s="16">
        <f>IF(E296="","",DATEDIF(E296,$I$7,"Y"))</f>
      </c>
      <c r="G296" s="85"/>
      <c r="H296" s="85"/>
      <c r="I296" s="87"/>
      <c r="J296" s="85"/>
      <c r="K296" s="85"/>
      <c r="L296" s="10"/>
      <c r="M296" s="10"/>
      <c r="N296" s="10"/>
      <c r="O296" s="10"/>
      <c r="P296" s="85"/>
      <c r="Q296" s="88"/>
      <c r="R296" s="3">
        <f>IFERROR(VLOOKUP(TablaJunio[[#This Row],[BARRIO]],SECTOR!$A:$B,2,0),"")</f>
      </c>
      <c r="S296" s="89"/>
      <c r="T296" s="90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6"/>
      <c r="AZ296" s="120">
        <f>COUNTIF(U296:AY296,"A")</f>
      </c>
      <c r="BA296" s="121">
        <f>COUNTIF(U296:AY296,"F")</f>
      </c>
      <c r="BB296" s="119">
        <f>COUNTIF(U296:AY296,"E")</f>
      </c>
    </row>
    <row r="297" spans="1:54" x14ac:dyDescent="0.2">
      <c r="A297" s="84"/>
      <c r="B297" s="85"/>
      <c r="C297" s="85"/>
      <c r="D297" s="85"/>
      <c r="E297" s="86"/>
      <c r="F297" s="16">
        <f>IF(E297="","",DATEDIF(E297,$I$7,"Y"))</f>
      </c>
      <c r="G297" s="85"/>
      <c r="H297" s="85"/>
      <c r="I297" s="87"/>
      <c r="J297" s="85"/>
      <c r="K297" s="85"/>
      <c r="L297" s="10"/>
      <c r="M297" s="10"/>
      <c r="N297" s="10"/>
      <c r="O297" s="10"/>
      <c r="P297" s="85"/>
      <c r="Q297" s="88"/>
      <c r="R297" s="3">
        <f>IFERROR(VLOOKUP(TablaJunio[[#This Row],[BARRIO]],SECTOR!$A:$B,2,0),"")</f>
      </c>
      <c r="S297" s="89"/>
      <c r="T297" s="90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6"/>
      <c r="AZ297" s="120">
        <f>COUNTIF(U297:AY297,"A")</f>
      </c>
      <c r="BA297" s="121">
        <f>COUNTIF(U297:AY297,"F")</f>
      </c>
      <c r="BB297" s="119">
        <f>COUNTIF(U297:AY297,"E")</f>
      </c>
    </row>
    <row r="298" spans="1:54" x14ac:dyDescent="0.2">
      <c r="A298" s="84"/>
      <c r="B298" s="85"/>
      <c r="C298" s="85"/>
      <c r="D298" s="85"/>
      <c r="E298" s="86"/>
      <c r="F298" s="16">
        <f>IF(E298="","",DATEDIF(E298,$I$7,"Y"))</f>
      </c>
      <c r="G298" s="85"/>
      <c r="H298" s="85"/>
      <c r="I298" s="87"/>
      <c r="J298" s="85"/>
      <c r="K298" s="85"/>
      <c r="L298" s="10"/>
      <c r="M298" s="10"/>
      <c r="N298" s="10"/>
      <c r="O298" s="10"/>
      <c r="P298" s="85"/>
      <c r="Q298" s="88"/>
      <c r="R298" s="3">
        <f>IFERROR(VLOOKUP(TablaJunio[[#This Row],[BARRIO]],SECTOR!$A:$B,2,0),"")</f>
      </c>
      <c r="S298" s="89"/>
      <c r="T298" s="90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6"/>
      <c r="AZ298" s="120">
        <f>COUNTIF(U298:AY298,"A")</f>
      </c>
      <c r="BA298" s="121">
        <f>COUNTIF(U298:AY298,"F")</f>
      </c>
      <c r="BB298" s="119">
        <f>COUNTIF(U298:AY298,"E")</f>
      </c>
    </row>
    <row r="299" spans="1:54" x14ac:dyDescent="0.2">
      <c r="A299" s="84"/>
      <c r="B299" s="85"/>
      <c r="C299" s="85"/>
      <c r="D299" s="85"/>
      <c r="E299" s="86"/>
      <c r="F299" s="16">
        <f>IF(E299="","",DATEDIF(E299,$I$7,"Y"))</f>
      </c>
      <c r="G299" s="85"/>
      <c r="H299" s="85"/>
      <c r="I299" s="87"/>
      <c r="J299" s="85"/>
      <c r="K299" s="85"/>
      <c r="L299" s="10"/>
      <c r="M299" s="10"/>
      <c r="N299" s="10"/>
      <c r="O299" s="10"/>
      <c r="P299" s="85"/>
      <c r="Q299" s="88"/>
      <c r="R299" s="3">
        <f>IFERROR(VLOOKUP(TablaJunio[[#This Row],[BARRIO]],SECTOR!$A:$B,2,0),"")</f>
      </c>
      <c r="S299" s="89"/>
      <c r="T299" s="90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6"/>
      <c r="AZ299" s="120">
        <f>COUNTIF(U299:AY299,"A")</f>
      </c>
      <c r="BA299" s="121">
        <f>COUNTIF(U299:AY299,"F")</f>
      </c>
      <c r="BB299" s="119">
        <f>COUNTIF(U299:AY299,"E")</f>
      </c>
    </row>
    <row r="300" spans="1:54" x14ac:dyDescent="0.2">
      <c r="A300" s="84"/>
      <c r="B300" s="85"/>
      <c r="C300" s="85"/>
      <c r="D300" s="85"/>
      <c r="E300" s="86"/>
      <c r="F300" s="16">
        <f>IF(E300="","",DATEDIF(E300,$I$7,"Y"))</f>
      </c>
      <c r="G300" s="85"/>
      <c r="H300" s="85"/>
      <c r="I300" s="87"/>
      <c r="J300" s="85"/>
      <c r="K300" s="85"/>
      <c r="L300" s="10"/>
      <c r="M300" s="10"/>
      <c r="N300" s="10"/>
      <c r="O300" s="10"/>
      <c r="P300" s="85"/>
      <c r="Q300" s="88"/>
      <c r="R300" s="3">
        <f>IFERROR(VLOOKUP(TablaJunio[[#This Row],[BARRIO]],SECTOR!$A:$B,2,0),"")</f>
      </c>
      <c r="S300" s="89"/>
      <c r="T300" s="90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6"/>
      <c r="AZ300" s="120">
        <f>COUNTIF(U300:AY300,"A")</f>
      </c>
      <c r="BA300" s="121">
        <f>COUNTIF(U300:AY300,"F")</f>
      </c>
      <c r="BB300" s="119">
        <f>COUNTIF(U300:AY300,"E")</f>
      </c>
    </row>
    <row r="301" spans="1:54" x14ac:dyDescent="0.2">
      <c r="A301" s="84"/>
      <c r="B301" s="85"/>
      <c r="C301" s="85"/>
      <c r="D301" s="85"/>
      <c r="E301" s="86"/>
      <c r="F301" s="16">
        <f>IF(E301="","",DATEDIF(E301,$I$7,"Y"))</f>
      </c>
      <c r="G301" s="85"/>
      <c r="H301" s="85"/>
      <c r="I301" s="87"/>
      <c r="J301" s="85"/>
      <c r="K301" s="85"/>
      <c r="L301" s="10"/>
      <c r="M301" s="10"/>
      <c r="N301" s="10"/>
      <c r="O301" s="10"/>
      <c r="P301" s="85"/>
      <c r="Q301" s="88"/>
      <c r="R301" s="3">
        <f>IFERROR(VLOOKUP(TablaJunio[[#This Row],[BARRIO]],SECTOR!$A:$B,2,0),"")</f>
      </c>
      <c r="S301" s="89"/>
      <c r="T301" s="90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6"/>
      <c r="AZ301" s="120">
        <f>COUNTIF(U301:AY301,"A")</f>
      </c>
      <c r="BA301" s="121">
        <f>COUNTIF(U301:AY301,"F")</f>
      </c>
      <c r="BB301" s="119">
        <f>COUNTIF(U301:AY301,"E")</f>
      </c>
    </row>
    <row r="302" spans="1:54" x14ac:dyDescent="0.2">
      <c r="A302" s="84"/>
      <c r="B302" s="85"/>
      <c r="C302" s="85"/>
      <c r="D302" s="85"/>
      <c r="E302" s="86"/>
      <c r="F302" s="16">
        <f>IF(E302="","",DATEDIF(E302,$I$7,"Y"))</f>
      </c>
      <c r="G302" s="85"/>
      <c r="H302" s="85"/>
      <c r="I302" s="87"/>
      <c r="J302" s="85"/>
      <c r="K302" s="85"/>
      <c r="L302" s="10"/>
      <c r="M302" s="10"/>
      <c r="N302" s="10"/>
      <c r="O302" s="10"/>
      <c r="P302" s="85"/>
      <c r="Q302" s="88"/>
      <c r="R302" s="3">
        <f>IFERROR(VLOOKUP(TablaJunio[[#This Row],[BARRIO]],SECTOR!$A:$B,2,0),"")</f>
      </c>
      <c r="S302" s="89"/>
      <c r="T302" s="90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6"/>
      <c r="AZ302" s="120">
        <f>COUNTIF(U302:AY302,"A")</f>
      </c>
      <c r="BA302" s="121">
        <f>COUNTIF(U302:AY302,"F")</f>
      </c>
      <c r="BB302" s="119">
        <f>COUNTIF(U302:AY302,"E")</f>
      </c>
    </row>
    <row r="303" spans="1:54" x14ac:dyDescent="0.2">
      <c r="A303" s="84"/>
      <c r="B303" s="85"/>
      <c r="C303" s="85"/>
      <c r="D303" s="85"/>
      <c r="E303" s="86"/>
      <c r="F303" s="16">
        <f>IF(E303="","",DATEDIF(E303,$I$7,"Y"))</f>
      </c>
      <c r="G303" s="85"/>
      <c r="H303" s="85"/>
      <c r="I303" s="87"/>
      <c r="J303" s="85"/>
      <c r="K303" s="85"/>
      <c r="L303" s="10"/>
      <c r="M303" s="10"/>
      <c r="N303" s="10"/>
      <c r="O303" s="10"/>
      <c r="P303" s="85"/>
      <c r="Q303" s="88"/>
      <c r="R303" s="3">
        <f>IFERROR(VLOOKUP(TablaJunio[[#This Row],[BARRIO]],SECTOR!$A:$B,2,0),"")</f>
      </c>
      <c r="S303" s="89"/>
      <c r="T303" s="90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6"/>
      <c r="AZ303" s="120">
        <f>COUNTIF(U303:AY303,"A")</f>
      </c>
      <c r="BA303" s="121">
        <f>COUNTIF(U303:AY303,"F")</f>
      </c>
      <c r="BB303" s="119">
        <f>COUNTIF(U303:AY303,"E")</f>
      </c>
    </row>
    <row r="304" spans="1:54" x14ac:dyDescent="0.2">
      <c r="A304" s="84"/>
      <c r="B304" s="85"/>
      <c r="C304" s="85"/>
      <c r="D304" s="85"/>
      <c r="E304" s="86"/>
      <c r="F304" s="16">
        <f>IF(E304="","",DATEDIF(E304,$I$7,"Y"))</f>
      </c>
      <c r="G304" s="85"/>
      <c r="H304" s="85"/>
      <c r="I304" s="87"/>
      <c r="J304" s="85"/>
      <c r="K304" s="85"/>
      <c r="L304" s="10"/>
      <c r="M304" s="10"/>
      <c r="N304" s="10"/>
      <c r="O304" s="10"/>
      <c r="P304" s="85"/>
      <c r="Q304" s="88"/>
      <c r="R304" s="3">
        <f>IFERROR(VLOOKUP(TablaJunio[[#This Row],[BARRIO]],SECTOR!$A:$B,2,0),"")</f>
      </c>
      <c r="S304" s="89"/>
      <c r="T304" s="90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6"/>
      <c r="AZ304" s="120">
        <f>COUNTIF(U304:AY304,"A")</f>
      </c>
      <c r="BA304" s="121">
        <f>COUNTIF(U304:AY304,"F")</f>
      </c>
      <c r="BB304" s="119">
        <f>COUNTIF(U304:AY304,"E")</f>
      </c>
    </row>
    <row r="305" spans="1:54" x14ac:dyDescent="0.2">
      <c r="A305" s="84"/>
      <c r="B305" s="85"/>
      <c r="C305" s="85"/>
      <c r="D305" s="85"/>
      <c r="E305" s="86"/>
      <c r="F305" s="16">
        <f>IF(E305="","",DATEDIF(E305,$I$7,"Y"))</f>
      </c>
      <c r="G305" s="85"/>
      <c r="H305" s="85"/>
      <c r="I305" s="87"/>
      <c r="J305" s="85"/>
      <c r="K305" s="85"/>
      <c r="L305" s="10"/>
      <c r="M305" s="10"/>
      <c r="N305" s="10"/>
      <c r="O305" s="10"/>
      <c r="P305" s="85"/>
      <c r="Q305" s="88"/>
      <c r="R305" s="3">
        <f>IFERROR(VLOOKUP(TablaJunio[[#This Row],[BARRIO]],SECTOR!$A:$B,2,0),"")</f>
      </c>
      <c r="S305" s="89"/>
      <c r="T305" s="90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6"/>
      <c r="AZ305" s="120">
        <f>COUNTIF(U305:AY305,"A")</f>
      </c>
      <c r="BA305" s="121">
        <f>COUNTIF(U305:AY305,"F")</f>
      </c>
      <c r="BB305" s="119">
        <f>COUNTIF(U305:AY305,"E")</f>
      </c>
    </row>
    <row r="306" spans="1:54" x14ac:dyDescent="0.2">
      <c r="A306" s="84"/>
      <c r="B306" s="85"/>
      <c r="C306" s="85"/>
      <c r="D306" s="85"/>
      <c r="E306" s="86"/>
      <c r="F306" s="16">
        <f>IF(E306="","",DATEDIF(E306,$I$7,"Y"))</f>
      </c>
      <c r="G306" s="85"/>
      <c r="H306" s="85"/>
      <c r="I306" s="87"/>
      <c r="J306" s="85"/>
      <c r="K306" s="85"/>
      <c r="L306" s="10"/>
      <c r="M306" s="10"/>
      <c r="N306" s="10"/>
      <c r="O306" s="10"/>
      <c r="P306" s="85"/>
      <c r="Q306" s="88"/>
      <c r="R306" s="3">
        <f>IFERROR(VLOOKUP(TablaJunio[[#This Row],[BARRIO]],SECTOR!$A:$B,2,0),"")</f>
      </c>
      <c r="S306" s="89"/>
      <c r="T306" s="90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6"/>
      <c r="AZ306" s="120">
        <f>COUNTIF(U306:AY306,"A")</f>
      </c>
      <c r="BA306" s="121">
        <f>COUNTIF(U306:AY306,"F")</f>
      </c>
      <c r="BB306" s="119">
        <f>COUNTIF(U306:AY306,"E")</f>
      </c>
    </row>
    <row r="307" spans="1:54" x14ac:dyDescent="0.2">
      <c r="A307" s="84"/>
      <c r="B307" s="85"/>
      <c r="C307" s="85"/>
      <c r="D307" s="85"/>
      <c r="E307" s="86"/>
      <c r="F307" s="16">
        <f>IF(E307="","",DATEDIF(E307,$I$7,"Y"))</f>
      </c>
      <c r="G307" s="85"/>
      <c r="H307" s="85"/>
      <c r="I307" s="87"/>
      <c r="J307" s="85"/>
      <c r="K307" s="85"/>
      <c r="L307" s="10"/>
      <c r="M307" s="10"/>
      <c r="N307" s="10"/>
      <c r="O307" s="10"/>
      <c r="P307" s="85"/>
      <c r="Q307" s="88"/>
      <c r="R307" s="3">
        <f>IFERROR(VLOOKUP(TablaJunio[[#This Row],[BARRIO]],SECTOR!$A:$B,2,0),"")</f>
      </c>
      <c r="S307" s="89"/>
      <c r="T307" s="90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6"/>
      <c r="AZ307" s="120">
        <f>COUNTIF(U307:AY307,"A")</f>
      </c>
      <c r="BA307" s="121">
        <f>COUNTIF(U307:AY307,"F")</f>
      </c>
      <c r="BB307" s="119">
        <f>COUNTIF(U307:AY307,"E")</f>
      </c>
    </row>
    <row r="308" spans="1:54" x14ac:dyDescent="0.2">
      <c r="A308" s="84"/>
      <c r="B308" s="85"/>
      <c r="C308" s="85"/>
      <c r="D308" s="85"/>
      <c r="E308" s="86"/>
      <c r="F308" s="16">
        <f>IF(E308="","",DATEDIF(E308,$I$7,"Y"))</f>
      </c>
      <c r="G308" s="85"/>
      <c r="H308" s="85"/>
      <c r="I308" s="87"/>
      <c r="J308" s="85"/>
      <c r="K308" s="85"/>
      <c r="L308" s="10"/>
      <c r="M308" s="10"/>
      <c r="N308" s="10"/>
      <c r="O308" s="10"/>
      <c r="P308" s="85"/>
      <c r="Q308" s="88"/>
      <c r="R308" s="3">
        <f>IFERROR(VLOOKUP(TablaJunio[[#This Row],[BARRIO]],SECTOR!$A:$B,2,0),"")</f>
      </c>
      <c r="S308" s="89"/>
      <c r="T308" s="90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6"/>
      <c r="AZ308" s="120">
        <f>COUNTIF(U308:AY308,"A")</f>
      </c>
      <c r="BA308" s="121">
        <f>COUNTIF(U308:AY308,"F")</f>
      </c>
      <c r="BB308" s="119">
        <f>COUNTIF(U308:AY308,"E")</f>
      </c>
    </row>
    <row r="309" spans="1:54" x14ac:dyDescent="0.2">
      <c r="A309" s="84"/>
      <c r="B309" s="85"/>
      <c r="C309" s="85"/>
      <c r="D309" s="85"/>
      <c r="E309" s="86"/>
      <c r="F309" s="16">
        <f>IF(E309="","",DATEDIF(E309,$I$7,"Y"))</f>
      </c>
      <c r="G309" s="85"/>
      <c r="H309" s="85"/>
      <c r="I309" s="87"/>
      <c r="J309" s="85"/>
      <c r="K309" s="85"/>
      <c r="L309" s="10"/>
      <c r="M309" s="10"/>
      <c r="N309" s="10"/>
      <c r="O309" s="10"/>
      <c r="P309" s="85"/>
      <c r="Q309" s="88"/>
      <c r="R309" s="3">
        <f>IFERROR(VLOOKUP(TablaJunio[[#This Row],[BARRIO]],SECTOR!$A:$B,2,0),"")</f>
      </c>
      <c r="S309" s="89"/>
      <c r="T309" s="90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6"/>
      <c r="AZ309" s="120">
        <f>COUNTIF(U309:AY309,"A")</f>
      </c>
      <c r="BA309" s="121">
        <f>COUNTIF(U309:AY309,"F")</f>
      </c>
      <c r="BB309" s="119">
        <f>COUNTIF(U309:AY309,"E")</f>
      </c>
    </row>
    <row r="310" spans="1:54" x14ac:dyDescent="0.2">
      <c r="A310" s="84"/>
      <c r="B310" s="85"/>
      <c r="C310" s="85"/>
      <c r="D310" s="85"/>
      <c r="E310" s="86"/>
      <c r="F310" s="16">
        <f>IF(E310="","",DATEDIF(E310,$I$7,"Y"))</f>
      </c>
      <c r="G310" s="85"/>
      <c r="H310" s="85"/>
      <c r="I310" s="87"/>
      <c r="J310" s="85"/>
      <c r="K310" s="85"/>
      <c r="L310" s="10"/>
      <c r="M310" s="10"/>
      <c r="N310" s="10"/>
      <c r="O310" s="10"/>
      <c r="P310" s="85"/>
      <c r="Q310" s="88"/>
      <c r="R310" s="3">
        <f>IFERROR(VLOOKUP(TablaJunio[[#This Row],[BARRIO]],SECTOR!$A:$B,2,0),"")</f>
      </c>
      <c r="S310" s="89"/>
      <c r="T310" s="90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6"/>
      <c r="AZ310" s="120">
        <f>COUNTIF(U310:AY310,"A")</f>
      </c>
      <c r="BA310" s="121">
        <f>COUNTIF(U310:AY310,"F")</f>
      </c>
      <c r="BB310" s="119">
        <f>COUNTIF(U310:AY310,"E")</f>
      </c>
    </row>
    <row r="311" spans="1:54" x14ac:dyDescent="0.2">
      <c r="A311" s="84"/>
      <c r="B311" s="85"/>
      <c r="C311" s="85"/>
      <c r="D311" s="85"/>
      <c r="E311" s="86"/>
      <c r="F311" s="16">
        <f>IF(E311="","",DATEDIF(E311,$I$7,"Y"))</f>
      </c>
      <c r="G311" s="85"/>
      <c r="H311" s="85"/>
      <c r="I311" s="87"/>
      <c r="J311" s="85"/>
      <c r="K311" s="85"/>
      <c r="L311" s="10"/>
      <c r="M311" s="10"/>
      <c r="N311" s="10"/>
      <c r="O311" s="10"/>
      <c r="P311" s="85"/>
      <c r="Q311" s="88"/>
      <c r="R311" s="3">
        <f>IFERROR(VLOOKUP(TablaJunio[[#This Row],[BARRIO]],SECTOR!$A:$B,2,0),"")</f>
      </c>
      <c r="S311" s="89"/>
      <c r="T311" s="90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6"/>
      <c r="AZ311" s="120">
        <f>COUNTIF(U311:AY311,"A")</f>
      </c>
      <c r="BA311" s="121">
        <f>COUNTIF(U311:AY311,"F")</f>
      </c>
      <c r="BB311" s="119">
        <f>COUNTIF(U311:AY311,"E")</f>
      </c>
    </row>
    <row r="312" spans="1:54" x14ac:dyDescent="0.2">
      <c r="A312" s="84"/>
      <c r="B312" s="85"/>
      <c r="C312" s="85"/>
      <c r="D312" s="85"/>
      <c r="E312" s="86"/>
      <c r="F312" s="16">
        <f>IF(E312="","",DATEDIF(E312,$I$7,"Y"))</f>
      </c>
      <c r="G312" s="85"/>
      <c r="H312" s="85"/>
      <c r="I312" s="87"/>
      <c r="J312" s="85"/>
      <c r="K312" s="85"/>
      <c r="L312" s="10"/>
      <c r="M312" s="10"/>
      <c r="N312" s="10"/>
      <c r="O312" s="10"/>
      <c r="P312" s="85"/>
      <c r="Q312" s="88"/>
      <c r="R312" s="3">
        <f>IFERROR(VLOOKUP(TablaJunio[[#This Row],[BARRIO]],SECTOR!$A:$B,2,0),"")</f>
      </c>
      <c r="S312" s="89"/>
      <c r="T312" s="90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6"/>
      <c r="AZ312" s="120">
        <f>COUNTIF(U312:AY312,"A")</f>
      </c>
      <c r="BA312" s="121">
        <f>COUNTIF(U312:AY312,"F")</f>
      </c>
      <c r="BB312" s="119">
        <f>COUNTIF(U312:AY312,"E")</f>
      </c>
    </row>
    <row r="313" spans="1:54" x14ac:dyDescent="0.2">
      <c r="A313" s="84"/>
      <c r="B313" s="85"/>
      <c r="C313" s="85"/>
      <c r="D313" s="85"/>
      <c r="E313" s="86"/>
      <c r="F313" s="16">
        <f>IF(E313="","",DATEDIF(E313,$I$7,"Y"))</f>
      </c>
      <c r="G313" s="85"/>
      <c r="H313" s="85"/>
      <c r="I313" s="87"/>
      <c r="J313" s="85"/>
      <c r="K313" s="85"/>
      <c r="L313" s="10"/>
      <c r="M313" s="10"/>
      <c r="N313" s="10"/>
      <c r="O313" s="10"/>
      <c r="P313" s="85"/>
      <c r="Q313" s="88"/>
      <c r="R313" s="3">
        <f>IFERROR(VLOOKUP(TablaJunio[[#This Row],[BARRIO]],SECTOR!$A:$B,2,0),"")</f>
      </c>
      <c r="S313" s="89"/>
      <c r="T313" s="90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6"/>
      <c r="AZ313" s="120">
        <f>COUNTIF(U313:AY313,"A")</f>
      </c>
      <c r="BA313" s="121">
        <f>COUNTIF(U313:AY313,"F")</f>
      </c>
      <c r="BB313" s="119">
        <f>COUNTIF(U313:AY313,"E")</f>
      </c>
    </row>
    <row r="314" spans="1:54" x14ac:dyDescent="0.2">
      <c r="A314" s="84"/>
      <c r="B314" s="85"/>
      <c r="C314" s="85"/>
      <c r="D314" s="85"/>
      <c r="E314" s="86"/>
      <c r="F314" s="16">
        <f>IF(E314="","",DATEDIF(E314,$I$7,"Y"))</f>
      </c>
      <c r="G314" s="85"/>
      <c r="H314" s="85"/>
      <c r="I314" s="87"/>
      <c r="J314" s="85"/>
      <c r="K314" s="85"/>
      <c r="L314" s="10"/>
      <c r="M314" s="10"/>
      <c r="N314" s="10"/>
      <c r="O314" s="10"/>
      <c r="P314" s="85"/>
      <c r="Q314" s="88"/>
      <c r="R314" s="3">
        <f>IFERROR(VLOOKUP(TablaJunio[[#This Row],[BARRIO]],SECTOR!$A:$B,2,0),"")</f>
      </c>
      <c r="S314" s="89"/>
      <c r="T314" s="90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6"/>
      <c r="AZ314" s="120">
        <f>COUNTIF(U314:AY314,"A")</f>
      </c>
      <c r="BA314" s="121">
        <f>COUNTIF(U314:AY314,"F")</f>
      </c>
      <c r="BB314" s="119">
        <f>COUNTIF(U314:AY314,"E")</f>
      </c>
    </row>
    <row r="315" spans="1:54" x14ac:dyDescent="0.2">
      <c r="A315" s="84"/>
      <c r="B315" s="85"/>
      <c r="C315" s="85"/>
      <c r="D315" s="85"/>
      <c r="E315" s="86"/>
      <c r="F315" s="16">
        <f>IF(E315="","",DATEDIF(E315,$I$7,"Y"))</f>
      </c>
      <c r="G315" s="85"/>
      <c r="H315" s="85"/>
      <c r="I315" s="87"/>
      <c r="J315" s="85"/>
      <c r="K315" s="85"/>
      <c r="L315" s="10"/>
      <c r="M315" s="10"/>
      <c r="N315" s="10"/>
      <c r="O315" s="10"/>
      <c r="P315" s="85"/>
      <c r="Q315" s="88"/>
      <c r="R315" s="3">
        <f>IFERROR(VLOOKUP(TablaJunio[[#This Row],[BARRIO]],SECTOR!$A:$B,2,0),"")</f>
      </c>
      <c r="S315" s="89"/>
      <c r="T315" s="90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6"/>
      <c r="AZ315" s="120">
        <f>COUNTIF(U315:AY315,"A")</f>
      </c>
      <c r="BA315" s="121">
        <f>COUNTIF(U315:AY315,"F")</f>
      </c>
      <c r="BB315" s="119">
        <f>COUNTIF(U315:AY315,"E")</f>
      </c>
    </row>
    <row r="316" spans="1:54" x14ac:dyDescent="0.2">
      <c r="A316" s="84"/>
      <c r="B316" s="85"/>
      <c r="C316" s="85"/>
      <c r="D316" s="85"/>
      <c r="E316" s="86"/>
      <c r="F316" s="16">
        <f>IF(E316="","",DATEDIF(E316,$I$7,"Y"))</f>
      </c>
      <c r="G316" s="85"/>
      <c r="H316" s="85"/>
      <c r="I316" s="87"/>
      <c r="J316" s="85"/>
      <c r="K316" s="85"/>
      <c r="L316" s="10"/>
      <c r="M316" s="10"/>
      <c r="N316" s="10"/>
      <c r="O316" s="10"/>
      <c r="P316" s="85"/>
      <c r="Q316" s="88"/>
      <c r="R316" s="3">
        <f>IFERROR(VLOOKUP(TablaJunio[[#This Row],[BARRIO]],SECTOR!$A:$B,2,0),"")</f>
      </c>
      <c r="S316" s="89"/>
      <c r="T316" s="90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6"/>
      <c r="AZ316" s="120">
        <f>COUNTIF(U316:AY316,"A")</f>
      </c>
      <c r="BA316" s="121">
        <f>COUNTIF(U316:AY316,"F")</f>
      </c>
      <c r="BB316" s="119">
        <f>COUNTIF(U316:AY316,"E")</f>
      </c>
    </row>
    <row r="317" spans="1:54" x14ac:dyDescent="0.2">
      <c r="A317" s="84"/>
      <c r="B317" s="85"/>
      <c r="C317" s="85"/>
      <c r="D317" s="85"/>
      <c r="E317" s="86"/>
      <c r="F317" s="16">
        <f>IF(E317="","",DATEDIF(E317,$I$7,"Y"))</f>
      </c>
      <c r="G317" s="85"/>
      <c r="H317" s="85"/>
      <c r="I317" s="87"/>
      <c r="J317" s="85"/>
      <c r="K317" s="85"/>
      <c r="L317" s="10"/>
      <c r="M317" s="10"/>
      <c r="N317" s="10"/>
      <c r="O317" s="10"/>
      <c r="P317" s="85"/>
      <c r="Q317" s="88"/>
      <c r="R317" s="3">
        <f>IFERROR(VLOOKUP(TablaJunio[[#This Row],[BARRIO]],SECTOR!$A:$B,2,0),"")</f>
      </c>
      <c r="S317" s="89"/>
      <c r="T317" s="90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6"/>
      <c r="AZ317" s="120">
        <f>COUNTIF(U317:AY317,"A")</f>
      </c>
      <c r="BA317" s="121">
        <f>COUNTIF(U317:AY317,"F")</f>
      </c>
      <c r="BB317" s="119">
        <f>COUNTIF(U317:AY317,"E")</f>
      </c>
    </row>
    <row r="318" spans="1:54" x14ac:dyDescent="0.2">
      <c r="A318" s="84"/>
      <c r="B318" s="85"/>
      <c r="C318" s="85"/>
      <c r="D318" s="85"/>
      <c r="E318" s="86"/>
      <c r="F318" s="16">
        <f>IF(E318="","",DATEDIF(E318,$I$7,"Y"))</f>
      </c>
      <c r="G318" s="85"/>
      <c r="H318" s="85"/>
      <c r="I318" s="87"/>
      <c r="J318" s="85"/>
      <c r="K318" s="85"/>
      <c r="L318" s="10"/>
      <c r="M318" s="10"/>
      <c r="N318" s="10"/>
      <c r="O318" s="10"/>
      <c r="P318" s="85"/>
      <c r="Q318" s="88"/>
      <c r="R318" s="3">
        <f>IFERROR(VLOOKUP(TablaJunio[[#This Row],[BARRIO]],SECTOR!$A:$B,2,0),"")</f>
      </c>
      <c r="S318" s="89"/>
      <c r="T318" s="90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6"/>
      <c r="AZ318" s="120">
        <f>COUNTIF(U318:AY318,"A")</f>
      </c>
      <c r="BA318" s="121">
        <f>COUNTIF(U318:AY318,"F")</f>
      </c>
      <c r="BB318" s="119">
        <f>COUNTIF(U318:AY318,"E")</f>
      </c>
    </row>
    <row r="319" spans="1:54" x14ac:dyDescent="0.2">
      <c r="A319" s="84"/>
      <c r="B319" s="85"/>
      <c r="C319" s="85"/>
      <c r="D319" s="85"/>
      <c r="E319" s="86"/>
      <c r="F319" s="16">
        <f>IF(E319="","",DATEDIF(E319,$I$7,"Y"))</f>
      </c>
      <c r="G319" s="85"/>
      <c r="H319" s="85"/>
      <c r="I319" s="87"/>
      <c r="J319" s="85"/>
      <c r="K319" s="85"/>
      <c r="L319" s="10"/>
      <c r="M319" s="10"/>
      <c r="N319" s="10"/>
      <c r="O319" s="10"/>
      <c r="P319" s="85"/>
      <c r="Q319" s="88"/>
      <c r="R319" s="3">
        <f>IFERROR(VLOOKUP(TablaJunio[[#This Row],[BARRIO]],SECTOR!$A:$B,2,0),"")</f>
      </c>
      <c r="S319" s="89"/>
      <c r="T319" s="90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6"/>
      <c r="AZ319" s="120">
        <f>COUNTIF(U319:AY319,"A")</f>
      </c>
      <c r="BA319" s="121">
        <f>COUNTIF(U319:AY319,"F")</f>
      </c>
      <c r="BB319" s="119">
        <f>COUNTIF(U319:AY319,"E")</f>
      </c>
    </row>
    <row r="320" spans="1:54" x14ac:dyDescent="0.2">
      <c r="A320" s="84"/>
      <c r="B320" s="85"/>
      <c r="C320" s="85"/>
      <c r="D320" s="85"/>
      <c r="E320" s="86"/>
      <c r="F320" s="16">
        <f>IF(E320="","",DATEDIF(E320,$I$7,"Y"))</f>
      </c>
      <c r="G320" s="85"/>
      <c r="H320" s="85"/>
      <c r="I320" s="87"/>
      <c r="J320" s="85"/>
      <c r="K320" s="85"/>
      <c r="L320" s="10"/>
      <c r="M320" s="10"/>
      <c r="N320" s="10"/>
      <c r="O320" s="10"/>
      <c r="P320" s="85"/>
      <c r="Q320" s="88"/>
      <c r="R320" s="3">
        <f>IFERROR(VLOOKUP(TablaJunio[[#This Row],[BARRIO]],SECTOR!$A:$B,2,0),"")</f>
      </c>
      <c r="S320" s="89"/>
      <c r="T320" s="90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6"/>
      <c r="AZ320" s="120">
        <f>COUNTIF(U320:AY320,"A")</f>
      </c>
      <c r="BA320" s="121">
        <f>COUNTIF(U320:AY320,"F")</f>
      </c>
      <c r="BB320" s="119">
        <f>COUNTIF(U320:AY320,"E")</f>
      </c>
    </row>
    <row r="321" spans="1:54" x14ac:dyDescent="0.2">
      <c r="A321" s="84"/>
      <c r="B321" s="85"/>
      <c r="C321" s="85"/>
      <c r="D321" s="85"/>
      <c r="E321" s="86"/>
      <c r="F321" s="16">
        <f>IF(E321="","",DATEDIF(E321,$I$7,"Y"))</f>
      </c>
      <c r="G321" s="85"/>
      <c r="H321" s="85"/>
      <c r="I321" s="87"/>
      <c r="J321" s="85"/>
      <c r="K321" s="85"/>
      <c r="L321" s="10"/>
      <c r="M321" s="10"/>
      <c r="N321" s="10"/>
      <c r="O321" s="10"/>
      <c r="P321" s="85"/>
      <c r="Q321" s="88"/>
      <c r="R321" s="3">
        <f>IFERROR(VLOOKUP(TablaJunio[[#This Row],[BARRIO]],SECTOR!$A:$B,2,0),"")</f>
      </c>
      <c r="S321" s="89"/>
      <c r="T321" s="90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6"/>
      <c r="AZ321" s="120">
        <f>COUNTIF(U321:AY321,"A")</f>
      </c>
      <c r="BA321" s="121">
        <f>COUNTIF(U321:AY321,"F")</f>
      </c>
      <c r="BB321" s="119">
        <f>COUNTIF(U321:AY321,"E")</f>
      </c>
    </row>
    <row r="322" spans="1:54" x14ac:dyDescent="0.2">
      <c r="A322" s="84"/>
      <c r="B322" s="85"/>
      <c r="C322" s="85"/>
      <c r="D322" s="85"/>
      <c r="E322" s="86"/>
      <c r="F322" s="16">
        <f>IF(E322="","",DATEDIF(E322,$I$7,"Y"))</f>
      </c>
      <c r="G322" s="85"/>
      <c r="H322" s="85"/>
      <c r="I322" s="87"/>
      <c r="J322" s="85"/>
      <c r="K322" s="85"/>
      <c r="L322" s="10"/>
      <c r="M322" s="10"/>
      <c r="N322" s="10"/>
      <c r="O322" s="10"/>
      <c r="P322" s="85"/>
      <c r="Q322" s="88"/>
      <c r="R322" s="3">
        <f>IFERROR(VLOOKUP(TablaJunio[[#This Row],[BARRIO]],SECTOR!$A:$B,2,0),"")</f>
      </c>
      <c r="S322" s="89"/>
      <c r="T322" s="90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6"/>
      <c r="AZ322" s="120">
        <f>COUNTIF(U322:AY322,"A")</f>
      </c>
      <c r="BA322" s="121">
        <f>COUNTIF(U322:AY322,"F")</f>
      </c>
      <c r="BB322" s="119">
        <f>COUNTIF(U322:AY322,"E")</f>
      </c>
    </row>
    <row r="323" spans="1:54" x14ac:dyDescent="0.2">
      <c r="A323" s="84"/>
      <c r="B323" s="85"/>
      <c r="C323" s="85"/>
      <c r="D323" s="85"/>
      <c r="E323" s="86"/>
      <c r="F323" s="16">
        <f>IF(E323="","",DATEDIF(E323,$I$7,"Y"))</f>
      </c>
      <c r="G323" s="85"/>
      <c r="H323" s="85"/>
      <c r="I323" s="87"/>
      <c r="J323" s="85"/>
      <c r="K323" s="85"/>
      <c r="L323" s="10"/>
      <c r="M323" s="10"/>
      <c r="N323" s="10"/>
      <c r="O323" s="10"/>
      <c r="P323" s="85"/>
      <c r="Q323" s="88"/>
      <c r="R323" s="3">
        <f>IFERROR(VLOOKUP(TablaJunio[[#This Row],[BARRIO]],SECTOR!$A:$B,2,0),"")</f>
      </c>
      <c r="S323" s="89"/>
      <c r="T323" s="90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6"/>
      <c r="AZ323" s="120">
        <f>COUNTIF(U323:AY323,"A")</f>
      </c>
      <c r="BA323" s="121">
        <f>COUNTIF(U323:AY323,"F")</f>
      </c>
      <c r="BB323" s="119">
        <f>COUNTIF(U323:AY323,"E")</f>
      </c>
    </row>
    <row r="324" spans="1:54" x14ac:dyDescent="0.2">
      <c r="A324" s="84"/>
      <c r="B324" s="85"/>
      <c r="C324" s="85"/>
      <c r="D324" s="85"/>
      <c r="E324" s="86"/>
      <c r="F324" s="16">
        <f>IF(E324="","",DATEDIF(E324,$I$7,"Y"))</f>
      </c>
      <c r="G324" s="85"/>
      <c r="H324" s="85"/>
      <c r="I324" s="87"/>
      <c r="J324" s="85"/>
      <c r="K324" s="85"/>
      <c r="L324" s="10"/>
      <c r="M324" s="10"/>
      <c r="N324" s="10"/>
      <c r="O324" s="10"/>
      <c r="P324" s="85"/>
      <c r="Q324" s="88"/>
      <c r="R324" s="3">
        <f>IFERROR(VLOOKUP(TablaJunio[[#This Row],[BARRIO]],SECTOR!$A:$B,2,0),"")</f>
      </c>
      <c r="S324" s="89"/>
      <c r="T324" s="90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6"/>
      <c r="AZ324" s="120">
        <f>COUNTIF(U324:AY324,"A")</f>
      </c>
      <c r="BA324" s="121">
        <f>COUNTIF(U324:AY324,"F")</f>
      </c>
      <c r="BB324" s="119">
        <f>COUNTIF(U324:AY324,"E")</f>
      </c>
    </row>
    <row r="325" spans="1:54" x14ac:dyDescent="0.2">
      <c r="A325" s="84"/>
      <c r="B325" s="85"/>
      <c r="C325" s="85"/>
      <c r="D325" s="85"/>
      <c r="E325" s="86"/>
      <c r="F325" s="16">
        <f>IF(E325="","",DATEDIF(E325,$I$7,"Y"))</f>
      </c>
      <c r="G325" s="85"/>
      <c r="H325" s="85"/>
      <c r="I325" s="87"/>
      <c r="J325" s="85"/>
      <c r="K325" s="85"/>
      <c r="L325" s="10"/>
      <c r="M325" s="10"/>
      <c r="N325" s="10"/>
      <c r="O325" s="10"/>
      <c r="P325" s="85"/>
      <c r="Q325" s="88"/>
      <c r="R325" s="3">
        <f>IFERROR(VLOOKUP(TablaJunio[[#This Row],[BARRIO]],SECTOR!$A:$B,2,0),"")</f>
      </c>
      <c r="S325" s="89"/>
      <c r="T325" s="90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6"/>
      <c r="AZ325" s="120">
        <f>COUNTIF(U325:AY325,"A")</f>
      </c>
      <c r="BA325" s="121">
        <f>COUNTIF(U325:AY325,"F")</f>
      </c>
      <c r="BB325" s="119">
        <f>COUNTIF(U325:AY325,"E")</f>
      </c>
    </row>
    <row r="326" spans="1:54" x14ac:dyDescent="0.2">
      <c r="A326" s="84"/>
      <c r="B326" s="85"/>
      <c r="C326" s="85"/>
      <c r="D326" s="85"/>
      <c r="E326" s="86"/>
      <c r="F326" s="16">
        <f>IF(E326="","",DATEDIF(E326,$I$7,"Y"))</f>
      </c>
      <c r="G326" s="85"/>
      <c r="H326" s="85"/>
      <c r="I326" s="87"/>
      <c r="J326" s="85"/>
      <c r="K326" s="85"/>
      <c r="L326" s="10"/>
      <c r="M326" s="10"/>
      <c r="N326" s="10"/>
      <c r="O326" s="10"/>
      <c r="P326" s="85"/>
      <c r="Q326" s="88"/>
      <c r="R326" s="3">
        <f>IFERROR(VLOOKUP(TablaJunio[[#This Row],[BARRIO]],SECTOR!$A:$B,2,0),"")</f>
      </c>
      <c r="S326" s="89"/>
      <c r="T326" s="90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6"/>
      <c r="AZ326" s="120">
        <f>COUNTIF(U326:AY326,"A")</f>
      </c>
      <c r="BA326" s="121">
        <f>COUNTIF(U326:AY326,"F")</f>
      </c>
      <c r="BB326" s="119">
        <f>COUNTIF(U326:AY326,"E")</f>
      </c>
    </row>
    <row r="327" spans="1:54" x14ac:dyDescent="0.2">
      <c r="A327" s="84"/>
      <c r="B327" s="85"/>
      <c r="C327" s="85"/>
      <c r="D327" s="85"/>
      <c r="E327" s="86"/>
      <c r="F327" s="16">
        <f>IF(E327="","",DATEDIF(E327,$I$7,"Y"))</f>
      </c>
      <c r="G327" s="85"/>
      <c r="H327" s="85"/>
      <c r="I327" s="87"/>
      <c r="J327" s="85"/>
      <c r="K327" s="85"/>
      <c r="L327" s="10"/>
      <c r="M327" s="10"/>
      <c r="N327" s="10"/>
      <c r="O327" s="10"/>
      <c r="P327" s="85"/>
      <c r="Q327" s="88"/>
      <c r="R327" s="3">
        <f>IFERROR(VLOOKUP(TablaJunio[[#This Row],[BARRIO]],SECTOR!$A:$B,2,0),"")</f>
      </c>
      <c r="S327" s="89"/>
      <c r="T327" s="90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6"/>
      <c r="AZ327" s="120">
        <f>COUNTIF(U327:AY327,"A")</f>
      </c>
      <c r="BA327" s="121">
        <f>COUNTIF(U327:AY327,"F")</f>
      </c>
      <c r="BB327" s="119">
        <f>COUNTIF(U327:AY327,"E")</f>
      </c>
    </row>
    <row r="328" spans="1:54" x14ac:dyDescent="0.2">
      <c r="A328" s="84"/>
      <c r="B328" s="85"/>
      <c r="C328" s="85"/>
      <c r="D328" s="85"/>
      <c r="E328" s="86"/>
      <c r="F328" s="16">
        <f>IF(E328="","",DATEDIF(E328,$I$7,"Y"))</f>
      </c>
      <c r="G328" s="85"/>
      <c r="H328" s="85"/>
      <c r="I328" s="87"/>
      <c r="J328" s="85"/>
      <c r="K328" s="85"/>
      <c r="L328" s="10"/>
      <c r="M328" s="10"/>
      <c r="N328" s="10"/>
      <c r="O328" s="10"/>
      <c r="P328" s="85"/>
      <c r="Q328" s="88"/>
      <c r="R328" s="3">
        <f>IFERROR(VLOOKUP(TablaJunio[[#This Row],[BARRIO]],SECTOR!$A:$B,2,0),"")</f>
      </c>
      <c r="S328" s="89"/>
      <c r="T328" s="90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6"/>
      <c r="AZ328" s="120">
        <f>COUNTIF(U328:AY328,"A")</f>
      </c>
      <c r="BA328" s="121">
        <f>COUNTIF(U328:AY328,"F")</f>
      </c>
      <c r="BB328" s="119">
        <f>COUNTIF(U328:AY328,"E")</f>
      </c>
    </row>
    <row r="329" spans="1:54" x14ac:dyDescent="0.2">
      <c r="A329" s="84"/>
      <c r="B329" s="85"/>
      <c r="C329" s="85"/>
      <c r="D329" s="85"/>
      <c r="E329" s="86"/>
      <c r="F329" s="16">
        <f>IF(E329="","",DATEDIF(E329,$I$7,"Y"))</f>
      </c>
      <c r="G329" s="85"/>
      <c r="H329" s="85"/>
      <c r="I329" s="87"/>
      <c r="J329" s="85"/>
      <c r="K329" s="85"/>
      <c r="L329" s="10"/>
      <c r="M329" s="10"/>
      <c r="N329" s="10"/>
      <c r="O329" s="10"/>
      <c r="P329" s="85"/>
      <c r="Q329" s="88"/>
      <c r="R329" s="3">
        <f>IFERROR(VLOOKUP(TablaJunio[[#This Row],[BARRIO]],SECTOR!$A:$B,2,0),"")</f>
      </c>
      <c r="S329" s="89"/>
      <c r="T329" s="90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6"/>
      <c r="AZ329" s="120">
        <f>COUNTIF(U329:AY329,"A")</f>
      </c>
      <c r="BA329" s="121">
        <f>COUNTIF(U329:AY329,"F")</f>
      </c>
      <c r="BB329" s="119">
        <f>COUNTIF(U329:AY329,"E")</f>
      </c>
    </row>
    <row r="330" spans="1:54" x14ac:dyDescent="0.2">
      <c r="A330" s="84"/>
      <c r="B330" s="85"/>
      <c r="C330" s="85"/>
      <c r="D330" s="85"/>
      <c r="E330" s="86"/>
      <c r="F330" s="16">
        <f>IF(E330="","",DATEDIF(E330,$I$7,"Y"))</f>
      </c>
      <c r="G330" s="85"/>
      <c r="H330" s="85"/>
      <c r="I330" s="87"/>
      <c r="J330" s="85"/>
      <c r="K330" s="85"/>
      <c r="L330" s="10"/>
      <c r="M330" s="10"/>
      <c r="N330" s="10"/>
      <c r="O330" s="10"/>
      <c r="P330" s="85"/>
      <c r="Q330" s="88"/>
      <c r="R330" s="3">
        <f>IFERROR(VLOOKUP(TablaJunio[[#This Row],[BARRIO]],SECTOR!$A:$B,2,0),"")</f>
      </c>
      <c r="S330" s="89"/>
      <c r="T330" s="90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6"/>
      <c r="AZ330" s="120">
        <f>COUNTIF(U330:AY330,"A")</f>
      </c>
      <c r="BA330" s="121">
        <f>COUNTIF(U330:AY330,"F")</f>
      </c>
      <c r="BB330" s="119">
        <f>COUNTIF(U330:AY330,"E")</f>
      </c>
    </row>
    <row r="331" spans="1:54" x14ac:dyDescent="0.2">
      <c r="A331" s="84"/>
      <c r="B331" s="85"/>
      <c r="C331" s="85"/>
      <c r="D331" s="85"/>
      <c r="E331" s="86"/>
      <c r="F331" s="16">
        <f>IF(E331="","",DATEDIF(E331,$I$7,"Y"))</f>
      </c>
      <c r="G331" s="85"/>
      <c r="H331" s="85"/>
      <c r="I331" s="87"/>
      <c r="J331" s="85"/>
      <c r="K331" s="85"/>
      <c r="L331" s="10"/>
      <c r="M331" s="10"/>
      <c r="N331" s="10"/>
      <c r="O331" s="10"/>
      <c r="P331" s="85"/>
      <c r="Q331" s="88"/>
      <c r="R331" s="3">
        <f>IFERROR(VLOOKUP(TablaJunio[[#This Row],[BARRIO]],SECTOR!$A:$B,2,0),"")</f>
      </c>
      <c r="S331" s="89"/>
      <c r="T331" s="90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6"/>
      <c r="AZ331" s="120">
        <f>COUNTIF(U331:AY331,"A")</f>
      </c>
      <c r="BA331" s="121">
        <f>COUNTIF(U331:AY331,"F")</f>
      </c>
      <c r="BB331" s="119">
        <f>COUNTIF(U331:AY331,"E")</f>
      </c>
    </row>
    <row r="332" spans="1:54" x14ac:dyDescent="0.2">
      <c r="A332" s="84"/>
      <c r="B332" s="85"/>
      <c r="C332" s="85"/>
      <c r="D332" s="85"/>
      <c r="E332" s="86"/>
      <c r="F332" s="16">
        <f>IF(E332="","",DATEDIF(E332,$I$7,"Y"))</f>
      </c>
      <c r="G332" s="85"/>
      <c r="H332" s="85"/>
      <c r="I332" s="87"/>
      <c r="J332" s="85"/>
      <c r="K332" s="85"/>
      <c r="L332" s="10"/>
      <c r="M332" s="10"/>
      <c r="N332" s="10"/>
      <c r="O332" s="10"/>
      <c r="P332" s="85"/>
      <c r="Q332" s="88"/>
      <c r="R332" s="3">
        <f>IFERROR(VLOOKUP(TablaJunio[[#This Row],[BARRIO]],SECTOR!$A:$B,2,0),"")</f>
      </c>
      <c r="S332" s="89"/>
      <c r="T332" s="90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6"/>
      <c r="AZ332" s="120">
        <f>COUNTIF(U332:AY332,"A")</f>
      </c>
      <c r="BA332" s="121">
        <f>COUNTIF(U332:AY332,"F")</f>
      </c>
      <c r="BB332" s="119">
        <f>COUNTIF(U332:AY332,"E")</f>
      </c>
    </row>
    <row r="333" spans="1:54" x14ac:dyDescent="0.2">
      <c r="A333" s="84"/>
      <c r="B333" s="85"/>
      <c r="C333" s="85"/>
      <c r="D333" s="85"/>
      <c r="E333" s="86"/>
      <c r="F333" s="16">
        <f>IF(E333="","",DATEDIF(E333,$I$7,"Y"))</f>
      </c>
      <c r="G333" s="85"/>
      <c r="H333" s="85"/>
      <c r="I333" s="87"/>
      <c r="J333" s="85"/>
      <c r="K333" s="85"/>
      <c r="L333" s="10"/>
      <c r="M333" s="10"/>
      <c r="N333" s="10"/>
      <c r="O333" s="10"/>
      <c r="P333" s="85"/>
      <c r="Q333" s="88"/>
      <c r="R333" s="3">
        <f>IFERROR(VLOOKUP(TablaJunio[[#This Row],[BARRIO]],SECTOR!$A:$B,2,0),"")</f>
      </c>
      <c r="S333" s="89"/>
      <c r="T333" s="90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6"/>
      <c r="AZ333" s="120">
        <f>COUNTIF(U333:AY333,"A")</f>
      </c>
      <c r="BA333" s="121">
        <f>COUNTIF(U333:AY333,"F")</f>
      </c>
      <c r="BB333" s="119">
        <f>COUNTIF(U333:AY333,"E")</f>
      </c>
    </row>
    <row r="334" spans="1:54" x14ac:dyDescent="0.2">
      <c r="A334" s="84"/>
      <c r="B334" s="85"/>
      <c r="C334" s="85"/>
      <c r="D334" s="85"/>
      <c r="E334" s="86"/>
      <c r="F334" s="16">
        <f>IF(E334="","",DATEDIF(E334,$I$7,"Y"))</f>
      </c>
      <c r="G334" s="85"/>
      <c r="H334" s="85"/>
      <c r="I334" s="87"/>
      <c r="J334" s="85"/>
      <c r="K334" s="85"/>
      <c r="L334" s="10"/>
      <c r="M334" s="10"/>
      <c r="N334" s="10"/>
      <c r="O334" s="10"/>
      <c r="P334" s="85"/>
      <c r="Q334" s="88"/>
      <c r="R334" s="3">
        <f>IFERROR(VLOOKUP(TablaJunio[[#This Row],[BARRIO]],SECTOR!$A:$B,2,0),"")</f>
      </c>
      <c r="S334" s="89"/>
      <c r="T334" s="90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6"/>
      <c r="AZ334" s="120">
        <f>COUNTIF(U334:AY334,"A")</f>
      </c>
      <c r="BA334" s="121">
        <f>COUNTIF(U334:AY334,"F")</f>
      </c>
      <c r="BB334" s="119">
        <f>COUNTIF(U334:AY334,"E")</f>
      </c>
    </row>
    <row r="335" spans="1:54" x14ac:dyDescent="0.2">
      <c r="A335" s="84"/>
      <c r="B335" s="85"/>
      <c r="C335" s="85"/>
      <c r="D335" s="85"/>
      <c r="E335" s="86"/>
      <c r="F335" s="16">
        <f>IF(E335="","",DATEDIF(E335,$I$7,"Y"))</f>
      </c>
      <c r="G335" s="85"/>
      <c r="H335" s="85"/>
      <c r="I335" s="87"/>
      <c r="J335" s="85"/>
      <c r="K335" s="85"/>
      <c r="L335" s="10"/>
      <c r="M335" s="10"/>
      <c r="N335" s="10"/>
      <c r="O335" s="10"/>
      <c r="P335" s="85"/>
      <c r="Q335" s="88"/>
      <c r="R335" s="3">
        <f>IFERROR(VLOOKUP(TablaJunio[[#This Row],[BARRIO]],SECTOR!$A:$B,2,0),"")</f>
      </c>
      <c r="S335" s="89"/>
      <c r="T335" s="90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6"/>
      <c r="AZ335" s="120">
        <f>COUNTIF(U335:AY335,"A")</f>
      </c>
      <c r="BA335" s="121">
        <f>COUNTIF(U335:AY335,"F")</f>
      </c>
      <c r="BB335" s="119">
        <f>COUNTIF(U335:AY335,"E")</f>
      </c>
    </row>
    <row r="336" spans="1:54" x14ac:dyDescent="0.2">
      <c r="A336" s="84"/>
      <c r="B336" s="85"/>
      <c r="C336" s="85"/>
      <c r="D336" s="85"/>
      <c r="E336" s="86"/>
      <c r="F336" s="16">
        <f>IF(E336="","",DATEDIF(E336,$I$7,"Y"))</f>
      </c>
      <c r="G336" s="85"/>
      <c r="H336" s="85"/>
      <c r="I336" s="87"/>
      <c r="J336" s="85"/>
      <c r="K336" s="85"/>
      <c r="L336" s="10"/>
      <c r="M336" s="10"/>
      <c r="N336" s="10"/>
      <c r="O336" s="10"/>
      <c r="P336" s="85"/>
      <c r="Q336" s="88"/>
      <c r="R336" s="3">
        <f>IFERROR(VLOOKUP(TablaJunio[[#This Row],[BARRIO]],SECTOR!$A:$B,2,0),"")</f>
      </c>
      <c r="S336" s="89"/>
      <c r="T336" s="90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6"/>
      <c r="AZ336" s="120">
        <f>COUNTIF(U336:AY336,"A")</f>
      </c>
      <c r="BA336" s="121">
        <f>COUNTIF(U336:AY336,"F")</f>
      </c>
      <c r="BB336" s="119">
        <f>COUNTIF(U336:AY336,"E")</f>
      </c>
    </row>
    <row r="337" spans="1:54" x14ac:dyDescent="0.2">
      <c r="A337" s="84"/>
      <c r="B337" s="85"/>
      <c r="C337" s="85"/>
      <c r="D337" s="85"/>
      <c r="E337" s="86"/>
      <c r="F337" s="16">
        <f>IF(E337="","",DATEDIF(E337,$I$7,"Y"))</f>
      </c>
      <c r="G337" s="85"/>
      <c r="H337" s="85"/>
      <c r="I337" s="87"/>
      <c r="J337" s="85"/>
      <c r="K337" s="85"/>
      <c r="L337" s="10"/>
      <c r="M337" s="10"/>
      <c r="N337" s="10"/>
      <c r="O337" s="10"/>
      <c r="P337" s="85"/>
      <c r="Q337" s="88"/>
      <c r="R337" s="3">
        <f>IFERROR(VLOOKUP(TablaJunio[[#This Row],[BARRIO]],SECTOR!$A:$B,2,0),"")</f>
      </c>
      <c r="S337" s="89"/>
      <c r="T337" s="90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6"/>
      <c r="AZ337" s="120">
        <f>COUNTIF(U337:AY337,"A")</f>
      </c>
      <c r="BA337" s="121">
        <f>COUNTIF(U337:AY337,"F")</f>
      </c>
      <c r="BB337" s="119">
        <f>COUNTIF(U337:AY337,"E")</f>
      </c>
    </row>
    <row r="338" spans="1:54" x14ac:dyDescent="0.2">
      <c r="A338" s="84"/>
      <c r="B338" s="85"/>
      <c r="C338" s="85"/>
      <c r="D338" s="85"/>
      <c r="E338" s="86"/>
      <c r="F338" s="16">
        <f>IF(E338="","",DATEDIF(E338,$I$7,"Y"))</f>
      </c>
      <c r="G338" s="85"/>
      <c r="H338" s="85"/>
      <c r="I338" s="87"/>
      <c r="J338" s="85"/>
      <c r="K338" s="85"/>
      <c r="L338" s="10"/>
      <c r="M338" s="10"/>
      <c r="N338" s="10"/>
      <c r="O338" s="10"/>
      <c r="P338" s="85"/>
      <c r="Q338" s="88"/>
      <c r="R338" s="3">
        <f>IFERROR(VLOOKUP(TablaJunio[[#This Row],[BARRIO]],SECTOR!$A:$B,2,0),"")</f>
      </c>
      <c r="S338" s="89"/>
      <c r="T338" s="90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6"/>
      <c r="AZ338" s="120">
        <f>COUNTIF(U338:AY338,"A")</f>
      </c>
      <c r="BA338" s="121">
        <f>COUNTIF(U338:AY338,"F")</f>
      </c>
      <c r="BB338" s="119">
        <f>COUNTIF(U338:AY338,"E")</f>
      </c>
    </row>
    <row r="339" spans="1:54" x14ac:dyDescent="0.2">
      <c r="A339" s="84"/>
      <c r="B339" s="85"/>
      <c r="C339" s="85"/>
      <c r="D339" s="85"/>
      <c r="E339" s="86"/>
      <c r="F339" s="16">
        <f>IF(E339="","",DATEDIF(E339,$I$7,"Y"))</f>
      </c>
      <c r="G339" s="85"/>
      <c r="H339" s="85"/>
      <c r="I339" s="87"/>
      <c r="J339" s="85"/>
      <c r="K339" s="85"/>
      <c r="L339" s="10"/>
      <c r="M339" s="10"/>
      <c r="N339" s="10"/>
      <c r="O339" s="10"/>
      <c r="P339" s="85"/>
      <c r="Q339" s="88"/>
      <c r="R339" s="3">
        <f>IFERROR(VLOOKUP(TablaJunio[[#This Row],[BARRIO]],SECTOR!$A:$B,2,0),"")</f>
      </c>
      <c r="S339" s="89"/>
      <c r="T339" s="90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6"/>
      <c r="AZ339" s="120">
        <f>COUNTIF(U339:AY339,"A")</f>
      </c>
      <c r="BA339" s="121">
        <f>COUNTIF(U339:AY339,"F")</f>
      </c>
      <c r="BB339" s="119">
        <f>COUNTIF(U339:AY339,"E")</f>
      </c>
    </row>
    <row r="340" spans="1:54" x14ac:dyDescent="0.2">
      <c r="A340" s="84"/>
      <c r="B340" s="85"/>
      <c r="C340" s="85"/>
      <c r="D340" s="85"/>
      <c r="E340" s="86"/>
      <c r="F340" s="16">
        <f>IF(E340="","",DATEDIF(E340,$I$7,"Y"))</f>
      </c>
      <c r="G340" s="85"/>
      <c r="H340" s="85"/>
      <c r="I340" s="87"/>
      <c r="J340" s="85"/>
      <c r="K340" s="85"/>
      <c r="L340" s="10"/>
      <c r="M340" s="10"/>
      <c r="N340" s="10"/>
      <c r="O340" s="10"/>
      <c r="P340" s="85"/>
      <c r="Q340" s="88"/>
      <c r="R340" s="3">
        <f>IFERROR(VLOOKUP(TablaJunio[[#This Row],[BARRIO]],SECTOR!$A:$B,2,0),"")</f>
      </c>
      <c r="S340" s="89"/>
      <c r="T340" s="90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6"/>
      <c r="AZ340" s="120">
        <f>COUNTIF(U340:AY340,"A")</f>
      </c>
      <c r="BA340" s="121">
        <f>COUNTIF(U340:AY340,"F")</f>
      </c>
      <c r="BB340" s="119">
        <f>COUNTIF(U340:AY340,"E")</f>
      </c>
    </row>
    <row r="341" spans="1:54" x14ac:dyDescent="0.2">
      <c r="A341" s="84"/>
      <c r="B341" s="85"/>
      <c r="C341" s="85"/>
      <c r="D341" s="85"/>
      <c r="E341" s="86"/>
      <c r="F341" s="16">
        <f>IF(E341="","",DATEDIF(E341,$I$7,"Y"))</f>
      </c>
      <c r="G341" s="85"/>
      <c r="H341" s="85"/>
      <c r="I341" s="87"/>
      <c r="J341" s="85"/>
      <c r="K341" s="85"/>
      <c r="L341" s="10"/>
      <c r="M341" s="10"/>
      <c r="N341" s="10"/>
      <c r="O341" s="10"/>
      <c r="P341" s="85"/>
      <c r="Q341" s="88"/>
      <c r="R341" s="3">
        <f>IFERROR(VLOOKUP(TablaJunio[[#This Row],[BARRIO]],SECTOR!$A:$B,2,0),"")</f>
      </c>
      <c r="S341" s="89"/>
      <c r="T341" s="90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6"/>
      <c r="AZ341" s="120">
        <f>COUNTIF(U341:AY341,"A")</f>
      </c>
      <c r="BA341" s="121">
        <f>COUNTIF(U341:AY341,"F")</f>
      </c>
      <c r="BB341" s="119">
        <f>COUNTIF(U341:AY341,"E")</f>
      </c>
    </row>
    <row r="342" spans="1:54" x14ac:dyDescent="0.2">
      <c r="A342" s="84"/>
      <c r="B342" s="85"/>
      <c r="C342" s="85"/>
      <c r="D342" s="85"/>
      <c r="E342" s="86"/>
      <c r="F342" s="16">
        <f>IF(E342="","",DATEDIF(E342,$I$7,"Y"))</f>
      </c>
      <c r="G342" s="85"/>
      <c r="H342" s="85"/>
      <c r="I342" s="87"/>
      <c r="J342" s="85"/>
      <c r="K342" s="85"/>
      <c r="L342" s="10"/>
      <c r="M342" s="10"/>
      <c r="N342" s="10"/>
      <c r="O342" s="10"/>
      <c r="P342" s="85"/>
      <c r="Q342" s="88"/>
      <c r="R342" s="3">
        <f>IFERROR(VLOOKUP(TablaJunio[[#This Row],[BARRIO]],SECTOR!$A:$B,2,0),"")</f>
      </c>
      <c r="S342" s="89"/>
      <c r="T342" s="90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6"/>
      <c r="AZ342" s="120">
        <f>COUNTIF(U342:AY342,"A")</f>
      </c>
      <c r="BA342" s="121">
        <f>COUNTIF(U342:AY342,"F")</f>
      </c>
      <c r="BB342" s="119">
        <f>COUNTIF(U342:AY342,"E")</f>
      </c>
    </row>
    <row r="343" spans="1:54" x14ac:dyDescent="0.2">
      <c r="A343" s="84"/>
      <c r="B343" s="85"/>
      <c r="C343" s="85"/>
      <c r="D343" s="85"/>
      <c r="E343" s="86"/>
      <c r="F343" s="16">
        <f>IF(E343="","",DATEDIF(E343,$I$7,"Y"))</f>
      </c>
      <c r="G343" s="85"/>
      <c r="H343" s="85"/>
      <c r="I343" s="87"/>
      <c r="J343" s="85"/>
      <c r="K343" s="85"/>
      <c r="L343" s="10"/>
      <c r="M343" s="10"/>
      <c r="N343" s="10"/>
      <c r="O343" s="10"/>
      <c r="P343" s="85"/>
      <c r="Q343" s="88"/>
      <c r="R343" s="3">
        <f>IFERROR(VLOOKUP(TablaJunio[[#This Row],[BARRIO]],SECTOR!$A:$B,2,0),"")</f>
      </c>
      <c r="S343" s="89"/>
      <c r="T343" s="90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6"/>
      <c r="AZ343" s="120">
        <f>COUNTIF(U343:AY343,"A")</f>
      </c>
      <c r="BA343" s="121">
        <f>COUNTIF(U343:AY343,"F")</f>
      </c>
      <c r="BB343" s="119">
        <f>COUNTIF(U343:AY343,"E")</f>
      </c>
    </row>
    <row r="344" spans="1:54" x14ac:dyDescent="0.2">
      <c r="A344" s="84"/>
      <c r="B344" s="85"/>
      <c r="C344" s="85"/>
      <c r="D344" s="85"/>
      <c r="E344" s="86"/>
      <c r="F344" s="16">
        <f>IF(E344="","",DATEDIF(E344,$I$7,"Y"))</f>
      </c>
      <c r="G344" s="85"/>
      <c r="H344" s="85"/>
      <c r="I344" s="87"/>
      <c r="J344" s="85"/>
      <c r="K344" s="85"/>
      <c r="L344" s="10"/>
      <c r="M344" s="10"/>
      <c r="N344" s="10"/>
      <c r="O344" s="10"/>
      <c r="P344" s="85"/>
      <c r="Q344" s="88"/>
      <c r="R344" s="3">
        <f>IFERROR(VLOOKUP(TablaJunio[[#This Row],[BARRIO]],SECTOR!$A:$B,2,0),"")</f>
      </c>
      <c r="S344" s="89"/>
      <c r="T344" s="90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6"/>
      <c r="AZ344" s="120">
        <f>COUNTIF(U344:AY344,"A")</f>
      </c>
      <c r="BA344" s="121">
        <f>COUNTIF(U344:AY344,"F")</f>
      </c>
      <c r="BB344" s="119">
        <f>COUNTIF(U344:AY344,"E")</f>
      </c>
    </row>
    <row r="345" spans="1:54" x14ac:dyDescent="0.2">
      <c r="A345" s="84"/>
      <c r="B345" s="85"/>
      <c r="C345" s="85"/>
      <c r="D345" s="85"/>
      <c r="E345" s="86"/>
      <c r="F345" s="16">
        <f>IF(E345="","",DATEDIF(E345,$I$7,"Y"))</f>
      </c>
      <c r="G345" s="85"/>
      <c r="H345" s="85"/>
      <c r="I345" s="87"/>
      <c r="J345" s="85"/>
      <c r="K345" s="85"/>
      <c r="L345" s="10"/>
      <c r="M345" s="10"/>
      <c r="N345" s="10"/>
      <c r="O345" s="10"/>
      <c r="P345" s="85"/>
      <c r="Q345" s="88"/>
      <c r="R345" s="3">
        <f>IFERROR(VLOOKUP(TablaJunio[[#This Row],[BARRIO]],SECTOR!$A:$B,2,0),"")</f>
      </c>
      <c r="S345" s="89"/>
      <c r="T345" s="90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6"/>
      <c r="AZ345" s="120">
        <f>COUNTIF(U345:AY345,"A")</f>
      </c>
      <c r="BA345" s="121">
        <f>COUNTIF(U345:AY345,"F")</f>
      </c>
      <c r="BB345" s="119">
        <f>COUNTIF(U345:AY345,"E")</f>
      </c>
    </row>
    <row r="346" spans="1:54" x14ac:dyDescent="0.2">
      <c r="A346" s="84"/>
      <c r="B346" s="85"/>
      <c r="C346" s="85"/>
      <c r="D346" s="85"/>
      <c r="E346" s="86"/>
      <c r="F346" s="16">
        <f>IF(E346="","",DATEDIF(E346,$I$7,"Y"))</f>
      </c>
      <c r="G346" s="85"/>
      <c r="H346" s="85"/>
      <c r="I346" s="87"/>
      <c r="J346" s="85"/>
      <c r="K346" s="85"/>
      <c r="L346" s="10"/>
      <c r="M346" s="10"/>
      <c r="N346" s="10"/>
      <c r="O346" s="10"/>
      <c r="P346" s="85"/>
      <c r="Q346" s="88"/>
      <c r="R346" s="3">
        <f>IFERROR(VLOOKUP(TablaJunio[[#This Row],[BARRIO]],SECTOR!$A:$B,2,0),"")</f>
      </c>
      <c r="S346" s="89"/>
      <c r="T346" s="90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6"/>
      <c r="AZ346" s="120">
        <f>COUNTIF(U346:AY346,"A")</f>
      </c>
      <c r="BA346" s="121">
        <f>COUNTIF(U346:AY346,"F")</f>
      </c>
      <c r="BB346" s="119">
        <f>COUNTIF(U346:AY346,"E")</f>
      </c>
    </row>
    <row r="347" spans="1:54" x14ac:dyDescent="0.2">
      <c r="A347" s="84"/>
      <c r="B347" s="85"/>
      <c r="C347" s="85"/>
      <c r="D347" s="85"/>
      <c r="E347" s="86"/>
      <c r="F347" s="16">
        <f>IF(E347="","",DATEDIF(E347,$I$7,"Y"))</f>
      </c>
      <c r="G347" s="85"/>
      <c r="H347" s="85"/>
      <c r="I347" s="87"/>
      <c r="J347" s="85"/>
      <c r="K347" s="85"/>
      <c r="L347" s="10"/>
      <c r="M347" s="10"/>
      <c r="N347" s="10"/>
      <c r="O347" s="10"/>
      <c r="P347" s="85"/>
      <c r="Q347" s="88"/>
      <c r="R347" s="3">
        <f>IFERROR(VLOOKUP(TablaJunio[[#This Row],[BARRIO]],SECTOR!$A:$B,2,0),"")</f>
      </c>
      <c r="S347" s="89"/>
      <c r="T347" s="90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6"/>
      <c r="AZ347" s="120">
        <f>COUNTIF(U347:AY347,"A")</f>
      </c>
      <c r="BA347" s="121">
        <f>COUNTIF(U347:AY347,"F")</f>
      </c>
      <c r="BB347" s="119">
        <f>COUNTIF(U347:AY347,"E")</f>
      </c>
    </row>
    <row r="348" spans="1:54" x14ac:dyDescent="0.2">
      <c r="A348" s="84"/>
      <c r="B348" s="85"/>
      <c r="C348" s="85"/>
      <c r="D348" s="85"/>
      <c r="E348" s="86"/>
      <c r="F348" s="16">
        <f>IF(E348="","",DATEDIF(E348,$I$7,"Y"))</f>
      </c>
      <c r="G348" s="85"/>
      <c r="H348" s="85"/>
      <c r="I348" s="87"/>
      <c r="J348" s="85"/>
      <c r="K348" s="85"/>
      <c r="L348" s="10"/>
      <c r="M348" s="10"/>
      <c r="N348" s="10"/>
      <c r="O348" s="10"/>
      <c r="P348" s="85"/>
      <c r="Q348" s="88"/>
      <c r="R348" s="3">
        <f>IFERROR(VLOOKUP(TablaJunio[[#This Row],[BARRIO]],SECTOR!$A:$B,2,0),"")</f>
      </c>
      <c r="S348" s="89"/>
      <c r="T348" s="90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6"/>
      <c r="AZ348" s="120">
        <f>COUNTIF(U348:AY348,"A")</f>
      </c>
      <c r="BA348" s="121">
        <f>COUNTIF(U348:AY348,"F")</f>
      </c>
      <c r="BB348" s="119">
        <f>COUNTIF(U348:AY348,"E")</f>
      </c>
    </row>
    <row r="349" spans="1:54" x14ac:dyDescent="0.2">
      <c r="A349" s="84"/>
      <c r="B349" s="85"/>
      <c r="C349" s="85"/>
      <c r="D349" s="85"/>
      <c r="E349" s="86"/>
      <c r="F349" s="16">
        <f>IF(E349="","",DATEDIF(E349,$I$7,"Y"))</f>
      </c>
      <c r="G349" s="85"/>
      <c r="H349" s="85"/>
      <c r="I349" s="87"/>
      <c r="J349" s="85"/>
      <c r="K349" s="85"/>
      <c r="L349" s="10"/>
      <c r="M349" s="10"/>
      <c r="N349" s="10"/>
      <c r="O349" s="10"/>
      <c r="P349" s="85"/>
      <c r="Q349" s="88"/>
      <c r="R349" s="3">
        <f>IFERROR(VLOOKUP(TablaJunio[[#This Row],[BARRIO]],SECTOR!$A:$B,2,0),"")</f>
      </c>
      <c r="S349" s="89"/>
      <c r="T349" s="90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6"/>
      <c r="AZ349" s="120">
        <f>COUNTIF(U349:AY349,"A")</f>
      </c>
      <c r="BA349" s="121">
        <f>COUNTIF(U349:AY349,"F")</f>
      </c>
      <c r="BB349" s="119">
        <f>COUNTIF(U349:AY349,"E")</f>
      </c>
    </row>
    <row r="350" spans="1:54" x14ac:dyDescent="0.2">
      <c r="A350" s="84"/>
      <c r="B350" s="85"/>
      <c r="C350" s="85"/>
      <c r="D350" s="85"/>
      <c r="E350" s="86"/>
      <c r="F350" s="16">
        <f>IF(E350="","",DATEDIF(E350,$I$7,"Y"))</f>
      </c>
      <c r="G350" s="85"/>
      <c r="H350" s="85"/>
      <c r="I350" s="87"/>
      <c r="J350" s="85"/>
      <c r="K350" s="85"/>
      <c r="L350" s="10"/>
      <c r="M350" s="10"/>
      <c r="N350" s="10"/>
      <c r="O350" s="10"/>
      <c r="P350" s="85"/>
      <c r="Q350" s="88"/>
      <c r="R350" s="3">
        <f>IFERROR(VLOOKUP(TablaJunio[[#This Row],[BARRIO]],SECTOR!$A:$B,2,0),"")</f>
      </c>
      <c r="S350" s="89"/>
      <c r="T350" s="90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6"/>
      <c r="AZ350" s="120">
        <f>COUNTIF(U350:AY350,"A")</f>
      </c>
      <c r="BA350" s="121">
        <f>COUNTIF(U350:AY350,"F")</f>
      </c>
      <c r="BB350" s="119">
        <f>COUNTIF(U350:AY350,"E")</f>
      </c>
    </row>
    <row r="351" spans="1:54" x14ac:dyDescent="0.2">
      <c r="A351" s="84"/>
      <c r="B351" s="85"/>
      <c r="C351" s="85"/>
      <c r="D351" s="85"/>
      <c r="E351" s="86"/>
      <c r="F351" s="16">
        <f>IF(E351="","",DATEDIF(E351,$I$7,"Y"))</f>
      </c>
      <c r="G351" s="85"/>
      <c r="H351" s="85"/>
      <c r="I351" s="87"/>
      <c r="J351" s="85"/>
      <c r="K351" s="85"/>
      <c r="L351" s="10"/>
      <c r="M351" s="10"/>
      <c r="N351" s="10"/>
      <c r="O351" s="10"/>
      <c r="P351" s="85"/>
      <c r="Q351" s="88"/>
      <c r="R351" s="3">
        <f>IFERROR(VLOOKUP(TablaJunio[[#This Row],[BARRIO]],SECTOR!$A:$B,2,0),"")</f>
      </c>
      <c r="S351" s="89"/>
      <c r="T351" s="90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6"/>
      <c r="AZ351" s="120">
        <f>COUNTIF(U351:AY351,"A")</f>
      </c>
      <c r="BA351" s="121">
        <f>COUNTIF(U351:AY351,"F")</f>
      </c>
      <c r="BB351" s="119">
        <f>COUNTIF(U351:AY351,"E")</f>
      </c>
    </row>
    <row r="352" spans="1:54" x14ac:dyDescent="0.2">
      <c r="A352" s="84"/>
      <c r="B352" s="85"/>
      <c r="C352" s="85"/>
      <c r="D352" s="85"/>
      <c r="E352" s="86"/>
      <c r="F352" s="16">
        <f>IF(E352="","",DATEDIF(E352,$I$7,"Y"))</f>
      </c>
      <c r="G352" s="85"/>
      <c r="H352" s="85"/>
      <c r="I352" s="87"/>
      <c r="J352" s="85"/>
      <c r="K352" s="85"/>
      <c r="L352" s="10"/>
      <c r="M352" s="10"/>
      <c r="N352" s="10"/>
      <c r="O352" s="10"/>
      <c r="P352" s="85"/>
      <c r="Q352" s="88"/>
      <c r="R352" s="3">
        <f>IFERROR(VLOOKUP(TablaJunio[[#This Row],[BARRIO]],SECTOR!$A:$B,2,0),"")</f>
      </c>
      <c r="S352" s="89"/>
      <c r="T352" s="90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6"/>
      <c r="AZ352" s="120">
        <f>COUNTIF(U352:AY352,"A")</f>
      </c>
      <c r="BA352" s="121">
        <f>COUNTIF(U352:AY352,"F")</f>
      </c>
      <c r="BB352" s="119">
        <f>COUNTIF(U352:AY352,"E")</f>
      </c>
    </row>
    <row r="353" spans="1:54" x14ac:dyDescent="0.2">
      <c r="A353" s="84"/>
      <c r="B353" s="85"/>
      <c r="C353" s="85"/>
      <c r="D353" s="85"/>
      <c r="E353" s="86"/>
      <c r="F353" s="16">
        <f>IF(E353="","",DATEDIF(E353,$I$7,"Y"))</f>
      </c>
      <c r="G353" s="85"/>
      <c r="H353" s="85"/>
      <c r="I353" s="87"/>
      <c r="J353" s="85"/>
      <c r="K353" s="85"/>
      <c r="L353" s="10"/>
      <c r="M353" s="10"/>
      <c r="N353" s="10"/>
      <c r="O353" s="10"/>
      <c r="P353" s="85"/>
      <c r="Q353" s="88"/>
      <c r="R353" s="3">
        <f>IFERROR(VLOOKUP(TablaJunio[[#This Row],[BARRIO]],SECTOR!$A:$B,2,0),"")</f>
      </c>
      <c r="S353" s="89"/>
      <c r="T353" s="90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6"/>
      <c r="AZ353" s="120">
        <f>COUNTIF(U353:AY353,"A")</f>
      </c>
      <c r="BA353" s="121">
        <f>COUNTIF(U353:AY353,"F")</f>
      </c>
      <c r="BB353" s="119">
        <f>COUNTIF(U353:AY353,"E")</f>
      </c>
    </row>
    <row r="354" spans="1:54" x14ac:dyDescent="0.2">
      <c r="A354" s="84"/>
      <c r="B354" s="85"/>
      <c r="C354" s="85"/>
      <c r="D354" s="85"/>
      <c r="E354" s="86"/>
      <c r="F354" s="16">
        <f>IF(E354="","",DATEDIF(E354,$I$7,"Y"))</f>
      </c>
      <c r="G354" s="85"/>
      <c r="H354" s="85"/>
      <c r="I354" s="87"/>
      <c r="J354" s="85"/>
      <c r="K354" s="85"/>
      <c r="L354" s="10"/>
      <c r="M354" s="10"/>
      <c r="N354" s="10"/>
      <c r="O354" s="10"/>
      <c r="P354" s="85"/>
      <c r="Q354" s="88"/>
      <c r="R354" s="3">
        <f>IFERROR(VLOOKUP(TablaJunio[[#This Row],[BARRIO]],SECTOR!$A:$B,2,0),"")</f>
      </c>
      <c r="S354" s="89"/>
      <c r="T354" s="90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6"/>
      <c r="AZ354" s="120">
        <f>COUNTIF(U354:AY354,"A")</f>
      </c>
      <c r="BA354" s="121">
        <f>COUNTIF(U354:AY354,"F")</f>
      </c>
      <c r="BB354" s="119">
        <f>COUNTIF(U354:AY354,"E")</f>
      </c>
    </row>
    <row r="355" spans="1:54" x14ac:dyDescent="0.2">
      <c r="A355" s="84"/>
      <c r="B355" s="85"/>
      <c r="C355" s="85"/>
      <c r="D355" s="85"/>
      <c r="E355" s="86"/>
      <c r="F355" s="16">
        <f>IF(E355="","",DATEDIF(E355,$I$7,"Y"))</f>
      </c>
      <c r="G355" s="85"/>
      <c r="H355" s="85"/>
      <c r="I355" s="87"/>
      <c r="J355" s="85"/>
      <c r="K355" s="85"/>
      <c r="L355" s="10"/>
      <c r="M355" s="10"/>
      <c r="N355" s="10"/>
      <c r="O355" s="10"/>
      <c r="P355" s="85"/>
      <c r="Q355" s="88"/>
      <c r="R355" s="3">
        <f>IFERROR(VLOOKUP(TablaJunio[[#This Row],[BARRIO]],SECTOR!$A:$B,2,0),"")</f>
      </c>
      <c r="S355" s="89"/>
      <c r="T355" s="90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6"/>
      <c r="AZ355" s="120">
        <f>COUNTIF(U355:AY355,"A")</f>
      </c>
      <c r="BA355" s="121">
        <f>COUNTIF(U355:AY355,"F")</f>
      </c>
      <c r="BB355" s="119">
        <f>COUNTIF(U355:AY355,"E")</f>
      </c>
    </row>
    <row r="356" spans="1:54" x14ac:dyDescent="0.2">
      <c r="A356" s="84"/>
      <c r="B356" s="85"/>
      <c r="C356" s="85"/>
      <c r="D356" s="85"/>
      <c r="E356" s="86"/>
      <c r="F356" s="16">
        <f>IF(E356="","",DATEDIF(E356,$I$7,"Y"))</f>
      </c>
      <c r="G356" s="85"/>
      <c r="H356" s="85"/>
      <c r="I356" s="87"/>
      <c r="J356" s="85"/>
      <c r="K356" s="85"/>
      <c r="L356" s="10"/>
      <c r="M356" s="10"/>
      <c r="N356" s="10"/>
      <c r="O356" s="10"/>
      <c r="P356" s="85"/>
      <c r="Q356" s="88"/>
      <c r="R356" s="3">
        <f>IFERROR(VLOOKUP(TablaJunio[[#This Row],[BARRIO]],SECTOR!$A:$B,2,0),"")</f>
      </c>
      <c r="S356" s="89"/>
      <c r="T356" s="90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6"/>
      <c r="AZ356" s="120">
        <f>COUNTIF(U356:AY356,"A")</f>
      </c>
      <c r="BA356" s="121">
        <f>COUNTIF(U356:AY356,"F")</f>
      </c>
      <c r="BB356" s="119">
        <f>COUNTIF(U356:AY356,"E")</f>
      </c>
    </row>
    <row r="357" spans="1:54" x14ac:dyDescent="0.2">
      <c r="A357" s="84"/>
      <c r="B357" s="85"/>
      <c r="C357" s="85"/>
      <c r="D357" s="85"/>
      <c r="E357" s="86"/>
      <c r="F357" s="16">
        <f>IF(E357="","",DATEDIF(E357,$I$7,"Y"))</f>
      </c>
      <c r="G357" s="85"/>
      <c r="H357" s="85"/>
      <c r="I357" s="87"/>
      <c r="J357" s="85"/>
      <c r="K357" s="85"/>
      <c r="L357" s="10"/>
      <c r="M357" s="10"/>
      <c r="N357" s="10"/>
      <c r="O357" s="10"/>
      <c r="P357" s="85"/>
      <c r="Q357" s="88"/>
      <c r="R357" s="3">
        <f>IFERROR(VLOOKUP(TablaJunio[[#This Row],[BARRIO]],SECTOR!$A:$B,2,0),"")</f>
      </c>
      <c r="S357" s="89"/>
      <c r="T357" s="90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6"/>
      <c r="AZ357" s="120">
        <f>COUNTIF(U357:AY357,"A")</f>
      </c>
      <c r="BA357" s="121">
        <f>COUNTIF(U357:AY357,"F")</f>
      </c>
      <c r="BB357" s="119">
        <f>COUNTIF(U357:AY357,"E")</f>
      </c>
    </row>
    <row r="358" spans="1:54" x14ac:dyDescent="0.2">
      <c r="A358" s="84"/>
      <c r="B358" s="85"/>
      <c r="C358" s="85"/>
      <c r="D358" s="85"/>
      <c r="E358" s="86"/>
      <c r="F358" s="16">
        <f>IF(E358="","",DATEDIF(E358,$I$7,"Y"))</f>
      </c>
      <c r="G358" s="85"/>
      <c r="H358" s="85"/>
      <c r="I358" s="87"/>
      <c r="J358" s="85"/>
      <c r="K358" s="85"/>
      <c r="L358" s="10"/>
      <c r="M358" s="10"/>
      <c r="N358" s="10"/>
      <c r="O358" s="10"/>
      <c r="P358" s="85"/>
      <c r="Q358" s="88"/>
      <c r="R358" s="3">
        <f>IFERROR(VLOOKUP(TablaJunio[[#This Row],[BARRIO]],SECTOR!$A:$B,2,0),"")</f>
      </c>
      <c r="S358" s="89"/>
      <c r="T358" s="90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6"/>
      <c r="AZ358" s="120">
        <f>COUNTIF(U358:AY358,"A")</f>
      </c>
      <c r="BA358" s="121">
        <f>COUNTIF(U358:AY358,"F")</f>
      </c>
      <c r="BB358" s="119">
        <f>COUNTIF(U358:AY358,"E")</f>
      </c>
    </row>
    <row r="359" spans="1:54" x14ac:dyDescent="0.2">
      <c r="A359" s="84"/>
      <c r="B359" s="85"/>
      <c r="C359" s="85"/>
      <c r="D359" s="85"/>
      <c r="E359" s="86"/>
      <c r="F359" s="16">
        <f>IF(E359="","",DATEDIF(E359,$I$7,"Y"))</f>
      </c>
      <c r="G359" s="85"/>
      <c r="H359" s="85"/>
      <c r="I359" s="87"/>
      <c r="J359" s="85"/>
      <c r="K359" s="85"/>
      <c r="L359" s="10"/>
      <c r="M359" s="10"/>
      <c r="N359" s="10"/>
      <c r="O359" s="10"/>
      <c r="P359" s="85"/>
      <c r="Q359" s="88"/>
      <c r="R359" s="3">
        <f>IFERROR(VLOOKUP(TablaJunio[[#This Row],[BARRIO]],SECTOR!$A:$B,2,0),"")</f>
      </c>
      <c r="S359" s="89"/>
      <c r="T359" s="90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6"/>
      <c r="AZ359" s="120">
        <f>COUNTIF(U359:AY359,"A")</f>
      </c>
      <c r="BA359" s="121">
        <f>COUNTIF(U359:AY359,"F")</f>
      </c>
      <c r="BB359" s="119">
        <f>COUNTIF(U359:AY359,"E")</f>
      </c>
    </row>
    <row r="360" spans="1:54" x14ac:dyDescent="0.2">
      <c r="A360" s="84"/>
      <c r="B360" s="85"/>
      <c r="C360" s="85"/>
      <c r="D360" s="85"/>
      <c r="E360" s="86"/>
      <c r="F360" s="16">
        <f>IF(E360="","",DATEDIF(E360,$I$7,"Y"))</f>
      </c>
      <c r="G360" s="85"/>
      <c r="H360" s="85"/>
      <c r="I360" s="87"/>
      <c r="J360" s="85"/>
      <c r="K360" s="85"/>
      <c r="L360" s="10"/>
      <c r="M360" s="10"/>
      <c r="N360" s="10"/>
      <c r="O360" s="10"/>
      <c r="P360" s="85"/>
      <c r="Q360" s="88"/>
      <c r="R360" s="3">
        <f>IFERROR(VLOOKUP(TablaJunio[[#This Row],[BARRIO]],SECTOR!$A:$B,2,0),"")</f>
      </c>
      <c r="S360" s="89"/>
      <c r="T360" s="90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6"/>
      <c r="AZ360" s="120">
        <f>COUNTIF(U360:AY360,"A")</f>
      </c>
      <c r="BA360" s="121">
        <f>COUNTIF(U360:AY360,"F")</f>
      </c>
      <c r="BB360" s="119">
        <f>COUNTIF(U360:AY360,"E")</f>
      </c>
    </row>
    <row r="361" spans="1:54" x14ac:dyDescent="0.2">
      <c r="A361" s="84"/>
      <c r="B361" s="85"/>
      <c r="C361" s="85"/>
      <c r="D361" s="85"/>
      <c r="E361" s="86"/>
      <c r="F361" s="16">
        <f>IF(E361="","",DATEDIF(E361,$I$7,"Y"))</f>
      </c>
      <c r="G361" s="85"/>
      <c r="H361" s="85"/>
      <c r="I361" s="87"/>
      <c r="J361" s="85"/>
      <c r="K361" s="85"/>
      <c r="L361" s="10"/>
      <c r="M361" s="10"/>
      <c r="N361" s="10"/>
      <c r="O361" s="10"/>
      <c r="P361" s="85"/>
      <c r="Q361" s="88"/>
      <c r="R361" s="3">
        <f>IFERROR(VLOOKUP(TablaJunio[[#This Row],[BARRIO]],SECTOR!$A:$B,2,0),"")</f>
      </c>
      <c r="S361" s="89"/>
      <c r="T361" s="90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6"/>
      <c r="AZ361" s="120">
        <f>COUNTIF(U361:AY361,"A")</f>
      </c>
      <c r="BA361" s="121">
        <f>COUNTIF(U361:AY361,"F")</f>
      </c>
      <c r="BB361" s="119">
        <f>COUNTIF(U361:AY361,"E")</f>
      </c>
    </row>
    <row r="362" spans="1:54" x14ac:dyDescent="0.2">
      <c r="A362" s="84"/>
      <c r="B362" s="85"/>
      <c r="C362" s="85"/>
      <c r="D362" s="85"/>
      <c r="E362" s="86"/>
      <c r="F362" s="16">
        <f>IF(E362="","",DATEDIF(E362,$I$7,"Y"))</f>
      </c>
      <c r="G362" s="85"/>
      <c r="H362" s="85"/>
      <c r="I362" s="87"/>
      <c r="J362" s="85"/>
      <c r="K362" s="85"/>
      <c r="L362" s="10"/>
      <c r="M362" s="10"/>
      <c r="N362" s="10"/>
      <c r="O362" s="10"/>
      <c r="P362" s="85"/>
      <c r="Q362" s="88"/>
      <c r="R362" s="3">
        <f>IFERROR(VLOOKUP(TablaJunio[[#This Row],[BARRIO]],SECTOR!$A:$B,2,0),"")</f>
      </c>
      <c r="S362" s="89"/>
      <c r="T362" s="90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6"/>
      <c r="AZ362" s="120">
        <f>COUNTIF(U362:AY362,"A")</f>
      </c>
      <c r="BA362" s="121">
        <f>COUNTIF(U362:AY362,"F")</f>
      </c>
      <c r="BB362" s="119">
        <f>COUNTIF(U362:AY362,"E")</f>
      </c>
    </row>
    <row r="363" spans="1:54" x14ac:dyDescent="0.2">
      <c r="A363" s="84"/>
      <c r="B363" s="85"/>
      <c r="C363" s="85"/>
      <c r="D363" s="85"/>
      <c r="E363" s="86"/>
      <c r="F363" s="16">
        <f>IF(E363="","",DATEDIF(E363,$I$7,"Y"))</f>
      </c>
      <c r="G363" s="85"/>
      <c r="H363" s="85"/>
      <c r="I363" s="87"/>
      <c r="J363" s="85"/>
      <c r="K363" s="85"/>
      <c r="L363" s="10"/>
      <c r="M363" s="10"/>
      <c r="N363" s="10"/>
      <c r="O363" s="10"/>
      <c r="P363" s="85"/>
      <c r="Q363" s="88"/>
      <c r="R363" s="3">
        <f>IFERROR(VLOOKUP(TablaJunio[[#This Row],[BARRIO]],SECTOR!$A:$B,2,0),"")</f>
      </c>
      <c r="S363" s="89"/>
      <c r="T363" s="90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6"/>
      <c r="AZ363" s="120">
        <f>COUNTIF(U363:AY363,"A")</f>
      </c>
      <c r="BA363" s="121">
        <f>COUNTIF(U363:AY363,"F")</f>
      </c>
      <c r="BB363" s="119">
        <f>COUNTIF(U363:AY363,"E")</f>
      </c>
    </row>
    <row r="364" spans="1:54" x14ac:dyDescent="0.2">
      <c r="A364" s="84"/>
      <c r="B364" s="85"/>
      <c r="C364" s="85"/>
      <c r="D364" s="85"/>
      <c r="E364" s="86"/>
      <c r="F364" s="16">
        <f>IF(E364="","",DATEDIF(E364,$I$7,"Y"))</f>
      </c>
      <c r="G364" s="85"/>
      <c r="H364" s="85"/>
      <c r="I364" s="87"/>
      <c r="J364" s="85"/>
      <c r="K364" s="85"/>
      <c r="L364" s="10"/>
      <c r="M364" s="10"/>
      <c r="N364" s="10"/>
      <c r="O364" s="10"/>
      <c r="P364" s="85"/>
      <c r="Q364" s="88"/>
      <c r="R364" s="3">
        <f>IFERROR(VLOOKUP(TablaJunio[[#This Row],[BARRIO]],SECTOR!$A:$B,2,0),"")</f>
      </c>
      <c r="S364" s="89"/>
      <c r="T364" s="90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6"/>
      <c r="AZ364" s="120">
        <f>COUNTIF(U364:AY364,"A")</f>
      </c>
      <c r="BA364" s="121">
        <f>COUNTIF(U364:AY364,"F")</f>
      </c>
      <c r="BB364" s="119">
        <f>COUNTIF(U364:AY364,"E")</f>
      </c>
    </row>
    <row r="365" spans="1:54" x14ac:dyDescent="0.2">
      <c r="A365" s="84"/>
      <c r="B365" s="85"/>
      <c r="C365" s="85"/>
      <c r="D365" s="85"/>
      <c r="E365" s="86"/>
      <c r="F365" s="16">
        <f>IF(E365="","",DATEDIF(E365,$I$7,"Y"))</f>
      </c>
      <c r="G365" s="85"/>
      <c r="H365" s="85"/>
      <c r="I365" s="87"/>
      <c r="J365" s="85"/>
      <c r="K365" s="85"/>
      <c r="L365" s="10"/>
      <c r="M365" s="10"/>
      <c r="N365" s="10"/>
      <c r="O365" s="10"/>
      <c r="P365" s="85"/>
      <c r="Q365" s="88"/>
      <c r="R365" s="3">
        <f>IFERROR(VLOOKUP(TablaJunio[[#This Row],[BARRIO]],SECTOR!$A:$B,2,0),"")</f>
      </c>
      <c r="S365" s="89"/>
      <c r="T365" s="90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6"/>
      <c r="AZ365" s="120">
        <f>COUNTIF(U365:AY365,"A")</f>
      </c>
      <c r="BA365" s="121">
        <f>COUNTIF(U365:AY365,"F")</f>
      </c>
      <c r="BB365" s="119">
        <f>COUNTIF(U365:AY365,"E")</f>
      </c>
    </row>
    <row r="366" spans="1:54" x14ac:dyDescent="0.2">
      <c r="A366" s="84"/>
      <c r="B366" s="85"/>
      <c r="C366" s="85"/>
      <c r="D366" s="85"/>
      <c r="E366" s="86"/>
      <c r="F366" s="16">
        <f>IF(E366="","",DATEDIF(E366,$I$7,"Y"))</f>
      </c>
      <c r="G366" s="85"/>
      <c r="H366" s="85"/>
      <c r="I366" s="87"/>
      <c r="J366" s="85"/>
      <c r="K366" s="85"/>
      <c r="L366" s="10"/>
      <c r="M366" s="10"/>
      <c r="N366" s="10"/>
      <c r="O366" s="10"/>
      <c r="P366" s="85"/>
      <c r="Q366" s="88"/>
      <c r="R366" s="3">
        <f>IFERROR(VLOOKUP(TablaJunio[[#This Row],[BARRIO]],SECTOR!$A:$B,2,0),"")</f>
      </c>
      <c r="S366" s="89"/>
      <c r="T366" s="90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6"/>
      <c r="AZ366" s="120">
        <f>COUNTIF(U366:AY366,"A")</f>
      </c>
      <c r="BA366" s="121">
        <f>COUNTIF(U366:AY366,"F")</f>
      </c>
      <c r="BB366" s="119">
        <f>COUNTIF(U366:AY366,"E")</f>
      </c>
    </row>
    <row r="367" spans="1:54" x14ac:dyDescent="0.2">
      <c r="A367" s="84"/>
      <c r="B367" s="85"/>
      <c r="C367" s="85"/>
      <c r="D367" s="85"/>
      <c r="E367" s="86"/>
      <c r="F367" s="16">
        <f>IF(E367="","",DATEDIF(E367,$I$7,"Y"))</f>
      </c>
      <c r="G367" s="85"/>
      <c r="H367" s="85"/>
      <c r="I367" s="87"/>
      <c r="J367" s="85"/>
      <c r="K367" s="85"/>
      <c r="L367" s="10"/>
      <c r="M367" s="10"/>
      <c r="N367" s="10"/>
      <c r="O367" s="10"/>
      <c r="P367" s="85"/>
      <c r="Q367" s="88"/>
      <c r="R367" s="3">
        <f>IFERROR(VLOOKUP(TablaJunio[[#This Row],[BARRIO]],SECTOR!$A:$B,2,0),"")</f>
      </c>
      <c r="S367" s="89"/>
      <c r="T367" s="90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6"/>
      <c r="AZ367" s="120">
        <f>COUNTIF(U367:AY367,"A")</f>
      </c>
      <c r="BA367" s="121">
        <f>COUNTIF(U367:AY367,"F")</f>
      </c>
      <c r="BB367" s="119">
        <f>COUNTIF(U367:AY367,"E")</f>
      </c>
    </row>
    <row r="368" spans="1:54" x14ac:dyDescent="0.2">
      <c r="A368" s="84"/>
      <c r="B368" s="85"/>
      <c r="C368" s="85"/>
      <c r="D368" s="85"/>
      <c r="E368" s="86"/>
      <c r="F368" s="16">
        <f>IF(E368="","",DATEDIF(E368,$I$7,"Y"))</f>
      </c>
      <c r="G368" s="85"/>
      <c r="H368" s="85"/>
      <c r="I368" s="87"/>
      <c r="J368" s="85"/>
      <c r="K368" s="85"/>
      <c r="L368" s="10"/>
      <c r="M368" s="10"/>
      <c r="N368" s="10"/>
      <c r="O368" s="10"/>
      <c r="P368" s="85"/>
      <c r="Q368" s="88"/>
      <c r="R368" s="3">
        <f>IFERROR(VLOOKUP(TablaJunio[[#This Row],[BARRIO]],SECTOR!$A:$B,2,0),"")</f>
      </c>
      <c r="S368" s="89"/>
      <c r="T368" s="90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6"/>
      <c r="AZ368" s="120">
        <f>COUNTIF(U368:AY368,"A")</f>
      </c>
      <c r="BA368" s="121">
        <f>COUNTIF(U368:AY368,"F")</f>
      </c>
      <c r="BB368" s="119">
        <f>COUNTIF(U368:AY368,"E")</f>
      </c>
    </row>
    <row r="369" spans="1:54" x14ac:dyDescent="0.2">
      <c r="A369" s="84"/>
      <c r="B369" s="85"/>
      <c r="C369" s="85"/>
      <c r="D369" s="85"/>
      <c r="E369" s="86"/>
      <c r="F369" s="16">
        <f>IF(E369="","",DATEDIF(E369,$I$7,"Y"))</f>
      </c>
      <c r="G369" s="85"/>
      <c r="H369" s="85"/>
      <c r="I369" s="87"/>
      <c r="J369" s="85"/>
      <c r="K369" s="85"/>
      <c r="L369" s="10"/>
      <c r="M369" s="10"/>
      <c r="N369" s="10"/>
      <c r="O369" s="10"/>
      <c r="P369" s="85"/>
      <c r="Q369" s="88"/>
      <c r="R369" s="3">
        <f>IFERROR(VLOOKUP(TablaJunio[[#This Row],[BARRIO]],SECTOR!$A:$B,2,0),"")</f>
      </c>
      <c r="S369" s="89"/>
      <c r="T369" s="90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6"/>
      <c r="AZ369" s="120">
        <f>COUNTIF(U369:AY369,"A")</f>
      </c>
      <c r="BA369" s="121">
        <f>COUNTIF(U369:AY369,"F")</f>
      </c>
      <c r="BB369" s="119">
        <f>COUNTIF(U369:AY369,"E")</f>
      </c>
    </row>
    <row r="370" spans="1:54" x14ac:dyDescent="0.2">
      <c r="A370" s="84"/>
      <c r="B370" s="85"/>
      <c r="C370" s="85"/>
      <c r="D370" s="85"/>
      <c r="E370" s="86"/>
      <c r="F370" s="16">
        <f>IF(E370="","",DATEDIF(E370,$I$7,"Y"))</f>
      </c>
      <c r="G370" s="85"/>
      <c r="H370" s="85"/>
      <c r="I370" s="87"/>
      <c r="J370" s="85"/>
      <c r="K370" s="85"/>
      <c r="L370" s="10"/>
      <c r="M370" s="10"/>
      <c r="N370" s="10"/>
      <c r="O370" s="10"/>
      <c r="P370" s="85"/>
      <c r="Q370" s="88"/>
      <c r="R370" s="3">
        <f>IFERROR(VLOOKUP(TablaJunio[[#This Row],[BARRIO]],SECTOR!$A:$B,2,0),"")</f>
      </c>
      <c r="S370" s="89"/>
      <c r="T370" s="90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6"/>
      <c r="AZ370" s="120">
        <f>COUNTIF(U370:AY370,"A")</f>
      </c>
      <c r="BA370" s="121">
        <f>COUNTIF(U370:AY370,"F")</f>
      </c>
      <c r="BB370" s="119">
        <f>COUNTIF(U370:AY370,"E")</f>
      </c>
    </row>
    <row r="371" spans="1:54" x14ac:dyDescent="0.2">
      <c r="A371" s="84"/>
      <c r="B371" s="85"/>
      <c r="C371" s="85"/>
      <c r="D371" s="85"/>
      <c r="E371" s="86"/>
      <c r="F371" s="16">
        <f>IF(E371="","",DATEDIF(E371,$I$7,"Y"))</f>
      </c>
      <c r="G371" s="85"/>
      <c r="H371" s="85"/>
      <c r="I371" s="87"/>
      <c r="J371" s="85"/>
      <c r="K371" s="85"/>
      <c r="L371" s="10"/>
      <c r="M371" s="10"/>
      <c r="N371" s="10"/>
      <c r="O371" s="10"/>
      <c r="P371" s="85"/>
      <c r="Q371" s="88"/>
      <c r="R371" s="3">
        <f>IFERROR(VLOOKUP(TablaJunio[[#This Row],[BARRIO]],SECTOR!$A:$B,2,0),"")</f>
      </c>
      <c r="S371" s="89"/>
      <c r="T371" s="90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6"/>
      <c r="AZ371" s="120">
        <f>COUNTIF(U371:AY371,"A")</f>
      </c>
      <c r="BA371" s="121">
        <f>COUNTIF(U371:AY371,"F")</f>
      </c>
      <c r="BB371" s="119">
        <f>COUNTIF(U371:AY371,"E")</f>
      </c>
    </row>
    <row r="372" spans="1:54" x14ac:dyDescent="0.2">
      <c r="A372" s="84"/>
      <c r="B372" s="85"/>
      <c r="C372" s="85"/>
      <c r="D372" s="85"/>
      <c r="E372" s="86"/>
      <c r="F372" s="16">
        <f>IF(E372="","",DATEDIF(E372,$I$7,"Y"))</f>
      </c>
      <c r="G372" s="85"/>
      <c r="H372" s="85"/>
      <c r="I372" s="87"/>
      <c r="J372" s="85"/>
      <c r="K372" s="85"/>
      <c r="L372" s="10"/>
      <c r="M372" s="10"/>
      <c r="N372" s="10"/>
      <c r="O372" s="10"/>
      <c r="P372" s="85"/>
      <c r="Q372" s="88"/>
      <c r="R372" s="3">
        <f>IFERROR(VLOOKUP(TablaJunio[[#This Row],[BARRIO]],SECTOR!$A:$B,2,0),"")</f>
      </c>
      <c r="S372" s="89"/>
      <c r="T372" s="90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6"/>
      <c r="AZ372" s="120">
        <f>COUNTIF(U372:AY372,"A")</f>
      </c>
      <c r="BA372" s="121">
        <f>COUNTIF(U372:AY372,"F")</f>
      </c>
      <c r="BB372" s="119">
        <f>COUNTIF(U372:AY372,"E")</f>
      </c>
    </row>
    <row r="373" spans="1:54" x14ac:dyDescent="0.2">
      <c r="A373" s="84"/>
      <c r="B373" s="85"/>
      <c r="C373" s="85"/>
      <c r="D373" s="85"/>
      <c r="E373" s="86"/>
      <c r="F373" s="16">
        <f>IF(E373="","",DATEDIF(E373,$I$7,"Y"))</f>
      </c>
      <c r="G373" s="85"/>
      <c r="H373" s="85"/>
      <c r="I373" s="87"/>
      <c r="J373" s="85"/>
      <c r="K373" s="85"/>
      <c r="L373" s="10"/>
      <c r="M373" s="10"/>
      <c r="N373" s="10"/>
      <c r="O373" s="10"/>
      <c r="P373" s="85"/>
      <c r="Q373" s="88"/>
      <c r="R373" s="3">
        <f>IFERROR(VLOOKUP(TablaJunio[[#This Row],[BARRIO]],SECTOR!$A:$B,2,0),"")</f>
      </c>
      <c r="S373" s="89"/>
      <c r="T373" s="90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6"/>
      <c r="AZ373" s="120">
        <f>COUNTIF(U373:AY373,"A")</f>
      </c>
      <c r="BA373" s="121">
        <f>COUNTIF(U373:AY373,"F")</f>
      </c>
      <c r="BB373" s="119">
        <f>COUNTIF(U373:AY373,"E")</f>
      </c>
    </row>
    <row r="374" spans="1:54" x14ac:dyDescent="0.2">
      <c r="A374" s="84"/>
      <c r="B374" s="85"/>
      <c r="C374" s="85"/>
      <c r="D374" s="85"/>
      <c r="E374" s="86"/>
      <c r="F374" s="16">
        <f>IF(E374="","",DATEDIF(E374,$I$7,"Y"))</f>
      </c>
      <c r="G374" s="85"/>
      <c r="H374" s="85"/>
      <c r="I374" s="87"/>
      <c r="J374" s="85"/>
      <c r="K374" s="85"/>
      <c r="L374" s="10"/>
      <c r="M374" s="10"/>
      <c r="N374" s="10"/>
      <c r="O374" s="10"/>
      <c r="P374" s="85"/>
      <c r="Q374" s="88"/>
      <c r="R374" s="3">
        <f>IFERROR(VLOOKUP(TablaJunio[[#This Row],[BARRIO]],SECTOR!$A:$B,2,0),"")</f>
      </c>
      <c r="S374" s="89"/>
      <c r="T374" s="90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6"/>
      <c r="AZ374" s="120">
        <f>COUNTIF(U374:AY374,"A")</f>
      </c>
      <c r="BA374" s="121">
        <f>COUNTIF(U374:AY374,"F")</f>
      </c>
      <c r="BB374" s="119">
        <f>COUNTIF(U374:AY374,"E")</f>
      </c>
    </row>
    <row r="375" spans="1:54" x14ac:dyDescent="0.2">
      <c r="A375" s="84"/>
      <c r="B375" s="85"/>
      <c r="C375" s="85"/>
      <c r="D375" s="85"/>
      <c r="E375" s="86"/>
      <c r="F375" s="16">
        <f>IF(E375="","",DATEDIF(E375,$I$7,"Y"))</f>
      </c>
      <c r="G375" s="85"/>
      <c r="H375" s="85"/>
      <c r="I375" s="87"/>
      <c r="J375" s="85"/>
      <c r="K375" s="85"/>
      <c r="L375" s="10"/>
      <c r="M375" s="10"/>
      <c r="N375" s="10"/>
      <c r="O375" s="10"/>
      <c r="P375" s="85"/>
      <c r="Q375" s="88"/>
      <c r="R375" s="3">
        <f>IFERROR(VLOOKUP(TablaJunio[[#This Row],[BARRIO]],SECTOR!$A:$B,2,0),"")</f>
      </c>
      <c r="S375" s="89"/>
      <c r="T375" s="90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6"/>
      <c r="AZ375" s="120">
        <f>COUNTIF(U375:AY375,"A")</f>
      </c>
      <c r="BA375" s="121">
        <f>COUNTIF(U375:AY375,"F")</f>
      </c>
      <c r="BB375" s="119">
        <f>COUNTIF(U375:AY375,"E")</f>
      </c>
    </row>
    <row r="376" spans="1:54" x14ac:dyDescent="0.2">
      <c r="A376" s="84"/>
      <c r="B376" s="85"/>
      <c r="C376" s="85"/>
      <c r="D376" s="85"/>
      <c r="E376" s="86"/>
      <c r="F376" s="16">
        <f>IF(E376="","",DATEDIF(E376,$I$7,"Y"))</f>
      </c>
      <c r="G376" s="85"/>
      <c r="H376" s="85"/>
      <c r="I376" s="87"/>
      <c r="J376" s="85"/>
      <c r="K376" s="85"/>
      <c r="L376" s="10"/>
      <c r="M376" s="10"/>
      <c r="N376" s="10"/>
      <c r="O376" s="10"/>
      <c r="P376" s="85"/>
      <c r="Q376" s="88"/>
      <c r="R376" s="3">
        <f>IFERROR(VLOOKUP(TablaJunio[[#This Row],[BARRIO]],SECTOR!$A:$B,2,0),"")</f>
      </c>
      <c r="S376" s="89"/>
      <c r="T376" s="90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6"/>
      <c r="AZ376" s="120">
        <f>COUNTIF(U376:AY376,"A")</f>
      </c>
      <c r="BA376" s="121">
        <f>COUNTIF(U376:AY376,"F")</f>
      </c>
      <c r="BB376" s="119">
        <f>COUNTIF(U376:AY376,"E")</f>
      </c>
    </row>
    <row r="377" spans="1:54" x14ac:dyDescent="0.2">
      <c r="A377" s="84"/>
      <c r="B377" s="85"/>
      <c r="C377" s="85"/>
      <c r="D377" s="85"/>
      <c r="E377" s="86"/>
      <c r="F377" s="16">
        <f>IF(E377="","",DATEDIF(E377,$I$7,"Y"))</f>
      </c>
      <c r="G377" s="85"/>
      <c r="H377" s="85"/>
      <c r="I377" s="87"/>
      <c r="J377" s="85"/>
      <c r="K377" s="85"/>
      <c r="L377" s="10"/>
      <c r="M377" s="10"/>
      <c r="N377" s="10"/>
      <c r="O377" s="10"/>
      <c r="P377" s="85"/>
      <c r="Q377" s="88"/>
      <c r="R377" s="3">
        <f>IFERROR(VLOOKUP(TablaJunio[[#This Row],[BARRIO]],SECTOR!$A:$B,2,0),"")</f>
      </c>
      <c r="S377" s="89"/>
      <c r="T377" s="90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6"/>
      <c r="AZ377" s="120">
        <f>COUNTIF(U377:AY377,"A")</f>
      </c>
      <c r="BA377" s="121">
        <f>COUNTIF(U377:AY377,"F")</f>
      </c>
      <c r="BB377" s="119">
        <f>COUNTIF(U377:AY377,"E")</f>
      </c>
    </row>
    <row r="378" spans="1:54" x14ac:dyDescent="0.2">
      <c r="A378" s="84"/>
      <c r="B378" s="85"/>
      <c r="C378" s="85"/>
      <c r="D378" s="85"/>
      <c r="E378" s="86"/>
      <c r="F378" s="16">
        <f>IF(E378="","",DATEDIF(E378,$I$7,"Y"))</f>
      </c>
      <c r="G378" s="85"/>
      <c r="H378" s="85"/>
      <c r="I378" s="87"/>
      <c r="J378" s="85"/>
      <c r="K378" s="85"/>
      <c r="L378" s="10"/>
      <c r="M378" s="10"/>
      <c r="N378" s="10"/>
      <c r="O378" s="10"/>
      <c r="P378" s="85"/>
      <c r="Q378" s="88"/>
      <c r="R378" s="3">
        <f>IFERROR(VLOOKUP(TablaJunio[[#This Row],[BARRIO]],SECTOR!$A:$B,2,0),"")</f>
      </c>
      <c r="S378" s="89"/>
      <c r="T378" s="90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6"/>
      <c r="AZ378" s="120">
        <f>COUNTIF(U378:AY378,"A")</f>
      </c>
      <c r="BA378" s="121">
        <f>COUNTIF(U378:AY378,"F")</f>
      </c>
      <c r="BB378" s="119">
        <f>COUNTIF(U378:AY378,"E")</f>
      </c>
    </row>
    <row r="379" spans="1:54" x14ac:dyDescent="0.2">
      <c r="A379" s="84"/>
      <c r="B379" s="85"/>
      <c r="C379" s="85"/>
      <c r="D379" s="85"/>
      <c r="E379" s="86"/>
      <c r="F379" s="16">
        <f>IF(E379="","",DATEDIF(E379,$I$7,"Y"))</f>
      </c>
      <c r="G379" s="85"/>
      <c r="H379" s="85"/>
      <c r="I379" s="87"/>
      <c r="J379" s="85"/>
      <c r="K379" s="85"/>
      <c r="L379" s="10"/>
      <c r="M379" s="10"/>
      <c r="N379" s="10"/>
      <c r="O379" s="10"/>
      <c r="P379" s="85"/>
      <c r="Q379" s="88"/>
      <c r="R379" s="3">
        <f>IFERROR(VLOOKUP(TablaJunio[[#This Row],[BARRIO]],SECTOR!$A:$B,2,0),"")</f>
      </c>
      <c r="S379" s="89"/>
      <c r="T379" s="90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6"/>
      <c r="AZ379" s="120">
        <f>COUNTIF(U379:AY379,"A")</f>
      </c>
      <c r="BA379" s="121">
        <f>COUNTIF(U379:AY379,"F")</f>
      </c>
      <c r="BB379" s="119">
        <f>COUNTIF(U379:AY379,"E")</f>
      </c>
    </row>
    <row r="380" spans="1:54" x14ac:dyDescent="0.2">
      <c r="A380" s="84"/>
      <c r="B380" s="85"/>
      <c r="C380" s="85"/>
      <c r="D380" s="85"/>
      <c r="E380" s="86"/>
      <c r="F380" s="16">
        <f>IF(E380="","",DATEDIF(E380,$I$7,"Y"))</f>
      </c>
      <c r="G380" s="85"/>
      <c r="H380" s="85"/>
      <c r="I380" s="87"/>
      <c r="J380" s="85"/>
      <c r="K380" s="85"/>
      <c r="L380" s="10"/>
      <c r="M380" s="10"/>
      <c r="N380" s="10"/>
      <c r="O380" s="10"/>
      <c r="P380" s="85"/>
      <c r="Q380" s="88"/>
      <c r="R380" s="3">
        <f>IFERROR(VLOOKUP(TablaJunio[[#This Row],[BARRIO]],SECTOR!$A:$B,2,0),"")</f>
      </c>
      <c r="S380" s="89"/>
      <c r="T380" s="90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6"/>
      <c r="AZ380" s="120">
        <f>COUNTIF(U380:AY380,"A")</f>
      </c>
      <c r="BA380" s="121">
        <f>COUNTIF(U380:AY380,"F")</f>
      </c>
      <c r="BB380" s="119">
        <f>COUNTIF(U380:AY380,"E")</f>
      </c>
    </row>
    <row r="381" spans="1:54" x14ac:dyDescent="0.2">
      <c r="A381" s="84"/>
      <c r="B381" s="85"/>
      <c r="C381" s="85"/>
      <c r="D381" s="85"/>
      <c r="E381" s="86"/>
      <c r="F381" s="16">
        <f>IF(E381="","",DATEDIF(E381,$I$7,"Y"))</f>
      </c>
      <c r="G381" s="85"/>
      <c r="H381" s="85"/>
      <c r="I381" s="87"/>
      <c r="J381" s="85"/>
      <c r="K381" s="85"/>
      <c r="L381" s="10"/>
      <c r="M381" s="10"/>
      <c r="N381" s="10"/>
      <c r="O381" s="10"/>
      <c r="P381" s="85"/>
      <c r="Q381" s="88"/>
      <c r="R381" s="3">
        <f>IFERROR(VLOOKUP(TablaJunio[[#This Row],[BARRIO]],SECTOR!$A:$B,2,0),"")</f>
      </c>
      <c r="S381" s="89"/>
      <c r="T381" s="90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6"/>
      <c r="AZ381" s="120">
        <f>COUNTIF(U381:AY381,"A")</f>
      </c>
      <c r="BA381" s="121">
        <f>COUNTIF(U381:AY381,"F")</f>
      </c>
      <c r="BB381" s="119">
        <f>COUNTIF(U381:AY381,"E")</f>
      </c>
    </row>
    <row r="382" spans="1:54" x14ac:dyDescent="0.2">
      <c r="A382" s="84"/>
      <c r="B382" s="85"/>
      <c r="C382" s="85"/>
      <c r="D382" s="85"/>
      <c r="E382" s="86"/>
      <c r="F382" s="16">
        <f>IF(E382="","",DATEDIF(E382,$I$7,"Y"))</f>
      </c>
      <c r="G382" s="85"/>
      <c r="H382" s="85"/>
      <c r="I382" s="87"/>
      <c r="J382" s="85"/>
      <c r="K382" s="85"/>
      <c r="L382" s="10"/>
      <c r="M382" s="10"/>
      <c r="N382" s="10"/>
      <c r="O382" s="10"/>
      <c r="P382" s="85"/>
      <c r="Q382" s="88"/>
      <c r="R382" s="3">
        <f>IFERROR(VLOOKUP(TablaJunio[[#This Row],[BARRIO]],SECTOR!$A:$B,2,0),"")</f>
      </c>
      <c r="S382" s="89"/>
      <c r="T382" s="90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6"/>
      <c r="AZ382" s="120">
        <f>COUNTIF(U382:AY382,"A")</f>
      </c>
      <c r="BA382" s="121">
        <f>COUNTIF(U382:AY382,"F")</f>
      </c>
      <c r="BB382" s="119">
        <f>COUNTIF(U382:AY382,"E")</f>
      </c>
    </row>
    <row r="383" spans="1:54" x14ac:dyDescent="0.2">
      <c r="A383" s="84"/>
      <c r="B383" s="85"/>
      <c r="C383" s="85"/>
      <c r="D383" s="85"/>
      <c r="E383" s="86"/>
      <c r="F383" s="16">
        <f>IF(E383="","",DATEDIF(E383,$I$7,"Y"))</f>
      </c>
      <c r="G383" s="85"/>
      <c r="H383" s="85"/>
      <c r="I383" s="87"/>
      <c r="J383" s="85"/>
      <c r="K383" s="85"/>
      <c r="L383" s="10"/>
      <c r="M383" s="10"/>
      <c r="N383" s="10"/>
      <c r="O383" s="10"/>
      <c r="P383" s="85"/>
      <c r="Q383" s="88"/>
      <c r="R383" s="3">
        <f>IFERROR(VLOOKUP(TablaJunio[[#This Row],[BARRIO]],SECTOR!$A:$B,2,0),"")</f>
      </c>
      <c r="S383" s="89"/>
      <c r="T383" s="90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6"/>
      <c r="AZ383" s="120">
        <f>COUNTIF(U383:AY383,"A")</f>
      </c>
      <c r="BA383" s="121">
        <f>COUNTIF(U383:AY383,"F")</f>
      </c>
      <c r="BB383" s="119">
        <f>COUNTIF(U383:AY383,"E")</f>
      </c>
    </row>
    <row r="384" spans="1:54" x14ac:dyDescent="0.2">
      <c r="A384" s="84"/>
      <c r="B384" s="85"/>
      <c r="C384" s="85"/>
      <c r="D384" s="85"/>
      <c r="E384" s="86"/>
      <c r="F384" s="16">
        <f>IF(E384="","",DATEDIF(E384,$I$7,"Y"))</f>
      </c>
      <c r="G384" s="85"/>
      <c r="H384" s="85"/>
      <c r="I384" s="87"/>
      <c r="J384" s="85"/>
      <c r="K384" s="85"/>
      <c r="L384" s="10"/>
      <c r="M384" s="10"/>
      <c r="N384" s="10"/>
      <c r="O384" s="10"/>
      <c r="P384" s="85"/>
      <c r="Q384" s="88"/>
      <c r="R384" s="3">
        <f>IFERROR(VLOOKUP(TablaJunio[[#This Row],[BARRIO]],SECTOR!$A:$B,2,0),"")</f>
      </c>
      <c r="S384" s="89"/>
      <c r="T384" s="90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6"/>
      <c r="AZ384" s="120">
        <f>COUNTIF(U384:AY384,"A")</f>
      </c>
      <c r="BA384" s="121">
        <f>COUNTIF(U384:AY384,"F")</f>
      </c>
      <c r="BB384" s="119">
        <f>COUNTIF(U384:AY384,"E")</f>
      </c>
    </row>
    <row r="385" spans="1:54" x14ac:dyDescent="0.2">
      <c r="A385" s="84"/>
      <c r="B385" s="85"/>
      <c r="C385" s="85"/>
      <c r="D385" s="85"/>
      <c r="E385" s="86"/>
      <c r="F385" s="16">
        <f>IF(E385="","",DATEDIF(E385,$I$7,"Y"))</f>
      </c>
      <c r="G385" s="85"/>
      <c r="H385" s="85"/>
      <c r="I385" s="87"/>
      <c r="J385" s="85"/>
      <c r="K385" s="85"/>
      <c r="L385" s="10"/>
      <c r="M385" s="10"/>
      <c r="N385" s="10"/>
      <c r="O385" s="10"/>
      <c r="P385" s="85"/>
      <c r="Q385" s="88"/>
      <c r="R385" s="3">
        <f>IFERROR(VLOOKUP(TablaJunio[[#This Row],[BARRIO]],SECTOR!$A:$B,2,0),"")</f>
      </c>
      <c r="S385" s="89"/>
      <c r="T385" s="90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6"/>
      <c r="AZ385" s="120">
        <f>COUNTIF(U385:AY385,"A")</f>
      </c>
      <c r="BA385" s="121">
        <f>COUNTIF(U385:AY385,"F")</f>
      </c>
      <c r="BB385" s="119">
        <f>COUNTIF(U385:AY385,"E")</f>
      </c>
    </row>
    <row r="386" spans="1:54" x14ac:dyDescent="0.2">
      <c r="A386" s="84"/>
      <c r="B386" s="85"/>
      <c r="C386" s="85"/>
      <c r="D386" s="85"/>
      <c r="E386" s="86"/>
      <c r="F386" s="16">
        <f>IF(E386="","",DATEDIF(E386,$I$7,"Y"))</f>
      </c>
      <c r="G386" s="85"/>
      <c r="H386" s="85"/>
      <c r="I386" s="87"/>
      <c r="J386" s="85"/>
      <c r="K386" s="85"/>
      <c r="L386" s="10"/>
      <c r="M386" s="10"/>
      <c r="N386" s="10"/>
      <c r="O386" s="10"/>
      <c r="P386" s="85"/>
      <c r="Q386" s="88"/>
      <c r="R386" s="3">
        <f>IFERROR(VLOOKUP(TablaJunio[[#This Row],[BARRIO]],SECTOR!$A:$B,2,0),"")</f>
      </c>
      <c r="S386" s="89"/>
      <c r="T386" s="90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6"/>
      <c r="AZ386" s="120">
        <f>COUNTIF(U386:AY386,"A")</f>
      </c>
      <c r="BA386" s="121">
        <f>COUNTIF(U386:AY386,"F")</f>
      </c>
      <c r="BB386" s="119">
        <f>COUNTIF(U386:AY386,"E")</f>
      </c>
    </row>
    <row r="387" spans="1:54" x14ac:dyDescent="0.2">
      <c r="A387" s="84"/>
      <c r="B387" s="85"/>
      <c r="C387" s="85"/>
      <c r="D387" s="85"/>
      <c r="E387" s="86"/>
      <c r="F387" s="16">
        <f>IF(E387="","",DATEDIF(E387,$I$7,"Y"))</f>
      </c>
      <c r="G387" s="85"/>
      <c r="H387" s="85"/>
      <c r="I387" s="87"/>
      <c r="J387" s="85"/>
      <c r="K387" s="85"/>
      <c r="L387" s="10"/>
      <c r="M387" s="10"/>
      <c r="N387" s="10"/>
      <c r="O387" s="10"/>
      <c r="P387" s="85"/>
      <c r="Q387" s="88"/>
      <c r="R387" s="3">
        <f>IFERROR(VLOOKUP(TablaJunio[[#This Row],[BARRIO]],SECTOR!$A:$B,2,0),"")</f>
      </c>
      <c r="S387" s="89"/>
      <c r="T387" s="90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6"/>
      <c r="AZ387" s="120">
        <f>COUNTIF(U387:AY387,"A")</f>
      </c>
      <c r="BA387" s="121">
        <f>COUNTIF(U387:AY387,"F")</f>
      </c>
      <c r="BB387" s="119">
        <f>COUNTIF(U387:AY387,"E")</f>
      </c>
    </row>
    <row r="388" spans="1:54" x14ac:dyDescent="0.2">
      <c r="A388" s="84"/>
      <c r="B388" s="85"/>
      <c r="C388" s="85"/>
      <c r="D388" s="85"/>
      <c r="E388" s="86"/>
      <c r="F388" s="16">
        <f>IF(E388="","",DATEDIF(E388,$I$7,"Y"))</f>
      </c>
      <c r="G388" s="85"/>
      <c r="H388" s="85"/>
      <c r="I388" s="87"/>
      <c r="J388" s="85"/>
      <c r="K388" s="85"/>
      <c r="L388" s="10"/>
      <c r="M388" s="10"/>
      <c r="N388" s="10"/>
      <c r="O388" s="10"/>
      <c r="P388" s="85"/>
      <c r="Q388" s="88"/>
      <c r="R388" s="3">
        <f>IFERROR(VLOOKUP(TablaJunio[[#This Row],[BARRIO]],SECTOR!$A:$B,2,0),"")</f>
      </c>
      <c r="S388" s="89"/>
      <c r="T388" s="90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6"/>
      <c r="AZ388" s="120">
        <f>COUNTIF(U388:AY388,"A")</f>
      </c>
      <c r="BA388" s="121">
        <f>COUNTIF(U388:AY388,"F")</f>
      </c>
      <c r="BB388" s="119">
        <f>COUNTIF(U388:AY388,"E")</f>
      </c>
    </row>
    <row r="389" spans="1:54" x14ac:dyDescent="0.2">
      <c r="A389" s="84"/>
      <c r="B389" s="85"/>
      <c r="C389" s="85"/>
      <c r="D389" s="85"/>
      <c r="E389" s="86"/>
      <c r="F389" s="16">
        <f>IF(E389="","",DATEDIF(E389,$I$7,"Y"))</f>
      </c>
      <c r="G389" s="85"/>
      <c r="H389" s="85"/>
      <c r="I389" s="87"/>
      <c r="J389" s="85"/>
      <c r="K389" s="85"/>
      <c r="L389" s="10"/>
      <c r="M389" s="10"/>
      <c r="N389" s="10"/>
      <c r="O389" s="10"/>
      <c r="P389" s="85"/>
      <c r="Q389" s="88"/>
      <c r="R389" s="3">
        <f>IFERROR(VLOOKUP(TablaJunio[[#This Row],[BARRIO]],SECTOR!$A:$B,2,0),"")</f>
      </c>
      <c r="S389" s="89"/>
      <c r="T389" s="90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6"/>
      <c r="AZ389" s="120">
        <f>COUNTIF(U389:AY389,"A")</f>
      </c>
      <c r="BA389" s="121">
        <f>COUNTIF(U389:AY389,"F")</f>
      </c>
      <c r="BB389" s="119">
        <f>COUNTIF(U389:AY389,"E")</f>
      </c>
    </row>
    <row r="390" spans="1:54" x14ac:dyDescent="0.2">
      <c r="A390" s="84"/>
      <c r="B390" s="85"/>
      <c r="C390" s="85"/>
      <c r="D390" s="85"/>
      <c r="E390" s="86"/>
      <c r="F390" s="16">
        <f>IF(E390="","",DATEDIF(E390,$I$7,"Y"))</f>
      </c>
      <c r="G390" s="85"/>
      <c r="H390" s="85"/>
      <c r="I390" s="87"/>
      <c r="J390" s="85"/>
      <c r="K390" s="85"/>
      <c r="L390" s="10"/>
      <c r="M390" s="10"/>
      <c r="N390" s="10"/>
      <c r="O390" s="10"/>
      <c r="P390" s="85"/>
      <c r="Q390" s="88"/>
      <c r="R390" s="3">
        <f>IFERROR(VLOOKUP(TablaJunio[[#This Row],[BARRIO]],SECTOR!$A:$B,2,0),"")</f>
      </c>
      <c r="S390" s="89"/>
      <c r="T390" s="90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6"/>
      <c r="AZ390" s="120">
        <f>COUNTIF(U390:AY390,"A")</f>
      </c>
      <c r="BA390" s="121">
        <f>COUNTIF(U390:AY390,"F")</f>
      </c>
      <c r="BB390" s="119">
        <f>COUNTIF(U390:AY390,"E")</f>
      </c>
    </row>
    <row r="391" spans="1:54" x14ac:dyDescent="0.2">
      <c r="A391" s="84"/>
      <c r="B391" s="85"/>
      <c r="C391" s="85"/>
      <c r="D391" s="85"/>
      <c r="E391" s="86"/>
      <c r="F391" s="16">
        <f>IF(E391="","",DATEDIF(E391,$I$7,"Y"))</f>
      </c>
      <c r="G391" s="85"/>
      <c r="H391" s="85"/>
      <c r="I391" s="87"/>
      <c r="J391" s="85"/>
      <c r="K391" s="85"/>
      <c r="L391" s="10"/>
      <c r="M391" s="10"/>
      <c r="N391" s="10"/>
      <c r="O391" s="10"/>
      <c r="P391" s="85"/>
      <c r="Q391" s="88"/>
      <c r="R391" s="3">
        <f>IFERROR(VLOOKUP(TablaJunio[[#This Row],[BARRIO]],SECTOR!$A:$B,2,0),"")</f>
      </c>
      <c r="S391" s="89"/>
      <c r="T391" s="90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6"/>
      <c r="AZ391" s="120">
        <f>COUNTIF(U391:AY391,"A")</f>
      </c>
      <c r="BA391" s="121">
        <f>COUNTIF(U391:AY391,"F")</f>
      </c>
      <c r="BB391" s="119">
        <f>COUNTIF(U391:AY391,"E")</f>
      </c>
    </row>
    <row r="392" spans="1:54" x14ac:dyDescent="0.2">
      <c r="A392" s="84"/>
      <c r="B392" s="85"/>
      <c r="C392" s="85"/>
      <c r="D392" s="85"/>
      <c r="E392" s="86"/>
      <c r="F392" s="16">
        <f>IF(E392="","",DATEDIF(E392,$I$7,"Y"))</f>
      </c>
      <c r="G392" s="85"/>
      <c r="H392" s="85"/>
      <c r="I392" s="87"/>
      <c r="J392" s="85"/>
      <c r="K392" s="85"/>
      <c r="L392" s="10"/>
      <c r="M392" s="10"/>
      <c r="N392" s="10"/>
      <c r="O392" s="10"/>
      <c r="P392" s="85"/>
      <c r="Q392" s="88"/>
      <c r="R392" s="3">
        <f>IFERROR(VLOOKUP(TablaJunio[[#This Row],[BARRIO]],SECTOR!$A:$B,2,0),"")</f>
      </c>
      <c r="S392" s="89"/>
      <c r="T392" s="90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6"/>
      <c r="AZ392" s="120">
        <f>COUNTIF(U392:AY392,"A")</f>
      </c>
      <c r="BA392" s="121">
        <f>COUNTIF(U392:AY392,"F")</f>
      </c>
      <c r="BB392" s="119">
        <f>COUNTIF(U392:AY392,"E")</f>
      </c>
    </row>
    <row r="393" spans="1:54" x14ac:dyDescent="0.2">
      <c r="A393" s="84"/>
      <c r="B393" s="85"/>
      <c r="C393" s="85"/>
      <c r="D393" s="85"/>
      <c r="E393" s="86"/>
      <c r="F393" s="16">
        <f>IF(E393="","",DATEDIF(E393,$I$7,"Y"))</f>
      </c>
      <c r="G393" s="85"/>
      <c r="H393" s="85"/>
      <c r="I393" s="87"/>
      <c r="J393" s="85"/>
      <c r="K393" s="85"/>
      <c r="L393" s="10"/>
      <c r="M393" s="10"/>
      <c r="N393" s="10"/>
      <c r="O393" s="10"/>
      <c r="P393" s="85"/>
      <c r="Q393" s="88"/>
      <c r="R393" s="3">
        <f>IFERROR(VLOOKUP(TablaJunio[[#This Row],[BARRIO]],SECTOR!$A:$B,2,0),"")</f>
      </c>
      <c r="S393" s="89"/>
      <c r="T393" s="90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6"/>
      <c r="AZ393" s="120">
        <f>COUNTIF(U393:AY393,"A")</f>
      </c>
      <c r="BA393" s="121">
        <f>COUNTIF(U393:AY393,"F")</f>
      </c>
      <c r="BB393" s="119">
        <f>COUNTIF(U393:AY393,"E")</f>
      </c>
    </row>
    <row r="394" spans="1:54" x14ac:dyDescent="0.2">
      <c r="A394" s="84"/>
      <c r="B394" s="85"/>
      <c r="C394" s="85"/>
      <c r="D394" s="85"/>
      <c r="E394" s="86"/>
      <c r="F394" s="16">
        <f>IF(E394="","",DATEDIF(E394,$I$7,"Y"))</f>
      </c>
      <c r="G394" s="85"/>
      <c r="H394" s="85"/>
      <c r="I394" s="87"/>
      <c r="J394" s="85"/>
      <c r="K394" s="85"/>
      <c r="L394" s="10"/>
      <c r="M394" s="10"/>
      <c r="N394" s="10"/>
      <c r="O394" s="10"/>
      <c r="P394" s="85"/>
      <c r="Q394" s="88"/>
      <c r="R394" s="3">
        <f>IFERROR(VLOOKUP(TablaJunio[[#This Row],[BARRIO]],SECTOR!$A:$B,2,0),"")</f>
      </c>
      <c r="S394" s="89"/>
      <c r="T394" s="90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6"/>
      <c r="AZ394" s="120">
        <f>COUNTIF(U394:AY394,"A")</f>
      </c>
      <c r="BA394" s="121">
        <f>COUNTIF(U394:AY394,"F")</f>
      </c>
      <c r="BB394" s="119">
        <f>COUNTIF(U394:AY394,"E")</f>
      </c>
    </row>
    <row r="395" spans="1:54" x14ac:dyDescent="0.2">
      <c r="A395" s="84"/>
      <c r="B395" s="85"/>
      <c r="C395" s="85"/>
      <c r="D395" s="85"/>
      <c r="E395" s="86"/>
      <c r="F395" s="16">
        <f>IF(E395="","",DATEDIF(E395,$I$7,"Y"))</f>
      </c>
      <c r="G395" s="85"/>
      <c r="H395" s="85"/>
      <c r="I395" s="87"/>
      <c r="J395" s="85"/>
      <c r="K395" s="85"/>
      <c r="L395" s="10"/>
      <c r="M395" s="10"/>
      <c r="N395" s="10"/>
      <c r="O395" s="10"/>
      <c r="P395" s="85"/>
      <c r="Q395" s="88"/>
      <c r="R395" s="3">
        <f>IFERROR(VLOOKUP(TablaJunio[[#This Row],[BARRIO]],SECTOR!$A:$B,2,0),"")</f>
      </c>
      <c r="S395" s="89"/>
      <c r="T395" s="90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6"/>
      <c r="AZ395" s="120">
        <f>COUNTIF(U395:AY395,"A")</f>
      </c>
      <c r="BA395" s="121">
        <f>COUNTIF(U395:AY395,"F")</f>
      </c>
      <c r="BB395" s="119">
        <f>COUNTIF(U395:AY395,"E")</f>
      </c>
    </row>
    <row r="396" spans="1:54" x14ac:dyDescent="0.2">
      <c r="A396" s="84"/>
      <c r="B396" s="85"/>
      <c r="C396" s="85"/>
      <c r="D396" s="85"/>
      <c r="E396" s="86"/>
      <c r="F396" s="16">
        <f>IF(E396="","",DATEDIF(E396,$I$7,"Y"))</f>
      </c>
      <c r="G396" s="85"/>
      <c r="H396" s="85"/>
      <c r="I396" s="87"/>
      <c r="J396" s="85"/>
      <c r="K396" s="85"/>
      <c r="L396" s="10"/>
      <c r="M396" s="10"/>
      <c r="N396" s="10"/>
      <c r="O396" s="10"/>
      <c r="P396" s="85"/>
      <c r="Q396" s="88"/>
      <c r="R396" s="3">
        <f>IFERROR(VLOOKUP(TablaJunio[[#This Row],[BARRIO]],SECTOR!$A:$B,2,0),"")</f>
      </c>
      <c r="S396" s="89"/>
      <c r="T396" s="90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6"/>
      <c r="AZ396" s="120">
        <f>COUNTIF(U396:AY396,"A")</f>
      </c>
      <c r="BA396" s="121">
        <f>COUNTIF(U396:AY396,"F")</f>
      </c>
      <c r="BB396" s="119">
        <f>COUNTIF(U396:AY396,"E")</f>
      </c>
    </row>
    <row r="397" spans="1:54" x14ac:dyDescent="0.2">
      <c r="A397" s="84"/>
      <c r="B397" s="85"/>
      <c r="C397" s="85"/>
      <c r="D397" s="85"/>
      <c r="E397" s="86"/>
      <c r="F397" s="16">
        <f>IF(E397="","",DATEDIF(E397,$I$7,"Y"))</f>
      </c>
      <c r="G397" s="85"/>
      <c r="H397" s="85"/>
      <c r="I397" s="87"/>
      <c r="J397" s="85"/>
      <c r="K397" s="85"/>
      <c r="L397" s="10"/>
      <c r="M397" s="10"/>
      <c r="N397" s="10"/>
      <c r="O397" s="10"/>
      <c r="P397" s="85"/>
      <c r="Q397" s="88"/>
      <c r="R397" s="3">
        <f>IFERROR(VLOOKUP(TablaJunio[[#This Row],[BARRIO]],SECTOR!$A:$B,2,0),"")</f>
      </c>
      <c r="S397" s="89"/>
      <c r="T397" s="90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6"/>
      <c r="AZ397" s="120">
        <f>COUNTIF(U397:AY397,"A")</f>
      </c>
      <c r="BA397" s="121">
        <f>COUNTIF(U397:AY397,"F")</f>
      </c>
      <c r="BB397" s="119">
        <f>COUNTIF(U397:AY397,"E")</f>
      </c>
    </row>
    <row r="398" spans="1:54" x14ac:dyDescent="0.2">
      <c r="A398" s="84"/>
      <c r="B398" s="85"/>
      <c r="C398" s="85"/>
      <c r="D398" s="85"/>
      <c r="E398" s="86"/>
      <c r="F398" s="16">
        <f>IF(E398="","",DATEDIF(E398,$I$7,"Y"))</f>
      </c>
      <c r="G398" s="85"/>
      <c r="H398" s="85"/>
      <c r="I398" s="87"/>
      <c r="J398" s="85"/>
      <c r="K398" s="85"/>
      <c r="L398" s="10"/>
      <c r="M398" s="10"/>
      <c r="N398" s="10"/>
      <c r="O398" s="10"/>
      <c r="P398" s="85"/>
      <c r="Q398" s="88"/>
      <c r="R398" s="3">
        <f>IFERROR(VLOOKUP(TablaJunio[[#This Row],[BARRIO]],SECTOR!$A:$B,2,0),"")</f>
      </c>
      <c r="S398" s="89"/>
      <c r="T398" s="90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6"/>
      <c r="AZ398" s="120">
        <f>COUNTIF(U398:AY398,"A")</f>
      </c>
      <c r="BA398" s="121">
        <f>COUNTIF(U398:AY398,"F")</f>
      </c>
      <c r="BB398" s="119">
        <f>COUNTIF(U398:AY398,"E")</f>
      </c>
    </row>
    <row r="399" spans="1:54" x14ac:dyDescent="0.2">
      <c r="A399" s="84"/>
      <c r="B399" s="85"/>
      <c r="C399" s="85"/>
      <c r="D399" s="85"/>
      <c r="E399" s="86"/>
      <c r="F399" s="16">
        <f>IF(E399="","",DATEDIF(E399,$I$7,"Y"))</f>
      </c>
      <c r="G399" s="85"/>
      <c r="H399" s="85"/>
      <c r="I399" s="87"/>
      <c r="J399" s="85"/>
      <c r="K399" s="85"/>
      <c r="L399" s="10"/>
      <c r="M399" s="10"/>
      <c r="N399" s="10"/>
      <c r="O399" s="10"/>
      <c r="P399" s="85"/>
      <c r="Q399" s="88"/>
      <c r="R399" s="3">
        <f>IFERROR(VLOOKUP(TablaJunio[[#This Row],[BARRIO]],SECTOR!$A:$B,2,0),"")</f>
      </c>
      <c r="S399" s="89"/>
      <c r="T399" s="90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6"/>
      <c r="AZ399" s="120">
        <f>COUNTIF(U399:AY399,"A")</f>
      </c>
      <c r="BA399" s="121">
        <f>COUNTIF(U399:AY399,"F")</f>
      </c>
      <c r="BB399" s="119">
        <f>COUNTIF(U399:AY399,"E")</f>
      </c>
    </row>
    <row r="400" spans="1:54" x14ac:dyDescent="0.2">
      <c r="A400" s="84"/>
      <c r="B400" s="85"/>
      <c r="C400" s="85"/>
      <c r="D400" s="85"/>
      <c r="E400" s="86"/>
      <c r="F400" s="16">
        <f>IF(E400="","",DATEDIF(E400,$I$7,"Y"))</f>
      </c>
      <c r="G400" s="85"/>
      <c r="H400" s="85"/>
      <c r="I400" s="87"/>
      <c r="J400" s="85"/>
      <c r="K400" s="85"/>
      <c r="L400" s="10"/>
      <c r="M400" s="10"/>
      <c r="N400" s="10"/>
      <c r="O400" s="10"/>
      <c r="P400" s="85"/>
      <c r="Q400" s="88"/>
      <c r="R400" s="3">
        <f>IFERROR(VLOOKUP(TablaJunio[[#This Row],[BARRIO]],SECTOR!$A:$B,2,0),"")</f>
      </c>
      <c r="S400" s="89"/>
      <c r="T400" s="90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6"/>
      <c r="AZ400" s="120">
        <f>COUNTIF(U400:AY400,"A")</f>
      </c>
      <c r="BA400" s="121">
        <f>COUNTIF(U400:AY400,"F")</f>
      </c>
      <c r="BB400" s="119">
        <f>COUNTIF(U400:AY400,"E")</f>
      </c>
    </row>
    <row r="401" spans="1:54" x14ac:dyDescent="0.2">
      <c r="A401" s="84"/>
      <c r="B401" s="85"/>
      <c r="C401" s="85"/>
      <c r="D401" s="85"/>
      <c r="E401" s="86"/>
      <c r="F401" s="16">
        <f>IF(E401="","",DATEDIF(E401,$I$7,"Y"))</f>
      </c>
      <c r="G401" s="85"/>
      <c r="H401" s="85"/>
      <c r="I401" s="87"/>
      <c r="J401" s="85"/>
      <c r="K401" s="85"/>
      <c r="L401" s="10"/>
      <c r="M401" s="10"/>
      <c r="N401" s="10"/>
      <c r="O401" s="10"/>
      <c r="P401" s="85"/>
      <c r="Q401" s="88"/>
      <c r="R401" s="3">
        <f>IFERROR(VLOOKUP(TablaJunio[[#This Row],[BARRIO]],SECTOR!$A:$B,2,0),"")</f>
      </c>
      <c r="S401" s="89"/>
      <c r="T401" s="90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6"/>
      <c r="AZ401" s="120">
        <f>COUNTIF(U401:AY401,"A")</f>
      </c>
      <c r="BA401" s="121">
        <f>COUNTIF(U401:AY401,"F")</f>
      </c>
      <c r="BB401" s="119">
        <f>COUNTIF(U401:AY401,"E")</f>
      </c>
    </row>
    <row r="402" spans="1:54" x14ac:dyDescent="0.2">
      <c r="A402" s="84"/>
      <c r="B402" s="85"/>
      <c r="C402" s="85"/>
      <c r="D402" s="85"/>
      <c r="E402" s="86"/>
      <c r="F402" s="16">
        <f>IF(E402="","",DATEDIF(E402,$I$7,"Y"))</f>
      </c>
      <c r="G402" s="85"/>
      <c r="H402" s="85"/>
      <c r="I402" s="87"/>
      <c r="J402" s="85"/>
      <c r="K402" s="85"/>
      <c r="L402" s="10"/>
      <c r="M402" s="10"/>
      <c r="N402" s="10"/>
      <c r="O402" s="10"/>
      <c r="P402" s="85"/>
      <c r="Q402" s="88"/>
      <c r="R402" s="3">
        <f>IFERROR(VLOOKUP(TablaJunio[[#This Row],[BARRIO]],SECTOR!$A:$B,2,0),"")</f>
      </c>
      <c r="S402" s="89"/>
      <c r="T402" s="90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6"/>
      <c r="AZ402" s="120">
        <f>COUNTIF(U402:AY402,"A")</f>
      </c>
      <c r="BA402" s="121">
        <f>COUNTIF(U402:AY402,"F")</f>
      </c>
      <c r="BB402" s="119">
        <f>COUNTIF(U402:AY402,"E")</f>
      </c>
    </row>
    <row r="403" spans="1:54" x14ac:dyDescent="0.2">
      <c r="A403" s="84"/>
      <c r="B403" s="85"/>
      <c r="C403" s="85"/>
      <c r="D403" s="85"/>
      <c r="E403" s="86"/>
      <c r="F403" s="16">
        <f>IF(E403="","",DATEDIF(E403,$I$7,"Y"))</f>
      </c>
      <c r="G403" s="85"/>
      <c r="H403" s="85"/>
      <c r="I403" s="87"/>
      <c r="J403" s="85"/>
      <c r="K403" s="85"/>
      <c r="L403" s="10"/>
      <c r="M403" s="10"/>
      <c r="N403" s="10"/>
      <c r="O403" s="10"/>
      <c r="P403" s="85"/>
      <c r="Q403" s="88"/>
      <c r="R403" s="3">
        <f>IFERROR(VLOOKUP(TablaJunio[[#This Row],[BARRIO]],SECTOR!$A:$B,2,0),"")</f>
      </c>
      <c r="S403" s="89"/>
      <c r="T403" s="90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6"/>
      <c r="AZ403" s="120">
        <f>COUNTIF(U403:AY403,"A")</f>
      </c>
      <c r="BA403" s="121">
        <f>COUNTIF(U403:AY403,"F")</f>
      </c>
      <c r="BB403" s="119">
        <f>COUNTIF(U403:AY403,"E")</f>
      </c>
    </row>
    <row r="404" spans="1:54" x14ac:dyDescent="0.2">
      <c r="A404" s="84"/>
      <c r="B404" s="85"/>
      <c r="C404" s="85"/>
      <c r="D404" s="85"/>
      <c r="E404" s="86"/>
      <c r="F404" s="16">
        <f>IF(E404="","",DATEDIF(E404,$I$7,"Y"))</f>
      </c>
      <c r="G404" s="85"/>
      <c r="H404" s="85"/>
      <c r="I404" s="87"/>
      <c r="J404" s="85"/>
      <c r="K404" s="85"/>
      <c r="L404" s="10"/>
      <c r="M404" s="10"/>
      <c r="N404" s="10"/>
      <c r="O404" s="10"/>
      <c r="P404" s="85"/>
      <c r="Q404" s="88"/>
      <c r="R404" s="3">
        <f>IFERROR(VLOOKUP(TablaJunio[[#This Row],[BARRIO]],SECTOR!$A:$B,2,0),"")</f>
      </c>
      <c r="S404" s="89"/>
      <c r="T404" s="90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6"/>
      <c r="AZ404" s="120">
        <f>COUNTIF(U404:AY404,"A")</f>
      </c>
      <c r="BA404" s="121">
        <f>COUNTIF(U404:AY404,"F")</f>
      </c>
      <c r="BB404" s="119">
        <f>COUNTIF(U404:AY404,"E")</f>
      </c>
    </row>
    <row r="405" spans="1:54" x14ac:dyDescent="0.2">
      <c r="A405" s="84"/>
      <c r="B405" s="85"/>
      <c r="C405" s="85"/>
      <c r="D405" s="85"/>
      <c r="E405" s="86"/>
      <c r="F405" s="16">
        <f>IF(E405="","",DATEDIF(E405,$I$7,"Y"))</f>
      </c>
      <c r="G405" s="85"/>
      <c r="H405" s="85"/>
      <c r="I405" s="87"/>
      <c r="J405" s="85"/>
      <c r="K405" s="85"/>
      <c r="L405" s="10"/>
      <c r="M405" s="10"/>
      <c r="N405" s="10"/>
      <c r="O405" s="10"/>
      <c r="P405" s="85"/>
      <c r="Q405" s="88"/>
      <c r="R405" s="3">
        <f>IFERROR(VLOOKUP(TablaJunio[[#This Row],[BARRIO]],SECTOR!$A:$B,2,0),"")</f>
      </c>
      <c r="S405" s="89"/>
      <c r="T405" s="90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6"/>
      <c r="AZ405" s="120">
        <f>COUNTIF(U405:AY405,"A")</f>
      </c>
      <c r="BA405" s="121">
        <f>COUNTIF(U405:AY405,"F")</f>
      </c>
      <c r="BB405" s="119">
        <f>COUNTIF(U405:AY405,"E")</f>
      </c>
    </row>
    <row r="406" spans="1:54" x14ac:dyDescent="0.2">
      <c r="A406" s="84"/>
      <c r="B406" s="85"/>
      <c r="C406" s="85"/>
      <c r="D406" s="85"/>
      <c r="E406" s="86"/>
      <c r="F406" s="16">
        <f>IF(E406="","",DATEDIF(E406,$I$7,"Y"))</f>
      </c>
      <c r="G406" s="85"/>
      <c r="H406" s="85"/>
      <c r="I406" s="87"/>
      <c r="J406" s="85"/>
      <c r="K406" s="85"/>
      <c r="L406" s="10"/>
      <c r="M406" s="10"/>
      <c r="N406" s="10"/>
      <c r="O406" s="10"/>
      <c r="P406" s="85"/>
      <c r="Q406" s="88"/>
      <c r="R406" s="3">
        <f>IFERROR(VLOOKUP(TablaJunio[[#This Row],[BARRIO]],SECTOR!$A:$B,2,0),"")</f>
      </c>
      <c r="S406" s="89"/>
      <c r="T406" s="90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6"/>
      <c r="AZ406" s="120">
        <f>COUNTIF(U406:AY406,"A")</f>
      </c>
      <c r="BA406" s="121">
        <f>COUNTIF(U406:AY406,"F")</f>
      </c>
      <c r="BB406" s="119">
        <f>COUNTIF(U406:AY406,"E")</f>
      </c>
    </row>
    <row r="407" spans="1:54" x14ac:dyDescent="0.2">
      <c r="A407" s="84"/>
      <c r="B407" s="85"/>
      <c r="C407" s="85"/>
      <c r="D407" s="85"/>
      <c r="E407" s="86"/>
      <c r="F407" s="16">
        <f>IF(E407="","",DATEDIF(E407,$I$7,"Y"))</f>
      </c>
      <c r="G407" s="85"/>
      <c r="H407" s="85"/>
      <c r="I407" s="87"/>
      <c r="J407" s="85"/>
      <c r="K407" s="85"/>
      <c r="L407" s="10"/>
      <c r="M407" s="10"/>
      <c r="N407" s="10"/>
      <c r="O407" s="10"/>
      <c r="P407" s="85"/>
      <c r="Q407" s="88"/>
      <c r="R407" s="3">
        <f>IFERROR(VLOOKUP(TablaJunio[[#This Row],[BARRIO]],SECTOR!$A:$B,2,0),"")</f>
      </c>
      <c r="S407" s="89"/>
      <c r="T407" s="90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6"/>
      <c r="AZ407" s="120">
        <f>COUNTIF(U407:AY407,"A")</f>
      </c>
      <c r="BA407" s="121">
        <f>COUNTIF(U407:AY407,"F")</f>
      </c>
      <c r="BB407" s="119">
        <f>COUNTIF(U407:AY407,"E")</f>
      </c>
    </row>
    <row r="408" spans="1:54" x14ac:dyDescent="0.2">
      <c r="A408" s="84"/>
      <c r="B408" s="85"/>
      <c r="C408" s="85"/>
      <c r="D408" s="85"/>
      <c r="E408" s="86"/>
      <c r="F408" s="16">
        <f>IF(E408="","",DATEDIF(E408,$I$7,"Y"))</f>
      </c>
      <c r="G408" s="85"/>
      <c r="H408" s="85"/>
      <c r="I408" s="87"/>
      <c r="J408" s="85"/>
      <c r="K408" s="85"/>
      <c r="L408" s="10"/>
      <c r="M408" s="10"/>
      <c r="N408" s="10"/>
      <c r="O408" s="10"/>
      <c r="P408" s="85"/>
      <c r="Q408" s="88"/>
      <c r="R408" s="3">
        <f>IFERROR(VLOOKUP(TablaJunio[[#This Row],[BARRIO]],SECTOR!$A:$B,2,0),"")</f>
      </c>
      <c r="S408" s="89"/>
      <c r="T408" s="90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6"/>
      <c r="AZ408" s="120">
        <f>COUNTIF(U408:AY408,"A")</f>
      </c>
      <c r="BA408" s="121">
        <f>COUNTIF(U408:AY408,"F")</f>
      </c>
      <c r="BB408" s="119">
        <f>COUNTIF(U408:AY408,"E")</f>
      </c>
    </row>
    <row r="409" spans="1:54" x14ac:dyDescent="0.2">
      <c r="A409" s="84"/>
      <c r="B409" s="85"/>
      <c r="C409" s="85"/>
      <c r="D409" s="85"/>
      <c r="E409" s="86"/>
      <c r="F409" s="16">
        <f>IF(E409="","",DATEDIF(E409,$I$7,"Y"))</f>
      </c>
      <c r="G409" s="85"/>
      <c r="H409" s="85"/>
      <c r="I409" s="87"/>
      <c r="J409" s="85"/>
      <c r="K409" s="85"/>
      <c r="L409" s="10"/>
      <c r="M409" s="10"/>
      <c r="N409" s="10"/>
      <c r="O409" s="10"/>
      <c r="P409" s="85"/>
      <c r="Q409" s="88"/>
      <c r="R409" s="3">
        <f>IFERROR(VLOOKUP(TablaJunio[[#This Row],[BARRIO]],SECTOR!$A:$B,2,0),"")</f>
      </c>
      <c r="S409" s="89"/>
      <c r="T409" s="90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6"/>
      <c r="AZ409" s="120">
        <f>COUNTIF(U409:AY409,"A")</f>
      </c>
      <c r="BA409" s="121">
        <f>COUNTIF(U409:AY409,"F")</f>
      </c>
      <c r="BB409" s="119">
        <f>COUNTIF(U409:AY409,"E")</f>
      </c>
    </row>
    <row r="410" spans="1:54" x14ac:dyDescent="0.2">
      <c r="A410" s="84"/>
      <c r="B410" s="85"/>
      <c r="C410" s="85"/>
      <c r="D410" s="85"/>
      <c r="E410" s="86"/>
      <c r="F410" s="16">
        <f>IF(E410="","",DATEDIF(E410,$I$7,"Y"))</f>
      </c>
      <c r="G410" s="85"/>
      <c r="H410" s="85"/>
      <c r="I410" s="87"/>
      <c r="J410" s="85"/>
      <c r="K410" s="85"/>
      <c r="L410" s="10"/>
      <c r="M410" s="10"/>
      <c r="N410" s="10"/>
      <c r="O410" s="10"/>
      <c r="P410" s="85"/>
      <c r="Q410" s="88"/>
      <c r="R410" s="3">
        <f>IFERROR(VLOOKUP(TablaJunio[[#This Row],[BARRIO]],SECTOR!$A:$B,2,0),"")</f>
      </c>
      <c r="S410" s="89"/>
      <c r="T410" s="90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6"/>
      <c r="AZ410" s="120">
        <f>COUNTIF(U410:AY410,"A")</f>
      </c>
      <c r="BA410" s="121">
        <f>COUNTIF(U410:AY410,"F")</f>
      </c>
      <c r="BB410" s="119">
        <f>COUNTIF(U410:AY410,"E")</f>
      </c>
    </row>
    <row r="411" spans="1:54" x14ac:dyDescent="0.2">
      <c r="A411" s="84"/>
      <c r="B411" s="85"/>
      <c r="C411" s="85"/>
      <c r="D411" s="85"/>
      <c r="E411" s="86"/>
      <c r="F411" s="16">
        <f>IF(E411="","",DATEDIF(E411,$I$7,"Y"))</f>
      </c>
      <c r="G411" s="85"/>
      <c r="H411" s="85"/>
      <c r="I411" s="87"/>
      <c r="J411" s="85"/>
      <c r="K411" s="85"/>
      <c r="L411" s="10"/>
      <c r="M411" s="10"/>
      <c r="N411" s="10"/>
      <c r="O411" s="10"/>
      <c r="P411" s="85"/>
      <c r="Q411" s="88"/>
      <c r="R411" s="3">
        <f>IFERROR(VLOOKUP(TablaJunio[[#This Row],[BARRIO]],SECTOR!$A:$B,2,0),"")</f>
      </c>
      <c r="S411" s="89"/>
      <c r="T411" s="90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6"/>
      <c r="AZ411" s="120">
        <f>COUNTIF(U411:AY411,"A")</f>
      </c>
      <c r="BA411" s="121">
        <f>COUNTIF(U411:AY411,"F")</f>
      </c>
      <c r="BB411" s="119">
        <f>COUNTIF(U411:AY411,"E")</f>
      </c>
    </row>
    <row r="412" spans="1:54" x14ac:dyDescent="0.2">
      <c r="A412" s="84"/>
      <c r="B412" s="85"/>
      <c r="C412" s="85"/>
      <c r="D412" s="85"/>
      <c r="E412" s="86"/>
      <c r="F412" s="16">
        <f>IF(E412="","",DATEDIF(E412,$I$7,"Y"))</f>
      </c>
      <c r="G412" s="85"/>
      <c r="H412" s="85"/>
      <c r="I412" s="87"/>
      <c r="J412" s="85"/>
      <c r="K412" s="85"/>
      <c r="L412" s="10"/>
      <c r="M412" s="10"/>
      <c r="N412" s="10"/>
      <c r="O412" s="10"/>
      <c r="P412" s="85"/>
      <c r="Q412" s="88"/>
      <c r="R412" s="3">
        <f>IFERROR(VLOOKUP(TablaJunio[[#This Row],[BARRIO]],SECTOR!$A:$B,2,0),"")</f>
      </c>
      <c r="S412" s="89"/>
      <c r="T412" s="90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6"/>
      <c r="AZ412" s="120">
        <f>COUNTIF(U412:AY412,"A")</f>
      </c>
      <c r="BA412" s="121">
        <f>COUNTIF(U412:AY412,"F")</f>
      </c>
      <c r="BB412" s="119">
        <f>COUNTIF(U412:AY412,"E")</f>
      </c>
    </row>
    <row r="413" spans="1:54" x14ac:dyDescent="0.2">
      <c r="A413" s="84"/>
      <c r="B413" s="85"/>
      <c r="C413" s="85"/>
      <c r="D413" s="85"/>
      <c r="E413" s="86"/>
      <c r="F413" s="16">
        <f>IF(E413="","",DATEDIF(E413,$I$7,"Y"))</f>
      </c>
      <c r="G413" s="85"/>
      <c r="H413" s="85"/>
      <c r="I413" s="87"/>
      <c r="J413" s="85"/>
      <c r="K413" s="85"/>
      <c r="L413" s="10"/>
      <c r="M413" s="10"/>
      <c r="N413" s="10"/>
      <c r="O413" s="10"/>
      <c r="P413" s="85"/>
      <c r="Q413" s="88"/>
      <c r="R413" s="3">
        <f>IFERROR(VLOOKUP(TablaJunio[[#This Row],[BARRIO]],SECTOR!$A:$B,2,0),"")</f>
      </c>
      <c r="S413" s="89"/>
      <c r="T413" s="90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6"/>
      <c r="AZ413" s="120">
        <f>COUNTIF(U413:AY413,"A")</f>
      </c>
      <c r="BA413" s="121">
        <f>COUNTIF(U413:AY413,"F")</f>
      </c>
      <c r="BB413" s="119">
        <f>COUNTIF(U413:AY413,"E")</f>
      </c>
    </row>
    <row r="414" spans="1:54" x14ac:dyDescent="0.2">
      <c r="A414" s="84"/>
      <c r="B414" s="85"/>
      <c r="C414" s="85"/>
      <c r="D414" s="85"/>
      <c r="E414" s="86"/>
      <c r="F414" s="16">
        <f>IF(E414="","",DATEDIF(E414,$I$7,"Y"))</f>
      </c>
      <c r="G414" s="85"/>
      <c r="H414" s="85"/>
      <c r="I414" s="87"/>
      <c r="J414" s="85"/>
      <c r="K414" s="85"/>
      <c r="L414" s="10"/>
      <c r="M414" s="10"/>
      <c r="N414" s="10"/>
      <c r="O414" s="10"/>
      <c r="P414" s="85"/>
      <c r="Q414" s="88"/>
      <c r="R414" s="3">
        <f>IFERROR(VLOOKUP(TablaJunio[[#This Row],[BARRIO]],SECTOR!$A:$B,2,0),"")</f>
      </c>
      <c r="S414" s="89"/>
      <c r="T414" s="90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6"/>
      <c r="AZ414" s="120">
        <f>COUNTIF(U414:AY414,"A")</f>
      </c>
      <c r="BA414" s="121">
        <f>COUNTIF(U414:AY414,"F")</f>
      </c>
      <c r="BB414" s="119">
        <f>COUNTIF(U414:AY414,"E")</f>
      </c>
    </row>
    <row r="415" spans="1:54" x14ac:dyDescent="0.2">
      <c r="A415" s="84"/>
      <c r="B415" s="85"/>
      <c r="C415" s="85"/>
      <c r="D415" s="85"/>
      <c r="E415" s="86"/>
      <c r="F415" s="16">
        <f>IF(E415="","",DATEDIF(E415,$I$7,"Y"))</f>
      </c>
      <c r="G415" s="85"/>
      <c r="H415" s="85"/>
      <c r="I415" s="87"/>
      <c r="J415" s="85"/>
      <c r="K415" s="85"/>
      <c r="L415" s="10"/>
      <c r="M415" s="10"/>
      <c r="N415" s="10"/>
      <c r="O415" s="10"/>
      <c r="P415" s="85"/>
      <c r="Q415" s="88"/>
      <c r="R415" s="3">
        <f>IFERROR(VLOOKUP(TablaJunio[[#This Row],[BARRIO]],SECTOR!$A:$B,2,0),"")</f>
      </c>
      <c r="S415" s="89"/>
      <c r="T415" s="90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6"/>
      <c r="AZ415" s="120">
        <f>COUNTIF(U415:AY415,"A")</f>
      </c>
      <c r="BA415" s="121">
        <f>COUNTIF(U415:AY415,"F")</f>
      </c>
      <c r="BB415" s="119">
        <f>COUNTIF(U415:AY415,"E")</f>
      </c>
    </row>
    <row r="416" spans="1:54" x14ac:dyDescent="0.2">
      <c r="A416" s="84"/>
      <c r="B416" s="85"/>
      <c r="C416" s="85"/>
      <c r="D416" s="85"/>
      <c r="E416" s="86"/>
      <c r="F416" s="16">
        <f>IF(E416="","",DATEDIF(E416,$I$7,"Y"))</f>
      </c>
      <c r="G416" s="85"/>
      <c r="H416" s="85"/>
      <c r="I416" s="87"/>
      <c r="J416" s="85"/>
      <c r="K416" s="85"/>
      <c r="L416" s="10"/>
      <c r="M416" s="10"/>
      <c r="N416" s="10"/>
      <c r="O416" s="10"/>
      <c r="P416" s="85"/>
      <c r="Q416" s="88"/>
      <c r="R416" s="3">
        <f>IFERROR(VLOOKUP(TablaJunio[[#This Row],[BARRIO]],SECTOR!$A:$B,2,0),"")</f>
      </c>
      <c r="S416" s="89"/>
      <c r="T416" s="90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6"/>
      <c r="AZ416" s="120">
        <f>COUNTIF(U416:AY416,"A")</f>
      </c>
      <c r="BA416" s="121">
        <f>COUNTIF(U416:AY416,"F")</f>
      </c>
      <c r="BB416" s="119">
        <f>COUNTIF(U416:AY416,"E")</f>
      </c>
    </row>
    <row r="417" spans="1:54" x14ac:dyDescent="0.2">
      <c r="A417" s="84"/>
      <c r="B417" s="85"/>
      <c r="C417" s="85"/>
      <c r="D417" s="85"/>
      <c r="E417" s="86"/>
      <c r="F417" s="16">
        <f>IF(E417="","",DATEDIF(E417,$I$7,"Y"))</f>
      </c>
      <c r="G417" s="85"/>
      <c r="H417" s="85"/>
      <c r="I417" s="87"/>
      <c r="J417" s="85"/>
      <c r="K417" s="85"/>
      <c r="L417" s="10"/>
      <c r="M417" s="10"/>
      <c r="N417" s="10"/>
      <c r="O417" s="10"/>
      <c r="P417" s="85"/>
      <c r="Q417" s="88"/>
      <c r="R417" s="3">
        <f>IFERROR(VLOOKUP(TablaJunio[[#This Row],[BARRIO]],SECTOR!$A:$B,2,0),"")</f>
      </c>
      <c r="S417" s="89"/>
      <c r="T417" s="90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6"/>
      <c r="AZ417" s="120">
        <f>COUNTIF(U417:AY417,"A")</f>
      </c>
      <c r="BA417" s="121">
        <f>COUNTIF(U417:AY417,"F")</f>
      </c>
      <c r="BB417" s="119">
        <f>COUNTIF(U417:AY417,"E")</f>
      </c>
    </row>
    <row r="418" spans="1:54" x14ac:dyDescent="0.2">
      <c r="A418" s="84"/>
      <c r="B418" s="85"/>
      <c r="C418" s="85"/>
      <c r="D418" s="85"/>
      <c r="E418" s="86"/>
      <c r="F418" s="16">
        <f>IF(E418="","",DATEDIF(E418,$I$7,"Y"))</f>
      </c>
      <c r="G418" s="85"/>
      <c r="H418" s="85"/>
      <c r="I418" s="87"/>
      <c r="J418" s="85"/>
      <c r="K418" s="85"/>
      <c r="L418" s="10"/>
      <c r="M418" s="10"/>
      <c r="N418" s="10"/>
      <c r="O418" s="10"/>
      <c r="P418" s="85"/>
      <c r="Q418" s="88"/>
      <c r="R418" s="3">
        <f>IFERROR(VLOOKUP(TablaJunio[[#This Row],[BARRIO]],SECTOR!$A:$B,2,0),"")</f>
      </c>
      <c r="S418" s="89"/>
      <c r="T418" s="90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6"/>
      <c r="AZ418" s="120">
        <f>COUNTIF(U418:AY418,"A")</f>
      </c>
      <c r="BA418" s="121">
        <f>COUNTIF(U418:AY418,"F")</f>
      </c>
      <c r="BB418" s="119">
        <f>COUNTIF(U418:AY418,"E")</f>
      </c>
    </row>
    <row r="419" spans="1:54" x14ac:dyDescent="0.2">
      <c r="A419" s="84"/>
      <c r="B419" s="85"/>
      <c r="C419" s="85"/>
      <c r="D419" s="85"/>
      <c r="E419" s="86"/>
      <c r="F419" s="16">
        <f>IF(E419="","",DATEDIF(E419,$I$7,"Y"))</f>
      </c>
      <c r="G419" s="85"/>
      <c r="H419" s="85"/>
      <c r="I419" s="87"/>
      <c r="J419" s="85"/>
      <c r="K419" s="85"/>
      <c r="L419" s="10"/>
      <c r="M419" s="10"/>
      <c r="N419" s="10"/>
      <c r="O419" s="10"/>
      <c r="P419" s="85"/>
      <c r="Q419" s="88"/>
      <c r="R419" s="3">
        <f>IFERROR(VLOOKUP(TablaJunio[[#This Row],[BARRIO]],SECTOR!$A:$B,2,0),"")</f>
      </c>
      <c r="S419" s="89"/>
      <c r="T419" s="90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6"/>
      <c r="AZ419" s="120">
        <f>COUNTIF(U419:AY419,"A")</f>
      </c>
      <c r="BA419" s="121">
        <f>COUNTIF(U419:AY419,"F")</f>
      </c>
      <c r="BB419" s="119">
        <f>COUNTIF(U419:AY419,"E")</f>
      </c>
    </row>
    <row r="420" spans="1:54" x14ac:dyDescent="0.2">
      <c r="A420" s="84"/>
      <c r="B420" s="85"/>
      <c r="C420" s="85"/>
      <c r="D420" s="85"/>
      <c r="E420" s="86"/>
      <c r="F420" s="16">
        <f>IF(E420="","",DATEDIF(E420,$I$7,"Y"))</f>
      </c>
      <c r="G420" s="85"/>
      <c r="H420" s="85"/>
      <c r="I420" s="87"/>
      <c r="J420" s="85"/>
      <c r="K420" s="85"/>
      <c r="L420" s="10"/>
      <c r="M420" s="10"/>
      <c r="N420" s="10"/>
      <c r="O420" s="10"/>
      <c r="P420" s="85"/>
      <c r="Q420" s="88"/>
      <c r="R420" s="3">
        <f>IFERROR(VLOOKUP(TablaJunio[[#This Row],[BARRIO]],SECTOR!$A:$B,2,0),"")</f>
      </c>
      <c r="S420" s="89"/>
      <c r="T420" s="90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6"/>
      <c r="AZ420" s="120">
        <f>COUNTIF(U420:AY420,"A")</f>
      </c>
      <c r="BA420" s="121">
        <f>COUNTIF(U420:AY420,"F")</f>
      </c>
      <c r="BB420" s="119">
        <f>COUNTIF(U420:AY420,"E")</f>
      </c>
    </row>
    <row r="421" spans="1:54" x14ac:dyDescent="0.2">
      <c r="A421" s="84"/>
      <c r="B421" s="85"/>
      <c r="C421" s="85"/>
      <c r="D421" s="85"/>
      <c r="E421" s="86"/>
      <c r="F421" s="16">
        <f>IF(E421="","",DATEDIF(E421,$I$7,"Y"))</f>
      </c>
      <c r="G421" s="85"/>
      <c r="H421" s="85"/>
      <c r="I421" s="87"/>
      <c r="J421" s="85"/>
      <c r="K421" s="85"/>
      <c r="L421" s="10"/>
      <c r="M421" s="10"/>
      <c r="N421" s="10"/>
      <c r="O421" s="10"/>
      <c r="P421" s="85"/>
      <c r="Q421" s="88"/>
      <c r="R421" s="3">
        <f>IFERROR(VLOOKUP(TablaJunio[[#This Row],[BARRIO]],SECTOR!$A:$B,2,0),"")</f>
      </c>
      <c r="S421" s="89"/>
      <c r="T421" s="90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6"/>
      <c r="AZ421" s="120">
        <f>COUNTIF(U421:AY421,"A")</f>
      </c>
      <c r="BA421" s="121">
        <f>COUNTIF(U421:AY421,"F")</f>
      </c>
      <c r="BB421" s="119">
        <f>COUNTIF(U421:AY421,"E")</f>
      </c>
    </row>
    <row r="422" spans="1:54" x14ac:dyDescent="0.2">
      <c r="A422" s="84"/>
      <c r="B422" s="85"/>
      <c r="C422" s="85"/>
      <c r="D422" s="85"/>
      <c r="E422" s="86"/>
      <c r="F422" s="16">
        <f>IF(E422="","",DATEDIF(E422,$I$7,"Y"))</f>
      </c>
      <c r="G422" s="85"/>
      <c r="H422" s="85"/>
      <c r="I422" s="87"/>
      <c r="J422" s="85"/>
      <c r="K422" s="85"/>
      <c r="L422" s="10"/>
      <c r="M422" s="10"/>
      <c r="N422" s="10"/>
      <c r="O422" s="10"/>
      <c r="P422" s="85"/>
      <c r="Q422" s="88"/>
      <c r="R422" s="3">
        <f>IFERROR(VLOOKUP(TablaJunio[[#This Row],[BARRIO]],SECTOR!$A:$B,2,0),"")</f>
      </c>
      <c r="S422" s="89"/>
      <c r="T422" s="90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6"/>
      <c r="AZ422" s="120">
        <f>COUNTIF(U422:AY422,"A")</f>
      </c>
      <c r="BA422" s="121">
        <f>COUNTIF(U422:AY422,"F")</f>
      </c>
      <c r="BB422" s="119">
        <f>COUNTIF(U422:AY422,"E")</f>
      </c>
    </row>
    <row r="423" spans="1:54" x14ac:dyDescent="0.2">
      <c r="A423" s="84"/>
      <c r="B423" s="85"/>
      <c r="C423" s="85"/>
      <c r="D423" s="85"/>
      <c r="E423" s="86"/>
      <c r="F423" s="16">
        <f>IF(E423="","",DATEDIF(E423,$I$7,"Y"))</f>
      </c>
      <c r="G423" s="85"/>
      <c r="H423" s="85"/>
      <c r="I423" s="87"/>
      <c r="J423" s="85"/>
      <c r="K423" s="85"/>
      <c r="L423" s="10"/>
      <c r="M423" s="10"/>
      <c r="N423" s="10"/>
      <c r="O423" s="10"/>
      <c r="P423" s="85"/>
      <c r="Q423" s="88"/>
      <c r="R423" s="3">
        <f>IFERROR(VLOOKUP(TablaJunio[[#This Row],[BARRIO]],SECTOR!$A:$B,2,0),"")</f>
      </c>
      <c r="S423" s="89"/>
      <c r="T423" s="90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6"/>
      <c r="AZ423" s="120">
        <f>COUNTIF(U423:AY423,"A")</f>
      </c>
      <c r="BA423" s="121">
        <f>COUNTIF(U423:AY423,"F")</f>
      </c>
      <c r="BB423" s="119">
        <f>COUNTIF(U423:AY423,"E")</f>
      </c>
    </row>
    <row r="424" spans="1:54" x14ac:dyDescent="0.2">
      <c r="A424" s="84"/>
      <c r="B424" s="85"/>
      <c r="C424" s="85"/>
      <c r="D424" s="85"/>
      <c r="E424" s="86"/>
      <c r="F424" s="16">
        <f>IF(E424="","",DATEDIF(E424,$I$7,"Y"))</f>
      </c>
      <c r="G424" s="85"/>
      <c r="H424" s="85"/>
      <c r="I424" s="87"/>
      <c r="J424" s="85"/>
      <c r="K424" s="85"/>
      <c r="L424" s="10"/>
      <c r="M424" s="10"/>
      <c r="N424" s="10"/>
      <c r="O424" s="10"/>
      <c r="P424" s="85"/>
      <c r="Q424" s="88"/>
      <c r="R424" s="3">
        <f>IFERROR(VLOOKUP(TablaJunio[[#This Row],[BARRIO]],SECTOR!$A:$B,2,0),"")</f>
      </c>
      <c r="S424" s="89"/>
      <c r="T424" s="90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6"/>
      <c r="AZ424" s="120">
        <f>COUNTIF(U424:AY424,"A")</f>
      </c>
      <c r="BA424" s="121">
        <f>COUNTIF(U424:AY424,"F")</f>
      </c>
      <c r="BB424" s="119">
        <f>COUNTIF(U424:AY424,"E")</f>
      </c>
    </row>
    <row r="425" spans="1:54" x14ac:dyDescent="0.2">
      <c r="A425" s="84"/>
      <c r="B425" s="85"/>
      <c r="C425" s="85"/>
      <c r="D425" s="85"/>
      <c r="E425" s="86"/>
      <c r="F425" s="16">
        <f>IF(E425="","",DATEDIF(E425,$I$7,"Y"))</f>
      </c>
      <c r="G425" s="85"/>
      <c r="H425" s="85"/>
      <c r="I425" s="87"/>
      <c r="J425" s="85"/>
      <c r="K425" s="85"/>
      <c r="L425" s="10"/>
      <c r="M425" s="10"/>
      <c r="N425" s="10"/>
      <c r="O425" s="10"/>
      <c r="P425" s="85"/>
      <c r="Q425" s="88"/>
      <c r="R425" s="3">
        <f>IFERROR(VLOOKUP(TablaJunio[[#This Row],[BARRIO]],SECTOR!$A:$B,2,0),"")</f>
      </c>
      <c r="S425" s="89"/>
      <c r="T425" s="90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6"/>
      <c r="AZ425" s="120">
        <f>COUNTIF(U425:AY425,"A")</f>
      </c>
      <c r="BA425" s="121">
        <f>COUNTIF(U425:AY425,"F")</f>
      </c>
      <c r="BB425" s="119">
        <f>COUNTIF(U425:AY425,"E")</f>
      </c>
    </row>
    <row r="426" spans="1:54" x14ac:dyDescent="0.2">
      <c r="A426" s="84"/>
      <c r="B426" s="85"/>
      <c r="C426" s="85"/>
      <c r="D426" s="85"/>
      <c r="E426" s="86"/>
      <c r="F426" s="16">
        <f>IF(E426="","",DATEDIF(E426,$I$7,"Y"))</f>
      </c>
      <c r="G426" s="85"/>
      <c r="H426" s="85"/>
      <c r="I426" s="87"/>
      <c r="J426" s="85"/>
      <c r="K426" s="85"/>
      <c r="L426" s="10"/>
      <c r="M426" s="10"/>
      <c r="N426" s="10"/>
      <c r="O426" s="10"/>
      <c r="P426" s="85"/>
      <c r="Q426" s="88"/>
      <c r="R426" s="3">
        <f>IFERROR(VLOOKUP(TablaJunio[[#This Row],[BARRIO]],SECTOR!$A:$B,2,0),"")</f>
      </c>
      <c r="S426" s="89"/>
      <c r="T426" s="90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6"/>
      <c r="AZ426" s="120">
        <f>COUNTIF(U426:AY426,"A")</f>
      </c>
      <c r="BA426" s="121">
        <f>COUNTIF(U426:AY426,"F")</f>
      </c>
      <c r="BB426" s="119">
        <f>COUNTIF(U426:AY426,"E")</f>
      </c>
    </row>
    <row r="427" spans="1:54" x14ac:dyDescent="0.2">
      <c r="A427" s="84"/>
      <c r="B427" s="85"/>
      <c r="C427" s="85"/>
      <c r="D427" s="85"/>
      <c r="E427" s="86"/>
      <c r="F427" s="16">
        <f>IF(E427="","",DATEDIF(E427,$I$7,"Y"))</f>
      </c>
      <c r="G427" s="85"/>
      <c r="H427" s="85"/>
      <c r="I427" s="87"/>
      <c r="J427" s="85"/>
      <c r="K427" s="85"/>
      <c r="L427" s="10"/>
      <c r="M427" s="10"/>
      <c r="N427" s="10"/>
      <c r="O427" s="10"/>
      <c r="P427" s="85"/>
      <c r="Q427" s="88"/>
      <c r="R427" s="3">
        <f>IFERROR(VLOOKUP(TablaJunio[[#This Row],[BARRIO]],SECTOR!$A:$B,2,0),"")</f>
      </c>
      <c r="S427" s="89"/>
      <c r="T427" s="90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6"/>
      <c r="AZ427" s="120">
        <f>COUNTIF(U427:AY427,"A")</f>
      </c>
      <c r="BA427" s="121">
        <f>COUNTIF(U427:AY427,"F")</f>
      </c>
      <c r="BB427" s="119">
        <f>COUNTIF(U427:AY427,"E")</f>
      </c>
    </row>
    <row r="428" spans="1:54" x14ac:dyDescent="0.2">
      <c r="A428" s="84"/>
      <c r="B428" s="85"/>
      <c r="C428" s="85"/>
      <c r="D428" s="85"/>
      <c r="E428" s="86"/>
      <c r="F428" s="16">
        <f>IF(E428="","",DATEDIF(E428,$I$7,"Y"))</f>
      </c>
      <c r="G428" s="85"/>
      <c r="H428" s="85"/>
      <c r="I428" s="87"/>
      <c r="J428" s="85"/>
      <c r="K428" s="85"/>
      <c r="L428" s="10"/>
      <c r="M428" s="10"/>
      <c r="N428" s="10"/>
      <c r="O428" s="10"/>
      <c r="P428" s="85"/>
      <c r="Q428" s="88"/>
      <c r="R428" s="3">
        <f>IFERROR(VLOOKUP(TablaJunio[[#This Row],[BARRIO]],SECTOR!$A:$B,2,0),"")</f>
      </c>
      <c r="S428" s="89"/>
      <c r="T428" s="90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6"/>
      <c r="AZ428" s="120">
        <f>COUNTIF(U428:AY428,"A")</f>
      </c>
      <c r="BA428" s="121">
        <f>COUNTIF(U428:AY428,"F")</f>
      </c>
      <c r="BB428" s="119">
        <f>COUNTIF(U428:AY428,"E")</f>
      </c>
    </row>
    <row r="429" spans="1:54" x14ac:dyDescent="0.2">
      <c r="A429" s="84"/>
      <c r="B429" s="85"/>
      <c r="C429" s="85"/>
      <c r="D429" s="85"/>
      <c r="E429" s="86"/>
      <c r="F429" s="16">
        <f>IF(E429="","",DATEDIF(E429,$I$7,"Y"))</f>
      </c>
      <c r="G429" s="85"/>
      <c r="H429" s="85"/>
      <c r="I429" s="87"/>
      <c r="J429" s="85"/>
      <c r="K429" s="85"/>
      <c r="L429" s="10"/>
      <c r="M429" s="10"/>
      <c r="N429" s="10"/>
      <c r="O429" s="10"/>
      <c r="P429" s="85"/>
      <c r="Q429" s="88"/>
      <c r="R429" s="3">
        <f>IFERROR(VLOOKUP(TablaJunio[[#This Row],[BARRIO]],SECTOR!$A:$B,2,0),"")</f>
      </c>
      <c r="S429" s="89"/>
      <c r="T429" s="90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6"/>
      <c r="AZ429" s="120">
        <f>COUNTIF(U429:AY429,"A")</f>
      </c>
      <c r="BA429" s="121">
        <f>COUNTIF(U429:AY429,"F")</f>
      </c>
      <c r="BB429" s="119">
        <f>COUNTIF(U429:AY429,"E")</f>
      </c>
    </row>
    <row r="430" spans="1:54" x14ac:dyDescent="0.2">
      <c r="A430" s="84"/>
      <c r="B430" s="85"/>
      <c r="C430" s="85"/>
      <c r="D430" s="85"/>
      <c r="E430" s="86"/>
      <c r="F430" s="16">
        <f>IF(E430="","",DATEDIF(E430,$I$7,"Y"))</f>
      </c>
      <c r="G430" s="85"/>
      <c r="H430" s="85"/>
      <c r="I430" s="87"/>
      <c r="J430" s="85"/>
      <c r="K430" s="85"/>
      <c r="L430" s="10"/>
      <c r="M430" s="10"/>
      <c r="N430" s="10"/>
      <c r="O430" s="10"/>
      <c r="P430" s="85"/>
      <c r="Q430" s="88"/>
      <c r="R430" s="3">
        <f>IFERROR(VLOOKUP(TablaJunio[[#This Row],[BARRIO]],SECTOR!$A:$B,2,0),"")</f>
      </c>
      <c r="S430" s="89"/>
      <c r="T430" s="90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6"/>
      <c r="AZ430" s="120">
        <f>COUNTIF(U430:AY430,"A")</f>
      </c>
      <c r="BA430" s="121">
        <f>COUNTIF(U430:AY430,"F")</f>
      </c>
      <c r="BB430" s="119">
        <f>COUNTIF(U430:AY430,"E")</f>
      </c>
    </row>
    <row r="431" spans="1:54" x14ac:dyDescent="0.2">
      <c r="A431" s="84"/>
      <c r="B431" s="85"/>
      <c r="C431" s="85"/>
      <c r="D431" s="85"/>
      <c r="E431" s="86"/>
      <c r="F431" s="16">
        <f>IF(E431="","",DATEDIF(E431,$I$7,"Y"))</f>
      </c>
      <c r="G431" s="85"/>
      <c r="H431" s="85"/>
      <c r="I431" s="87"/>
      <c r="J431" s="85"/>
      <c r="K431" s="85"/>
      <c r="L431" s="10"/>
      <c r="M431" s="10"/>
      <c r="N431" s="10"/>
      <c r="O431" s="10"/>
      <c r="P431" s="85"/>
      <c r="Q431" s="88"/>
      <c r="R431" s="3">
        <f>IFERROR(VLOOKUP(TablaJunio[[#This Row],[BARRIO]],SECTOR!$A:$B,2,0),"")</f>
      </c>
      <c r="S431" s="89"/>
      <c r="T431" s="90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6"/>
      <c r="AZ431" s="120">
        <f>COUNTIF(U431:AY431,"A")</f>
      </c>
      <c r="BA431" s="121">
        <f>COUNTIF(U431:AY431,"F")</f>
      </c>
      <c r="BB431" s="119">
        <f>COUNTIF(U431:AY431,"E")</f>
      </c>
    </row>
    <row r="432" spans="1:54" x14ac:dyDescent="0.2">
      <c r="A432" s="84"/>
      <c r="B432" s="85"/>
      <c r="C432" s="85"/>
      <c r="D432" s="85"/>
      <c r="E432" s="86"/>
      <c r="F432" s="16">
        <f>IF(E432="","",DATEDIF(E432,$I$7,"Y"))</f>
      </c>
      <c r="G432" s="85"/>
      <c r="H432" s="85"/>
      <c r="I432" s="87"/>
      <c r="J432" s="85"/>
      <c r="K432" s="85"/>
      <c r="L432" s="10"/>
      <c r="M432" s="10"/>
      <c r="N432" s="10"/>
      <c r="O432" s="10"/>
      <c r="P432" s="85"/>
      <c r="Q432" s="88"/>
      <c r="R432" s="3">
        <f>IFERROR(VLOOKUP(TablaJunio[[#This Row],[BARRIO]],SECTOR!$A:$B,2,0),"")</f>
      </c>
      <c r="S432" s="89"/>
      <c r="T432" s="90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6"/>
      <c r="AZ432" s="120">
        <f>COUNTIF(U432:AY432,"A")</f>
      </c>
      <c r="BA432" s="121">
        <f>COUNTIF(U432:AY432,"F")</f>
      </c>
      <c r="BB432" s="119">
        <f>COUNTIF(U432:AY432,"E")</f>
      </c>
    </row>
    <row r="433" spans="1:54" x14ac:dyDescent="0.2">
      <c r="A433" s="84"/>
      <c r="B433" s="85"/>
      <c r="C433" s="85"/>
      <c r="D433" s="85"/>
      <c r="E433" s="86"/>
      <c r="F433" s="16">
        <f>IF(E433="","",DATEDIF(E433,$I$7,"Y"))</f>
      </c>
      <c r="G433" s="85"/>
      <c r="H433" s="85"/>
      <c r="I433" s="87"/>
      <c r="J433" s="85"/>
      <c r="K433" s="85"/>
      <c r="L433" s="10"/>
      <c r="M433" s="10"/>
      <c r="N433" s="10"/>
      <c r="O433" s="10"/>
      <c r="P433" s="85"/>
      <c r="Q433" s="88"/>
      <c r="R433" s="3">
        <f>IFERROR(VLOOKUP(TablaJunio[[#This Row],[BARRIO]],SECTOR!$A:$B,2,0),"")</f>
      </c>
      <c r="S433" s="89"/>
      <c r="T433" s="90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6"/>
      <c r="AZ433" s="120">
        <f>COUNTIF(U433:AY433,"A")</f>
      </c>
      <c r="BA433" s="121">
        <f>COUNTIF(U433:AY433,"F")</f>
      </c>
      <c r="BB433" s="119">
        <f>COUNTIF(U433:AY433,"E")</f>
      </c>
    </row>
    <row r="434" spans="1:54" x14ac:dyDescent="0.2">
      <c r="A434" s="84"/>
      <c r="B434" s="85"/>
      <c r="C434" s="85"/>
      <c r="D434" s="85"/>
      <c r="E434" s="86"/>
      <c r="F434" s="16">
        <f>IF(E434="","",DATEDIF(E434,$I$7,"Y"))</f>
      </c>
      <c r="G434" s="85"/>
      <c r="H434" s="85"/>
      <c r="I434" s="87"/>
      <c r="J434" s="85"/>
      <c r="K434" s="85"/>
      <c r="L434" s="10"/>
      <c r="M434" s="10"/>
      <c r="N434" s="10"/>
      <c r="O434" s="10"/>
      <c r="P434" s="85"/>
      <c r="Q434" s="88"/>
      <c r="R434" s="3">
        <f>IFERROR(VLOOKUP(TablaJunio[[#This Row],[BARRIO]],SECTOR!$A:$B,2,0),"")</f>
      </c>
      <c r="S434" s="89"/>
      <c r="T434" s="90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6"/>
      <c r="AZ434" s="120">
        <f>COUNTIF(U434:AY434,"A")</f>
      </c>
      <c r="BA434" s="121">
        <f>COUNTIF(U434:AY434,"F")</f>
      </c>
      <c r="BB434" s="119">
        <f>COUNTIF(U434:AY434,"E")</f>
      </c>
    </row>
    <row r="435" spans="1:54" x14ac:dyDescent="0.2">
      <c r="A435" s="84"/>
      <c r="B435" s="85"/>
      <c r="C435" s="85"/>
      <c r="D435" s="85"/>
      <c r="E435" s="86"/>
      <c r="F435" s="16">
        <f>IF(E435="","",DATEDIF(E435,$I$7,"Y"))</f>
      </c>
      <c r="G435" s="85"/>
      <c r="H435" s="85"/>
      <c r="I435" s="87"/>
      <c r="J435" s="85"/>
      <c r="K435" s="85"/>
      <c r="L435" s="10"/>
      <c r="M435" s="10"/>
      <c r="N435" s="10"/>
      <c r="O435" s="10"/>
      <c r="P435" s="85"/>
      <c r="Q435" s="88"/>
      <c r="R435" s="3">
        <f>IFERROR(VLOOKUP(TablaJunio[[#This Row],[BARRIO]],SECTOR!$A:$B,2,0),"")</f>
      </c>
      <c r="S435" s="89"/>
      <c r="T435" s="90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6"/>
      <c r="AZ435" s="120">
        <f>COUNTIF(U435:AY435,"A")</f>
      </c>
      <c r="BA435" s="121">
        <f>COUNTIF(U435:AY435,"F")</f>
      </c>
      <c r="BB435" s="119">
        <f>COUNTIF(U435:AY435,"E")</f>
      </c>
    </row>
    <row r="436" spans="1:54" x14ac:dyDescent="0.2">
      <c r="A436" s="84"/>
      <c r="B436" s="85"/>
      <c r="C436" s="85"/>
      <c r="D436" s="85"/>
      <c r="E436" s="86"/>
      <c r="F436" s="16">
        <f>IF(E436="","",DATEDIF(E436,$I$7,"Y"))</f>
      </c>
      <c r="G436" s="85"/>
      <c r="H436" s="85"/>
      <c r="I436" s="87"/>
      <c r="J436" s="85"/>
      <c r="K436" s="85"/>
      <c r="L436" s="10"/>
      <c r="M436" s="10"/>
      <c r="N436" s="10"/>
      <c r="O436" s="10"/>
      <c r="P436" s="85"/>
      <c r="Q436" s="88"/>
      <c r="R436" s="3">
        <f>IFERROR(VLOOKUP(TablaJunio[[#This Row],[BARRIO]],SECTOR!$A:$B,2,0),"")</f>
      </c>
      <c r="S436" s="89"/>
      <c r="T436" s="90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6"/>
      <c r="AZ436" s="120">
        <f>COUNTIF(U436:AY436,"A")</f>
      </c>
      <c r="BA436" s="121">
        <f>COUNTIF(U436:AY436,"F")</f>
      </c>
      <c r="BB436" s="119">
        <f>COUNTIF(U436:AY436,"E")</f>
      </c>
    </row>
    <row r="437" spans="1:54" x14ac:dyDescent="0.2">
      <c r="A437" s="84"/>
      <c r="B437" s="85"/>
      <c r="C437" s="85"/>
      <c r="D437" s="85"/>
      <c r="E437" s="86"/>
      <c r="F437" s="16">
        <f>IF(E437="","",DATEDIF(E437,$I$7,"Y"))</f>
      </c>
      <c r="G437" s="85"/>
      <c r="H437" s="85"/>
      <c r="I437" s="87"/>
      <c r="J437" s="85"/>
      <c r="K437" s="85"/>
      <c r="L437" s="10"/>
      <c r="M437" s="10"/>
      <c r="N437" s="10"/>
      <c r="O437" s="10"/>
      <c r="P437" s="85"/>
      <c r="Q437" s="88"/>
      <c r="R437" s="3">
        <f>IFERROR(VLOOKUP(TablaJunio[[#This Row],[BARRIO]],SECTOR!$A:$B,2,0),"")</f>
      </c>
      <c r="S437" s="89"/>
      <c r="T437" s="90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6"/>
      <c r="AZ437" s="120">
        <f>COUNTIF(U437:AY437,"A")</f>
      </c>
      <c r="BA437" s="121">
        <f>COUNTIF(U437:AY437,"F")</f>
      </c>
      <c r="BB437" s="119">
        <f>COUNTIF(U437:AY437,"E")</f>
      </c>
    </row>
    <row r="438" spans="1:54" x14ac:dyDescent="0.2">
      <c r="A438" s="84"/>
      <c r="B438" s="85"/>
      <c r="C438" s="85"/>
      <c r="D438" s="85"/>
      <c r="E438" s="86"/>
      <c r="F438" s="16">
        <f>IF(E438="","",DATEDIF(E438,$I$7,"Y"))</f>
      </c>
      <c r="G438" s="85"/>
      <c r="H438" s="85"/>
      <c r="I438" s="87"/>
      <c r="J438" s="85"/>
      <c r="K438" s="85"/>
      <c r="L438" s="10"/>
      <c r="M438" s="10"/>
      <c r="N438" s="10"/>
      <c r="O438" s="10"/>
      <c r="P438" s="85"/>
      <c r="Q438" s="88"/>
      <c r="R438" s="3">
        <f>IFERROR(VLOOKUP(TablaJunio[[#This Row],[BARRIO]],SECTOR!$A:$B,2,0),"")</f>
      </c>
      <c r="S438" s="89"/>
      <c r="T438" s="90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6"/>
      <c r="AZ438" s="120">
        <f>COUNTIF(U438:AY438,"A")</f>
      </c>
      <c r="BA438" s="121">
        <f>COUNTIF(U438:AY438,"F")</f>
      </c>
      <c r="BB438" s="119">
        <f>COUNTIF(U438:AY438,"E")</f>
      </c>
    </row>
    <row r="439" spans="1:54" x14ac:dyDescent="0.2">
      <c r="A439" s="84"/>
      <c r="B439" s="85"/>
      <c r="C439" s="85"/>
      <c r="D439" s="85"/>
      <c r="E439" s="86"/>
      <c r="F439" s="16">
        <f>IF(E439="","",DATEDIF(E439,$I$7,"Y"))</f>
      </c>
      <c r="G439" s="85"/>
      <c r="H439" s="85"/>
      <c r="I439" s="87"/>
      <c r="J439" s="85"/>
      <c r="K439" s="85"/>
      <c r="L439" s="10"/>
      <c r="M439" s="10"/>
      <c r="N439" s="10"/>
      <c r="O439" s="10"/>
      <c r="P439" s="85"/>
      <c r="Q439" s="88"/>
      <c r="R439" s="3">
        <f>IFERROR(VLOOKUP(TablaJunio[[#This Row],[BARRIO]],SECTOR!$A:$B,2,0),"")</f>
      </c>
      <c r="S439" s="89"/>
      <c r="T439" s="90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6"/>
      <c r="AZ439" s="120">
        <f>COUNTIF(U439:AY439,"A")</f>
      </c>
      <c r="BA439" s="121">
        <f>COUNTIF(U439:AY439,"F")</f>
      </c>
      <c r="BB439" s="119">
        <f>COUNTIF(U439:AY439,"E")</f>
      </c>
    </row>
    <row r="440" spans="1:54" x14ac:dyDescent="0.2">
      <c r="A440" s="84"/>
      <c r="B440" s="85"/>
      <c r="C440" s="85"/>
      <c r="D440" s="85"/>
      <c r="E440" s="86"/>
      <c r="F440" s="16">
        <f>IF(E440="","",DATEDIF(E440,$I$7,"Y"))</f>
      </c>
      <c r="G440" s="85"/>
      <c r="H440" s="85"/>
      <c r="I440" s="87"/>
      <c r="J440" s="85"/>
      <c r="K440" s="85"/>
      <c r="L440" s="10"/>
      <c r="M440" s="10"/>
      <c r="N440" s="10"/>
      <c r="O440" s="10"/>
      <c r="P440" s="85"/>
      <c r="Q440" s="88"/>
      <c r="R440" s="3">
        <f>IFERROR(VLOOKUP(TablaJunio[[#This Row],[BARRIO]],SECTOR!$A:$B,2,0),"")</f>
      </c>
      <c r="S440" s="89"/>
      <c r="T440" s="90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6"/>
      <c r="AZ440" s="120">
        <f>COUNTIF(U440:AY440,"A")</f>
      </c>
      <c r="BA440" s="121">
        <f>COUNTIF(U440:AY440,"F")</f>
      </c>
      <c r="BB440" s="119">
        <f>COUNTIF(U440:AY440,"E")</f>
      </c>
    </row>
    <row r="441" spans="1:54" x14ac:dyDescent="0.2">
      <c r="A441" s="84"/>
      <c r="B441" s="85"/>
      <c r="C441" s="85"/>
      <c r="D441" s="85"/>
      <c r="E441" s="86"/>
      <c r="F441" s="16">
        <f>IF(E441="","",DATEDIF(E441,$I$7,"Y"))</f>
      </c>
      <c r="G441" s="85"/>
      <c r="H441" s="85"/>
      <c r="I441" s="87"/>
      <c r="J441" s="85"/>
      <c r="K441" s="85"/>
      <c r="L441" s="10"/>
      <c r="M441" s="10"/>
      <c r="N441" s="10"/>
      <c r="O441" s="10"/>
      <c r="P441" s="85"/>
      <c r="Q441" s="88"/>
      <c r="R441" s="3">
        <f>IFERROR(VLOOKUP(TablaJunio[[#This Row],[BARRIO]],SECTOR!$A:$B,2,0),"")</f>
      </c>
      <c r="S441" s="89"/>
      <c r="T441" s="90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6"/>
      <c r="AZ441" s="120">
        <f>COUNTIF(U441:AY441,"A")</f>
      </c>
      <c r="BA441" s="121">
        <f>COUNTIF(U441:AY441,"F")</f>
      </c>
      <c r="BB441" s="119">
        <f>COUNTIF(U441:AY441,"E")</f>
      </c>
    </row>
    <row r="442" spans="1:54" x14ac:dyDescent="0.2">
      <c r="A442" s="84"/>
      <c r="B442" s="85"/>
      <c r="C442" s="85"/>
      <c r="D442" s="85"/>
      <c r="E442" s="86"/>
      <c r="F442" s="16">
        <f>IF(E442="","",DATEDIF(E442,$I$7,"Y"))</f>
      </c>
      <c r="G442" s="85"/>
      <c r="H442" s="85"/>
      <c r="I442" s="87"/>
      <c r="J442" s="85"/>
      <c r="K442" s="85"/>
      <c r="L442" s="10"/>
      <c r="M442" s="10"/>
      <c r="N442" s="10"/>
      <c r="O442" s="10"/>
      <c r="P442" s="85"/>
      <c r="Q442" s="88"/>
      <c r="R442" s="3">
        <f>IFERROR(VLOOKUP(TablaJunio[[#This Row],[BARRIO]],SECTOR!$A:$B,2,0),"")</f>
      </c>
      <c r="S442" s="89"/>
      <c r="T442" s="90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6"/>
      <c r="AZ442" s="120">
        <f>COUNTIF(U442:AY442,"A")</f>
      </c>
      <c r="BA442" s="121">
        <f>COUNTIF(U442:AY442,"F")</f>
      </c>
      <c r="BB442" s="119">
        <f>COUNTIF(U442:AY442,"E")</f>
      </c>
    </row>
    <row r="443" spans="1:54" x14ac:dyDescent="0.2">
      <c r="A443" s="84"/>
      <c r="B443" s="85"/>
      <c r="C443" s="85"/>
      <c r="D443" s="85"/>
      <c r="E443" s="86"/>
      <c r="F443" s="16">
        <f>IF(E443="","",DATEDIF(E443,$I$7,"Y"))</f>
      </c>
      <c r="G443" s="85"/>
      <c r="H443" s="85"/>
      <c r="I443" s="87"/>
      <c r="J443" s="85"/>
      <c r="K443" s="85"/>
      <c r="L443" s="10"/>
      <c r="M443" s="10"/>
      <c r="N443" s="10"/>
      <c r="O443" s="10"/>
      <c r="P443" s="85"/>
      <c r="Q443" s="88"/>
      <c r="R443" s="3">
        <f>IFERROR(VLOOKUP(TablaJunio[[#This Row],[BARRIO]],SECTOR!$A:$B,2,0),"")</f>
      </c>
      <c r="S443" s="89"/>
      <c r="T443" s="90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6"/>
      <c r="AZ443" s="120">
        <f>COUNTIF(U443:AY443,"A")</f>
      </c>
      <c r="BA443" s="121">
        <f>COUNTIF(U443:AY443,"F")</f>
      </c>
      <c r="BB443" s="119">
        <f>COUNTIF(U443:AY443,"E")</f>
      </c>
    </row>
    <row r="444" spans="1:54" x14ac:dyDescent="0.2">
      <c r="A444" s="84"/>
      <c r="B444" s="85"/>
      <c r="C444" s="85"/>
      <c r="D444" s="85"/>
      <c r="E444" s="86"/>
      <c r="F444" s="16">
        <f>IF(E444="","",DATEDIF(E444,$I$7,"Y"))</f>
      </c>
      <c r="G444" s="85"/>
      <c r="H444" s="85"/>
      <c r="I444" s="87"/>
      <c r="J444" s="85"/>
      <c r="K444" s="85"/>
      <c r="L444" s="10"/>
      <c r="M444" s="10"/>
      <c r="N444" s="10"/>
      <c r="O444" s="10"/>
      <c r="P444" s="85"/>
      <c r="Q444" s="88"/>
      <c r="R444" s="3">
        <f>IFERROR(VLOOKUP(TablaJunio[[#This Row],[BARRIO]],SECTOR!$A:$B,2,0),"")</f>
      </c>
      <c r="S444" s="89"/>
      <c r="T444" s="90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6"/>
      <c r="AZ444" s="120">
        <f>COUNTIF(U444:AY444,"A")</f>
      </c>
      <c r="BA444" s="121">
        <f>COUNTIF(U444:AY444,"F")</f>
      </c>
      <c r="BB444" s="119">
        <f>COUNTIF(U444:AY444,"E")</f>
      </c>
    </row>
    <row r="445" spans="1:54" x14ac:dyDescent="0.2">
      <c r="A445" s="84"/>
      <c r="B445" s="85"/>
      <c r="C445" s="85"/>
      <c r="D445" s="85"/>
      <c r="E445" s="86"/>
      <c r="F445" s="16">
        <f>IF(E445="","",DATEDIF(E445,$I$7,"Y"))</f>
      </c>
      <c r="G445" s="85"/>
      <c r="H445" s="85"/>
      <c r="I445" s="87"/>
      <c r="J445" s="85"/>
      <c r="K445" s="85"/>
      <c r="L445" s="10"/>
      <c r="M445" s="10"/>
      <c r="N445" s="10"/>
      <c r="O445" s="10"/>
      <c r="P445" s="85"/>
      <c r="Q445" s="88"/>
      <c r="R445" s="3">
        <f>IFERROR(VLOOKUP(TablaJunio[[#This Row],[BARRIO]],SECTOR!$A:$B,2,0),"")</f>
      </c>
      <c r="S445" s="89"/>
      <c r="T445" s="90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6"/>
      <c r="AZ445" s="120">
        <f>COUNTIF(U445:AY445,"A")</f>
      </c>
      <c r="BA445" s="121">
        <f>COUNTIF(U445:AY445,"F")</f>
      </c>
      <c r="BB445" s="119">
        <f>COUNTIF(U445:AY445,"E")</f>
      </c>
    </row>
    <row r="446" spans="1:54" x14ac:dyDescent="0.2">
      <c r="A446" s="84"/>
      <c r="B446" s="85"/>
      <c r="C446" s="85"/>
      <c r="D446" s="85"/>
      <c r="E446" s="86"/>
      <c r="F446" s="16">
        <f>IF(E446="","",DATEDIF(E446,$I$7,"Y"))</f>
      </c>
      <c r="G446" s="85"/>
      <c r="H446" s="85"/>
      <c r="I446" s="87"/>
      <c r="J446" s="85"/>
      <c r="K446" s="85"/>
      <c r="L446" s="10"/>
      <c r="M446" s="10"/>
      <c r="N446" s="10"/>
      <c r="O446" s="10"/>
      <c r="P446" s="85"/>
      <c r="Q446" s="88"/>
      <c r="R446" s="3">
        <f>IFERROR(VLOOKUP(TablaJunio[[#This Row],[BARRIO]],SECTOR!$A:$B,2,0),"")</f>
      </c>
      <c r="S446" s="89"/>
      <c r="T446" s="90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6"/>
      <c r="AZ446" s="120">
        <f>COUNTIF(U446:AY446,"A")</f>
      </c>
      <c r="BA446" s="121">
        <f>COUNTIF(U446:AY446,"F")</f>
      </c>
      <c r="BB446" s="119">
        <f>COUNTIF(U446:AY446,"E")</f>
      </c>
    </row>
    <row r="447" spans="1:54" x14ac:dyDescent="0.2">
      <c r="A447" s="84"/>
      <c r="B447" s="85"/>
      <c r="C447" s="85"/>
      <c r="D447" s="85"/>
      <c r="E447" s="86"/>
      <c r="F447" s="16">
        <f>IF(E447="","",DATEDIF(E447,$I$7,"Y"))</f>
      </c>
      <c r="G447" s="85"/>
      <c r="H447" s="85"/>
      <c r="I447" s="87"/>
      <c r="J447" s="85"/>
      <c r="K447" s="85"/>
      <c r="L447" s="10"/>
      <c r="M447" s="10"/>
      <c r="N447" s="10"/>
      <c r="O447" s="10"/>
      <c r="P447" s="85"/>
      <c r="Q447" s="88"/>
      <c r="R447" s="3">
        <f>IFERROR(VLOOKUP(TablaJunio[[#This Row],[BARRIO]],SECTOR!$A:$B,2,0),"")</f>
      </c>
      <c r="S447" s="89"/>
      <c r="T447" s="90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6"/>
      <c r="AZ447" s="120">
        <f>COUNTIF(U447:AY447,"A")</f>
      </c>
      <c r="BA447" s="121">
        <f>COUNTIF(U447:AY447,"F")</f>
      </c>
      <c r="BB447" s="119">
        <f>COUNTIF(U447:AY447,"E")</f>
      </c>
    </row>
    <row r="448" spans="1:54" x14ac:dyDescent="0.2">
      <c r="A448" s="84"/>
      <c r="B448" s="85"/>
      <c r="C448" s="85"/>
      <c r="D448" s="85"/>
      <c r="E448" s="86"/>
      <c r="F448" s="16">
        <f>IF(E448="","",DATEDIF(E448,$I$7,"Y"))</f>
      </c>
      <c r="G448" s="85"/>
      <c r="H448" s="85"/>
      <c r="I448" s="87"/>
      <c r="J448" s="85"/>
      <c r="K448" s="85"/>
      <c r="L448" s="10"/>
      <c r="M448" s="10"/>
      <c r="N448" s="10"/>
      <c r="O448" s="10"/>
      <c r="P448" s="85"/>
      <c r="Q448" s="88"/>
      <c r="R448" s="3">
        <f>IFERROR(VLOOKUP(TablaJunio[[#This Row],[BARRIO]],SECTOR!$A:$B,2,0),"")</f>
      </c>
      <c r="S448" s="89"/>
      <c r="T448" s="90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6"/>
      <c r="AZ448" s="120">
        <f>COUNTIF(U448:AY448,"A")</f>
      </c>
      <c r="BA448" s="121">
        <f>COUNTIF(U448:AY448,"F")</f>
      </c>
      <c r="BB448" s="119">
        <f>COUNTIF(U448:AY448,"E")</f>
      </c>
    </row>
    <row r="449" spans="1:54" x14ac:dyDescent="0.2">
      <c r="A449" s="84"/>
      <c r="B449" s="85"/>
      <c r="C449" s="85"/>
      <c r="D449" s="85"/>
      <c r="E449" s="86"/>
      <c r="F449" s="16">
        <f>IF(E449="","",DATEDIF(E449,$I$7,"Y"))</f>
      </c>
      <c r="G449" s="85"/>
      <c r="H449" s="85"/>
      <c r="I449" s="87"/>
      <c r="J449" s="85"/>
      <c r="K449" s="85"/>
      <c r="L449" s="10"/>
      <c r="M449" s="10"/>
      <c r="N449" s="10"/>
      <c r="O449" s="10"/>
      <c r="P449" s="85"/>
      <c r="Q449" s="88"/>
      <c r="R449" s="3">
        <f>IFERROR(VLOOKUP(TablaJunio[[#This Row],[BARRIO]],SECTOR!$A:$B,2,0),"")</f>
      </c>
      <c r="S449" s="89"/>
      <c r="T449" s="90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6"/>
      <c r="AZ449" s="120">
        <f>COUNTIF(U449:AY449,"A")</f>
      </c>
      <c r="BA449" s="121">
        <f>COUNTIF(U449:AY449,"F")</f>
      </c>
      <c r="BB449" s="119">
        <f>COUNTIF(U449:AY449,"E")</f>
      </c>
    </row>
    <row r="450" spans="1:54" x14ac:dyDescent="0.2">
      <c r="A450" s="84"/>
      <c r="B450" s="85"/>
      <c r="C450" s="85"/>
      <c r="D450" s="85"/>
      <c r="E450" s="86"/>
      <c r="F450" s="16">
        <f>IF(E450="","",DATEDIF(E450,$I$7,"Y"))</f>
      </c>
      <c r="G450" s="85"/>
      <c r="H450" s="85"/>
      <c r="I450" s="87"/>
      <c r="J450" s="85"/>
      <c r="K450" s="85"/>
      <c r="L450" s="10"/>
      <c r="M450" s="10"/>
      <c r="N450" s="10"/>
      <c r="O450" s="10"/>
      <c r="P450" s="85"/>
      <c r="Q450" s="88"/>
      <c r="R450" s="3">
        <f>IFERROR(VLOOKUP(TablaJunio[[#This Row],[BARRIO]],SECTOR!$A:$B,2,0),"")</f>
      </c>
      <c r="S450" s="89"/>
      <c r="T450" s="90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6"/>
      <c r="AZ450" s="120">
        <f>COUNTIF(U450:AY450,"A")</f>
      </c>
      <c r="BA450" s="121">
        <f>COUNTIF(U450:AY450,"F")</f>
      </c>
      <c r="BB450" s="119">
        <f>COUNTIF(U450:AY450,"E")</f>
      </c>
    </row>
    <row r="451" spans="1:54" x14ac:dyDescent="0.2">
      <c r="A451" s="84"/>
      <c r="B451" s="85"/>
      <c r="C451" s="85"/>
      <c r="D451" s="85"/>
      <c r="E451" s="86"/>
      <c r="F451" s="16">
        <f>IF(E451="","",DATEDIF(E451,$I$7,"Y"))</f>
      </c>
      <c r="G451" s="85"/>
      <c r="H451" s="85"/>
      <c r="I451" s="87"/>
      <c r="J451" s="85"/>
      <c r="K451" s="85"/>
      <c r="L451" s="10"/>
      <c r="M451" s="10"/>
      <c r="N451" s="10"/>
      <c r="O451" s="10"/>
      <c r="P451" s="85"/>
      <c r="Q451" s="88"/>
      <c r="R451" s="3">
        <f>IFERROR(VLOOKUP(TablaJunio[[#This Row],[BARRIO]],SECTOR!$A:$B,2,0),"")</f>
      </c>
      <c r="S451" s="89"/>
      <c r="T451" s="90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6"/>
      <c r="AZ451" s="120">
        <f>COUNTIF(U451:AY451,"A")</f>
      </c>
      <c r="BA451" s="121">
        <f>COUNTIF(U451:AY451,"F")</f>
      </c>
      <c r="BB451" s="119">
        <f>COUNTIF(U451:AY451,"E")</f>
      </c>
    </row>
    <row r="452" spans="1:54" x14ac:dyDescent="0.2">
      <c r="A452" s="84"/>
      <c r="B452" s="85"/>
      <c r="C452" s="85"/>
      <c r="D452" s="85"/>
      <c r="E452" s="86"/>
      <c r="F452" s="16">
        <f>IF(E452="","",DATEDIF(E452,$I$7,"Y"))</f>
      </c>
      <c r="G452" s="85"/>
      <c r="H452" s="85"/>
      <c r="I452" s="87"/>
      <c r="J452" s="85"/>
      <c r="K452" s="85"/>
      <c r="L452" s="10"/>
      <c r="M452" s="10"/>
      <c r="N452" s="10"/>
      <c r="O452" s="10"/>
      <c r="P452" s="85"/>
      <c r="Q452" s="88"/>
      <c r="R452" s="3">
        <f>IFERROR(VLOOKUP(TablaJunio[[#This Row],[BARRIO]],SECTOR!$A:$B,2,0),"")</f>
      </c>
      <c r="S452" s="89"/>
      <c r="T452" s="90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6"/>
      <c r="AZ452" s="120">
        <f>COUNTIF(U452:AY452,"A")</f>
      </c>
      <c r="BA452" s="121">
        <f>COUNTIF(U452:AY452,"F")</f>
      </c>
      <c r="BB452" s="119">
        <f>COUNTIF(U452:AY452,"E")</f>
      </c>
    </row>
    <row r="453" spans="1:54" x14ac:dyDescent="0.2">
      <c r="A453" s="84"/>
      <c r="B453" s="85"/>
      <c r="C453" s="85"/>
      <c r="D453" s="85"/>
      <c r="E453" s="86"/>
      <c r="F453" s="16">
        <f>IF(E453="","",DATEDIF(E453,$I$7,"Y"))</f>
      </c>
      <c r="G453" s="85"/>
      <c r="H453" s="85"/>
      <c r="I453" s="87"/>
      <c r="J453" s="85"/>
      <c r="K453" s="85"/>
      <c r="L453" s="10"/>
      <c r="M453" s="10"/>
      <c r="N453" s="10"/>
      <c r="O453" s="10"/>
      <c r="P453" s="85"/>
      <c r="Q453" s="88"/>
      <c r="R453" s="3">
        <f>IFERROR(VLOOKUP(TablaJunio[[#This Row],[BARRIO]],SECTOR!$A:$B,2,0),"")</f>
      </c>
      <c r="S453" s="89"/>
      <c r="T453" s="90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6"/>
      <c r="AZ453" s="120">
        <f>COUNTIF(U453:AY453,"A")</f>
      </c>
      <c r="BA453" s="121">
        <f>COUNTIF(U453:AY453,"F")</f>
      </c>
      <c r="BB453" s="119">
        <f>COUNTIF(U453:AY453,"E")</f>
      </c>
    </row>
    <row r="454" spans="1:54" x14ac:dyDescent="0.2">
      <c r="A454" s="84"/>
      <c r="B454" s="85"/>
      <c r="C454" s="85"/>
      <c r="D454" s="85"/>
      <c r="E454" s="86"/>
      <c r="F454" s="16">
        <f>IF(E454="","",DATEDIF(E454,$I$7,"Y"))</f>
      </c>
      <c r="G454" s="85"/>
      <c r="H454" s="85"/>
      <c r="I454" s="87"/>
      <c r="J454" s="85"/>
      <c r="K454" s="85"/>
      <c r="L454" s="10"/>
      <c r="M454" s="10"/>
      <c r="N454" s="10"/>
      <c r="O454" s="10"/>
      <c r="P454" s="85"/>
      <c r="Q454" s="88"/>
      <c r="R454" s="3">
        <f>IFERROR(VLOOKUP(TablaJunio[[#This Row],[BARRIO]],SECTOR!$A:$B,2,0),"")</f>
      </c>
      <c r="S454" s="89"/>
      <c r="T454" s="90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6"/>
      <c r="AZ454" s="120">
        <f>COUNTIF(U454:AY454,"A")</f>
      </c>
      <c r="BA454" s="121">
        <f>COUNTIF(U454:AY454,"F")</f>
      </c>
      <c r="BB454" s="119">
        <f>COUNTIF(U454:AY454,"E")</f>
      </c>
    </row>
    <row r="455" spans="1:54" x14ac:dyDescent="0.2">
      <c r="A455" s="84"/>
      <c r="B455" s="85"/>
      <c r="C455" s="85"/>
      <c r="D455" s="85"/>
      <c r="E455" s="86"/>
      <c r="F455" s="16">
        <f>IF(E455="","",DATEDIF(E455,$I$7,"Y"))</f>
      </c>
      <c r="G455" s="85"/>
      <c r="H455" s="85"/>
      <c r="I455" s="87"/>
      <c r="J455" s="85"/>
      <c r="K455" s="85"/>
      <c r="L455" s="10"/>
      <c r="M455" s="10"/>
      <c r="N455" s="10"/>
      <c r="O455" s="10"/>
      <c r="P455" s="85"/>
      <c r="Q455" s="88"/>
      <c r="R455" s="3">
        <f>IFERROR(VLOOKUP(TablaJunio[[#This Row],[BARRIO]],SECTOR!$A:$B,2,0),"")</f>
      </c>
      <c r="S455" s="89"/>
      <c r="T455" s="90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6"/>
      <c r="AZ455" s="120">
        <f>COUNTIF(U455:AY455,"A")</f>
      </c>
      <c r="BA455" s="121">
        <f>COUNTIF(U455:AY455,"F")</f>
      </c>
      <c r="BB455" s="119">
        <f>COUNTIF(U455:AY455,"E")</f>
      </c>
    </row>
    <row r="456" spans="1:54" x14ac:dyDescent="0.2">
      <c r="A456" s="84"/>
      <c r="B456" s="85"/>
      <c r="C456" s="85"/>
      <c r="D456" s="85"/>
      <c r="E456" s="86"/>
      <c r="F456" s="16">
        <f>IF(E456="","",DATEDIF(E456,$I$7,"Y"))</f>
      </c>
      <c r="G456" s="85"/>
      <c r="H456" s="85"/>
      <c r="I456" s="87"/>
      <c r="J456" s="85"/>
      <c r="K456" s="85"/>
      <c r="L456" s="10"/>
      <c r="M456" s="10"/>
      <c r="N456" s="10"/>
      <c r="O456" s="10"/>
      <c r="P456" s="85"/>
      <c r="Q456" s="88"/>
      <c r="R456" s="3">
        <f>IFERROR(VLOOKUP(TablaJunio[[#This Row],[BARRIO]],SECTOR!$A:$B,2,0),"")</f>
      </c>
      <c r="S456" s="89"/>
      <c r="T456" s="90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6"/>
      <c r="AZ456" s="120">
        <f>COUNTIF(U456:AY456,"A")</f>
      </c>
      <c r="BA456" s="121">
        <f>COUNTIF(U456:AY456,"F")</f>
      </c>
      <c r="BB456" s="119">
        <f>COUNTIF(U456:AY456,"E")</f>
      </c>
    </row>
    <row r="457" spans="1:54" x14ac:dyDescent="0.2">
      <c r="A457" s="84"/>
      <c r="B457" s="85"/>
      <c r="C457" s="85"/>
      <c r="D457" s="85"/>
      <c r="E457" s="86"/>
      <c r="F457" s="16">
        <f>IF(E457="","",DATEDIF(E457,$I$7,"Y"))</f>
      </c>
      <c r="G457" s="85"/>
      <c r="H457" s="85"/>
      <c r="I457" s="87"/>
      <c r="J457" s="85"/>
      <c r="K457" s="85"/>
      <c r="L457" s="10"/>
      <c r="M457" s="10"/>
      <c r="N457" s="10"/>
      <c r="O457" s="10"/>
      <c r="P457" s="85"/>
      <c r="Q457" s="88"/>
      <c r="R457" s="3">
        <f>IFERROR(VLOOKUP(TablaJunio[[#This Row],[BARRIO]],SECTOR!$A:$B,2,0),"")</f>
      </c>
      <c r="S457" s="89"/>
      <c r="T457" s="90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6"/>
      <c r="AZ457" s="120">
        <f>COUNTIF(U457:AY457,"A")</f>
      </c>
      <c r="BA457" s="121">
        <f>COUNTIF(U457:AY457,"F")</f>
      </c>
      <c r="BB457" s="119">
        <f>COUNTIF(U457:AY457,"E")</f>
      </c>
    </row>
    <row r="458" spans="1:54" x14ac:dyDescent="0.2">
      <c r="A458" s="84"/>
      <c r="B458" s="85"/>
      <c r="C458" s="85"/>
      <c r="D458" s="85"/>
      <c r="E458" s="86"/>
      <c r="F458" s="16">
        <f>IF(E458="","",DATEDIF(E458,$I$7,"Y"))</f>
      </c>
      <c r="G458" s="85"/>
      <c r="H458" s="85"/>
      <c r="I458" s="87"/>
      <c r="J458" s="85"/>
      <c r="K458" s="85"/>
      <c r="L458" s="10"/>
      <c r="M458" s="10"/>
      <c r="N458" s="10"/>
      <c r="O458" s="10"/>
      <c r="P458" s="85"/>
      <c r="Q458" s="88"/>
      <c r="R458" s="3">
        <f>IFERROR(VLOOKUP(TablaJunio[[#This Row],[BARRIO]],SECTOR!$A:$B,2,0),"")</f>
      </c>
      <c r="S458" s="89"/>
      <c r="T458" s="90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6"/>
      <c r="AZ458" s="120">
        <f>COUNTIF(U458:AY458,"A")</f>
      </c>
      <c r="BA458" s="121">
        <f>COUNTIF(U458:AY458,"F")</f>
      </c>
      <c r="BB458" s="119">
        <f>COUNTIF(U458:AY458,"E")</f>
      </c>
    </row>
    <row r="459" spans="1:54" x14ac:dyDescent="0.2">
      <c r="A459" s="84"/>
      <c r="B459" s="85"/>
      <c r="C459" s="85"/>
      <c r="D459" s="85"/>
      <c r="E459" s="86"/>
      <c r="F459" s="16">
        <f>IF(E459="","",DATEDIF(E459,$I$7,"Y"))</f>
      </c>
      <c r="G459" s="85"/>
      <c r="H459" s="85"/>
      <c r="I459" s="87"/>
      <c r="J459" s="85"/>
      <c r="K459" s="85"/>
      <c r="L459" s="10"/>
      <c r="M459" s="10"/>
      <c r="N459" s="10"/>
      <c r="O459" s="10"/>
      <c r="P459" s="85"/>
      <c r="Q459" s="88"/>
      <c r="R459" s="3">
        <f>IFERROR(VLOOKUP(TablaJunio[[#This Row],[BARRIO]],SECTOR!$A:$B,2,0),"")</f>
      </c>
      <c r="S459" s="89"/>
      <c r="T459" s="90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6"/>
      <c r="AZ459" s="120">
        <f>COUNTIF(U459:AY459,"A")</f>
      </c>
      <c r="BA459" s="121">
        <f>COUNTIF(U459:AY459,"F")</f>
      </c>
      <c r="BB459" s="119">
        <f>COUNTIF(U459:AY459,"E")</f>
      </c>
    </row>
    <row r="460" spans="1:54" x14ac:dyDescent="0.2">
      <c r="A460" s="84"/>
      <c r="B460" s="85"/>
      <c r="C460" s="85"/>
      <c r="D460" s="85"/>
      <c r="E460" s="86"/>
      <c r="F460" s="16">
        <f>IF(E460="","",DATEDIF(E460,$I$7,"Y"))</f>
      </c>
      <c r="G460" s="85"/>
      <c r="H460" s="85"/>
      <c r="I460" s="87"/>
      <c r="J460" s="85"/>
      <c r="K460" s="85"/>
      <c r="L460" s="10"/>
      <c r="M460" s="10"/>
      <c r="N460" s="10"/>
      <c r="O460" s="10"/>
      <c r="P460" s="85"/>
      <c r="Q460" s="88"/>
      <c r="R460" s="3">
        <f>IFERROR(VLOOKUP(TablaJunio[[#This Row],[BARRIO]],SECTOR!$A:$B,2,0),"")</f>
      </c>
      <c r="S460" s="89"/>
      <c r="T460" s="90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6"/>
      <c r="AZ460" s="120">
        <f>COUNTIF(U460:AY460,"A")</f>
      </c>
      <c r="BA460" s="121">
        <f>COUNTIF(U460:AY460,"F")</f>
      </c>
      <c r="BB460" s="119">
        <f>COUNTIF(U460:AY460,"E")</f>
      </c>
    </row>
    <row r="461" spans="1:54" x14ac:dyDescent="0.2">
      <c r="A461" s="84"/>
      <c r="B461" s="85"/>
      <c r="C461" s="85"/>
      <c r="D461" s="85"/>
      <c r="E461" s="86"/>
      <c r="F461" s="16">
        <f>IF(E461="","",DATEDIF(E461,$I$7,"Y"))</f>
      </c>
      <c r="G461" s="85"/>
      <c r="H461" s="85"/>
      <c r="I461" s="87"/>
      <c r="J461" s="85"/>
      <c r="K461" s="85"/>
      <c r="L461" s="10"/>
      <c r="M461" s="10"/>
      <c r="N461" s="10"/>
      <c r="O461" s="10"/>
      <c r="P461" s="85"/>
      <c r="Q461" s="88"/>
      <c r="R461" s="3">
        <f>IFERROR(VLOOKUP(TablaJunio[[#This Row],[BARRIO]],SECTOR!$A:$B,2,0),"")</f>
      </c>
      <c r="S461" s="89"/>
      <c r="T461" s="90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6"/>
      <c r="AZ461" s="120">
        <f>COUNTIF(U461:AY461,"A")</f>
      </c>
      <c r="BA461" s="121">
        <f>COUNTIF(U461:AY461,"F")</f>
      </c>
      <c r="BB461" s="119">
        <f>COUNTIF(U461:AY461,"E")</f>
      </c>
    </row>
    <row r="462" spans="1:54" x14ac:dyDescent="0.2">
      <c r="A462" s="84"/>
      <c r="B462" s="85"/>
      <c r="C462" s="85"/>
      <c r="D462" s="85"/>
      <c r="E462" s="86"/>
      <c r="F462" s="16">
        <f>IF(E462="","",DATEDIF(E462,$I$7,"Y"))</f>
      </c>
      <c r="G462" s="85"/>
      <c r="H462" s="85"/>
      <c r="I462" s="87"/>
      <c r="J462" s="85"/>
      <c r="K462" s="85"/>
      <c r="L462" s="10"/>
      <c r="M462" s="10"/>
      <c r="N462" s="10"/>
      <c r="O462" s="10"/>
      <c r="P462" s="85"/>
      <c r="Q462" s="88"/>
      <c r="R462" s="3">
        <f>IFERROR(VLOOKUP(TablaJunio[[#This Row],[BARRIO]],SECTOR!$A:$B,2,0),"")</f>
      </c>
      <c r="S462" s="89"/>
      <c r="T462" s="90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6"/>
      <c r="AZ462" s="120">
        <f>COUNTIF(U462:AY462,"A")</f>
      </c>
      <c r="BA462" s="121">
        <f>COUNTIF(U462:AY462,"F")</f>
      </c>
      <c r="BB462" s="119">
        <f>COUNTIF(U462:AY462,"E")</f>
      </c>
    </row>
    <row r="463" spans="1:54" x14ac:dyDescent="0.2">
      <c r="A463" s="84"/>
      <c r="B463" s="85"/>
      <c r="C463" s="85"/>
      <c r="D463" s="85"/>
      <c r="E463" s="86"/>
      <c r="F463" s="16">
        <f>IF(E463="","",DATEDIF(E463,$I$7,"Y"))</f>
      </c>
      <c r="G463" s="85"/>
      <c r="H463" s="85"/>
      <c r="I463" s="87"/>
      <c r="J463" s="85"/>
      <c r="K463" s="85"/>
      <c r="L463" s="10"/>
      <c r="M463" s="10"/>
      <c r="N463" s="10"/>
      <c r="O463" s="10"/>
      <c r="P463" s="85"/>
      <c r="Q463" s="88"/>
      <c r="R463" s="3">
        <f>IFERROR(VLOOKUP(TablaJunio[[#This Row],[BARRIO]],SECTOR!$A:$B,2,0),"")</f>
      </c>
      <c r="S463" s="89"/>
      <c r="T463" s="90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6"/>
      <c r="AZ463" s="120">
        <f>COUNTIF(U463:AY463,"A")</f>
      </c>
      <c r="BA463" s="121">
        <f>COUNTIF(U463:AY463,"F")</f>
      </c>
      <c r="BB463" s="119">
        <f>COUNTIF(U463:AY463,"E")</f>
      </c>
    </row>
    <row r="464" spans="1:54" x14ac:dyDescent="0.2">
      <c r="A464" s="84"/>
      <c r="B464" s="85"/>
      <c r="C464" s="85"/>
      <c r="D464" s="85"/>
      <c r="E464" s="86"/>
      <c r="F464" s="16">
        <f>IF(E464="","",DATEDIF(E464,$I$7,"Y"))</f>
      </c>
      <c r="G464" s="85"/>
      <c r="H464" s="85"/>
      <c r="I464" s="87"/>
      <c r="J464" s="85"/>
      <c r="K464" s="85"/>
      <c r="L464" s="10"/>
      <c r="M464" s="10"/>
      <c r="N464" s="10"/>
      <c r="O464" s="10"/>
      <c r="P464" s="85"/>
      <c r="Q464" s="88"/>
      <c r="R464" s="3">
        <f>IFERROR(VLOOKUP(TablaJunio[[#This Row],[BARRIO]],SECTOR!$A:$B,2,0),"")</f>
      </c>
      <c r="S464" s="89"/>
      <c r="T464" s="90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6"/>
      <c r="AZ464" s="120">
        <f>COUNTIF(U464:AY464,"A")</f>
      </c>
      <c r="BA464" s="121">
        <f>COUNTIF(U464:AY464,"F")</f>
      </c>
      <c r="BB464" s="119">
        <f>COUNTIF(U464:AY464,"E")</f>
      </c>
    </row>
    <row r="465" spans="1:54" x14ac:dyDescent="0.2">
      <c r="A465" s="84"/>
      <c r="B465" s="85"/>
      <c r="C465" s="85"/>
      <c r="D465" s="85"/>
      <c r="E465" s="86"/>
      <c r="F465" s="16">
        <f>IF(E465="","",DATEDIF(E465,$I$7,"Y"))</f>
      </c>
      <c r="G465" s="85"/>
      <c r="H465" s="85"/>
      <c r="I465" s="87"/>
      <c r="J465" s="85"/>
      <c r="K465" s="85"/>
      <c r="L465" s="10"/>
      <c r="M465" s="10"/>
      <c r="N465" s="10"/>
      <c r="O465" s="10"/>
      <c r="P465" s="85"/>
      <c r="Q465" s="88"/>
      <c r="R465" s="3">
        <f>IFERROR(VLOOKUP(TablaJunio[[#This Row],[BARRIO]],SECTOR!$A:$B,2,0),"")</f>
      </c>
      <c r="S465" s="89"/>
      <c r="T465" s="90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6"/>
      <c r="AZ465" s="120">
        <f>COUNTIF(U465:AY465,"A")</f>
      </c>
      <c r="BA465" s="121">
        <f>COUNTIF(U465:AY465,"F")</f>
      </c>
      <c r="BB465" s="119">
        <f>COUNTIF(U465:AY465,"E")</f>
      </c>
    </row>
    <row r="466" spans="1:54" x14ac:dyDescent="0.2">
      <c r="A466" s="84"/>
      <c r="B466" s="85"/>
      <c r="C466" s="85"/>
      <c r="D466" s="85"/>
      <c r="E466" s="86"/>
      <c r="F466" s="16">
        <f>IF(E466="","",DATEDIF(E466,$I$7,"Y"))</f>
      </c>
      <c r="G466" s="85"/>
      <c r="H466" s="85"/>
      <c r="I466" s="87"/>
      <c r="J466" s="85"/>
      <c r="K466" s="85"/>
      <c r="L466" s="10"/>
      <c r="M466" s="10"/>
      <c r="N466" s="10"/>
      <c r="O466" s="10"/>
      <c r="P466" s="85"/>
      <c r="Q466" s="88"/>
      <c r="R466" s="3">
        <f>IFERROR(VLOOKUP(TablaJunio[[#This Row],[BARRIO]],SECTOR!$A:$B,2,0),"")</f>
      </c>
      <c r="S466" s="89"/>
      <c r="T466" s="90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6"/>
      <c r="AZ466" s="120">
        <f>COUNTIF(U466:AY466,"A")</f>
      </c>
      <c r="BA466" s="121">
        <f>COUNTIF(U466:AY466,"F")</f>
      </c>
      <c r="BB466" s="119">
        <f>COUNTIF(U466:AY466,"E")</f>
      </c>
    </row>
    <row r="467" spans="1:54" x14ac:dyDescent="0.2">
      <c r="A467" s="84"/>
      <c r="B467" s="85"/>
      <c r="C467" s="85"/>
      <c r="D467" s="85"/>
      <c r="E467" s="86"/>
      <c r="F467" s="16">
        <f>IF(E467="","",DATEDIF(E467,$I$7,"Y"))</f>
      </c>
      <c r="G467" s="85"/>
      <c r="H467" s="85"/>
      <c r="I467" s="87"/>
      <c r="J467" s="85"/>
      <c r="K467" s="85"/>
      <c r="L467" s="10"/>
      <c r="M467" s="10"/>
      <c r="N467" s="10"/>
      <c r="O467" s="10"/>
      <c r="P467" s="85"/>
      <c r="Q467" s="88"/>
      <c r="R467" s="3">
        <f>IFERROR(VLOOKUP(TablaJunio[[#This Row],[BARRIO]],SECTOR!$A:$B,2,0),"")</f>
      </c>
      <c r="S467" s="89"/>
      <c r="T467" s="90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6"/>
      <c r="AZ467" s="120">
        <f>COUNTIF(U467:AY467,"A")</f>
      </c>
      <c r="BA467" s="121">
        <f>COUNTIF(U467:AY467,"F")</f>
      </c>
      <c r="BB467" s="119">
        <f>COUNTIF(U467:AY467,"E")</f>
      </c>
    </row>
    <row r="468" spans="1:54" x14ac:dyDescent="0.2">
      <c r="A468" s="84"/>
      <c r="B468" s="85"/>
      <c r="C468" s="85"/>
      <c r="D468" s="85"/>
      <c r="E468" s="86"/>
      <c r="F468" s="16">
        <f>IF(E468="","",DATEDIF(E468,$I$7,"Y"))</f>
      </c>
      <c r="G468" s="85"/>
      <c r="H468" s="85"/>
      <c r="I468" s="87"/>
      <c r="J468" s="85"/>
      <c r="K468" s="85"/>
      <c r="L468" s="10"/>
      <c r="M468" s="10"/>
      <c r="N468" s="10"/>
      <c r="O468" s="10"/>
      <c r="P468" s="85"/>
      <c r="Q468" s="88"/>
      <c r="R468" s="3">
        <f>IFERROR(VLOOKUP(TablaJunio[[#This Row],[BARRIO]],SECTOR!$A:$B,2,0),"")</f>
      </c>
      <c r="S468" s="89"/>
      <c r="T468" s="90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6"/>
      <c r="AZ468" s="120">
        <f>COUNTIF(U468:AY468,"A")</f>
      </c>
      <c r="BA468" s="121">
        <f>COUNTIF(U468:AY468,"F")</f>
      </c>
      <c r="BB468" s="119">
        <f>COUNTIF(U468:AY468,"E")</f>
      </c>
    </row>
    <row r="469" spans="1:54" x14ac:dyDescent="0.2">
      <c r="A469" s="84"/>
      <c r="B469" s="85"/>
      <c r="C469" s="85"/>
      <c r="D469" s="85"/>
      <c r="E469" s="86"/>
      <c r="F469" s="16">
        <f>IF(E469="","",DATEDIF(E469,$I$7,"Y"))</f>
      </c>
      <c r="G469" s="85"/>
      <c r="H469" s="85"/>
      <c r="I469" s="87"/>
      <c r="J469" s="85"/>
      <c r="K469" s="85"/>
      <c r="L469" s="10"/>
      <c r="M469" s="10"/>
      <c r="N469" s="10"/>
      <c r="O469" s="10"/>
      <c r="P469" s="85"/>
      <c r="Q469" s="88"/>
      <c r="R469" s="3">
        <f>IFERROR(VLOOKUP(TablaJunio[[#This Row],[BARRIO]],SECTOR!$A:$B,2,0),"")</f>
      </c>
      <c r="S469" s="89"/>
      <c r="T469" s="90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6"/>
      <c r="AZ469" s="120">
        <f>COUNTIF(U469:AY469,"A")</f>
      </c>
      <c r="BA469" s="121">
        <f>COUNTIF(U469:AY469,"F")</f>
      </c>
      <c r="BB469" s="119">
        <f>COUNTIF(U469:AY469,"E")</f>
      </c>
    </row>
    <row r="470" spans="1:54" x14ac:dyDescent="0.2">
      <c r="A470" s="84"/>
      <c r="B470" s="85"/>
      <c r="C470" s="85"/>
      <c r="D470" s="85"/>
      <c r="E470" s="86"/>
      <c r="F470" s="16">
        <f>IF(E470="","",DATEDIF(E470,$I$7,"Y"))</f>
      </c>
      <c r="G470" s="85"/>
      <c r="H470" s="85"/>
      <c r="I470" s="87"/>
      <c r="J470" s="85"/>
      <c r="K470" s="85"/>
      <c r="L470" s="10"/>
      <c r="M470" s="10"/>
      <c r="N470" s="10"/>
      <c r="O470" s="10"/>
      <c r="P470" s="85"/>
      <c r="Q470" s="88"/>
      <c r="R470" s="3">
        <f>IFERROR(VLOOKUP(TablaJunio[[#This Row],[BARRIO]],SECTOR!$A:$B,2,0),"")</f>
      </c>
      <c r="S470" s="89"/>
      <c r="T470" s="90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6"/>
      <c r="AZ470" s="120">
        <f>COUNTIF(U470:AY470,"A")</f>
      </c>
      <c r="BA470" s="121">
        <f>COUNTIF(U470:AY470,"F")</f>
      </c>
      <c r="BB470" s="119">
        <f>COUNTIF(U470:AY470,"E")</f>
      </c>
    </row>
    <row r="471" spans="1:54" x14ac:dyDescent="0.2">
      <c r="A471" s="84"/>
      <c r="B471" s="85"/>
      <c r="C471" s="85"/>
      <c r="D471" s="85"/>
      <c r="E471" s="86"/>
      <c r="F471" s="16">
        <f>IF(E471="","",DATEDIF(E471,$I$7,"Y"))</f>
      </c>
      <c r="G471" s="85"/>
      <c r="H471" s="85"/>
      <c r="I471" s="87"/>
      <c r="J471" s="85"/>
      <c r="K471" s="85"/>
      <c r="L471" s="10"/>
      <c r="M471" s="10"/>
      <c r="N471" s="10"/>
      <c r="O471" s="10"/>
      <c r="P471" s="85"/>
      <c r="Q471" s="88"/>
      <c r="R471" s="3">
        <f>IFERROR(VLOOKUP(TablaJunio[[#This Row],[BARRIO]],SECTOR!$A:$B,2,0),"")</f>
      </c>
      <c r="S471" s="89"/>
      <c r="T471" s="90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6"/>
      <c r="AZ471" s="120">
        <f>COUNTIF(U471:AY471,"A")</f>
      </c>
      <c r="BA471" s="121">
        <f>COUNTIF(U471:AY471,"F")</f>
      </c>
      <c r="BB471" s="119">
        <f>COUNTIF(U471:AY471,"E")</f>
      </c>
    </row>
    <row r="472" spans="1:54" x14ac:dyDescent="0.2">
      <c r="A472" s="84"/>
      <c r="B472" s="85"/>
      <c r="C472" s="85"/>
      <c r="D472" s="85"/>
      <c r="E472" s="86"/>
      <c r="F472" s="16">
        <f>IF(E472="","",DATEDIF(E472,$I$7,"Y"))</f>
      </c>
      <c r="G472" s="85"/>
      <c r="H472" s="85"/>
      <c r="I472" s="87"/>
      <c r="J472" s="85"/>
      <c r="K472" s="85"/>
      <c r="L472" s="10"/>
      <c r="M472" s="10"/>
      <c r="N472" s="10"/>
      <c r="O472" s="10"/>
      <c r="P472" s="85"/>
      <c r="Q472" s="88"/>
      <c r="R472" s="3">
        <f>IFERROR(VLOOKUP(TablaJunio[[#This Row],[BARRIO]],SECTOR!$A:$B,2,0),"")</f>
      </c>
      <c r="S472" s="89"/>
      <c r="T472" s="90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6"/>
      <c r="AZ472" s="120">
        <f>COUNTIF(U472:AY472,"A")</f>
      </c>
      <c r="BA472" s="121">
        <f>COUNTIF(U472:AY472,"F")</f>
      </c>
      <c r="BB472" s="119">
        <f>COUNTIF(U472:AY472,"E")</f>
      </c>
    </row>
    <row r="473" spans="1:54" x14ac:dyDescent="0.2">
      <c r="A473" s="84"/>
      <c r="B473" s="85"/>
      <c r="C473" s="85"/>
      <c r="D473" s="85"/>
      <c r="E473" s="86"/>
      <c r="F473" s="16">
        <f>IF(E473="","",DATEDIF(E473,$I$7,"Y"))</f>
      </c>
      <c r="G473" s="85"/>
      <c r="H473" s="85"/>
      <c r="I473" s="87"/>
      <c r="J473" s="85"/>
      <c r="K473" s="85"/>
      <c r="L473" s="10"/>
      <c r="M473" s="10"/>
      <c r="N473" s="10"/>
      <c r="O473" s="10"/>
      <c r="P473" s="85"/>
      <c r="Q473" s="88"/>
      <c r="R473" s="3">
        <f>IFERROR(VLOOKUP(TablaJunio[[#This Row],[BARRIO]],SECTOR!$A:$B,2,0),"")</f>
      </c>
      <c r="S473" s="89"/>
      <c r="T473" s="90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6"/>
      <c r="AZ473" s="120">
        <f>COUNTIF(U473:AY473,"A")</f>
      </c>
      <c r="BA473" s="121">
        <f>COUNTIF(U473:AY473,"F")</f>
      </c>
      <c r="BB473" s="119">
        <f>COUNTIF(U473:AY473,"E")</f>
      </c>
    </row>
    <row r="474" spans="1:54" x14ac:dyDescent="0.2">
      <c r="A474" s="84"/>
      <c r="B474" s="85"/>
      <c r="C474" s="85"/>
      <c r="D474" s="85"/>
      <c r="E474" s="86"/>
      <c r="F474" s="16">
        <f>IF(E474="","",DATEDIF(E474,$I$7,"Y"))</f>
      </c>
      <c r="G474" s="85"/>
      <c r="H474" s="85"/>
      <c r="I474" s="87"/>
      <c r="J474" s="85"/>
      <c r="K474" s="85"/>
      <c r="L474" s="10"/>
      <c r="M474" s="10"/>
      <c r="N474" s="10"/>
      <c r="O474" s="10"/>
      <c r="P474" s="85"/>
      <c r="Q474" s="88"/>
      <c r="R474" s="3">
        <f>IFERROR(VLOOKUP(TablaJunio[[#This Row],[BARRIO]],SECTOR!$A:$B,2,0),"")</f>
      </c>
      <c r="S474" s="89"/>
      <c r="T474" s="90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6"/>
      <c r="AZ474" s="120">
        <f>COUNTIF(U474:AY474,"A")</f>
      </c>
      <c r="BA474" s="121">
        <f>COUNTIF(U474:AY474,"F")</f>
      </c>
      <c r="BB474" s="119">
        <f>COUNTIF(U474:AY474,"E")</f>
      </c>
    </row>
    <row r="475" spans="1:54" x14ac:dyDescent="0.2">
      <c r="A475" s="84"/>
      <c r="B475" s="85"/>
      <c r="C475" s="85"/>
      <c r="D475" s="85"/>
      <c r="E475" s="86"/>
      <c r="F475" s="16">
        <f>IF(E475="","",DATEDIF(E475,$I$7,"Y"))</f>
      </c>
      <c r="G475" s="85"/>
      <c r="H475" s="85"/>
      <c r="I475" s="87"/>
      <c r="J475" s="85"/>
      <c r="K475" s="85"/>
      <c r="L475" s="10"/>
      <c r="M475" s="10"/>
      <c r="N475" s="10"/>
      <c r="O475" s="10"/>
      <c r="P475" s="85"/>
      <c r="Q475" s="88"/>
      <c r="R475" s="3">
        <f>IFERROR(VLOOKUP(TablaJunio[[#This Row],[BARRIO]],SECTOR!$A:$B,2,0),"")</f>
      </c>
      <c r="S475" s="89"/>
      <c r="T475" s="90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6"/>
      <c r="AZ475" s="120">
        <f>COUNTIF(U475:AY475,"A")</f>
      </c>
      <c r="BA475" s="121">
        <f>COUNTIF(U475:AY475,"F")</f>
      </c>
      <c r="BB475" s="119">
        <f>COUNTIF(U475:AY475,"E")</f>
      </c>
    </row>
    <row r="476" spans="1:54" x14ac:dyDescent="0.2">
      <c r="A476" s="84"/>
      <c r="B476" s="85"/>
      <c r="C476" s="85"/>
      <c r="D476" s="85"/>
      <c r="E476" s="86"/>
      <c r="F476" s="16">
        <f>IF(E476="","",DATEDIF(E476,$I$7,"Y"))</f>
      </c>
      <c r="G476" s="85"/>
      <c r="H476" s="85"/>
      <c r="I476" s="87"/>
      <c r="J476" s="85"/>
      <c r="K476" s="85"/>
      <c r="L476" s="10"/>
      <c r="M476" s="10"/>
      <c r="N476" s="10"/>
      <c r="O476" s="10"/>
      <c r="P476" s="85"/>
      <c r="Q476" s="88"/>
      <c r="R476" s="3">
        <f>IFERROR(VLOOKUP(TablaJunio[[#This Row],[BARRIO]],SECTOR!$A:$B,2,0),"")</f>
      </c>
      <c r="S476" s="89"/>
      <c r="T476" s="90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6"/>
      <c r="AZ476" s="120">
        <f>COUNTIF(U476:AY476,"A")</f>
      </c>
      <c r="BA476" s="121">
        <f>COUNTIF(U476:AY476,"F")</f>
      </c>
      <c r="BB476" s="119">
        <f>COUNTIF(U476:AY476,"E")</f>
      </c>
    </row>
    <row r="477" spans="1:54" x14ac:dyDescent="0.2">
      <c r="A477" s="84"/>
      <c r="B477" s="85"/>
      <c r="C477" s="85"/>
      <c r="D477" s="85"/>
      <c r="E477" s="86"/>
      <c r="F477" s="16">
        <f>IF(E477="","",DATEDIF(E477,$I$7,"Y"))</f>
      </c>
      <c r="G477" s="85"/>
      <c r="H477" s="85"/>
      <c r="I477" s="87"/>
      <c r="J477" s="85"/>
      <c r="K477" s="85"/>
      <c r="L477" s="10"/>
      <c r="M477" s="10"/>
      <c r="N477" s="10"/>
      <c r="O477" s="10"/>
      <c r="P477" s="85"/>
      <c r="Q477" s="88"/>
      <c r="R477" s="3">
        <f>IFERROR(VLOOKUP(TablaJunio[[#This Row],[BARRIO]],SECTOR!$A:$B,2,0),"")</f>
      </c>
      <c r="S477" s="89"/>
      <c r="T477" s="90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6"/>
      <c r="AZ477" s="120">
        <f>COUNTIF(U477:AY477,"A")</f>
      </c>
      <c r="BA477" s="121">
        <f>COUNTIF(U477:AY477,"F")</f>
      </c>
      <c r="BB477" s="119">
        <f>COUNTIF(U477:AY477,"E")</f>
      </c>
    </row>
    <row r="478" spans="1:54" x14ac:dyDescent="0.2">
      <c r="A478" s="84"/>
      <c r="B478" s="85"/>
      <c r="C478" s="85"/>
      <c r="D478" s="85"/>
      <c r="E478" s="86"/>
      <c r="F478" s="16">
        <f>IF(E478="","",DATEDIF(E478,$I$7,"Y"))</f>
      </c>
      <c r="G478" s="85"/>
      <c r="H478" s="85"/>
      <c r="I478" s="87"/>
      <c r="J478" s="85"/>
      <c r="K478" s="85"/>
      <c r="L478" s="10"/>
      <c r="M478" s="10"/>
      <c r="N478" s="10"/>
      <c r="O478" s="10"/>
      <c r="P478" s="85"/>
      <c r="Q478" s="88"/>
      <c r="R478" s="3">
        <f>IFERROR(VLOOKUP(TablaJunio[[#This Row],[BARRIO]],SECTOR!$A:$B,2,0),"")</f>
      </c>
      <c r="S478" s="89"/>
      <c r="T478" s="90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6"/>
      <c r="AZ478" s="120">
        <f>COUNTIF(U478:AY478,"A")</f>
      </c>
      <c r="BA478" s="121">
        <f>COUNTIF(U478:AY478,"F")</f>
      </c>
      <c r="BB478" s="119">
        <f>COUNTIF(U478:AY478,"E")</f>
      </c>
    </row>
    <row r="479" spans="1:54" x14ac:dyDescent="0.2">
      <c r="A479" s="84"/>
      <c r="B479" s="85"/>
      <c r="C479" s="85"/>
      <c r="D479" s="85"/>
      <c r="E479" s="86"/>
      <c r="F479" s="16">
        <f>IF(E479="","",DATEDIF(E479,$I$7,"Y"))</f>
      </c>
      <c r="G479" s="85"/>
      <c r="H479" s="85"/>
      <c r="I479" s="87"/>
      <c r="J479" s="85"/>
      <c r="K479" s="85"/>
      <c r="L479" s="10"/>
      <c r="M479" s="10"/>
      <c r="N479" s="10"/>
      <c r="O479" s="10"/>
      <c r="P479" s="85"/>
      <c r="Q479" s="88"/>
      <c r="R479" s="3">
        <f>IFERROR(VLOOKUP(TablaJunio[[#This Row],[BARRIO]],SECTOR!$A:$B,2,0),"")</f>
      </c>
      <c r="S479" s="89"/>
      <c r="T479" s="90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6"/>
      <c r="AZ479" s="120">
        <f>COUNTIF(U479:AY479,"A")</f>
      </c>
      <c r="BA479" s="121">
        <f>COUNTIF(U479:AY479,"F")</f>
      </c>
      <c r="BB479" s="119">
        <f>COUNTIF(U479:AY479,"E")</f>
      </c>
    </row>
    <row r="480" spans="1:54" x14ac:dyDescent="0.2">
      <c r="A480" s="84"/>
      <c r="B480" s="85"/>
      <c r="C480" s="85"/>
      <c r="D480" s="85"/>
      <c r="E480" s="86"/>
      <c r="F480" s="16">
        <f>IF(E480="","",DATEDIF(E480,$I$7,"Y"))</f>
      </c>
      <c r="G480" s="85"/>
      <c r="H480" s="85"/>
      <c r="I480" s="87"/>
      <c r="J480" s="85"/>
      <c r="K480" s="85"/>
      <c r="L480" s="10"/>
      <c r="M480" s="10"/>
      <c r="N480" s="10"/>
      <c r="O480" s="10"/>
      <c r="P480" s="85"/>
      <c r="Q480" s="88"/>
      <c r="R480" s="3">
        <f>IFERROR(VLOOKUP(TablaJunio[[#This Row],[BARRIO]],SECTOR!$A:$B,2,0),"")</f>
      </c>
      <c r="S480" s="89"/>
      <c r="T480" s="90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6"/>
      <c r="AZ480" s="120">
        <f>COUNTIF(U480:AY480,"A")</f>
      </c>
      <c r="BA480" s="121">
        <f>COUNTIF(U480:AY480,"F")</f>
      </c>
      <c r="BB480" s="119">
        <f>COUNTIF(U480:AY480,"E")</f>
      </c>
    </row>
    <row r="481" spans="1:54" x14ac:dyDescent="0.2">
      <c r="A481" s="84"/>
      <c r="B481" s="85"/>
      <c r="C481" s="85"/>
      <c r="D481" s="85"/>
      <c r="E481" s="86"/>
      <c r="F481" s="16">
        <f>IF(E481="","",DATEDIF(E481,$I$7,"Y"))</f>
      </c>
      <c r="G481" s="85"/>
      <c r="H481" s="85"/>
      <c r="I481" s="87"/>
      <c r="J481" s="85"/>
      <c r="K481" s="85"/>
      <c r="L481" s="10"/>
      <c r="M481" s="10"/>
      <c r="N481" s="10"/>
      <c r="O481" s="10"/>
      <c r="P481" s="85"/>
      <c r="Q481" s="88"/>
      <c r="R481" s="3">
        <f>IFERROR(VLOOKUP(TablaJunio[[#This Row],[BARRIO]],SECTOR!$A:$B,2,0),"")</f>
      </c>
      <c r="S481" s="89"/>
      <c r="T481" s="90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6"/>
      <c r="AZ481" s="120">
        <f>COUNTIF(U481:AY481,"A")</f>
      </c>
      <c r="BA481" s="121">
        <f>COUNTIF(U481:AY481,"F")</f>
      </c>
      <c r="BB481" s="119">
        <f>COUNTIF(U481:AY481,"E")</f>
      </c>
    </row>
    <row r="482" spans="1:54" x14ac:dyDescent="0.2">
      <c r="A482" s="84"/>
      <c r="B482" s="85"/>
      <c r="C482" s="85"/>
      <c r="D482" s="85"/>
      <c r="E482" s="86"/>
      <c r="F482" s="16">
        <f>IF(E482="","",DATEDIF(E482,$I$7,"Y"))</f>
      </c>
      <c r="G482" s="85"/>
      <c r="H482" s="85"/>
      <c r="I482" s="87"/>
      <c r="J482" s="85"/>
      <c r="K482" s="85"/>
      <c r="L482" s="10"/>
      <c r="M482" s="10"/>
      <c r="N482" s="10"/>
      <c r="O482" s="10"/>
      <c r="P482" s="85"/>
      <c r="Q482" s="88"/>
      <c r="R482" s="3">
        <f>IFERROR(VLOOKUP(TablaJunio[[#This Row],[BARRIO]],SECTOR!$A:$B,2,0),"")</f>
      </c>
      <c r="S482" s="89"/>
      <c r="T482" s="90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6"/>
      <c r="AZ482" s="120">
        <f>COUNTIF(U482:AY482,"A")</f>
      </c>
      <c r="BA482" s="121">
        <f>COUNTIF(U482:AY482,"F")</f>
      </c>
      <c r="BB482" s="119">
        <f>COUNTIF(U482:AY482,"E")</f>
      </c>
    </row>
    <row r="483" spans="1:54" x14ac:dyDescent="0.2">
      <c r="A483" s="84"/>
      <c r="B483" s="85"/>
      <c r="C483" s="85"/>
      <c r="D483" s="85"/>
      <c r="E483" s="86"/>
      <c r="F483" s="16">
        <f>IF(E483="","",DATEDIF(E483,$I$7,"Y"))</f>
      </c>
      <c r="G483" s="85"/>
      <c r="H483" s="85"/>
      <c r="I483" s="87"/>
      <c r="J483" s="85"/>
      <c r="K483" s="85"/>
      <c r="L483" s="10"/>
      <c r="M483" s="10"/>
      <c r="N483" s="10"/>
      <c r="O483" s="10"/>
      <c r="P483" s="85"/>
      <c r="Q483" s="88"/>
      <c r="R483" s="3">
        <f>IFERROR(VLOOKUP(TablaJunio[[#This Row],[BARRIO]],SECTOR!$A:$B,2,0),"")</f>
      </c>
      <c r="S483" s="89"/>
      <c r="T483" s="90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6"/>
      <c r="AZ483" s="120">
        <f>COUNTIF(U483:AY483,"A")</f>
      </c>
      <c r="BA483" s="121">
        <f>COUNTIF(U483:AY483,"F")</f>
      </c>
      <c r="BB483" s="119">
        <f>COUNTIF(U483:AY483,"E")</f>
      </c>
    </row>
    <row r="484" spans="1:54" x14ac:dyDescent="0.2">
      <c r="A484" s="84"/>
      <c r="B484" s="85"/>
      <c r="C484" s="85"/>
      <c r="D484" s="85"/>
      <c r="E484" s="86"/>
      <c r="F484" s="16">
        <f>IF(E484="","",DATEDIF(E484,$I$7,"Y"))</f>
      </c>
      <c r="G484" s="85"/>
      <c r="H484" s="85"/>
      <c r="I484" s="87"/>
      <c r="J484" s="85"/>
      <c r="K484" s="85"/>
      <c r="L484" s="10"/>
      <c r="M484" s="10"/>
      <c r="N484" s="10"/>
      <c r="O484" s="10"/>
      <c r="P484" s="85"/>
      <c r="Q484" s="88"/>
      <c r="R484" s="3">
        <f>IFERROR(VLOOKUP(TablaJunio[[#This Row],[BARRIO]],SECTOR!$A:$B,2,0),"")</f>
      </c>
      <c r="S484" s="89"/>
      <c r="T484" s="90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6"/>
      <c r="AZ484" s="120">
        <f>COUNTIF(U484:AY484,"A")</f>
      </c>
      <c r="BA484" s="121">
        <f>COUNTIF(U484:AY484,"F")</f>
      </c>
      <c r="BB484" s="119">
        <f>COUNTIF(U484:AY484,"E")</f>
      </c>
    </row>
    <row r="485" spans="1:54" x14ac:dyDescent="0.2">
      <c r="A485" s="84"/>
      <c r="B485" s="85"/>
      <c r="C485" s="85"/>
      <c r="D485" s="85"/>
      <c r="E485" s="86"/>
      <c r="F485" s="16">
        <f>IF(E485="","",DATEDIF(E485,$I$7,"Y"))</f>
      </c>
      <c r="G485" s="85"/>
      <c r="H485" s="85"/>
      <c r="I485" s="87"/>
      <c r="J485" s="85"/>
      <c r="K485" s="85"/>
      <c r="L485" s="10"/>
      <c r="M485" s="10"/>
      <c r="N485" s="10"/>
      <c r="O485" s="10"/>
      <c r="P485" s="85"/>
      <c r="Q485" s="88"/>
      <c r="R485" s="3">
        <f>IFERROR(VLOOKUP(TablaJunio[[#This Row],[BARRIO]],SECTOR!$A:$B,2,0),"")</f>
      </c>
      <c r="S485" s="89"/>
      <c r="T485" s="90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6"/>
      <c r="AZ485" s="120">
        <f>COUNTIF(U485:AY485,"A")</f>
      </c>
      <c r="BA485" s="121">
        <f>COUNTIF(U485:AY485,"F")</f>
      </c>
      <c r="BB485" s="119">
        <f>COUNTIF(U485:AY485,"E")</f>
      </c>
    </row>
    <row r="486" spans="1:54" x14ac:dyDescent="0.2">
      <c r="A486" s="84"/>
      <c r="B486" s="85"/>
      <c r="C486" s="85"/>
      <c r="D486" s="85"/>
      <c r="E486" s="86"/>
      <c r="F486" s="16">
        <f>IF(E486="","",DATEDIF(E486,$I$7,"Y"))</f>
      </c>
      <c r="G486" s="85"/>
      <c r="H486" s="85"/>
      <c r="I486" s="87"/>
      <c r="J486" s="85"/>
      <c r="K486" s="85"/>
      <c r="L486" s="10"/>
      <c r="M486" s="10"/>
      <c r="N486" s="10"/>
      <c r="O486" s="10"/>
      <c r="P486" s="85"/>
      <c r="Q486" s="88"/>
      <c r="R486" s="3">
        <f>IFERROR(VLOOKUP(TablaJunio[[#This Row],[BARRIO]],SECTOR!$A:$B,2,0),"")</f>
      </c>
      <c r="S486" s="89"/>
      <c r="T486" s="90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6"/>
      <c r="AZ486" s="120">
        <f>COUNTIF(U486:AY486,"A")</f>
      </c>
      <c r="BA486" s="121">
        <f>COUNTIF(U486:AY486,"F")</f>
      </c>
      <c r="BB486" s="119">
        <f>COUNTIF(U486:AY486,"E")</f>
      </c>
    </row>
    <row r="487" spans="1:54" x14ac:dyDescent="0.2">
      <c r="A487" s="84"/>
      <c r="B487" s="85"/>
      <c r="C487" s="85"/>
      <c r="D487" s="85"/>
      <c r="E487" s="86"/>
      <c r="F487" s="16">
        <f>IF(E487="","",DATEDIF(E487,$I$7,"Y"))</f>
      </c>
      <c r="G487" s="85"/>
      <c r="H487" s="85"/>
      <c r="I487" s="87"/>
      <c r="J487" s="85"/>
      <c r="K487" s="85"/>
      <c r="L487" s="10"/>
      <c r="M487" s="10"/>
      <c r="N487" s="10"/>
      <c r="O487" s="10"/>
      <c r="P487" s="85"/>
      <c r="Q487" s="88"/>
      <c r="R487" s="3">
        <f>IFERROR(VLOOKUP(TablaJunio[[#This Row],[BARRIO]],SECTOR!$A:$B,2,0),"")</f>
      </c>
      <c r="S487" s="89"/>
      <c r="T487" s="90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6"/>
      <c r="AZ487" s="120">
        <f>COUNTIF(U487:AY487,"A")</f>
      </c>
      <c r="BA487" s="121">
        <f>COUNTIF(U487:AY487,"F")</f>
      </c>
      <c r="BB487" s="119">
        <f>COUNTIF(U487:AY487,"E")</f>
      </c>
    </row>
    <row r="488" spans="1:54" x14ac:dyDescent="0.2">
      <c r="A488" s="84"/>
      <c r="B488" s="85"/>
      <c r="C488" s="85"/>
      <c r="D488" s="85"/>
      <c r="E488" s="86"/>
      <c r="F488" s="16">
        <f>IF(E488="","",DATEDIF(E488,$I$7,"Y"))</f>
      </c>
      <c r="G488" s="85"/>
      <c r="H488" s="85"/>
      <c r="I488" s="87"/>
      <c r="J488" s="85"/>
      <c r="K488" s="85"/>
      <c r="L488" s="10"/>
      <c r="M488" s="10"/>
      <c r="N488" s="10"/>
      <c r="O488" s="10"/>
      <c r="P488" s="85"/>
      <c r="Q488" s="88"/>
      <c r="R488" s="3">
        <f>IFERROR(VLOOKUP(TablaJunio[[#This Row],[BARRIO]],SECTOR!$A:$B,2,0),"")</f>
      </c>
      <c r="S488" s="89"/>
      <c r="T488" s="90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6"/>
      <c r="AZ488" s="120">
        <f>COUNTIF(U488:AY488,"A")</f>
      </c>
      <c r="BA488" s="121">
        <f>COUNTIF(U488:AY488,"F")</f>
      </c>
      <c r="BB488" s="119">
        <f>COUNTIF(U488:AY488,"E")</f>
      </c>
    </row>
    <row r="489" spans="1:54" x14ac:dyDescent="0.2">
      <c r="A489" s="84"/>
      <c r="B489" s="85"/>
      <c r="C489" s="85"/>
      <c r="D489" s="85"/>
      <c r="E489" s="86"/>
      <c r="F489" s="16">
        <f>IF(E489="","",DATEDIF(E489,$I$7,"Y"))</f>
      </c>
      <c r="G489" s="85"/>
      <c r="H489" s="85"/>
      <c r="I489" s="87"/>
      <c r="J489" s="85"/>
      <c r="K489" s="85"/>
      <c r="L489" s="10"/>
      <c r="M489" s="10"/>
      <c r="N489" s="10"/>
      <c r="O489" s="10"/>
      <c r="P489" s="85"/>
      <c r="Q489" s="88"/>
      <c r="R489" s="3">
        <f>IFERROR(VLOOKUP(TablaJunio[[#This Row],[BARRIO]],SECTOR!$A:$B,2,0),"")</f>
      </c>
      <c r="S489" s="89"/>
      <c r="T489" s="90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6"/>
      <c r="AZ489" s="120">
        <f>COUNTIF(U489:AY489,"A")</f>
      </c>
      <c r="BA489" s="121">
        <f>COUNTIF(U489:AY489,"F")</f>
      </c>
      <c r="BB489" s="119">
        <f>COUNTIF(U489:AY489,"E")</f>
      </c>
    </row>
    <row r="490" spans="1:54" x14ac:dyDescent="0.2">
      <c r="A490" s="84"/>
      <c r="B490" s="85"/>
      <c r="C490" s="85"/>
      <c r="D490" s="85"/>
      <c r="E490" s="86"/>
      <c r="F490" s="16">
        <f>IF(E490="","",DATEDIF(E490,$I$7,"Y"))</f>
      </c>
      <c r="G490" s="85"/>
      <c r="H490" s="85"/>
      <c r="I490" s="87"/>
      <c r="J490" s="85"/>
      <c r="K490" s="85"/>
      <c r="L490" s="10"/>
      <c r="M490" s="10"/>
      <c r="N490" s="10"/>
      <c r="O490" s="10"/>
      <c r="P490" s="85"/>
      <c r="Q490" s="88"/>
      <c r="R490" s="3">
        <f>IFERROR(VLOOKUP(TablaJunio[[#This Row],[BARRIO]],SECTOR!$A:$B,2,0),"")</f>
      </c>
      <c r="S490" s="89"/>
      <c r="T490" s="90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6"/>
      <c r="AZ490" s="120">
        <f>COUNTIF(U490:AY490,"A")</f>
      </c>
      <c r="BA490" s="121">
        <f>COUNTIF(U490:AY490,"F")</f>
      </c>
      <c r="BB490" s="119">
        <f>COUNTIF(U490:AY490,"E")</f>
      </c>
    </row>
    <row r="491" spans="1:54" x14ac:dyDescent="0.2">
      <c r="A491" s="84"/>
      <c r="B491" s="85"/>
      <c r="C491" s="85"/>
      <c r="D491" s="85"/>
      <c r="E491" s="86"/>
      <c r="F491" s="16">
        <f>IF(E491="","",DATEDIF(E491,$I$7,"Y"))</f>
      </c>
      <c r="G491" s="85"/>
      <c r="H491" s="85"/>
      <c r="I491" s="87"/>
      <c r="J491" s="85"/>
      <c r="K491" s="85"/>
      <c r="L491" s="10"/>
      <c r="M491" s="10"/>
      <c r="N491" s="10"/>
      <c r="O491" s="10"/>
      <c r="P491" s="85"/>
      <c r="Q491" s="88"/>
      <c r="R491" s="3">
        <f>IFERROR(VLOOKUP(TablaJunio[[#This Row],[BARRIO]],SECTOR!$A:$B,2,0),"")</f>
      </c>
      <c r="S491" s="89"/>
      <c r="T491" s="90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6"/>
      <c r="AZ491" s="120">
        <f>COUNTIF(U491:AY491,"A")</f>
      </c>
      <c r="BA491" s="121">
        <f>COUNTIF(U491:AY491,"F")</f>
      </c>
      <c r="BB491" s="119">
        <f>COUNTIF(U491:AY491,"E")</f>
      </c>
    </row>
    <row r="492" spans="1:54" x14ac:dyDescent="0.2">
      <c r="A492" s="84"/>
      <c r="B492" s="85"/>
      <c r="C492" s="85"/>
      <c r="D492" s="85"/>
      <c r="E492" s="86"/>
      <c r="F492" s="16">
        <f>IF(E492="","",DATEDIF(E492,$I$7,"Y"))</f>
      </c>
      <c r="G492" s="85"/>
      <c r="H492" s="85"/>
      <c r="I492" s="87"/>
      <c r="J492" s="85"/>
      <c r="K492" s="85"/>
      <c r="L492" s="10"/>
      <c r="M492" s="10"/>
      <c r="N492" s="10"/>
      <c r="O492" s="10"/>
      <c r="P492" s="85"/>
      <c r="Q492" s="88"/>
      <c r="R492" s="3">
        <f>IFERROR(VLOOKUP(TablaJunio[[#This Row],[BARRIO]],SECTOR!$A:$B,2,0),"")</f>
      </c>
      <c r="S492" s="89"/>
      <c r="T492" s="90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6"/>
      <c r="AZ492" s="120">
        <f>COUNTIF(U492:AY492,"A")</f>
      </c>
      <c r="BA492" s="121">
        <f>COUNTIF(U492:AY492,"F")</f>
      </c>
      <c r="BB492" s="119">
        <f>COUNTIF(U492:AY492,"E")</f>
      </c>
    </row>
    <row r="493" spans="1:54" x14ac:dyDescent="0.2">
      <c r="A493" s="84"/>
      <c r="B493" s="85"/>
      <c r="C493" s="85"/>
      <c r="D493" s="85"/>
      <c r="E493" s="86"/>
      <c r="F493" s="16">
        <f>IF(E493="","",DATEDIF(E493,$I$7,"Y"))</f>
      </c>
      <c r="G493" s="85"/>
      <c r="H493" s="85"/>
      <c r="I493" s="87"/>
      <c r="J493" s="85"/>
      <c r="K493" s="85"/>
      <c r="L493" s="10"/>
      <c r="M493" s="10"/>
      <c r="N493" s="10"/>
      <c r="O493" s="10"/>
      <c r="P493" s="85"/>
      <c r="Q493" s="88"/>
      <c r="R493" s="3">
        <f>IFERROR(VLOOKUP(TablaJunio[[#This Row],[BARRIO]],SECTOR!$A:$B,2,0),"")</f>
      </c>
      <c r="S493" s="89"/>
      <c r="T493" s="90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6"/>
      <c r="AZ493" s="120">
        <f>COUNTIF(U493:AY493,"A")</f>
      </c>
      <c r="BA493" s="121">
        <f>COUNTIF(U493:AY493,"F")</f>
      </c>
      <c r="BB493" s="119">
        <f>COUNTIF(U493:AY493,"E")</f>
      </c>
    </row>
    <row r="494" spans="1:54" x14ac:dyDescent="0.2">
      <c r="A494" s="84"/>
      <c r="B494" s="85"/>
      <c r="C494" s="85"/>
      <c r="D494" s="85"/>
      <c r="E494" s="86"/>
      <c r="F494" s="16">
        <f>IF(E494="","",DATEDIF(E494,$I$7,"Y"))</f>
      </c>
      <c r="G494" s="85"/>
      <c r="H494" s="85"/>
      <c r="I494" s="87"/>
      <c r="J494" s="85"/>
      <c r="K494" s="85"/>
      <c r="L494" s="10"/>
      <c r="M494" s="10"/>
      <c r="N494" s="10"/>
      <c r="O494" s="10"/>
      <c r="P494" s="85"/>
      <c r="Q494" s="88"/>
      <c r="R494" s="3">
        <f>IFERROR(VLOOKUP(TablaJunio[[#This Row],[BARRIO]],SECTOR!$A:$B,2,0),"")</f>
      </c>
      <c r="S494" s="89"/>
      <c r="T494" s="90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6"/>
      <c r="AZ494" s="120">
        <f>COUNTIF(U494:AY494,"A")</f>
      </c>
      <c r="BA494" s="121">
        <f>COUNTIF(U494:AY494,"F")</f>
      </c>
      <c r="BB494" s="119">
        <f>COUNTIF(U494:AY494,"E")</f>
      </c>
    </row>
    <row r="495" spans="1:54" x14ac:dyDescent="0.2">
      <c r="A495" s="84"/>
      <c r="B495" s="85"/>
      <c r="C495" s="85"/>
      <c r="D495" s="85"/>
      <c r="E495" s="86"/>
      <c r="F495" s="16">
        <f>IF(E495="","",DATEDIF(E495,$I$7,"Y"))</f>
      </c>
      <c r="G495" s="85"/>
      <c r="H495" s="85"/>
      <c r="I495" s="87"/>
      <c r="J495" s="85"/>
      <c r="K495" s="85"/>
      <c r="L495" s="10"/>
      <c r="M495" s="10"/>
      <c r="N495" s="10"/>
      <c r="O495" s="10"/>
      <c r="P495" s="85"/>
      <c r="Q495" s="88"/>
      <c r="R495" s="3">
        <f>IFERROR(VLOOKUP(TablaJunio[[#This Row],[BARRIO]],SECTOR!$A:$B,2,0),"")</f>
      </c>
      <c r="S495" s="89"/>
      <c r="T495" s="90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6"/>
      <c r="AZ495" s="120">
        <f>COUNTIF(U495:AY495,"A")</f>
      </c>
      <c r="BA495" s="121">
        <f>COUNTIF(U495:AY495,"F")</f>
      </c>
      <c r="BB495" s="119">
        <f>COUNTIF(U495:AY495,"E")</f>
      </c>
    </row>
    <row r="496" spans="1:54" x14ac:dyDescent="0.2">
      <c r="A496" s="84"/>
      <c r="B496" s="85"/>
      <c r="C496" s="85"/>
      <c r="D496" s="85"/>
      <c r="E496" s="86"/>
      <c r="F496" s="16">
        <f>IF(E496="","",DATEDIF(E496,$I$7,"Y"))</f>
      </c>
      <c r="G496" s="85"/>
      <c r="H496" s="85"/>
      <c r="I496" s="87"/>
      <c r="J496" s="85"/>
      <c r="K496" s="85"/>
      <c r="L496" s="10"/>
      <c r="M496" s="10"/>
      <c r="N496" s="10"/>
      <c r="O496" s="10"/>
      <c r="P496" s="85"/>
      <c r="Q496" s="88"/>
      <c r="R496" s="3">
        <f>IFERROR(VLOOKUP(TablaJunio[[#This Row],[BARRIO]],SECTOR!$A:$B,2,0),"")</f>
      </c>
      <c r="S496" s="89"/>
      <c r="T496" s="90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6"/>
      <c r="AZ496" s="120">
        <f>COUNTIF(U496:AY496,"A")</f>
      </c>
      <c r="BA496" s="121">
        <f>COUNTIF(U496:AY496,"F")</f>
      </c>
      <c r="BB496" s="119">
        <f>COUNTIF(U496:AY496,"E")</f>
      </c>
    </row>
    <row r="497" spans="1:54" x14ac:dyDescent="0.2">
      <c r="A497" s="84"/>
      <c r="B497" s="85"/>
      <c r="C497" s="85"/>
      <c r="D497" s="85"/>
      <c r="E497" s="86"/>
      <c r="F497" s="16">
        <f>IF(E497="","",DATEDIF(E497,$I$7,"Y"))</f>
      </c>
      <c r="G497" s="85"/>
      <c r="H497" s="85"/>
      <c r="I497" s="87"/>
      <c r="J497" s="85"/>
      <c r="K497" s="85"/>
      <c r="L497" s="10"/>
      <c r="M497" s="10"/>
      <c r="N497" s="10"/>
      <c r="O497" s="10"/>
      <c r="P497" s="85"/>
      <c r="Q497" s="88"/>
      <c r="R497" s="3">
        <f>IFERROR(VLOOKUP(TablaJunio[[#This Row],[BARRIO]],SECTOR!$A:$B,2,0),"")</f>
      </c>
      <c r="S497" s="89"/>
      <c r="T497" s="90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6"/>
      <c r="AZ497" s="120">
        <f>COUNTIF(U497:AY497,"A")</f>
      </c>
      <c r="BA497" s="121">
        <f>COUNTIF(U497:AY497,"F")</f>
      </c>
      <c r="BB497" s="119">
        <f>COUNTIF(U497:AY497,"E")</f>
      </c>
    </row>
    <row r="498" spans="1:54" x14ac:dyDescent="0.2">
      <c r="A498" s="84"/>
      <c r="B498" s="85"/>
      <c r="C498" s="85"/>
      <c r="D498" s="85"/>
      <c r="E498" s="86"/>
      <c r="F498" s="16">
        <f>IF(E498="","",DATEDIF(E498,$I$7,"Y"))</f>
      </c>
      <c r="G498" s="85"/>
      <c r="H498" s="85"/>
      <c r="I498" s="87"/>
      <c r="J498" s="85"/>
      <c r="K498" s="85"/>
      <c r="L498" s="10"/>
      <c r="M498" s="10"/>
      <c r="N498" s="10"/>
      <c r="O498" s="10"/>
      <c r="P498" s="85"/>
      <c r="Q498" s="88"/>
      <c r="R498" s="3">
        <f>IFERROR(VLOOKUP(TablaJunio[[#This Row],[BARRIO]],SECTOR!$A:$B,2,0),"")</f>
      </c>
      <c r="S498" s="89"/>
      <c r="T498" s="90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6"/>
      <c r="AZ498" s="120">
        <f>COUNTIF(U498:AY498,"A")</f>
      </c>
      <c r="BA498" s="121">
        <f>COUNTIF(U498:AY498,"F")</f>
      </c>
      <c r="BB498" s="119">
        <f>COUNTIF(U498:AY498,"E")</f>
      </c>
    </row>
    <row r="499" spans="1:54" x14ac:dyDescent="0.2">
      <c r="A499" s="84"/>
      <c r="B499" s="85"/>
      <c r="C499" s="85"/>
      <c r="D499" s="85"/>
      <c r="E499" s="86"/>
      <c r="F499" s="16">
        <f>IF(E499="","",DATEDIF(E499,$I$7,"Y"))</f>
      </c>
      <c r="G499" s="85"/>
      <c r="H499" s="85"/>
      <c r="I499" s="87"/>
      <c r="J499" s="85"/>
      <c r="K499" s="85"/>
      <c r="L499" s="10"/>
      <c r="M499" s="10"/>
      <c r="N499" s="10"/>
      <c r="O499" s="10"/>
      <c r="P499" s="85"/>
      <c r="Q499" s="88"/>
      <c r="R499" s="3">
        <f>IFERROR(VLOOKUP(TablaJunio[[#This Row],[BARRIO]],SECTOR!$A:$B,2,0),"")</f>
      </c>
      <c r="S499" s="89"/>
      <c r="T499" s="90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6"/>
      <c r="AZ499" s="120">
        <f>COUNTIF(U499:AY499,"A")</f>
      </c>
      <c r="BA499" s="121">
        <f>COUNTIF(U499:AY499,"F")</f>
      </c>
      <c r="BB499" s="119">
        <f>COUNTIF(U499:AY499,"E")</f>
      </c>
    </row>
    <row r="500" spans="1:54" x14ac:dyDescent="0.2">
      <c r="A500" s="84"/>
      <c r="B500" s="85"/>
      <c r="C500" s="85"/>
      <c r="D500" s="85"/>
      <c r="E500" s="86"/>
      <c r="F500" s="16">
        <f>IF(E500="","",DATEDIF(E500,$I$7,"Y"))</f>
      </c>
      <c r="G500" s="85"/>
      <c r="H500" s="85"/>
      <c r="I500" s="87"/>
      <c r="J500" s="85"/>
      <c r="K500" s="85"/>
      <c r="L500" s="10"/>
      <c r="M500" s="10"/>
      <c r="N500" s="10"/>
      <c r="O500" s="10"/>
      <c r="P500" s="85"/>
      <c r="Q500" s="88"/>
      <c r="R500" s="3">
        <f>IFERROR(VLOOKUP(TablaJunio[[#This Row],[BARRIO]],SECTOR!$A:$B,2,0),"")</f>
      </c>
      <c r="S500" s="89"/>
      <c r="T500" s="90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6"/>
      <c r="AZ500" s="120">
        <f>COUNTIF(U500:AY500,"A")</f>
      </c>
      <c r="BA500" s="121">
        <f>COUNTIF(U500:AY500,"F")</f>
      </c>
      <c r="BB500" s="119">
        <f>COUNTIF(U500:AY500,"E")</f>
      </c>
    </row>
    <row r="501" spans="1:54" x14ac:dyDescent="0.2">
      <c r="A501" s="84"/>
      <c r="B501" s="85"/>
      <c r="C501" s="85"/>
      <c r="D501" s="85"/>
      <c r="E501" s="86"/>
      <c r="F501" s="16">
        <f>IF(E501="","",DATEDIF(E501,$I$7,"Y"))</f>
      </c>
      <c r="G501" s="85"/>
      <c r="H501" s="85"/>
      <c r="I501" s="87"/>
      <c r="J501" s="85"/>
      <c r="K501" s="85"/>
      <c r="L501" s="10"/>
      <c r="M501" s="10"/>
      <c r="N501" s="10"/>
      <c r="O501" s="10"/>
      <c r="P501" s="85"/>
      <c r="Q501" s="88"/>
      <c r="R501" s="3">
        <f>IFERROR(VLOOKUP(TablaJunio[[#This Row],[BARRIO]],SECTOR!$A:$B,2,0),"")</f>
      </c>
      <c r="S501" s="89"/>
      <c r="T501" s="90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6"/>
      <c r="AZ501" s="120">
        <f>COUNTIF(U501:AY501,"A")</f>
      </c>
      <c r="BA501" s="121">
        <f>COUNTIF(U501:AY501,"F")</f>
      </c>
      <c r="BB501" s="119">
        <f>COUNTIF(U501:AY501,"E")</f>
      </c>
    </row>
    <row r="502" spans="1:54" x14ac:dyDescent="0.2">
      <c r="A502" s="84"/>
      <c r="B502" s="85"/>
      <c r="C502" s="85"/>
      <c r="D502" s="85"/>
      <c r="E502" s="86"/>
      <c r="F502" s="16">
        <f>IF(E502="","",DATEDIF(E502,$I$7,"Y"))</f>
      </c>
      <c r="G502" s="85"/>
      <c r="H502" s="85"/>
      <c r="I502" s="87"/>
      <c r="J502" s="85"/>
      <c r="K502" s="85"/>
      <c r="L502" s="10"/>
      <c r="M502" s="10"/>
      <c r="N502" s="10"/>
      <c r="O502" s="10"/>
      <c r="P502" s="85"/>
      <c r="Q502" s="88"/>
      <c r="R502" s="3">
        <f>IFERROR(VLOOKUP(TablaJunio[[#This Row],[BARRIO]],SECTOR!$A:$B,2,0),"")</f>
      </c>
      <c r="S502" s="89"/>
      <c r="T502" s="90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6"/>
      <c r="AZ502" s="120">
        <f>COUNTIF(U502:AY502,"A")</f>
      </c>
      <c r="BA502" s="121">
        <f>COUNTIF(U502:AY502,"F")</f>
      </c>
      <c r="BB502" s="119">
        <f>COUNTIF(U502:AY502,"E")</f>
      </c>
    </row>
    <row r="503" spans="1:54" x14ac:dyDescent="0.2">
      <c r="A503" s="84"/>
      <c r="B503" s="85"/>
      <c r="C503" s="85"/>
      <c r="D503" s="85"/>
      <c r="E503" s="86"/>
      <c r="F503" s="16">
        <f>IF(E503="","",DATEDIF(E503,$I$7,"Y"))</f>
      </c>
      <c r="G503" s="85"/>
      <c r="H503" s="85"/>
      <c r="I503" s="87"/>
      <c r="J503" s="85"/>
      <c r="K503" s="85"/>
      <c r="L503" s="10"/>
      <c r="M503" s="10"/>
      <c r="N503" s="10"/>
      <c r="O503" s="10"/>
      <c r="P503" s="85"/>
      <c r="Q503" s="88"/>
      <c r="R503" s="3">
        <f>IFERROR(VLOOKUP(TablaJunio[[#This Row],[BARRIO]],SECTOR!$A:$B,2,0),"")</f>
      </c>
      <c r="S503" s="89"/>
      <c r="T503" s="90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6"/>
      <c r="AZ503" s="120">
        <f>COUNTIF(U503:AY503,"A")</f>
      </c>
      <c r="BA503" s="121">
        <f>COUNTIF(U503:AY503,"F")</f>
      </c>
      <c r="BB503" s="119">
        <f>COUNTIF(U503:AY503,"E")</f>
      </c>
    </row>
    <row r="504" spans="1:54" x14ac:dyDescent="0.2">
      <c r="A504" s="100"/>
      <c r="B504" s="101"/>
      <c r="C504" s="101"/>
      <c r="D504" s="101"/>
      <c r="E504" s="102"/>
      <c r="F504" s="31">
        <f>IF(E504="","",DATEDIF(E504,$I$7,"Y"))</f>
      </c>
      <c r="G504" s="101"/>
      <c r="H504" s="101"/>
      <c r="I504" s="103"/>
      <c r="J504" s="101"/>
      <c r="K504" s="101"/>
      <c r="L504" s="10"/>
      <c r="M504" s="10"/>
      <c r="N504" s="10"/>
      <c r="O504" s="10"/>
      <c r="P504" s="101"/>
      <c r="Q504" s="91"/>
      <c r="R504" s="14">
        <f>IFERROR(VLOOKUP(TablaJunio[[#This Row],[BARRIO]],SECTOR!$A:$B,2,0),"")</f>
      </c>
      <c r="S504" s="104"/>
      <c r="T504" s="10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7"/>
      <c r="AZ504" s="120">
        <f>COUNTIF(U504:AY504,"A")</f>
      </c>
      <c r="BA504" s="121">
        <f>COUNTIF(U504:AY504,"F")</f>
      </c>
      <c r="BB504" s="118">
        <f>COUNTIF(U504:AY504,"E")</f>
      </c>
    </row>
  </sheetData>
  <sheetProtection sheet="1" objects="1" scenarios="1" autoFilter="0"/>
  <mergeCells count="137">
    <mergeCell ref="B2:B5"/>
    <mergeCell ref="C2:I2"/>
    <mergeCell ref="C3:G3"/>
    <mergeCell ref="C4:G4"/>
    <mergeCell ref="C5:G5"/>
    <mergeCell ref="B7:C7"/>
    <mergeCell ref="D7:G7"/>
    <mergeCell ref="W7:AE7"/>
    <mergeCell ref="AG7:AH7"/>
    <mergeCell ref="AI7:AM7"/>
    <mergeCell ref="AO7:AQ7"/>
    <mergeCell ref="B8:C8"/>
    <mergeCell ref="D8:G8"/>
    <mergeCell ref="S8:T8"/>
    <mergeCell ref="W8:AA8"/>
    <mergeCell ref="AB8:AC8"/>
    <mergeCell ref="AD8:AH8"/>
    <mergeCell ref="AK8:AR8"/>
    <mergeCell ref="AS8:BB8"/>
    <mergeCell ref="B9:C9"/>
    <mergeCell ref="D9:G9"/>
    <mergeCell ref="W9:Y9"/>
    <mergeCell ref="Z9:AA9"/>
    <mergeCell ref="AD9:AF9"/>
    <mergeCell ref="AG9:AH9"/>
    <mergeCell ref="AK9:AL9"/>
    <mergeCell ref="AM9:AN9"/>
    <mergeCell ref="AO9:AP9"/>
    <mergeCell ref="AQ9:AR9"/>
    <mergeCell ref="AS9:BB9"/>
    <mergeCell ref="B10:C10"/>
    <mergeCell ref="D10:G10"/>
    <mergeCell ref="W10:Y10"/>
    <mergeCell ref="Z10:AA10"/>
    <mergeCell ref="AD10:AF10"/>
    <mergeCell ref="AG10:AH10"/>
    <mergeCell ref="AK10:AL10"/>
    <mergeCell ref="AM10:AN10"/>
    <mergeCell ref="AO10:AP10"/>
    <mergeCell ref="AQ10:AR10"/>
    <mergeCell ref="AS10:BB10"/>
    <mergeCell ref="W11:Y11"/>
    <mergeCell ref="Z11:AA11"/>
    <mergeCell ref="AD11:AF11"/>
    <mergeCell ref="AG11:AH11"/>
    <mergeCell ref="AK11:AL11"/>
    <mergeCell ref="AM11:AN11"/>
    <mergeCell ref="AO11:AP11"/>
    <mergeCell ref="AQ11:AR11"/>
    <mergeCell ref="AS11:BB13"/>
    <mergeCell ref="AQ12:AR12"/>
    <mergeCell ref="AQ13:AR13"/>
    <mergeCell ref="B12:B18"/>
    <mergeCell ref="C12:I12"/>
    <mergeCell ref="W12:Y12"/>
    <mergeCell ref="Z12:AA12"/>
    <mergeCell ref="AD12:AF12"/>
    <mergeCell ref="AG12:AH12"/>
    <mergeCell ref="AK12:AL12"/>
    <mergeCell ref="AM12:AN12"/>
    <mergeCell ref="AO12:AP12"/>
    <mergeCell ref="F13:G13"/>
    <mergeCell ref="O13:Q13"/>
    <mergeCell ref="W13:Y13"/>
    <mergeCell ref="Z13:AA13"/>
    <mergeCell ref="AD13:AF13"/>
    <mergeCell ref="AG13:AH13"/>
    <mergeCell ref="AK13:AL13"/>
    <mergeCell ref="AM13:AN13"/>
    <mergeCell ref="AO13:AP13"/>
    <mergeCell ref="C14:C15"/>
    <mergeCell ref="D14:D15"/>
    <mergeCell ref="F14:G15"/>
    <mergeCell ref="H14:H15"/>
    <mergeCell ref="I14:I15"/>
    <mergeCell ref="K14:K15"/>
    <mergeCell ref="L14:L15"/>
    <mergeCell ref="AX15:BA16"/>
    <mergeCell ref="C16:I16"/>
    <mergeCell ref="K16:K17"/>
    <mergeCell ref="L16:L17"/>
    <mergeCell ref="O16:P16"/>
    <mergeCell ref="W16:Y16"/>
    <mergeCell ref="AM14:AN14"/>
    <mergeCell ref="AO14:AP14"/>
    <mergeCell ref="AQ14:AR14"/>
    <mergeCell ref="AV14:AW14"/>
    <mergeCell ref="O15:P15"/>
    <mergeCell ref="W15:Y15"/>
    <mergeCell ref="Z15:AA15"/>
    <mergeCell ref="AD15:AF15"/>
    <mergeCell ref="AG15:AH15"/>
    <mergeCell ref="AK15:AL15"/>
    <mergeCell ref="O14:P14"/>
    <mergeCell ref="W14:Y14"/>
    <mergeCell ref="Z14:AA14"/>
    <mergeCell ref="AD14:AF14"/>
    <mergeCell ref="AG14:AH14"/>
    <mergeCell ref="AK14:AL14"/>
    <mergeCell ref="Z16:AA16"/>
    <mergeCell ref="AD16:AF16"/>
    <mergeCell ref="AG16:AH16"/>
    <mergeCell ref="AK16:AL16"/>
    <mergeCell ref="AM16:AN16"/>
    <mergeCell ref="AV16:AW16"/>
    <mergeCell ref="AM15:AN15"/>
    <mergeCell ref="AO15:AP15"/>
    <mergeCell ref="AQ15:AR15"/>
    <mergeCell ref="AV15:AW15"/>
    <mergeCell ref="AD17:AF17"/>
    <mergeCell ref="AG17:AH17"/>
    <mergeCell ref="AN17:AP17"/>
    <mergeCell ref="AV17:AW17"/>
    <mergeCell ref="AX17:AZ17"/>
    <mergeCell ref="C18:D18"/>
    <mergeCell ref="E18:G18"/>
    <mergeCell ref="H18:I18"/>
    <mergeCell ref="O18:P18"/>
    <mergeCell ref="W18:Y18"/>
    <mergeCell ref="C17:D17"/>
    <mergeCell ref="E17:G17"/>
    <mergeCell ref="H17:I17"/>
    <mergeCell ref="O17:P17"/>
    <mergeCell ref="W17:Y17"/>
    <mergeCell ref="Z17:AA17"/>
    <mergeCell ref="U21:AY22"/>
    <mergeCell ref="AZ21:BB22"/>
    <mergeCell ref="Z18:AA18"/>
    <mergeCell ref="AN18:AP18"/>
    <mergeCell ref="AV18:AW18"/>
    <mergeCell ref="AX18:AZ18"/>
    <mergeCell ref="K19:L19"/>
    <mergeCell ref="O19:P19"/>
    <mergeCell ref="W19:Y19"/>
    <mergeCell ref="Z19:AA19"/>
    <mergeCell ref="AV19:AW19"/>
    <mergeCell ref="AX19:AZ19"/>
  </mergeCells>
  <dataValidations count="12">
    <dataValidation type="custom" allowBlank="1" showInputMessage="1" showErrorMessage="1" errorTitle="SÓLO MAYÚSCULA" sqref="S24:S504">
      <formula1>EXACT(S24, UPPER(S24))</formula1>
    </dataValidation>
    <dataValidation type="custom" allowBlank="1" showInputMessage="1" showErrorMessage="1" errorTitle="SÓLO MAÚSCULA" sqref="P24:P504">
      <formula1>EXACT(P24, UPPER(P24))</formula1>
    </dataValidation>
    <dataValidation type="custom" allowBlank="1" showInputMessage="1" showErrorMessage="1" errorTitle="ERROR" error="SÓLO MAYÚSCULAS" sqref="B24:D504 J24:J504">
      <formula1>EXACT(B24, UPPER(B24))</formula1>
    </dataValidation>
    <dataValidation type="list" allowBlank="1" showInputMessage="1" showErrorMessage="1" sqref="N24:N504">
      <formula1>"SI, NO"</formula1>
    </dataValidation>
    <dataValidation type="list" allowBlank="1" showInputMessage="1" showErrorMessage="1" sqref="G24:G504">
      <formula1>"R.C, T.I, C.C, C.E, PPT, PEP, NES"</formula1>
    </dataValidation>
    <dataValidation type="list" allowBlank="1" showInputMessage="1" showErrorMessage="1" sqref="I24:I504">
      <formula1>"HOMBRE, MUJER"</formula1>
    </dataValidation>
    <dataValidation type="list" allowBlank="1" showInputMessage="1" showErrorMessage="1" sqref="L24:L504">
      <formula1>"OLFATIVA Y TACTO, MENTAL, MOVILIDAD, MULTIPLE, ORAL, PSICOSOCIAL, VISUAL, VOZ Y HABLA, NO SABE NOMBRARLA, N/A"</formula1>
    </dataValidation>
    <dataValidation type="list" allowBlank="1" showInputMessage="1" showErrorMessage="1" sqref="M24:M504">
      <formula1>"HETEROSEXUAL, LESBIANA, ASEXUAL, BISEXUAL, GAY, INTERSEXUAL, NO BINARIO, PANSEXUAL, QUEER, TRANSEXUAL O TRANSGÉNERO, OTRO"</formula1>
    </dataValidation>
    <dataValidation type="list" allowBlank="1" showInputMessage="1" showErrorMessage="1" sqref="O24:O504">
      <formula1>"AFROCOLOMBIANO, INDÍGENA, MESTIZO, MULATO, NO SABE NO RESPONDE, OTRO, PALENQUERO, RAIZAL, ROM GITANO"</formula1>
    </dataValidation>
    <dataValidation type="list" allowBlank="1" showInputMessage="1" showErrorMessage="1" sqref="O23">
      <formula1>"AFRO, INDIGENA, MESTIZA"</formula1>
    </dataValidation>
    <dataValidation type="list" allowBlank="1" showErrorMessage="1" sqref="AI7">
      <formula1>$BH$11:$BH$23</formula1>
    </dataValidation>
    <dataValidation type="list" allowBlank="1" showInputMessage="1" showErrorMessage="1" sqref="Q24:Q504">
      <formula1>SECTOR!$A$2:$A$83</formula1>
    </dataValidation>
  </dataValidations>
  <pageMargins left="0.7" right="0.7" top="0.75" bottom="0.75" header="0.3" footer="0.3"/>
  <pageSetup orientation="portrait"/>
  <ignoredErrors>
    <ignoredError sqref="O23" listDataValidation="1"/>
  </ignoredErrors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2:BB504"/>
  <sheetViews>
    <sheetView showGridLines="0" zoomScaleNormal="100" workbookViewId="0">
      <selection activeCell="A24" sqref="A24"/>
    </sheetView>
  </sheetViews>
  <sheetFormatPr defaultColWidth="9.14453125" defaultRowHeight="15" x14ac:dyDescent="0.2"/>
  <cols>
    <col min="1" max="1" width="6.1875" style="34" customWidth="1"/>
    <col min="2" max="2" width="21.7890625" style="34" customWidth="1"/>
    <col min="3" max="3" width="21.65625" style="34" customWidth="1"/>
    <col min="4" max="4" width="21.7890625" style="34" customWidth="1"/>
    <col min="5" max="5" width="19.50390625" style="34" customWidth="1"/>
    <col min="6" max="6" width="11.1640625" style="34" customWidth="1"/>
    <col min="7" max="7" width="11.56640625" style="34" customWidth="1"/>
    <col min="8" max="8" width="18.4296875" style="34" customWidth="1"/>
    <col min="9" max="9" width="22.59765625" style="34" customWidth="1"/>
    <col min="10" max="10" width="35.109375" style="34" customWidth="1"/>
    <col min="11" max="11" width="11.43359375" style="34" customWidth="1"/>
    <col min="12" max="12" width="16.8125" style="34" customWidth="1"/>
    <col min="13" max="14" width="10.22265625" style="34" customWidth="1"/>
    <col min="15" max="15" width="23.9453125" style="34" bestFit="1" customWidth="1"/>
    <col min="16" max="16" width="23.40625" style="34" customWidth="1"/>
    <col min="17" max="17" width="18.0234375" style="34" customWidth="1"/>
    <col min="18" max="18" width="16.6796875" style="34" customWidth="1"/>
    <col min="19" max="19" width="18.6953125" style="34" bestFit="1" customWidth="1"/>
    <col min="20" max="20" width="17.62109375" style="34" customWidth="1"/>
    <col min="21" max="35" width="5.91796875" style="34" customWidth="1"/>
    <col min="36" max="36" width="6.05078125" style="34" customWidth="1"/>
    <col min="37" max="54" width="5.91796875" style="34" customWidth="1"/>
    <col min="55" max="55" width="9.14453125" style="34"/>
    <col min="56" max="56" width="13.5859375" style="34" bestFit="1" customWidth="1"/>
    <col min="57" max="59" width="10.76171875" style="34" bestFit="1" customWidth="1"/>
    <col min="60" max="16384" width="9.14453125" style="34"/>
  </cols>
  <sheetData>
    <row r="2" spans="1:54" x14ac:dyDescent="0.2">
      <c r="B2" s="244"/>
      <c r="C2" s="247" t="s">
        <v>0</v>
      </c>
      <c r="D2" s="248"/>
      <c r="E2" s="248"/>
      <c r="F2" s="248"/>
      <c r="G2" s="248"/>
      <c r="H2" s="248"/>
      <c r="I2" s="249"/>
    </row>
    <row r="3" spans="1:54" x14ac:dyDescent="0.2">
      <c r="B3" s="245"/>
      <c r="C3" s="250" t="s">
        <v>1</v>
      </c>
      <c r="D3" s="251"/>
      <c r="E3" s="251"/>
      <c r="F3" s="251"/>
      <c r="G3" s="252"/>
      <c r="H3" s="35" t="s">
        <v>2</v>
      </c>
      <c r="I3" s="35" t="s">
        <v>3</v>
      </c>
    </row>
    <row r="4" spans="1:54" x14ac:dyDescent="0.2">
      <c r="B4" s="245"/>
      <c r="C4" s="250" t="s">
        <v>4</v>
      </c>
      <c r="D4" s="251"/>
      <c r="E4" s="251"/>
      <c r="F4" s="251"/>
      <c r="G4" s="252"/>
      <c r="H4" s="35" t="s">
        <v>5</v>
      </c>
      <c r="I4" s="36" t="s">
        <v>6</v>
      </c>
    </row>
    <row r="5" spans="1:54" ht="60" customHeight="1" x14ac:dyDescent="0.2">
      <c r="B5" s="246"/>
      <c r="C5" s="253" t="s">
        <v>7</v>
      </c>
      <c r="D5" s="254"/>
      <c r="E5" s="254"/>
      <c r="F5" s="254"/>
      <c r="G5" s="255"/>
      <c r="H5" s="35" t="s">
        <v>8</v>
      </c>
      <c r="I5" s="37">
        <v>46073</v>
      </c>
    </row>
    <row r="7" spans="1:54" ht="22.5" customHeight="1" x14ac:dyDescent="0.2">
      <c r="A7" s="13"/>
      <c r="B7" s="256" t="s">
        <v>9</v>
      </c>
      <c r="C7" s="257"/>
      <c r="D7" s="230"/>
      <c r="E7" s="231"/>
      <c r="F7" s="231"/>
      <c r="G7" s="232"/>
      <c r="H7" s="38"/>
      <c r="I7" s="39"/>
      <c r="J7" s="40"/>
      <c r="K7" s="40"/>
      <c r="L7" s="12"/>
      <c r="M7" s="12"/>
      <c r="N7" s="12"/>
      <c r="O7" s="12"/>
      <c r="P7" s="12"/>
      <c r="Q7" s="12"/>
      <c r="R7" s="12"/>
      <c r="S7" s="12"/>
      <c r="T7" s="41"/>
      <c r="U7" s="42"/>
      <c r="V7" s="42"/>
      <c r="W7" s="258"/>
      <c r="X7" s="258"/>
      <c r="Y7" s="258"/>
      <c r="Z7" s="258"/>
      <c r="AA7" s="258"/>
      <c r="AB7" s="258"/>
      <c r="AC7" s="258"/>
      <c r="AD7" s="258"/>
      <c r="AE7" s="258"/>
      <c r="AF7" s="13"/>
      <c r="AG7" s="234"/>
      <c r="AH7" s="152"/>
      <c r="AI7" s="233"/>
      <c r="AJ7" s="152"/>
      <c r="AK7" s="152"/>
      <c r="AL7" s="152"/>
      <c r="AM7" s="152"/>
      <c r="AN7" s="13"/>
      <c r="AO7" s="234"/>
      <c r="AP7" s="152"/>
      <c r="AQ7" s="152"/>
      <c r="AR7" s="44"/>
      <c r="AS7" s="45"/>
      <c r="AT7" s="45"/>
      <c r="AU7" s="45"/>
      <c r="AV7" s="45"/>
      <c r="AW7" s="45"/>
      <c r="AX7" s="45"/>
      <c r="AY7" s="12"/>
      <c r="AZ7" s="13"/>
      <c r="BA7" s="13"/>
      <c r="BB7" s="13"/>
    </row>
    <row r="8" spans="1:54" ht="21.75" customHeight="1" x14ac:dyDescent="0.2">
      <c r="A8" s="13"/>
      <c r="B8" s="235" t="s">
        <v>10</v>
      </c>
      <c r="C8" s="236"/>
      <c r="D8" s="223"/>
      <c r="E8" s="224"/>
      <c r="F8" s="224"/>
      <c r="G8" s="225"/>
      <c r="H8" s="11"/>
      <c r="I8" s="11"/>
      <c r="J8" s="11"/>
      <c r="K8" s="11"/>
      <c r="L8" s="12"/>
      <c r="M8" s="12"/>
      <c r="N8" s="12"/>
      <c r="O8" s="12"/>
      <c r="P8" s="12"/>
      <c r="Q8" s="12"/>
      <c r="R8" s="12"/>
      <c r="S8" s="237" t="s">
        <v>11</v>
      </c>
      <c r="T8" s="238"/>
      <c r="U8" s="13"/>
      <c r="V8" s="13"/>
      <c r="W8" s="239" t="s">
        <v>12</v>
      </c>
      <c r="X8" s="239"/>
      <c r="Y8" s="239"/>
      <c r="Z8" s="239"/>
      <c r="AA8" s="239"/>
      <c r="AB8" s="240"/>
      <c r="AC8" s="152"/>
      <c r="AD8" s="241" t="s">
        <v>13</v>
      </c>
      <c r="AE8" s="241"/>
      <c r="AF8" s="241"/>
      <c r="AG8" s="241"/>
      <c r="AH8" s="241"/>
      <c r="AI8" s="12"/>
      <c r="AJ8" s="12"/>
      <c r="AK8" s="242" t="s">
        <v>14</v>
      </c>
      <c r="AL8" s="243"/>
      <c r="AM8" s="243"/>
      <c r="AN8" s="243"/>
      <c r="AO8" s="243"/>
      <c r="AP8" s="243"/>
      <c r="AQ8" s="243"/>
      <c r="AR8" s="243"/>
      <c r="AS8" s="183"/>
      <c r="AT8" s="183"/>
      <c r="AU8" s="183"/>
      <c r="AV8" s="183"/>
      <c r="AW8" s="183"/>
      <c r="AX8" s="183"/>
      <c r="AY8" s="183"/>
      <c r="AZ8" s="183"/>
      <c r="BA8" s="183"/>
      <c r="BB8" s="183"/>
    </row>
    <row r="9" spans="1:54" ht="20.25" customHeight="1" x14ac:dyDescent="0.2">
      <c r="A9" s="13"/>
      <c r="B9" s="228" t="s">
        <v>15</v>
      </c>
      <c r="C9" s="229"/>
      <c r="D9" s="230"/>
      <c r="E9" s="231"/>
      <c r="F9" s="231"/>
      <c r="G9" s="232"/>
      <c r="H9" s="13"/>
      <c r="I9" s="13"/>
      <c r="J9" s="12"/>
      <c r="K9" s="12"/>
      <c r="L9" s="12"/>
      <c r="M9" s="12"/>
      <c r="N9" s="12"/>
      <c r="O9" s="12"/>
      <c r="P9" s="12"/>
      <c r="Q9" s="12"/>
      <c r="R9" s="12"/>
      <c r="S9" s="46" t="s">
        <v>16</v>
      </c>
      <c r="T9" s="114">
        <f>COUNTIFS(TablaJulio[TIPO DISCAPACIDAD], S9)</f>
      </c>
      <c r="U9" s="13"/>
      <c r="V9" s="13"/>
      <c r="W9" s="164" t="s">
        <v>17</v>
      </c>
      <c r="X9" s="164"/>
      <c r="Y9" s="164"/>
      <c r="Z9" s="147">
        <f>COUNTIFS(TablaJulio[ORI. SEXUAL], W9)</f>
      </c>
      <c r="AA9" s="148"/>
      <c r="AB9" s="13"/>
      <c r="AC9" s="13"/>
      <c r="AD9" s="164" t="s">
        <v>18</v>
      </c>
      <c r="AE9" s="164"/>
      <c r="AF9" s="164"/>
      <c r="AG9" s="165">
        <f>COUNTIFS(TablaJulio[[ETNIA ]], AD9)</f>
      </c>
      <c r="AH9" s="165"/>
      <c r="AI9" s="12"/>
      <c r="AJ9" s="12"/>
      <c r="AK9" s="226">
        <v>1</v>
      </c>
      <c r="AL9" s="226"/>
      <c r="AM9" s="202">
        <f>COUNTIFS(TablaJulio[[ COMUNA]], AK9)</f>
      </c>
      <c r="AN9" s="202"/>
      <c r="AO9" s="227">
        <v>3</v>
      </c>
      <c r="AP9" s="227"/>
      <c r="AQ9" s="218">
        <f>COUNTIFS(TablaJulio[[ COMUNA]], AO9)</f>
      </c>
      <c r="AR9" s="218"/>
      <c r="AS9" s="183"/>
      <c r="AT9" s="183"/>
      <c r="AU9" s="183"/>
      <c r="AV9" s="183"/>
      <c r="AW9" s="183"/>
      <c r="AX9" s="183"/>
      <c r="AY9" s="183"/>
      <c r="AZ9" s="183"/>
      <c r="BA9" s="183"/>
      <c r="BB9" s="183"/>
    </row>
    <row r="10" spans="1:54" ht="21.75" customHeight="1" x14ac:dyDescent="0.2">
      <c r="A10" s="13"/>
      <c r="B10" s="221" t="s">
        <v>19</v>
      </c>
      <c r="C10" s="222"/>
      <c r="D10" s="223"/>
      <c r="E10" s="224"/>
      <c r="F10" s="224"/>
      <c r="G10" s="225"/>
      <c r="H10" s="13"/>
      <c r="I10" s="13"/>
      <c r="J10" s="12"/>
      <c r="K10" s="12"/>
      <c r="L10" s="12"/>
      <c r="M10" s="12"/>
      <c r="N10" s="12"/>
      <c r="O10" s="12"/>
      <c r="P10" s="12"/>
      <c r="Q10" s="12"/>
      <c r="R10" s="12"/>
      <c r="S10" s="47" t="s">
        <v>20</v>
      </c>
      <c r="T10" s="115">
        <f>COUNTIFS(TablaJulio[TIPO DISCAPACIDAD], S10)</f>
      </c>
      <c r="U10" s="13"/>
      <c r="V10" s="13"/>
      <c r="W10" s="164" t="s">
        <v>21</v>
      </c>
      <c r="X10" s="164"/>
      <c r="Y10" s="164"/>
      <c r="Z10" s="147">
        <f>COUNTIFS(TablaJulio[ORI. SEXUAL], W10)</f>
      </c>
      <c r="AA10" s="148"/>
      <c r="AB10" s="13"/>
      <c r="AC10" s="13"/>
      <c r="AD10" s="164" t="s">
        <v>22</v>
      </c>
      <c r="AE10" s="164"/>
      <c r="AF10" s="164"/>
      <c r="AG10" s="165">
        <f>COUNTIFS(TablaJulio[[ETNIA ]], AD10)</f>
      </c>
      <c r="AH10" s="165"/>
      <c r="AI10" s="12"/>
      <c r="AJ10" s="12"/>
      <c r="AK10" s="226">
        <v>2</v>
      </c>
      <c r="AL10" s="226"/>
      <c r="AM10" s="202">
        <f>COUNTIFS(TablaJulio[[ COMUNA]], AK10)</f>
      </c>
      <c r="AN10" s="202"/>
      <c r="AO10" s="227">
        <v>4</v>
      </c>
      <c r="AP10" s="227"/>
      <c r="AQ10" s="218">
        <f>COUNTIFS(TablaJulio[[ COMUNA]], AO10)</f>
      </c>
      <c r="AR10" s="218"/>
      <c r="AS10" s="183"/>
      <c r="AT10" s="183"/>
      <c r="AU10" s="183"/>
      <c r="AV10" s="183"/>
      <c r="AW10" s="183"/>
      <c r="AX10" s="183"/>
      <c r="AY10" s="183"/>
      <c r="AZ10" s="183"/>
      <c r="BA10" s="183"/>
      <c r="BB10" s="183"/>
    </row>
    <row r="11" spans="1:54" ht="26.25" customHeight="1" x14ac:dyDescent="0.2">
      <c r="A11" s="13"/>
      <c r="B11" s="13"/>
      <c r="C11" s="33"/>
      <c r="D11" s="33"/>
      <c r="E11" s="33"/>
      <c r="F11" s="33"/>
      <c r="G11" s="33"/>
      <c r="H11" s="33"/>
      <c r="I11" s="33"/>
      <c r="J11" s="33"/>
      <c r="K11" s="33"/>
      <c r="L11" s="12"/>
      <c r="M11" s="12"/>
      <c r="N11" s="12"/>
      <c r="O11" s="12"/>
      <c r="P11" s="12"/>
      <c r="Q11" s="12"/>
      <c r="R11" s="12"/>
      <c r="S11" s="47" t="s">
        <v>23</v>
      </c>
      <c r="T11" s="115">
        <f>COUNTIFS(TablaJulio[TIPO DISCAPACIDAD], S11)</f>
      </c>
      <c r="U11" s="13"/>
      <c r="V11" s="13"/>
      <c r="W11" s="164" t="s">
        <v>24</v>
      </c>
      <c r="X11" s="164"/>
      <c r="Y11" s="164"/>
      <c r="Z11" s="147">
        <f>COUNTIFS(TablaJulio[ORI. SEXUAL], W11)</f>
      </c>
      <c r="AA11" s="148"/>
      <c r="AB11" s="13"/>
      <c r="AC11" s="13"/>
      <c r="AD11" s="164" t="s">
        <v>25</v>
      </c>
      <c r="AE11" s="164"/>
      <c r="AF11" s="164"/>
      <c r="AG11" s="165">
        <f>COUNTIFS(TablaJulio[[ETNIA ]], AD11)</f>
      </c>
      <c r="AH11" s="165"/>
      <c r="AI11" s="13"/>
      <c r="AJ11" s="13"/>
      <c r="AK11" s="201" t="s">
        <v>26</v>
      </c>
      <c r="AL11" s="201"/>
      <c r="AM11" s="202">
        <f>COUNTIFS(TablaJulio[[ COMUNA]], AK11)</f>
      </c>
      <c r="AN11" s="202"/>
      <c r="AO11" s="219" t="s">
        <v>27</v>
      </c>
      <c r="AP11" s="219"/>
      <c r="AQ11" s="218">
        <f>COUNTIFS(TablaJulio[[ COMUNA]], AO11)</f>
      </c>
      <c r="AR11" s="218"/>
      <c r="AS11" s="220"/>
      <c r="AT11" s="220"/>
      <c r="AU11" s="220"/>
      <c r="AV11" s="220"/>
      <c r="AW11" s="220"/>
      <c r="AX11" s="220"/>
      <c r="AY11" s="220"/>
      <c r="AZ11" s="220"/>
      <c r="BA11" s="220"/>
      <c r="BB11" s="220"/>
    </row>
    <row r="12" spans="1:54" ht="26.25" customHeight="1" thickBot="1" x14ac:dyDescent="0.25">
      <c r="A12" s="13"/>
      <c r="B12" s="195" t="s">
        <v>28</v>
      </c>
      <c r="C12" s="198" t="s">
        <v>29</v>
      </c>
      <c r="D12" s="199"/>
      <c r="E12" s="199"/>
      <c r="F12" s="199"/>
      <c r="G12" s="199"/>
      <c r="H12" s="199"/>
      <c r="I12" s="200"/>
      <c r="L12" s="12"/>
      <c r="M12" s="12"/>
      <c r="N12" s="12"/>
      <c r="O12" s="12"/>
      <c r="P12" s="12"/>
      <c r="Q12" s="12"/>
      <c r="R12" s="12"/>
      <c r="S12" s="48" t="s">
        <v>30</v>
      </c>
      <c r="T12" s="115">
        <f>COUNTIFS(TablaJulio[TIPO DISCAPACIDAD], S12)</f>
      </c>
      <c r="U12" s="13"/>
      <c r="V12" s="13"/>
      <c r="W12" s="164" t="s">
        <v>31</v>
      </c>
      <c r="X12" s="164"/>
      <c r="Y12" s="164"/>
      <c r="Z12" s="147">
        <f>COUNTIFS(TablaJulio[ORI. SEXUAL], W12)</f>
      </c>
      <c r="AA12" s="148"/>
      <c r="AB12" s="13"/>
      <c r="AC12" s="13"/>
      <c r="AD12" s="164" t="s">
        <v>32</v>
      </c>
      <c r="AE12" s="164"/>
      <c r="AF12" s="164"/>
      <c r="AG12" s="165">
        <f>COUNTIFS(TablaJulio[[ETNIA ]], AD12)</f>
      </c>
      <c r="AH12" s="165"/>
      <c r="AI12" s="49"/>
      <c r="AJ12" s="49"/>
      <c r="AK12" s="201" t="s">
        <v>33</v>
      </c>
      <c r="AL12" s="201"/>
      <c r="AM12" s="202">
        <f>COUNTIFS(TablaJulio[[ COMUNA]], AK12)</f>
      </c>
      <c r="AN12" s="202"/>
      <c r="AO12" s="180"/>
      <c r="AP12" s="180"/>
      <c r="AQ12" s="183"/>
      <c r="AR12" s="183"/>
      <c r="AS12" s="220"/>
      <c r="AT12" s="220"/>
      <c r="AU12" s="220"/>
      <c r="AV12" s="220"/>
      <c r="AW12" s="220"/>
      <c r="AX12" s="220"/>
      <c r="AY12" s="220"/>
      <c r="AZ12" s="220"/>
      <c r="BA12" s="220"/>
      <c r="BB12" s="220"/>
    </row>
    <row r="13" spans="1:54" ht="29.25" customHeight="1" thickBot="1" x14ac:dyDescent="0.25">
      <c r="B13" s="196"/>
      <c r="C13" s="50" t="s">
        <v>34</v>
      </c>
      <c r="D13" s="51" t="s">
        <v>35</v>
      </c>
      <c r="E13" s="51" t="s">
        <v>36</v>
      </c>
      <c r="F13" s="203" t="s">
        <v>37</v>
      </c>
      <c r="G13" s="204"/>
      <c r="H13" s="52" t="s">
        <v>38</v>
      </c>
      <c r="I13" s="53" t="s">
        <v>39</v>
      </c>
      <c r="K13" s="54"/>
      <c r="L13" s="55"/>
      <c r="M13" s="12"/>
      <c r="N13" s="12"/>
      <c r="O13" s="205" t="s">
        <v>40</v>
      </c>
      <c r="P13" s="206"/>
      <c r="Q13" s="207"/>
      <c r="R13" s="56"/>
      <c r="S13" s="57" t="s">
        <v>41</v>
      </c>
      <c r="T13" s="115">
        <f>COUNTIFS(TablaJulio[TIPO DISCAPACIDAD], S13)</f>
      </c>
      <c r="U13" s="56"/>
      <c r="V13" s="56"/>
      <c r="W13" s="160" t="s">
        <v>42</v>
      </c>
      <c r="X13" s="160"/>
      <c r="Y13" s="160"/>
      <c r="Z13" s="147">
        <f>COUNTIFS(TablaJulio[ORI. SEXUAL], W13)</f>
      </c>
      <c r="AA13" s="148"/>
      <c r="AB13" s="58"/>
      <c r="AC13" s="59"/>
      <c r="AD13" s="208" t="s">
        <v>43</v>
      </c>
      <c r="AE13" s="208"/>
      <c r="AF13" s="208"/>
      <c r="AG13" s="165">
        <f>COUNTIFS(TablaJulio[[ETNIA ]], AD13)</f>
      </c>
      <c r="AH13" s="165"/>
      <c r="AI13" s="56"/>
      <c r="AJ13" s="56"/>
      <c r="AK13" s="209"/>
      <c r="AL13" s="209"/>
      <c r="AM13" s="182"/>
      <c r="AN13" s="182"/>
      <c r="AO13" s="180"/>
      <c r="AP13" s="180"/>
      <c r="AQ13" s="183"/>
      <c r="AR13" s="183"/>
      <c r="AS13" s="220"/>
      <c r="AT13" s="220"/>
      <c r="AU13" s="220"/>
      <c r="AV13" s="220"/>
      <c r="AW13" s="220"/>
      <c r="AX13" s="220"/>
      <c r="AY13" s="220"/>
      <c r="AZ13" s="220"/>
      <c r="BA13" s="220"/>
      <c r="BB13" s="220"/>
    </row>
    <row r="14" spans="1:54" ht="19.5" customHeight="1" thickBot="1" x14ac:dyDescent="0.25">
      <c r="A14" s="13"/>
      <c r="B14" s="196"/>
      <c r="C14" s="210"/>
      <c r="D14" s="210"/>
      <c r="E14" s="8"/>
      <c r="F14" s="212"/>
      <c r="G14" s="213"/>
      <c r="H14" s="210"/>
      <c r="I14" s="210"/>
      <c r="K14" s="216" t="s">
        <v>44</v>
      </c>
      <c r="L14" s="184">
        <f>COUNTIFS(TablaJulio[SEXO], K14)</f>
      </c>
      <c r="M14" s="12"/>
      <c r="N14" s="12"/>
      <c r="O14" s="158" t="s">
        <v>45</v>
      </c>
      <c r="P14" s="159"/>
      <c r="Q14" s="116">
        <f>COUNTIFS(TablaJulio[EDAD], "&lt;6")</f>
      </c>
      <c r="R14" s="56"/>
      <c r="S14" s="47" t="s">
        <v>46</v>
      </c>
      <c r="T14" s="115">
        <f>COUNTIFS(TablaJulio[TIPO DISCAPACIDAD], S14)</f>
      </c>
      <c r="U14" s="60"/>
      <c r="V14" s="56"/>
      <c r="W14" s="160" t="s">
        <v>47</v>
      </c>
      <c r="X14" s="160"/>
      <c r="Y14" s="160"/>
      <c r="Z14" s="147">
        <f>COUNTIFS(TablaJulio[ORI. SEXUAL], W14)</f>
      </c>
      <c r="AA14" s="148"/>
      <c r="AB14" s="13"/>
      <c r="AC14" s="13"/>
      <c r="AD14" s="164" t="s">
        <v>48</v>
      </c>
      <c r="AE14" s="164"/>
      <c r="AF14" s="164"/>
      <c r="AG14" s="165">
        <f>COUNTIFS(TablaJulio[[ETNIA ]], AD14)</f>
      </c>
      <c r="AH14" s="165"/>
      <c r="AI14" s="56"/>
      <c r="AJ14" s="56"/>
      <c r="AK14" s="194"/>
      <c r="AL14" s="194"/>
      <c r="AM14" s="182"/>
      <c r="AN14" s="182"/>
      <c r="AO14" s="180"/>
      <c r="AP14" s="180"/>
      <c r="AQ14" s="183"/>
      <c r="AR14" s="183"/>
      <c r="AV14" s="151"/>
      <c r="AW14" s="152"/>
      <c r="BB14" s="13"/>
    </row>
    <row r="15" spans="1:54" ht="19.5" customHeight="1" thickBot="1" x14ac:dyDescent="0.25">
      <c r="A15" s="13"/>
      <c r="B15" s="196"/>
      <c r="C15" s="211"/>
      <c r="D15" s="211"/>
      <c r="E15" s="9"/>
      <c r="F15" s="214"/>
      <c r="G15" s="215"/>
      <c r="H15" s="211"/>
      <c r="I15" s="211"/>
      <c r="K15" s="217"/>
      <c r="L15" s="185"/>
      <c r="M15" s="12"/>
      <c r="N15" s="12"/>
      <c r="O15" s="192" t="s">
        <v>49</v>
      </c>
      <c r="P15" s="193"/>
      <c r="Q15" s="116">
        <f>COUNTIFS(TablaJulio[EDAD], "&gt;5", TablaJulio[EDAD], "&lt;11")</f>
      </c>
      <c r="R15" s="56"/>
      <c r="S15" s="57" t="s">
        <v>50</v>
      </c>
      <c r="T15" s="115">
        <f>COUNTIFS(TablaJulio[TIPO DISCAPACIDAD], S15)</f>
      </c>
      <c r="U15" s="60"/>
      <c r="V15" s="56"/>
      <c r="W15" s="160" t="s">
        <v>51</v>
      </c>
      <c r="X15" s="160"/>
      <c r="Y15" s="160"/>
      <c r="Z15" s="147">
        <f>COUNTIFS(TablaJulio[ORI. SEXUAL], W15)</f>
      </c>
      <c r="AA15" s="148"/>
      <c r="AB15" s="58"/>
      <c r="AC15" s="59"/>
      <c r="AD15" s="179" t="s">
        <v>52</v>
      </c>
      <c r="AE15" s="179"/>
      <c r="AF15" s="179"/>
      <c r="AG15" s="165">
        <f>COUNTIFS(TablaJulio[[ETNIA ]], AD15)</f>
      </c>
      <c r="AH15" s="165"/>
      <c r="AI15" s="56"/>
      <c r="AJ15" s="56"/>
      <c r="AK15" s="180"/>
      <c r="AL15" s="181"/>
      <c r="AM15" s="182"/>
      <c r="AN15" s="182"/>
      <c r="AO15" s="180"/>
      <c r="AP15" s="180"/>
      <c r="AQ15" s="183"/>
      <c r="AR15" s="183"/>
      <c r="AV15" s="151"/>
      <c r="AW15" s="152"/>
      <c r="AX15" s="186" t="s">
        <v>53</v>
      </c>
      <c r="AY15" s="186"/>
      <c r="AZ15" s="186"/>
      <c r="BA15" s="186"/>
      <c r="BB15" s="13"/>
    </row>
    <row r="16" spans="1:54" ht="19.5" customHeight="1" thickBot="1" x14ac:dyDescent="0.25">
      <c r="A16" s="13"/>
      <c r="B16" s="196"/>
      <c r="C16" s="187" t="s">
        <v>54</v>
      </c>
      <c r="D16" s="188"/>
      <c r="E16" s="188"/>
      <c r="F16" s="188"/>
      <c r="G16" s="188"/>
      <c r="H16" s="188"/>
      <c r="I16" s="189"/>
      <c r="K16" s="190" t="s">
        <v>55</v>
      </c>
      <c r="L16" s="184">
        <f>COUNTIFS(TablaJulio[SEXO], K16)</f>
      </c>
      <c r="M16" s="12"/>
      <c r="N16" s="12"/>
      <c r="O16" s="158" t="s">
        <v>56</v>
      </c>
      <c r="P16" s="159"/>
      <c r="Q16" s="116">
        <f>COUNTIFS(TablaJulio[EDAD], "&gt;10", TablaJulio[EDAD], "&lt;15")</f>
      </c>
      <c r="R16" s="56"/>
      <c r="S16" s="47" t="s">
        <v>57</v>
      </c>
      <c r="T16" s="115">
        <f>COUNTIFS(TablaJulio[TIPO DISCAPACIDAD], S16)</f>
      </c>
      <c r="U16" s="60"/>
      <c r="V16" s="56"/>
      <c r="W16" s="160" t="s">
        <v>58</v>
      </c>
      <c r="X16" s="160"/>
      <c r="Y16" s="160"/>
      <c r="Z16" s="147">
        <f>COUNTIFS(TablaJulio[ORI. SEXUAL], W16)</f>
      </c>
      <c r="AA16" s="148"/>
      <c r="AB16" s="58"/>
      <c r="AC16" s="59"/>
      <c r="AD16" s="179" t="s">
        <v>59</v>
      </c>
      <c r="AE16" s="179"/>
      <c r="AF16" s="179"/>
      <c r="AG16" s="165">
        <f>COUNTIFS(TablaJulio[[ETNIA ]], AD16)</f>
      </c>
      <c r="AH16" s="165"/>
      <c r="AI16" s="56"/>
      <c r="AJ16" s="56"/>
      <c r="AK16" s="180"/>
      <c r="AL16" s="180"/>
      <c r="AM16" s="181"/>
      <c r="AN16" s="181"/>
      <c r="AO16" s="56"/>
      <c r="AP16" s="56"/>
      <c r="AQ16" s="33"/>
      <c r="AV16" s="151"/>
      <c r="AW16" s="152"/>
      <c r="AX16" s="186"/>
      <c r="AY16" s="186"/>
      <c r="AZ16" s="186"/>
      <c r="BA16" s="186"/>
      <c r="BB16" s="13"/>
    </row>
    <row r="17" spans="1:54" ht="19.5" customHeight="1" thickBot="1" x14ac:dyDescent="0.25">
      <c r="A17" s="13"/>
      <c r="B17" s="196"/>
      <c r="C17" s="175" t="s">
        <v>60</v>
      </c>
      <c r="D17" s="176"/>
      <c r="E17" s="175" t="s">
        <v>61</v>
      </c>
      <c r="F17" s="177"/>
      <c r="G17" s="176"/>
      <c r="H17" s="175" t="s">
        <v>62</v>
      </c>
      <c r="I17" s="176"/>
      <c r="K17" s="191"/>
      <c r="L17" s="185"/>
      <c r="M17" s="12"/>
      <c r="N17" s="12"/>
      <c r="O17" s="158" t="s">
        <v>63</v>
      </c>
      <c r="P17" s="159"/>
      <c r="Q17" s="116">
        <f>COUNTIFS(TablaJulio[EDAD], "&gt;14", TablaJulio[EDAD], "&lt;20")</f>
      </c>
      <c r="R17" s="56"/>
      <c r="S17" s="57" t="s">
        <v>64</v>
      </c>
      <c r="T17" s="115">
        <f>COUNTIFS(TablaJulio[TIPO DISCAPACIDAD], S17)</f>
      </c>
      <c r="U17" s="61"/>
      <c r="V17" s="60"/>
      <c r="W17" s="178" t="s">
        <v>65</v>
      </c>
      <c r="X17" s="178"/>
      <c r="Y17" s="178"/>
      <c r="Z17" s="147">
        <f>COUNTIFS(TablaJulio[ORI. SEXUAL], W17)</f>
      </c>
      <c r="AA17" s="148"/>
      <c r="AB17" s="13"/>
      <c r="AC17" s="13"/>
      <c r="AD17" s="164" t="s">
        <v>66</v>
      </c>
      <c r="AE17" s="164"/>
      <c r="AF17" s="164"/>
      <c r="AG17" s="165">
        <f>COUNTIFS(TablaJulio[[ETNIA ]], AD17)</f>
      </c>
      <c r="AH17" s="165"/>
      <c r="AI17" s="56"/>
      <c r="AJ17" s="56"/>
      <c r="AK17" s="56"/>
      <c r="AL17" s="56"/>
      <c r="AM17" s="56"/>
      <c r="AN17" s="149"/>
      <c r="AO17" s="150"/>
      <c r="AP17" s="150"/>
      <c r="AQ17" s="33"/>
      <c r="AV17" s="151"/>
      <c r="AW17" s="152"/>
      <c r="AX17" s="166" t="s">
        <v>67</v>
      </c>
      <c r="AY17" s="167"/>
      <c r="AZ17" s="168"/>
      <c r="BA17" s="62" t="s">
        <v>68</v>
      </c>
      <c r="BB17" s="13"/>
    </row>
    <row r="18" spans="1:54" ht="19.5" customHeight="1" thickBot="1" x14ac:dyDescent="0.25">
      <c r="A18" s="13"/>
      <c r="B18" s="197"/>
      <c r="C18" s="169"/>
      <c r="D18" s="170"/>
      <c r="E18" s="169"/>
      <c r="F18" s="171"/>
      <c r="G18" s="170"/>
      <c r="H18" s="169"/>
      <c r="I18" s="170"/>
      <c r="L18" s="12"/>
      <c r="M18" s="12"/>
      <c r="N18" s="12"/>
      <c r="O18" s="158" t="s">
        <v>69</v>
      </c>
      <c r="P18" s="159"/>
      <c r="Q18" s="116">
        <f>COUNTIFS(TablaJulio[EDAD], "&gt;19", TablaJulio[EDAD], "&lt;60")</f>
      </c>
      <c r="R18" s="56"/>
      <c r="S18" s="47" t="s">
        <v>70</v>
      </c>
      <c r="T18" s="115">
        <f>COUNTIFS(TablaJulio[TIPO DISCAPACIDAD], S18)</f>
      </c>
      <c r="U18" s="60"/>
      <c r="V18" s="56"/>
      <c r="W18" s="172" t="s">
        <v>71</v>
      </c>
      <c r="X18" s="173"/>
      <c r="Y18" s="174"/>
      <c r="Z18" s="147">
        <f>COUNTIFS(TablaJulio[ORI. SEXUAL], W18)</f>
      </c>
      <c r="AA18" s="148"/>
      <c r="AB18" s="13"/>
      <c r="AC18" s="13"/>
      <c r="AD18" s="13"/>
      <c r="AE18" s="13"/>
      <c r="AF18" s="13"/>
      <c r="AG18" s="13"/>
      <c r="AH18" s="60"/>
      <c r="AI18" s="56"/>
      <c r="AJ18" s="56"/>
      <c r="AK18" s="56"/>
      <c r="AL18" s="56"/>
      <c r="AM18" s="56"/>
      <c r="AN18" s="149"/>
      <c r="AO18" s="150"/>
      <c r="AP18" s="150"/>
      <c r="AQ18" s="33"/>
      <c r="AV18" s="151"/>
      <c r="AW18" s="152"/>
      <c r="AX18" s="153" t="s">
        <v>72</v>
      </c>
      <c r="AY18" s="154"/>
      <c r="AZ18" s="155"/>
      <c r="BA18" s="63" t="s">
        <v>73</v>
      </c>
      <c r="BB18" s="13"/>
    </row>
    <row r="19" spans="1:54" ht="19.5" customHeight="1" thickBot="1" x14ac:dyDescent="0.25">
      <c r="A19" s="13"/>
      <c r="B19" s="64"/>
      <c r="C19" s="43"/>
      <c r="D19" s="43"/>
      <c r="E19" s="43"/>
      <c r="F19" s="65"/>
      <c r="G19" s="66"/>
      <c r="H19" s="66"/>
      <c r="I19" s="66"/>
      <c r="J19" s="66"/>
      <c r="K19" s="156" t="s">
        <v>74</v>
      </c>
      <c r="L19" s="157"/>
      <c r="M19" s="12"/>
      <c r="N19" s="12"/>
      <c r="O19" s="158" t="s">
        <v>75</v>
      </c>
      <c r="P19" s="159"/>
      <c r="Q19" s="116">
        <f>COUNTIFS(TablaJulio[EDAD], "&gt;59")</f>
      </c>
      <c r="R19" s="56"/>
      <c r="U19" s="60"/>
      <c r="V19" s="56"/>
      <c r="W19" s="160" t="s">
        <v>66</v>
      </c>
      <c r="X19" s="160"/>
      <c r="Y19" s="160"/>
      <c r="Z19" s="147">
        <f>COUNTIFS(TablaJulio[ORI. SEXUAL], W19)</f>
      </c>
      <c r="AA19" s="148"/>
      <c r="AB19" s="13"/>
      <c r="AC19" s="13"/>
      <c r="AD19" s="13"/>
      <c r="AE19" s="13"/>
      <c r="AF19" s="13"/>
      <c r="AG19" s="13"/>
      <c r="AH19" s="67"/>
      <c r="AI19" s="68"/>
      <c r="AJ19" s="68" t="s">
        <v>76</v>
      </c>
      <c r="AK19" s="68"/>
      <c r="AL19" s="68"/>
      <c r="AM19" s="68"/>
      <c r="AN19" s="68"/>
      <c r="AO19" s="68"/>
      <c r="AP19" s="68"/>
      <c r="AQ19" s="33"/>
      <c r="AV19" s="151"/>
      <c r="AW19" s="152"/>
      <c r="AX19" s="161" t="s">
        <v>77</v>
      </c>
      <c r="AY19" s="162"/>
      <c r="AZ19" s="163"/>
      <c r="BA19" s="69" t="s">
        <v>78</v>
      </c>
      <c r="BB19" s="13"/>
    </row>
    <row r="20" spans="1:54" ht="20.25" customHeight="1" thickBot="1" x14ac:dyDescent="0.25">
      <c r="A20" s="13"/>
      <c r="B20" s="33"/>
      <c r="C20" s="33"/>
      <c r="D20" s="33"/>
      <c r="E20" s="33"/>
      <c r="F20" s="65"/>
      <c r="G20" s="66"/>
      <c r="H20" s="66"/>
      <c r="I20" s="66"/>
      <c r="J20" s="66"/>
      <c r="K20" s="70" t="s">
        <v>79</v>
      </c>
      <c r="L20" s="117">
        <f>COUNTIF(TablaJulio[VICTIMA CONF. ARMADO], K20)</f>
      </c>
      <c r="M20" s="12"/>
      <c r="N20" s="12"/>
      <c r="O20" s="12"/>
      <c r="P20" s="12"/>
      <c r="Q20" s="12"/>
      <c r="R20" s="12"/>
      <c r="S20" s="12"/>
      <c r="T20" s="3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68"/>
      <c r="AI20" s="68"/>
      <c r="AJ20" s="68"/>
      <c r="AK20" s="68"/>
      <c r="AL20" s="68"/>
      <c r="AM20" s="68"/>
      <c r="AN20" s="68"/>
      <c r="AO20" s="68"/>
      <c r="AP20" s="68"/>
      <c r="AQ20" s="33"/>
      <c r="AR20" s="33"/>
      <c r="AS20" s="33"/>
      <c r="AT20" s="33"/>
      <c r="AU20" s="33"/>
      <c r="AV20" s="33"/>
      <c r="AW20" s="33"/>
      <c r="AX20" s="33"/>
      <c r="AY20" s="33"/>
      <c r="AZ20" s="13"/>
      <c r="BA20" s="13"/>
      <c r="BB20" s="13"/>
    </row>
    <row r="21" spans="1:54" ht="18.75" customHeight="1" thickBot="1" x14ac:dyDescent="0.25">
      <c r="A21" s="13"/>
      <c r="B21" s="13"/>
      <c r="C21" s="33"/>
      <c r="D21" s="33"/>
      <c r="E21" s="33"/>
      <c r="F21" s="33"/>
      <c r="G21" s="33"/>
      <c r="H21" s="33"/>
      <c r="I21" s="33"/>
      <c r="J21" s="33"/>
      <c r="K21" s="71" t="s">
        <v>80</v>
      </c>
      <c r="L21" s="117">
        <f>COUNTIF(TablaJulio[VICTIMA CONF. ARMADO], K21)</f>
      </c>
      <c r="M21" s="12"/>
      <c r="N21" s="12"/>
      <c r="O21" s="12"/>
      <c r="P21" s="12"/>
      <c r="Q21" s="12"/>
      <c r="R21" s="12"/>
      <c r="S21" s="12"/>
      <c r="T21" s="33"/>
      <c r="U21" s="135" t="s">
        <v>139</v>
      </c>
      <c r="V21" s="136"/>
      <c r="W21" s="136"/>
      <c r="X21" s="136"/>
      <c r="Y21" s="136"/>
      <c r="Z21" s="136"/>
      <c r="AA21" s="136"/>
      <c r="AB21" s="136"/>
      <c r="AC21" s="136"/>
      <c r="AD21" s="136"/>
      <c r="AE21" s="136"/>
      <c r="AF21" s="136"/>
      <c r="AG21" s="136"/>
      <c r="AH21" s="136"/>
      <c r="AI21" s="136"/>
      <c r="AJ21" s="136"/>
      <c r="AK21" s="136"/>
      <c r="AL21" s="136"/>
      <c r="AM21" s="136"/>
      <c r="AN21" s="136"/>
      <c r="AO21" s="136"/>
      <c r="AP21" s="136"/>
      <c r="AQ21" s="136"/>
      <c r="AR21" s="136"/>
      <c r="AS21" s="136"/>
      <c r="AT21" s="136"/>
      <c r="AU21" s="136"/>
      <c r="AV21" s="136"/>
      <c r="AW21" s="136"/>
      <c r="AX21" s="136"/>
      <c r="AY21" s="137"/>
      <c r="AZ21" s="141" t="s">
        <v>81</v>
      </c>
      <c r="BA21" s="142"/>
      <c r="BB21" s="143"/>
    </row>
    <row r="22" spans="1:54" ht="15" customHeight="1" thickBot="1" x14ac:dyDescent="0.25">
      <c r="A22" s="13"/>
      <c r="B22" s="13"/>
      <c r="C22" s="33"/>
      <c r="D22" s="33"/>
      <c r="E22" s="33"/>
      <c r="F22" s="33"/>
      <c r="G22" s="33"/>
      <c r="H22" s="33"/>
      <c r="I22" s="33"/>
      <c r="J22" s="33"/>
      <c r="K22" s="33"/>
      <c r="L22" s="72"/>
      <c r="M22" s="72"/>
      <c r="N22" s="72"/>
      <c r="O22" s="72"/>
      <c r="P22" s="72"/>
      <c r="Q22" s="12"/>
      <c r="R22" s="12"/>
      <c r="S22" s="12"/>
      <c r="T22" s="73"/>
      <c r="U22" s="138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  <c r="AF22" s="139"/>
      <c r="AG22" s="139"/>
      <c r="AH22" s="139"/>
      <c r="AI22" s="139"/>
      <c r="AJ22" s="139"/>
      <c r="AK22" s="139"/>
      <c r="AL22" s="139"/>
      <c r="AM22" s="139"/>
      <c r="AN22" s="139"/>
      <c r="AO22" s="139"/>
      <c r="AP22" s="139"/>
      <c r="AQ22" s="139"/>
      <c r="AR22" s="139"/>
      <c r="AS22" s="139"/>
      <c r="AT22" s="139"/>
      <c r="AU22" s="139"/>
      <c r="AV22" s="139"/>
      <c r="AW22" s="139"/>
      <c r="AX22" s="139"/>
      <c r="AY22" s="140"/>
      <c r="AZ22" s="144"/>
      <c r="BA22" s="145"/>
      <c r="BB22" s="146"/>
    </row>
    <row r="23" spans="1:54" ht="42" customHeight="1" x14ac:dyDescent="0.2">
      <c r="A23" s="74" t="s">
        <v>82</v>
      </c>
      <c r="B23" s="108" t="s">
        <v>83</v>
      </c>
      <c r="C23" s="108" t="s">
        <v>84</v>
      </c>
      <c r="D23" s="108" t="s">
        <v>85</v>
      </c>
      <c r="E23" s="108" t="s">
        <v>86</v>
      </c>
      <c r="F23" s="109" t="s">
        <v>87</v>
      </c>
      <c r="G23" s="110" t="s">
        <v>88</v>
      </c>
      <c r="H23" s="109" t="s">
        <v>89</v>
      </c>
      <c r="I23" s="111" t="s">
        <v>90</v>
      </c>
      <c r="J23" s="112" t="s">
        <v>91</v>
      </c>
      <c r="K23" s="75" t="s">
        <v>92</v>
      </c>
      <c r="L23" s="76" t="s">
        <v>93</v>
      </c>
      <c r="M23" s="77" t="s">
        <v>94</v>
      </c>
      <c r="N23" s="78" t="s">
        <v>95</v>
      </c>
      <c r="O23" s="79" t="s">
        <v>96</v>
      </c>
      <c r="P23" s="113" t="s">
        <v>97</v>
      </c>
      <c r="Q23" s="80" t="s">
        <v>98</v>
      </c>
      <c r="R23" s="80" t="s">
        <v>99</v>
      </c>
      <c r="S23" s="80" t="s">
        <v>100</v>
      </c>
      <c r="T23" s="81" t="s">
        <v>101</v>
      </c>
      <c r="U23" s="28" t="s">
        <v>102</v>
      </c>
      <c r="V23" s="28" t="s">
        <v>103</v>
      </c>
      <c r="W23" s="27" t="s">
        <v>104</v>
      </c>
      <c r="X23" s="122" t="s">
        <v>105</v>
      </c>
      <c r="Y23" s="26" t="s">
        <v>106</v>
      </c>
      <c r="Z23" s="26" t="s">
        <v>107</v>
      </c>
      <c r="AA23" s="28" t="s">
        <v>108</v>
      </c>
      <c r="AB23" s="28" t="s">
        <v>109</v>
      </c>
      <c r="AC23" s="28" t="s">
        <v>110</v>
      </c>
      <c r="AD23" s="26" t="s">
        <v>111</v>
      </c>
      <c r="AE23" s="122" t="s">
        <v>112</v>
      </c>
      <c r="AF23" s="26" t="s">
        <v>113</v>
      </c>
      <c r="AG23" s="122" t="s">
        <v>114</v>
      </c>
      <c r="AH23" s="26" t="s">
        <v>115</v>
      </c>
      <c r="AI23" s="28" t="s">
        <v>116</v>
      </c>
      <c r="AJ23" s="28" t="s">
        <v>117</v>
      </c>
      <c r="AK23" s="28" t="s">
        <v>118</v>
      </c>
      <c r="AL23" s="122" t="s">
        <v>119</v>
      </c>
      <c r="AM23" s="26" t="s">
        <v>120</v>
      </c>
      <c r="AN23" s="122" t="s">
        <v>121</v>
      </c>
      <c r="AO23" s="122" t="s">
        <v>122</v>
      </c>
      <c r="AP23" s="28" t="s">
        <v>123</v>
      </c>
      <c r="AQ23" s="125" t="s">
        <v>124</v>
      </c>
      <c r="AR23" s="29" t="s">
        <v>125</v>
      </c>
      <c r="AS23" s="123" t="s">
        <v>126</v>
      </c>
      <c r="AT23" s="26" t="s">
        <v>127</v>
      </c>
      <c r="AU23" s="122" t="s">
        <v>128</v>
      </c>
      <c r="AV23" s="122" t="s">
        <v>129</v>
      </c>
      <c r="AW23" s="28" t="s">
        <v>130</v>
      </c>
      <c r="AX23" s="124" t="s">
        <v>131</v>
      </c>
      <c r="AY23" s="122" t="s">
        <v>132</v>
      </c>
      <c r="AZ23" s="82" t="s">
        <v>68</v>
      </c>
      <c r="BA23" s="82" t="s">
        <v>73</v>
      </c>
      <c r="BB23" s="83" t="s">
        <v>78</v>
      </c>
    </row>
    <row r="24" spans="1:54" ht="15.75" customHeight="1" x14ac:dyDescent="0.2">
      <c r="A24" s="84"/>
      <c r="B24" s="85"/>
      <c r="C24" s="85"/>
      <c r="D24" s="85"/>
      <c r="E24" s="86"/>
      <c r="F24" s="16">
        <f>IF(E24="","",DATEDIF(E24,$I$7,"Y"))</f>
      </c>
      <c r="G24" s="85"/>
      <c r="H24" s="85"/>
      <c r="I24" s="87"/>
      <c r="J24" s="85"/>
      <c r="K24" s="85"/>
      <c r="L24" s="2"/>
      <c r="M24" s="2"/>
      <c r="N24" s="2"/>
      <c r="O24" s="2"/>
      <c r="P24" s="85"/>
      <c r="Q24" s="88"/>
      <c r="R24" s="3">
        <f>IFERROR(VLOOKUP(TablaJulio[[#This Row],[BARRIO]],SECTOR!$A:$B,2,0),"")</f>
      </c>
      <c r="S24" s="89"/>
      <c r="T24" s="90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17">
        <f>COUNTIF(U24:AY24,"A")</f>
      </c>
      <c r="BA24" s="17">
        <f>COUNTIF(U24:AY24,"F")</f>
      </c>
      <c r="BB24" s="17">
        <f>COUNTIF(U24:AY24,"E")</f>
      </c>
    </row>
    <row r="25" spans="1:54" ht="15.75" customHeight="1" x14ac:dyDescent="0.2">
      <c r="A25" s="84"/>
      <c r="B25" s="85"/>
      <c r="C25" s="85"/>
      <c r="D25" s="85"/>
      <c r="E25" s="86"/>
      <c r="F25" s="16">
        <f>IF(E25="","",DATEDIF(E25,$I$7,"Y"))</f>
      </c>
      <c r="G25" s="85"/>
      <c r="H25" s="85"/>
      <c r="I25" s="87"/>
      <c r="J25" s="85"/>
      <c r="K25" s="85"/>
      <c r="L25" s="2"/>
      <c r="M25" s="2"/>
      <c r="N25" s="1"/>
      <c r="O25" s="1"/>
      <c r="P25" s="85"/>
      <c r="Q25" s="88"/>
      <c r="R25" s="3">
        <f>IFERROR(VLOOKUP(TablaJulio[[#This Row],[BARRIO]],SECTOR!$A:$B,2,0),"")</f>
      </c>
      <c r="S25" s="89"/>
      <c r="T25" s="90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17">
        <f>COUNTIF(U25:AY25,"A")</f>
      </c>
      <c r="BA25" s="17">
        <f>COUNTIF(U25:AY25,"F")</f>
      </c>
      <c r="BB25" s="17">
        <f>COUNTIF(U25:AY25,"E")</f>
      </c>
    </row>
    <row r="26" spans="1:54" ht="15.75" customHeight="1" x14ac:dyDescent="0.2">
      <c r="A26" s="84"/>
      <c r="B26" s="85"/>
      <c r="C26" s="85"/>
      <c r="D26" s="85"/>
      <c r="E26" s="86"/>
      <c r="F26" s="16">
        <f>IF(E26="","",DATEDIF(E26,$I$7,"Y"))</f>
      </c>
      <c r="G26" s="85"/>
      <c r="H26" s="85"/>
      <c r="I26" s="87"/>
      <c r="J26" s="85"/>
      <c r="K26" s="85"/>
      <c r="L26" s="2"/>
      <c r="M26" s="2"/>
      <c r="N26" s="1"/>
      <c r="O26" s="1"/>
      <c r="P26" s="85"/>
      <c r="Q26" s="88"/>
      <c r="R26" s="3">
        <f>IFERROR(VLOOKUP(TablaJulio[[#This Row],[BARRIO]],SECTOR!$A:$B,2,0),"")</f>
      </c>
      <c r="S26" s="89"/>
      <c r="T26" s="90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17">
        <f>COUNTIF(U26:AY26,"A")</f>
      </c>
      <c r="BA26" s="17">
        <f>COUNTIF(U26:AY26,"F")</f>
      </c>
      <c r="BB26" s="17">
        <f>COUNTIF(U26:AY26,"E")</f>
      </c>
    </row>
    <row r="27" spans="1:54" ht="15.75" customHeight="1" x14ac:dyDescent="0.2">
      <c r="A27" s="84"/>
      <c r="B27" s="85"/>
      <c r="C27" s="85"/>
      <c r="D27" s="85"/>
      <c r="E27" s="86"/>
      <c r="F27" s="16">
        <f>IF(E27="","",DATEDIF(E27,$I$7,"Y"))</f>
      </c>
      <c r="G27" s="85"/>
      <c r="H27" s="85"/>
      <c r="I27" s="87"/>
      <c r="J27" s="85"/>
      <c r="K27" s="85"/>
      <c r="L27" s="2"/>
      <c r="M27" s="2"/>
      <c r="N27" s="1"/>
      <c r="O27" s="1"/>
      <c r="P27" s="85"/>
      <c r="Q27" s="88"/>
      <c r="R27" s="3">
        <f>IFERROR(VLOOKUP(TablaJulio[[#This Row],[BARRIO]],SECTOR!$A:$B,2,0),"")</f>
      </c>
      <c r="S27" s="89"/>
      <c r="T27" s="90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17">
        <f>COUNTIF(U27:AY27,"A")</f>
      </c>
      <c r="BA27" s="17">
        <f>COUNTIF(U27:AY27,"F")</f>
      </c>
      <c r="BB27" s="17">
        <f>COUNTIF(U27:AY27,"E")</f>
      </c>
    </row>
    <row r="28" spans="1:54" ht="15.75" customHeight="1" x14ac:dyDescent="0.2">
      <c r="A28" s="84"/>
      <c r="B28" s="85"/>
      <c r="C28" s="85"/>
      <c r="D28" s="85"/>
      <c r="E28" s="86"/>
      <c r="F28" s="16">
        <f>IF(E28="","",DATEDIF(E28,$I$7,"Y"))</f>
      </c>
      <c r="G28" s="85"/>
      <c r="H28" s="85"/>
      <c r="I28" s="87"/>
      <c r="J28" s="85"/>
      <c r="K28" s="85"/>
      <c r="L28" s="2"/>
      <c r="M28" s="2"/>
      <c r="N28" s="1"/>
      <c r="O28" s="1"/>
      <c r="P28" s="85"/>
      <c r="Q28" s="88"/>
      <c r="R28" s="3">
        <f>IFERROR(VLOOKUP(TablaJulio[[#This Row],[BARRIO]],SECTOR!$A:$B,2,0),"")</f>
      </c>
      <c r="S28" s="89"/>
      <c r="T28" s="90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17">
        <f>COUNTIF(U28:AY28,"A")</f>
      </c>
      <c r="BA28" s="17">
        <f>COUNTIF(U28:AY28,"F")</f>
      </c>
      <c r="BB28" s="17">
        <f>COUNTIF(U28:AY28,"E")</f>
      </c>
    </row>
    <row r="29" spans="1:54" ht="15.75" customHeight="1" x14ac:dyDescent="0.2">
      <c r="A29" s="84"/>
      <c r="B29" s="85"/>
      <c r="C29" s="85"/>
      <c r="D29" s="85"/>
      <c r="E29" s="86"/>
      <c r="F29" s="16">
        <f>IF(E29="","",DATEDIF(E29,$I$7,"Y"))</f>
      </c>
      <c r="G29" s="85"/>
      <c r="H29" s="85"/>
      <c r="I29" s="87"/>
      <c r="J29" s="85"/>
      <c r="K29" s="85"/>
      <c r="L29" s="2"/>
      <c r="M29" s="2"/>
      <c r="N29" s="1"/>
      <c r="O29" s="1"/>
      <c r="P29" s="85"/>
      <c r="Q29" s="88"/>
      <c r="R29" s="3">
        <f>IFERROR(VLOOKUP(TablaJulio[[#This Row],[BARRIO]],SECTOR!$A:$B,2,0),"")</f>
      </c>
      <c r="S29" s="89"/>
      <c r="T29" s="90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17">
        <f>COUNTIF(U29:AY29,"A")</f>
      </c>
      <c r="BA29" s="17">
        <f>COUNTIF(U29:AY29,"F")</f>
      </c>
      <c r="BB29" s="17">
        <f>COUNTIF(U29:AY29,"E")</f>
      </c>
    </row>
    <row r="30" spans="1:54" ht="15.75" customHeight="1" x14ac:dyDescent="0.2">
      <c r="A30" s="84"/>
      <c r="B30" s="85"/>
      <c r="C30" s="85"/>
      <c r="D30" s="85"/>
      <c r="E30" s="86"/>
      <c r="F30" s="16">
        <f>IF(E30="","",DATEDIF(E30,$I$7,"Y"))</f>
      </c>
      <c r="G30" s="85"/>
      <c r="H30" s="85"/>
      <c r="I30" s="87"/>
      <c r="J30" s="85"/>
      <c r="K30" s="85"/>
      <c r="L30" s="2"/>
      <c r="M30" s="2"/>
      <c r="N30" s="1"/>
      <c r="O30" s="1"/>
      <c r="P30" s="85"/>
      <c r="Q30" s="88"/>
      <c r="R30" s="3">
        <f>IFERROR(VLOOKUP(TablaJulio[[#This Row],[BARRIO]],SECTOR!$A:$B,2,0),"")</f>
      </c>
      <c r="S30" s="89"/>
      <c r="T30" s="90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17">
        <f>COUNTIF(U30:AY30,"A")</f>
      </c>
      <c r="BA30" s="17">
        <f>COUNTIF(U30:AY30,"F")</f>
      </c>
      <c r="BB30" s="17">
        <f>COUNTIF(U30:AY30,"E")</f>
      </c>
    </row>
    <row r="31" spans="1:54" ht="15.75" customHeight="1" x14ac:dyDescent="0.2">
      <c r="A31" s="84"/>
      <c r="B31" s="85"/>
      <c r="C31" s="85"/>
      <c r="D31" s="85"/>
      <c r="E31" s="86"/>
      <c r="F31" s="16">
        <f>IF(E31="","",DATEDIF(E31,$I$7,"Y"))</f>
      </c>
      <c r="G31" s="85"/>
      <c r="H31" s="85"/>
      <c r="I31" s="87"/>
      <c r="J31" s="85"/>
      <c r="K31" s="85"/>
      <c r="L31" s="2"/>
      <c r="M31" s="2"/>
      <c r="N31" s="1"/>
      <c r="O31" s="1"/>
      <c r="P31" s="85"/>
      <c r="Q31" s="88"/>
      <c r="R31" s="3">
        <f>IFERROR(VLOOKUP(TablaJulio[[#This Row],[BARRIO]],SECTOR!$A:$B,2,0),"")</f>
      </c>
      <c r="S31" s="89"/>
      <c r="T31" s="90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17">
        <f>COUNTIF(U31:AY31,"A")</f>
      </c>
      <c r="BA31" s="17">
        <f>COUNTIF(U31:AY31,"F")</f>
      </c>
      <c r="BB31" s="17">
        <f>COUNTIF(U31:AY31,"E")</f>
      </c>
    </row>
    <row r="32" spans="1:54" ht="15.75" customHeight="1" x14ac:dyDescent="0.2">
      <c r="A32" s="84"/>
      <c r="B32" s="85"/>
      <c r="C32" s="85"/>
      <c r="D32" s="85"/>
      <c r="E32" s="86"/>
      <c r="F32" s="16">
        <f>IF(E32="","",DATEDIF(E32,$I$7,"Y"))</f>
      </c>
      <c r="G32" s="85"/>
      <c r="H32" s="85"/>
      <c r="I32" s="87"/>
      <c r="J32" s="85"/>
      <c r="K32" s="85"/>
      <c r="L32" s="2"/>
      <c r="M32" s="2"/>
      <c r="N32" s="1"/>
      <c r="O32" s="1"/>
      <c r="P32" s="85"/>
      <c r="Q32" s="88"/>
      <c r="R32" s="3">
        <f>IFERROR(VLOOKUP(TablaJulio[[#This Row],[BARRIO]],SECTOR!$A:$B,2,0),"")</f>
      </c>
      <c r="S32" s="89"/>
      <c r="T32" s="90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17">
        <f>COUNTIF(U32:AY32,"A")</f>
      </c>
      <c r="BA32" s="17">
        <f>COUNTIF(U32:AY32,"F")</f>
      </c>
      <c r="BB32" s="17">
        <f>COUNTIF(U32:AY32,"E")</f>
      </c>
    </row>
    <row r="33" spans="1:54" ht="15.75" customHeight="1" x14ac:dyDescent="0.2">
      <c r="A33" s="84"/>
      <c r="B33" s="85"/>
      <c r="C33" s="85"/>
      <c r="D33" s="85"/>
      <c r="E33" s="86"/>
      <c r="F33" s="16">
        <f>IF(E33="","",DATEDIF(E33,$I$7,"Y"))</f>
      </c>
      <c r="G33" s="85"/>
      <c r="H33" s="85"/>
      <c r="I33" s="87"/>
      <c r="J33" s="85"/>
      <c r="K33" s="85"/>
      <c r="L33" s="2"/>
      <c r="M33" s="2"/>
      <c r="N33" s="1"/>
      <c r="O33" s="1"/>
      <c r="P33" s="85"/>
      <c r="Q33" s="88"/>
      <c r="R33" s="3">
        <f>IFERROR(VLOOKUP(TablaJulio[[#This Row],[BARRIO]],SECTOR!$A:$B,2,0),"")</f>
      </c>
      <c r="S33" s="89"/>
      <c r="T33" s="90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17">
        <f>COUNTIF(U33:AY33,"A")</f>
      </c>
      <c r="BA33" s="17">
        <f>COUNTIF(U33:AY33,"F")</f>
      </c>
      <c r="BB33" s="17">
        <f>COUNTIF(U33:AY33,"E")</f>
      </c>
    </row>
    <row r="34" spans="1:54" ht="15.75" customHeight="1" x14ac:dyDescent="0.2">
      <c r="A34" s="84"/>
      <c r="B34" s="85"/>
      <c r="C34" s="85"/>
      <c r="D34" s="85"/>
      <c r="E34" s="86"/>
      <c r="F34" s="16">
        <f>IF(E34="","",DATEDIF(E34,$I$7,"Y"))</f>
      </c>
      <c r="G34" s="85"/>
      <c r="H34" s="85"/>
      <c r="I34" s="87"/>
      <c r="J34" s="85"/>
      <c r="K34" s="85"/>
      <c r="L34" s="2"/>
      <c r="M34" s="2"/>
      <c r="N34" s="1"/>
      <c r="O34" s="1"/>
      <c r="P34" s="85"/>
      <c r="Q34" s="88"/>
      <c r="R34" s="3">
        <f>IFERROR(VLOOKUP(TablaJulio[[#This Row],[BARRIO]],SECTOR!$A:$B,2,0),"")</f>
      </c>
      <c r="S34" s="89"/>
      <c r="T34" s="90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17">
        <f>COUNTIF(U34:AY34,"A")</f>
      </c>
      <c r="BA34" s="17">
        <f>COUNTIF(U34:AY34,"F")</f>
      </c>
      <c r="BB34" s="17">
        <f>COUNTIF(U34:AY34,"E")</f>
      </c>
    </row>
    <row r="35" spans="1:54" ht="15.75" customHeight="1" x14ac:dyDescent="0.2">
      <c r="A35" s="84"/>
      <c r="B35" s="85"/>
      <c r="C35" s="85"/>
      <c r="D35" s="85"/>
      <c r="E35" s="86"/>
      <c r="F35" s="16">
        <f>IF(E35="","",DATEDIF(E35,$I$7,"Y"))</f>
      </c>
      <c r="G35" s="85"/>
      <c r="H35" s="85"/>
      <c r="I35" s="87"/>
      <c r="J35" s="85"/>
      <c r="K35" s="85"/>
      <c r="L35" s="2"/>
      <c r="M35" s="2"/>
      <c r="N35" s="1"/>
      <c r="O35" s="1"/>
      <c r="P35" s="85"/>
      <c r="Q35" s="88"/>
      <c r="R35" s="3">
        <f>IFERROR(VLOOKUP(TablaJulio[[#This Row],[BARRIO]],SECTOR!$A:$B,2,0),"")</f>
      </c>
      <c r="S35" s="89"/>
      <c r="T35" s="90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17">
        <f>COUNTIF(U35:AY35,"A")</f>
      </c>
      <c r="BA35" s="17">
        <f>COUNTIF(U35:AY35,"F")</f>
      </c>
      <c r="BB35" s="17">
        <f>COUNTIF(U35:AY35,"E")</f>
      </c>
    </row>
    <row r="36" spans="1:54" ht="15.75" customHeight="1" x14ac:dyDescent="0.2">
      <c r="A36" s="84"/>
      <c r="B36" s="85"/>
      <c r="C36" s="85"/>
      <c r="D36" s="85"/>
      <c r="E36" s="86"/>
      <c r="F36" s="16">
        <f>IF(E36="","",DATEDIF(E36,$I$7,"Y"))</f>
      </c>
      <c r="G36" s="85"/>
      <c r="H36" s="85"/>
      <c r="I36" s="87"/>
      <c r="J36" s="85"/>
      <c r="K36" s="85"/>
      <c r="L36" s="2"/>
      <c r="M36" s="2"/>
      <c r="N36" s="1"/>
      <c r="O36" s="1"/>
      <c r="P36" s="85"/>
      <c r="Q36" s="88"/>
      <c r="R36" s="3">
        <f>IFERROR(VLOOKUP(TablaJulio[[#This Row],[BARRIO]],SECTOR!$A:$B,2,0),"")</f>
      </c>
      <c r="S36" s="89"/>
      <c r="T36" s="90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17">
        <f>COUNTIF(U36:AY36,"A")</f>
      </c>
      <c r="BA36" s="17">
        <f>COUNTIF(U36:AY36,"F")</f>
      </c>
      <c r="BB36" s="17">
        <f>COUNTIF(U36:AY36,"E")</f>
      </c>
    </row>
    <row r="37" spans="1:54" ht="15.75" customHeight="1" x14ac:dyDescent="0.2">
      <c r="A37" s="84"/>
      <c r="B37" s="85"/>
      <c r="C37" s="85"/>
      <c r="D37" s="85"/>
      <c r="E37" s="86"/>
      <c r="F37" s="16">
        <f>IF(E37="","",DATEDIF(E37,$I$7,"Y"))</f>
      </c>
      <c r="G37" s="85"/>
      <c r="H37" s="85"/>
      <c r="I37" s="87"/>
      <c r="J37" s="85"/>
      <c r="K37" s="85"/>
      <c r="L37" s="2"/>
      <c r="M37" s="2"/>
      <c r="N37" s="1"/>
      <c r="O37" s="1"/>
      <c r="P37" s="85"/>
      <c r="Q37" s="88"/>
      <c r="R37" s="3">
        <f>IFERROR(VLOOKUP(TablaJulio[[#This Row],[BARRIO]],SECTOR!$A:$B,2,0),"")</f>
      </c>
      <c r="S37" s="89"/>
      <c r="T37" s="90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17">
        <f>COUNTIF(U37:AY37,"A")</f>
      </c>
      <c r="BA37" s="17">
        <f>COUNTIF(U37:AY37,"F")</f>
      </c>
      <c r="BB37" s="17">
        <f>COUNTIF(U37:AY37,"E")</f>
      </c>
    </row>
    <row r="38" spans="1:54" ht="15.75" customHeight="1" x14ac:dyDescent="0.2">
      <c r="A38" s="84"/>
      <c r="B38" s="85"/>
      <c r="C38" s="85"/>
      <c r="D38" s="85"/>
      <c r="E38" s="86"/>
      <c r="F38" s="16">
        <f>IF(E38="","",DATEDIF(E38,$I$7,"Y"))</f>
      </c>
      <c r="G38" s="85"/>
      <c r="H38" s="85"/>
      <c r="I38" s="87"/>
      <c r="J38" s="85"/>
      <c r="K38" s="85"/>
      <c r="L38" s="2"/>
      <c r="M38" s="2"/>
      <c r="N38" s="1"/>
      <c r="O38" s="1"/>
      <c r="P38" s="85"/>
      <c r="Q38" s="88"/>
      <c r="R38" s="3">
        <f>IFERROR(VLOOKUP(TablaJulio[[#This Row],[BARRIO]],SECTOR!$A:$B,2,0),"")</f>
      </c>
      <c r="S38" s="89"/>
      <c r="T38" s="90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17">
        <f>COUNTIF(U38:AY38,"A")</f>
      </c>
      <c r="BA38" s="17">
        <f>COUNTIF(U38:AY38,"F")</f>
      </c>
      <c r="BB38" s="17">
        <f>COUNTIF(U38:AY38,"E")</f>
      </c>
    </row>
    <row r="39" spans="1:54" ht="15.75" customHeight="1" x14ac:dyDescent="0.2">
      <c r="A39" s="84"/>
      <c r="B39" s="85"/>
      <c r="C39" s="85"/>
      <c r="D39" s="85"/>
      <c r="E39" s="86"/>
      <c r="F39" s="16">
        <f>IF(E39="","",DATEDIF(E39,$I$7,"Y"))</f>
      </c>
      <c r="G39" s="85"/>
      <c r="H39" s="85"/>
      <c r="I39" s="87"/>
      <c r="J39" s="85"/>
      <c r="K39" s="85"/>
      <c r="L39" s="2"/>
      <c r="M39" s="2"/>
      <c r="N39" s="1"/>
      <c r="O39" s="1"/>
      <c r="P39" s="85"/>
      <c r="Q39" s="88"/>
      <c r="R39" s="3">
        <f>IFERROR(VLOOKUP(TablaJulio[[#This Row],[BARRIO]],SECTOR!$A:$B,2,0),"")</f>
      </c>
      <c r="S39" s="89"/>
      <c r="T39" s="90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17">
        <f>COUNTIF(U39:AY39,"A")</f>
      </c>
      <c r="BA39" s="17">
        <f>COUNTIF(U39:AY39,"F")</f>
      </c>
      <c r="BB39" s="17">
        <f>COUNTIF(U39:AY39,"E")</f>
      </c>
    </row>
    <row r="40" spans="1:54" ht="15.75" customHeight="1" x14ac:dyDescent="0.2">
      <c r="A40" s="84"/>
      <c r="B40" s="85"/>
      <c r="C40" s="85"/>
      <c r="D40" s="85"/>
      <c r="E40" s="86"/>
      <c r="F40" s="16">
        <f>IF(E40="","",DATEDIF(E40,$I$7,"Y"))</f>
      </c>
      <c r="G40" s="85"/>
      <c r="H40" s="85"/>
      <c r="I40" s="87"/>
      <c r="J40" s="85"/>
      <c r="K40" s="85"/>
      <c r="L40" s="2"/>
      <c r="M40" s="2"/>
      <c r="N40" s="1"/>
      <c r="O40" s="1"/>
      <c r="P40" s="85"/>
      <c r="Q40" s="88"/>
      <c r="R40" s="3">
        <f>IFERROR(VLOOKUP(TablaJulio[[#This Row],[BARRIO]],SECTOR!$A:$B,2,0),"")</f>
      </c>
      <c r="S40" s="89"/>
      <c r="T40" s="90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17">
        <f>COUNTIF(U40:AY40,"A")</f>
      </c>
      <c r="BA40" s="17">
        <f>COUNTIF(U40:AY40,"F")</f>
      </c>
      <c r="BB40" s="17">
        <f>COUNTIF(U40:AY40,"E")</f>
      </c>
    </row>
    <row r="41" spans="1:54" ht="15.75" customHeight="1" x14ac:dyDescent="0.2">
      <c r="A41" s="84"/>
      <c r="B41" s="85"/>
      <c r="C41" s="85"/>
      <c r="D41" s="85"/>
      <c r="E41" s="86"/>
      <c r="F41" s="16">
        <f>IF(E41="","",DATEDIF(E41,$I$7,"Y"))</f>
      </c>
      <c r="G41" s="85"/>
      <c r="H41" s="85"/>
      <c r="I41" s="87"/>
      <c r="J41" s="85"/>
      <c r="K41" s="85"/>
      <c r="L41" s="2"/>
      <c r="M41" s="2"/>
      <c r="N41" s="1"/>
      <c r="O41" s="1"/>
      <c r="P41" s="85"/>
      <c r="Q41" s="88"/>
      <c r="R41" s="3">
        <f>IFERROR(VLOOKUP(TablaJulio[[#This Row],[BARRIO]],SECTOR!$A:$B,2,0),"")</f>
      </c>
      <c r="S41" s="89"/>
      <c r="T41" s="90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17">
        <f>COUNTIF(U41:AY41,"A")</f>
      </c>
      <c r="BA41" s="17">
        <f>COUNTIF(U41:AY41,"F")</f>
      </c>
      <c r="BB41" s="17">
        <f>COUNTIF(U41:AY41,"E")</f>
      </c>
    </row>
    <row r="42" spans="1:54" ht="15.75" customHeight="1" x14ac:dyDescent="0.2">
      <c r="A42" s="84"/>
      <c r="B42" s="85"/>
      <c r="C42" s="85"/>
      <c r="D42" s="85"/>
      <c r="E42" s="86"/>
      <c r="F42" s="16">
        <f>IF(E42="","",DATEDIF(E42,$I$7,"Y"))</f>
      </c>
      <c r="G42" s="85"/>
      <c r="H42" s="85"/>
      <c r="I42" s="87"/>
      <c r="J42" s="85"/>
      <c r="K42" s="85"/>
      <c r="L42" s="2"/>
      <c r="M42" s="2"/>
      <c r="N42" s="1"/>
      <c r="O42" s="1"/>
      <c r="P42" s="85"/>
      <c r="Q42" s="88"/>
      <c r="R42" s="3">
        <f>IFERROR(VLOOKUP(TablaJulio[[#This Row],[BARRIO]],SECTOR!$A:$B,2,0),"")</f>
      </c>
      <c r="S42" s="89"/>
      <c r="T42" s="90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17">
        <f>COUNTIF(U42:AY42,"A")</f>
      </c>
      <c r="BA42" s="17">
        <f>COUNTIF(U42:AY42,"F")</f>
      </c>
      <c r="BB42" s="17">
        <f>COUNTIF(U42:AY42,"E")</f>
      </c>
    </row>
    <row r="43" spans="1:54" ht="15.75" customHeight="1" x14ac:dyDescent="0.2">
      <c r="A43" s="84"/>
      <c r="B43" s="85"/>
      <c r="C43" s="85"/>
      <c r="D43" s="85"/>
      <c r="E43" s="86"/>
      <c r="F43" s="16">
        <f>IF(E43="","",DATEDIF(E43,$I$7,"Y"))</f>
      </c>
      <c r="G43" s="85"/>
      <c r="H43" s="85"/>
      <c r="I43" s="87"/>
      <c r="J43" s="85"/>
      <c r="K43" s="85"/>
      <c r="L43" s="2"/>
      <c r="M43" s="2"/>
      <c r="N43" s="1"/>
      <c r="O43" s="1"/>
      <c r="P43" s="85"/>
      <c r="Q43" s="88"/>
      <c r="R43" s="3">
        <f>IFERROR(VLOOKUP(TablaJulio[[#This Row],[BARRIO]],SECTOR!$A:$B,2,0),"")</f>
      </c>
      <c r="S43" s="89"/>
      <c r="T43" s="90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17">
        <f>COUNTIF(U43:AY43,"A")</f>
      </c>
      <c r="BA43" s="17">
        <f>COUNTIF(U43:AY43,"F")</f>
      </c>
      <c r="BB43" s="17">
        <f>COUNTIF(U43:AY43,"E")</f>
      </c>
    </row>
    <row r="44" spans="1:54" ht="15.75" customHeight="1" x14ac:dyDescent="0.2">
      <c r="A44" s="84"/>
      <c r="B44" s="85"/>
      <c r="C44" s="85"/>
      <c r="D44" s="85"/>
      <c r="E44" s="86"/>
      <c r="F44" s="16">
        <f>IF(E44="","",DATEDIF(E44,$I$7,"Y"))</f>
      </c>
      <c r="G44" s="85"/>
      <c r="H44" s="85"/>
      <c r="I44" s="87"/>
      <c r="J44" s="85"/>
      <c r="K44" s="85"/>
      <c r="L44" s="2"/>
      <c r="M44" s="2"/>
      <c r="N44" s="1"/>
      <c r="O44" s="1"/>
      <c r="P44" s="85"/>
      <c r="Q44" s="88"/>
      <c r="R44" s="3">
        <f>IFERROR(VLOOKUP(TablaJulio[[#This Row],[BARRIO]],SECTOR!$A:$B,2,0),"")</f>
      </c>
      <c r="S44" s="89"/>
      <c r="T44" s="90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17">
        <f>COUNTIF(U44:AY44,"A")</f>
      </c>
      <c r="BA44" s="17">
        <f>COUNTIF(U44:AY44,"F")</f>
      </c>
      <c r="BB44" s="17">
        <f>COUNTIF(U44:AY44,"E")</f>
      </c>
    </row>
    <row r="45" spans="1:54" ht="15.75" customHeight="1" x14ac:dyDescent="0.2">
      <c r="A45" s="84"/>
      <c r="B45" s="85"/>
      <c r="C45" s="85"/>
      <c r="D45" s="85"/>
      <c r="E45" s="86"/>
      <c r="F45" s="16">
        <f>IF(E45="","",DATEDIF(E45,$I$7,"Y"))</f>
      </c>
      <c r="G45" s="85"/>
      <c r="H45" s="85"/>
      <c r="I45" s="87"/>
      <c r="J45" s="85"/>
      <c r="K45" s="85"/>
      <c r="L45" s="2"/>
      <c r="M45" s="2"/>
      <c r="N45" s="1"/>
      <c r="O45" s="1"/>
      <c r="P45" s="85"/>
      <c r="Q45" s="88"/>
      <c r="R45" s="3">
        <f>IFERROR(VLOOKUP(TablaJulio[[#This Row],[BARRIO]],SECTOR!$A:$B,2,0),"")</f>
      </c>
      <c r="S45" s="89"/>
      <c r="T45" s="90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17">
        <f>COUNTIF(U45:AY45,"A")</f>
      </c>
      <c r="BA45" s="17">
        <f>COUNTIF(U45:AY45,"F")</f>
      </c>
      <c r="BB45" s="17">
        <f>COUNTIF(U45:AY45,"E")</f>
      </c>
    </row>
    <row r="46" spans="1:54" ht="15.75" customHeight="1" x14ac:dyDescent="0.2">
      <c r="A46" s="84"/>
      <c r="B46" s="85"/>
      <c r="C46" s="85"/>
      <c r="D46" s="85"/>
      <c r="E46" s="86"/>
      <c r="F46" s="16">
        <f>IF(E46="","",DATEDIF(E46,$I$7,"Y"))</f>
      </c>
      <c r="G46" s="85"/>
      <c r="H46" s="85"/>
      <c r="I46" s="87"/>
      <c r="J46" s="85"/>
      <c r="K46" s="85"/>
      <c r="L46" s="2"/>
      <c r="M46" s="2"/>
      <c r="N46" s="1"/>
      <c r="O46" s="1"/>
      <c r="P46" s="85"/>
      <c r="Q46" s="88"/>
      <c r="R46" s="3">
        <f>IFERROR(VLOOKUP(TablaJulio[[#This Row],[BARRIO]],SECTOR!$A:$B,2,0),"")</f>
      </c>
      <c r="S46" s="89"/>
      <c r="T46" s="90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17">
        <f>COUNTIF(U46:AY46,"A")</f>
      </c>
      <c r="BA46" s="17">
        <f>COUNTIF(U46:AY46,"F")</f>
      </c>
      <c r="BB46" s="17">
        <f>COUNTIF(U46:AY46,"E")</f>
      </c>
    </row>
    <row r="47" spans="1:54" ht="15.75" customHeight="1" x14ac:dyDescent="0.2">
      <c r="A47" s="84"/>
      <c r="B47" s="85"/>
      <c r="C47" s="85"/>
      <c r="D47" s="85"/>
      <c r="E47" s="86"/>
      <c r="F47" s="16">
        <f>IF(E47="","",DATEDIF(E47,$I$7,"Y"))</f>
      </c>
      <c r="G47" s="85"/>
      <c r="H47" s="85"/>
      <c r="I47" s="87"/>
      <c r="J47" s="85"/>
      <c r="K47" s="85"/>
      <c r="L47" s="2"/>
      <c r="M47" s="2"/>
      <c r="N47" s="1"/>
      <c r="O47" s="1"/>
      <c r="P47" s="85"/>
      <c r="Q47" s="88"/>
      <c r="R47" s="3">
        <f>IFERROR(VLOOKUP(TablaJulio[[#This Row],[BARRIO]],SECTOR!$A:$B,2,0),"")</f>
      </c>
      <c r="S47" s="89"/>
      <c r="T47" s="90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17">
        <f>COUNTIF(U47:AY47,"A")</f>
      </c>
      <c r="BA47" s="17">
        <f>COUNTIF(U47:AY47,"F")</f>
      </c>
      <c r="BB47" s="17">
        <f>COUNTIF(U47:AY47,"E")</f>
      </c>
    </row>
    <row r="48" spans="1:54" ht="15.75" customHeight="1" x14ac:dyDescent="0.2">
      <c r="A48" s="84"/>
      <c r="B48" s="85"/>
      <c r="C48" s="85"/>
      <c r="D48" s="85"/>
      <c r="E48" s="86"/>
      <c r="F48" s="16">
        <f>IF(E48="","",DATEDIF(E48,$I$7,"Y"))</f>
      </c>
      <c r="G48" s="85"/>
      <c r="H48" s="85"/>
      <c r="I48" s="87"/>
      <c r="J48" s="85"/>
      <c r="K48" s="85"/>
      <c r="L48" s="2"/>
      <c r="M48" s="2"/>
      <c r="N48" s="1"/>
      <c r="O48" s="1"/>
      <c r="P48" s="85"/>
      <c r="Q48" s="88"/>
      <c r="R48" s="3">
        <f>IFERROR(VLOOKUP(TablaJulio[[#This Row],[BARRIO]],SECTOR!$A:$B,2,0),"")</f>
      </c>
      <c r="S48" s="89"/>
      <c r="T48" s="90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17">
        <f>COUNTIF(U48:AY48,"A")</f>
      </c>
      <c r="BA48" s="17">
        <f>COUNTIF(U48:AY48,"F")</f>
      </c>
      <c r="BB48" s="17">
        <f>COUNTIF(U48:AY48,"E")</f>
      </c>
    </row>
    <row r="49" spans="1:54" ht="15.75" customHeight="1" x14ac:dyDescent="0.2">
      <c r="A49" s="84"/>
      <c r="B49" s="85"/>
      <c r="C49" s="85"/>
      <c r="D49" s="85"/>
      <c r="E49" s="86"/>
      <c r="F49" s="16">
        <f>IF(E49="","",DATEDIF(E49,$I$7,"Y"))</f>
      </c>
      <c r="G49" s="85"/>
      <c r="H49" s="85"/>
      <c r="I49" s="87"/>
      <c r="J49" s="85"/>
      <c r="K49" s="85"/>
      <c r="L49" s="2"/>
      <c r="M49" s="2"/>
      <c r="N49" s="1"/>
      <c r="O49" s="1"/>
      <c r="P49" s="85"/>
      <c r="Q49" s="88"/>
      <c r="R49" s="3">
        <f>IFERROR(VLOOKUP(TablaJulio[[#This Row],[BARRIO]],SECTOR!$A:$B,2,0),"")</f>
      </c>
      <c r="S49" s="89"/>
      <c r="T49" s="90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17">
        <f>COUNTIF(U49:AY49,"A")</f>
      </c>
      <c r="BA49" s="17">
        <f>COUNTIF(U49:AY49,"F")</f>
      </c>
      <c r="BB49" s="17">
        <f>COUNTIF(U49:AY49,"E")</f>
      </c>
    </row>
    <row r="50" spans="1:54" ht="15.75" customHeight="1" x14ac:dyDescent="0.2">
      <c r="A50" s="84"/>
      <c r="B50" s="85"/>
      <c r="C50" s="85"/>
      <c r="D50" s="85"/>
      <c r="E50" s="86"/>
      <c r="F50" s="16">
        <f>IF(E50="","",DATEDIF(E50,$I$7,"Y"))</f>
      </c>
      <c r="G50" s="85"/>
      <c r="H50" s="85"/>
      <c r="I50" s="87"/>
      <c r="J50" s="85"/>
      <c r="K50" s="85"/>
      <c r="L50" s="2"/>
      <c r="M50" s="2"/>
      <c r="N50" s="1"/>
      <c r="O50" s="1"/>
      <c r="P50" s="85"/>
      <c r="Q50" s="88"/>
      <c r="R50" s="3">
        <f>IFERROR(VLOOKUP(TablaJulio[[#This Row],[BARRIO]],SECTOR!$A:$B,2,0),"")</f>
      </c>
      <c r="S50" s="89"/>
      <c r="T50" s="90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17">
        <f>COUNTIF(U50:AY50,"A")</f>
      </c>
      <c r="BA50" s="17">
        <f>COUNTIF(U50:AY50,"F")</f>
      </c>
      <c r="BB50" s="17">
        <f>COUNTIF(U50:AY50,"E")</f>
      </c>
    </row>
    <row r="51" spans="1:54" ht="15.75" customHeight="1" x14ac:dyDescent="0.2">
      <c r="A51" s="84"/>
      <c r="B51" s="85"/>
      <c r="C51" s="85"/>
      <c r="D51" s="85"/>
      <c r="E51" s="86"/>
      <c r="F51" s="16">
        <f>IF(E51="","",DATEDIF(E51,$I$7,"Y"))</f>
      </c>
      <c r="G51" s="85"/>
      <c r="H51" s="85"/>
      <c r="I51" s="87"/>
      <c r="J51" s="85"/>
      <c r="K51" s="85"/>
      <c r="L51" s="2"/>
      <c r="M51" s="2"/>
      <c r="N51" s="1"/>
      <c r="O51" s="1"/>
      <c r="P51" s="85"/>
      <c r="Q51" s="88"/>
      <c r="R51" s="3">
        <f>IFERROR(VLOOKUP(TablaJulio[[#This Row],[BARRIO]],SECTOR!$A:$B,2,0),"")</f>
      </c>
      <c r="S51" s="89"/>
      <c r="T51" s="90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17">
        <f>COUNTIF(U51:AY51,"A")</f>
      </c>
      <c r="BA51" s="17">
        <f>COUNTIF(U51:AY51,"F")</f>
      </c>
      <c r="BB51" s="17">
        <f>COUNTIF(U51:AY51,"E")</f>
      </c>
    </row>
    <row r="52" spans="1:54" ht="15.75" customHeight="1" x14ac:dyDescent="0.2">
      <c r="A52" s="84"/>
      <c r="B52" s="85"/>
      <c r="C52" s="85"/>
      <c r="D52" s="85"/>
      <c r="E52" s="86"/>
      <c r="F52" s="16">
        <f>IF(E52="","",DATEDIF(E52,$I$7,"Y"))</f>
      </c>
      <c r="G52" s="85"/>
      <c r="H52" s="85"/>
      <c r="I52" s="87"/>
      <c r="J52" s="85"/>
      <c r="K52" s="85"/>
      <c r="L52" s="2"/>
      <c r="M52" s="2"/>
      <c r="N52" s="1"/>
      <c r="O52" s="1"/>
      <c r="P52" s="85"/>
      <c r="Q52" s="88"/>
      <c r="R52" s="3">
        <f>IFERROR(VLOOKUP(TablaJulio[[#This Row],[BARRIO]],SECTOR!$A:$B,2,0),"")</f>
      </c>
      <c r="S52" s="89"/>
      <c r="T52" s="90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17">
        <f>COUNTIF(U52:AY52,"A")</f>
      </c>
      <c r="BA52" s="17">
        <f>COUNTIF(U52:AY52,"F")</f>
      </c>
      <c r="BB52" s="17">
        <f>COUNTIF(U52:AY52,"E")</f>
      </c>
    </row>
    <row r="53" spans="1:54" ht="15.75" customHeight="1" x14ac:dyDescent="0.2">
      <c r="A53" s="84"/>
      <c r="B53" s="85"/>
      <c r="C53" s="85"/>
      <c r="D53" s="85"/>
      <c r="E53" s="86"/>
      <c r="F53" s="16">
        <f>IF(E53="","",DATEDIF(E53,$I$7,"Y"))</f>
      </c>
      <c r="G53" s="85"/>
      <c r="H53" s="85"/>
      <c r="I53" s="87"/>
      <c r="J53" s="85"/>
      <c r="K53" s="85"/>
      <c r="L53" s="2"/>
      <c r="M53" s="2"/>
      <c r="N53" s="1"/>
      <c r="O53" s="1"/>
      <c r="P53" s="85"/>
      <c r="Q53" s="88"/>
      <c r="R53" s="3">
        <f>IFERROR(VLOOKUP(TablaJulio[[#This Row],[BARRIO]],SECTOR!$A:$B,2,0),"")</f>
      </c>
      <c r="S53" s="89"/>
      <c r="T53" s="90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17">
        <f>COUNTIF(U53:AY53,"A")</f>
      </c>
      <c r="BA53" s="17">
        <f>COUNTIF(U53:AY53,"F")</f>
      </c>
      <c r="BB53" s="17">
        <f>COUNTIF(U53:AY53,"E")</f>
      </c>
    </row>
    <row r="54" spans="1:54" ht="15.75" customHeight="1" x14ac:dyDescent="0.2">
      <c r="A54" s="84"/>
      <c r="B54" s="85"/>
      <c r="C54" s="85"/>
      <c r="D54" s="85"/>
      <c r="E54" s="86"/>
      <c r="F54" s="16">
        <f>IF(E54="","",DATEDIF(E54,$I$7,"Y"))</f>
      </c>
      <c r="G54" s="85"/>
      <c r="H54" s="85"/>
      <c r="I54" s="87"/>
      <c r="J54" s="85"/>
      <c r="K54" s="85"/>
      <c r="L54" s="2"/>
      <c r="M54" s="2"/>
      <c r="N54" s="1"/>
      <c r="O54" s="1"/>
      <c r="P54" s="85"/>
      <c r="Q54" s="88"/>
      <c r="R54" s="3">
        <f>IFERROR(VLOOKUP(TablaJulio[[#This Row],[BARRIO]],SECTOR!$A:$B,2,0),"")</f>
      </c>
      <c r="S54" s="89"/>
      <c r="T54" s="90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17">
        <f>COUNTIF(U54:AY54,"A")</f>
      </c>
      <c r="BA54" s="17">
        <f>COUNTIF(U54:AY54,"F")</f>
      </c>
      <c r="BB54" s="17">
        <f>COUNTIF(U54:AY54,"E")</f>
      </c>
    </row>
    <row r="55" spans="1:54" ht="15.75" customHeight="1" x14ac:dyDescent="0.2">
      <c r="A55" s="84"/>
      <c r="B55" s="85"/>
      <c r="C55" s="85"/>
      <c r="D55" s="85"/>
      <c r="E55" s="86"/>
      <c r="F55" s="16">
        <f>IF(E55="","",DATEDIF(E55,$I$7,"Y"))</f>
      </c>
      <c r="G55" s="85"/>
      <c r="H55" s="85"/>
      <c r="I55" s="87"/>
      <c r="J55" s="85"/>
      <c r="K55" s="85"/>
      <c r="L55" s="2"/>
      <c r="M55" s="2"/>
      <c r="N55" s="1"/>
      <c r="O55" s="1"/>
      <c r="P55" s="85"/>
      <c r="Q55" s="88"/>
      <c r="R55" s="3">
        <f>IFERROR(VLOOKUP(TablaJulio[[#This Row],[BARRIO]],SECTOR!$A:$B,2,0),"")</f>
      </c>
      <c r="S55" s="89"/>
      <c r="T55" s="90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17">
        <f>COUNTIF(U55:AY55,"A")</f>
      </c>
      <c r="BA55" s="17">
        <f>COUNTIF(U55:AY55,"F")</f>
      </c>
      <c r="BB55" s="17">
        <f>COUNTIF(U55:AY55,"E")</f>
      </c>
    </row>
    <row r="56" spans="1:54" ht="15.75" customHeight="1" x14ac:dyDescent="0.2">
      <c r="A56" s="84"/>
      <c r="B56" s="85"/>
      <c r="C56" s="85"/>
      <c r="D56" s="85"/>
      <c r="E56" s="86"/>
      <c r="F56" s="16">
        <f>IF(E56="","",DATEDIF(E56,$I$7,"Y"))</f>
      </c>
      <c r="G56" s="85"/>
      <c r="H56" s="85"/>
      <c r="I56" s="87"/>
      <c r="J56" s="85"/>
      <c r="K56" s="85"/>
      <c r="L56" s="2"/>
      <c r="M56" s="2"/>
      <c r="N56" s="1"/>
      <c r="O56" s="1"/>
      <c r="P56" s="85"/>
      <c r="Q56" s="88"/>
      <c r="R56" s="3">
        <f>IFERROR(VLOOKUP(TablaJulio[[#This Row],[BARRIO]],SECTOR!$A:$B,2,0),"")</f>
      </c>
      <c r="S56" s="89"/>
      <c r="T56" s="90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17">
        <f>COUNTIF(U56:AY56,"A")</f>
      </c>
      <c r="BA56" s="17">
        <f>COUNTIF(U56:AY56,"F")</f>
      </c>
      <c r="BB56" s="17">
        <f>COUNTIF(U56:AY56,"E")</f>
      </c>
    </row>
    <row r="57" spans="1:54" ht="15.75" customHeight="1" x14ac:dyDescent="0.2">
      <c r="A57" s="84"/>
      <c r="B57" s="85"/>
      <c r="C57" s="85"/>
      <c r="D57" s="85"/>
      <c r="E57" s="86"/>
      <c r="F57" s="16">
        <f>IF(E57="","",DATEDIF(E57,$I$7,"Y"))</f>
      </c>
      <c r="G57" s="85"/>
      <c r="H57" s="85"/>
      <c r="I57" s="87"/>
      <c r="J57" s="85"/>
      <c r="K57" s="85"/>
      <c r="L57" s="2"/>
      <c r="M57" s="2"/>
      <c r="N57" s="1"/>
      <c r="O57" s="1"/>
      <c r="P57" s="85"/>
      <c r="Q57" s="88"/>
      <c r="R57" s="3">
        <f>IFERROR(VLOOKUP(TablaJulio[[#This Row],[BARRIO]],SECTOR!$A:$B,2,0),"")</f>
      </c>
      <c r="S57" s="89"/>
      <c r="T57" s="90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17">
        <f>COUNTIF(U57:AY57,"A")</f>
      </c>
      <c r="BA57" s="17">
        <f>COUNTIF(U57:AY57,"F")</f>
      </c>
      <c r="BB57" s="17">
        <f>COUNTIF(U57:AY57,"E")</f>
      </c>
    </row>
    <row r="58" spans="1:54" ht="15.75" customHeight="1" x14ac:dyDescent="0.2">
      <c r="A58" s="84"/>
      <c r="B58" s="85"/>
      <c r="C58" s="85"/>
      <c r="D58" s="85"/>
      <c r="E58" s="86"/>
      <c r="F58" s="16">
        <f>IF(E58="","",DATEDIF(E58,$I$7,"Y"))</f>
      </c>
      <c r="G58" s="85"/>
      <c r="H58" s="85"/>
      <c r="I58" s="87"/>
      <c r="J58" s="85"/>
      <c r="K58" s="85"/>
      <c r="L58" s="2"/>
      <c r="M58" s="2"/>
      <c r="N58" s="1"/>
      <c r="O58" s="1"/>
      <c r="P58" s="85"/>
      <c r="Q58" s="88"/>
      <c r="R58" s="3">
        <f>IFERROR(VLOOKUP(TablaJulio[[#This Row],[BARRIO]],SECTOR!$A:$B,2,0),"")</f>
      </c>
      <c r="S58" s="89"/>
      <c r="T58" s="90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17">
        <f>COUNTIF(U58:AY58,"A")</f>
      </c>
      <c r="BA58" s="17">
        <f>COUNTIF(U58:AY58,"F")</f>
      </c>
      <c r="BB58" s="17">
        <f>COUNTIF(U58:AY58,"E")</f>
      </c>
    </row>
    <row r="59" spans="1:54" ht="15.75" customHeight="1" x14ac:dyDescent="0.2">
      <c r="A59" s="84"/>
      <c r="B59" s="85"/>
      <c r="C59" s="85"/>
      <c r="D59" s="85"/>
      <c r="E59" s="86"/>
      <c r="F59" s="16">
        <f>IF(E59="","",DATEDIF(E59,$I$7,"Y"))</f>
      </c>
      <c r="G59" s="85"/>
      <c r="H59" s="85"/>
      <c r="I59" s="87"/>
      <c r="J59" s="85"/>
      <c r="K59" s="85"/>
      <c r="L59" s="2"/>
      <c r="M59" s="2"/>
      <c r="N59" s="1"/>
      <c r="O59" s="1"/>
      <c r="P59" s="85"/>
      <c r="Q59" s="88"/>
      <c r="R59" s="3">
        <f>IFERROR(VLOOKUP(TablaJulio[[#This Row],[BARRIO]],SECTOR!$A:$B,2,0),"")</f>
      </c>
      <c r="S59" s="89"/>
      <c r="T59" s="90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17">
        <f>COUNTIF(U59:AY59,"A")</f>
      </c>
      <c r="BA59" s="17">
        <f>COUNTIF(U59:AY59,"F")</f>
      </c>
      <c r="BB59" s="17">
        <f>COUNTIF(U59:AY59,"E")</f>
      </c>
    </row>
    <row r="60" spans="1:54" ht="15.75" customHeight="1" x14ac:dyDescent="0.2">
      <c r="A60" s="84"/>
      <c r="B60" s="85"/>
      <c r="C60" s="85"/>
      <c r="D60" s="85"/>
      <c r="E60" s="86"/>
      <c r="F60" s="16">
        <f>IF(E60="","",DATEDIF(E60,$I$7,"Y"))</f>
      </c>
      <c r="G60" s="85"/>
      <c r="H60" s="85"/>
      <c r="I60" s="87"/>
      <c r="J60" s="85"/>
      <c r="K60" s="85"/>
      <c r="L60" s="2"/>
      <c r="M60" s="2"/>
      <c r="N60" s="1"/>
      <c r="O60" s="1"/>
      <c r="P60" s="85"/>
      <c r="Q60" s="88"/>
      <c r="R60" s="3">
        <f>IFERROR(VLOOKUP(TablaJulio[[#This Row],[BARRIO]],SECTOR!$A:$B,2,0),"")</f>
      </c>
      <c r="S60" s="89"/>
      <c r="T60" s="90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17">
        <f>COUNTIF(U60:AY60,"A")</f>
      </c>
      <c r="BA60" s="17">
        <f>COUNTIF(U60:AY60,"F")</f>
      </c>
      <c r="BB60" s="17">
        <f>COUNTIF(U60:AY60,"E")</f>
      </c>
    </row>
    <row r="61" spans="1:54" ht="15.75" customHeight="1" x14ac:dyDescent="0.2">
      <c r="A61" s="84"/>
      <c r="B61" s="85"/>
      <c r="C61" s="85"/>
      <c r="D61" s="85"/>
      <c r="E61" s="86"/>
      <c r="F61" s="16">
        <f>IF(E61="","",DATEDIF(E61,$I$7,"Y"))</f>
      </c>
      <c r="G61" s="85"/>
      <c r="H61" s="85"/>
      <c r="I61" s="87"/>
      <c r="J61" s="85"/>
      <c r="K61" s="85"/>
      <c r="L61" s="2"/>
      <c r="M61" s="2"/>
      <c r="N61" s="1"/>
      <c r="O61" s="1"/>
      <c r="P61" s="85"/>
      <c r="Q61" s="88"/>
      <c r="R61" s="3">
        <f>IFERROR(VLOOKUP(TablaJulio[[#This Row],[BARRIO]],SECTOR!$A:$B,2,0),"")</f>
      </c>
      <c r="S61" s="89"/>
      <c r="T61" s="90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17">
        <f>COUNTIF(U61:AY61,"A")</f>
      </c>
      <c r="BA61" s="17">
        <f>COUNTIF(U61:AY61,"F")</f>
      </c>
      <c r="BB61" s="17">
        <f>COUNTIF(U61:AY61,"E")</f>
      </c>
    </row>
    <row r="62" spans="1:54" ht="15.75" customHeight="1" x14ac:dyDescent="0.2">
      <c r="A62" s="84"/>
      <c r="B62" s="85"/>
      <c r="C62" s="85"/>
      <c r="D62" s="85"/>
      <c r="E62" s="86"/>
      <c r="F62" s="16">
        <f>IF(E62="","",DATEDIF(E62,$I$7,"Y"))</f>
      </c>
      <c r="G62" s="85"/>
      <c r="H62" s="85"/>
      <c r="I62" s="87"/>
      <c r="J62" s="85"/>
      <c r="K62" s="85"/>
      <c r="L62" s="2"/>
      <c r="M62" s="2"/>
      <c r="N62" s="1"/>
      <c r="O62" s="1"/>
      <c r="P62" s="85"/>
      <c r="Q62" s="88"/>
      <c r="R62" s="3">
        <f>IFERROR(VLOOKUP(TablaJulio[[#This Row],[BARRIO]],SECTOR!$A:$B,2,0),"")</f>
      </c>
      <c r="S62" s="89"/>
      <c r="T62" s="90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17">
        <f>COUNTIF(U62:AY62,"A")</f>
      </c>
      <c r="BA62" s="17">
        <f>COUNTIF(U62:AY62,"F")</f>
      </c>
      <c r="BB62" s="17">
        <f>COUNTIF(U62:AY62,"E")</f>
      </c>
    </row>
    <row r="63" spans="1:54" ht="15.75" customHeight="1" x14ac:dyDescent="0.2">
      <c r="A63" s="84"/>
      <c r="B63" s="85"/>
      <c r="C63" s="85"/>
      <c r="D63" s="85"/>
      <c r="E63" s="86"/>
      <c r="F63" s="16">
        <f>IF(E63="","",DATEDIF(E63,$I$7,"Y"))</f>
      </c>
      <c r="G63" s="85"/>
      <c r="H63" s="85"/>
      <c r="I63" s="87"/>
      <c r="J63" s="85"/>
      <c r="K63" s="85"/>
      <c r="L63" s="2"/>
      <c r="M63" s="2"/>
      <c r="N63" s="1"/>
      <c r="O63" s="1"/>
      <c r="P63" s="85"/>
      <c r="Q63" s="88"/>
      <c r="R63" s="3">
        <f>IFERROR(VLOOKUP(TablaJulio[[#This Row],[BARRIO]],SECTOR!$A:$B,2,0),"")</f>
      </c>
      <c r="S63" s="89"/>
      <c r="T63" s="90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17">
        <f>COUNTIF(U63:AY63,"A")</f>
      </c>
      <c r="BA63" s="17">
        <f>COUNTIF(U63:AY63,"F")</f>
      </c>
      <c r="BB63" s="17">
        <f>COUNTIF(U63:AY63,"E")</f>
      </c>
    </row>
    <row r="64" spans="1:54" ht="15.75" customHeight="1" x14ac:dyDescent="0.2">
      <c r="A64" s="84"/>
      <c r="B64" s="85"/>
      <c r="C64" s="85"/>
      <c r="D64" s="85"/>
      <c r="E64" s="86"/>
      <c r="F64" s="16">
        <f>IF(E64="","",DATEDIF(E64,$I$7,"Y"))</f>
      </c>
      <c r="G64" s="85"/>
      <c r="H64" s="85"/>
      <c r="I64" s="87"/>
      <c r="J64" s="85"/>
      <c r="K64" s="85"/>
      <c r="L64" s="2"/>
      <c r="M64" s="2"/>
      <c r="N64" s="1"/>
      <c r="O64" s="1"/>
      <c r="P64" s="85"/>
      <c r="Q64" s="88"/>
      <c r="R64" s="3">
        <f>IFERROR(VLOOKUP(TablaJulio[[#This Row],[BARRIO]],SECTOR!$A:$B,2,0),"")</f>
      </c>
      <c r="S64" s="89"/>
      <c r="T64" s="90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17">
        <f>COUNTIF(U64:AY64,"A")</f>
      </c>
      <c r="BA64" s="17">
        <f>COUNTIF(U64:AY64,"F")</f>
      </c>
      <c r="BB64" s="17">
        <f>COUNTIF(U64:AY64,"E")</f>
      </c>
    </row>
    <row r="65" spans="1:54" ht="15.75" customHeight="1" x14ac:dyDescent="0.2">
      <c r="A65" s="84"/>
      <c r="B65" s="85"/>
      <c r="C65" s="85"/>
      <c r="D65" s="85"/>
      <c r="E65" s="86"/>
      <c r="F65" s="16">
        <f>IF(E65="","",DATEDIF(E65,$I$7,"Y"))</f>
      </c>
      <c r="G65" s="85"/>
      <c r="H65" s="85"/>
      <c r="I65" s="87"/>
      <c r="J65" s="85"/>
      <c r="K65" s="85"/>
      <c r="L65" s="2"/>
      <c r="M65" s="2"/>
      <c r="N65" s="1"/>
      <c r="O65" s="1"/>
      <c r="P65" s="85"/>
      <c r="Q65" s="88"/>
      <c r="R65" s="3">
        <f>IFERROR(VLOOKUP(TablaJulio[[#This Row],[BARRIO]],SECTOR!$A:$B,2,0),"")</f>
      </c>
      <c r="S65" s="89"/>
      <c r="T65" s="90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17">
        <f>COUNTIF(U65:AY65,"A")</f>
      </c>
      <c r="BA65" s="17">
        <f>COUNTIF(U65:AY65,"F")</f>
      </c>
      <c r="BB65" s="17">
        <f>COUNTIF(U65:AY65,"E")</f>
      </c>
    </row>
    <row r="66" spans="1:54" ht="15.75" customHeight="1" x14ac:dyDescent="0.2">
      <c r="A66" s="84"/>
      <c r="B66" s="85"/>
      <c r="C66" s="85"/>
      <c r="D66" s="85"/>
      <c r="E66" s="86"/>
      <c r="F66" s="16">
        <f>IF(E66="","",DATEDIF(E66,$I$7,"Y"))</f>
      </c>
      <c r="G66" s="85"/>
      <c r="H66" s="85"/>
      <c r="I66" s="87"/>
      <c r="J66" s="85"/>
      <c r="K66" s="85"/>
      <c r="L66" s="2"/>
      <c r="M66" s="2"/>
      <c r="N66" s="1"/>
      <c r="O66" s="1"/>
      <c r="P66" s="85"/>
      <c r="Q66" s="88"/>
      <c r="R66" s="3">
        <f>IFERROR(VLOOKUP(TablaJulio[[#This Row],[BARRIO]],SECTOR!$A:$B,2,0),"")</f>
      </c>
      <c r="S66" s="89"/>
      <c r="T66" s="90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17">
        <f>COUNTIF(U66:AY66,"A")</f>
      </c>
      <c r="BA66" s="17">
        <f>COUNTIF(U66:AY66,"F")</f>
      </c>
      <c r="BB66" s="17">
        <f>COUNTIF(U66:AY66,"E")</f>
      </c>
    </row>
    <row r="67" spans="1:54" ht="15.75" customHeight="1" x14ac:dyDescent="0.2">
      <c r="A67" s="84"/>
      <c r="B67" s="91"/>
      <c r="C67" s="91"/>
      <c r="D67" s="91"/>
      <c r="E67" s="92"/>
      <c r="F67" s="16">
        <f>IF(E67="","",DATEDIF(E67,$I$7,"Y"))</f>
      </c>
      <c r="G67" s="91"/>
      <c r="H67" s="91"/>
      <c r="I67" s="93"/>
      <c r="J67" s="91"/>
      <c r="K67" s="91"/>
      <c r="L67" s="2"/>
      <c r="M67" s="2"/>
      <c r="N67" s="1"/>
      <c r="O67" s="1"/>
      <c r="P67" s="85"/>
      <c r="Q67" s="88"/>
      <c r="R67" s="3">
        <f>IFERROR(VLOOKUP(TablaJulio[[#This Row],[BARRIO]],SECTOR!$A:$B,2,0),"")</f>
      </c>
      <c r="S67" s="89"/>
      <c r="T67" s="90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17">
        <f>COUNTIF(U67:AY67,"A")</f>
      </c>
      <c r="BA67" s="17">
        <f>COUNTIF(U67:AY67,"F")</f>
      </c>
      <c r="BB67" s="17">
        <f>COUNTIF(U67:AY67,"E")</f>
      </c>
    </row>
    <row r="68" spans="1:54" ht="15.75" customHeight="1" x14ac:dyDescent="0.2">
      <c r="A68" s="84"/>
      <c r="B68" s="94"/>
      <c r="C68" s="94"/>
      <c r="D68" s="94"/>
      <c r="E68" s="95"/>
      <c r="F68" s="16">
        <f>IF(E68="","",DATEDIF(E68,$I$7,"Y"))</f>
      </c>
      <c r="G68" s="94"/>
      <c r="H68" s="94"/>
      <c r="I68" s="96"/>
      <c r="J68" s="94"/>
      <c r="K68" s="94"/>
      <c r="L68" s="2"/>
      <c r="M68" s="2"/>
      <c r="N68" s="1"/>
      <c r="O68" s="1"/>
      <c r="P68" s="85"/>
      <c r="Q68" s="88"/>
      <c r="R68" s="3">
        <f>IFERROR(VLOOKUP(TablaJulio[[#This Row],[BARRIO]],SECTOR!$A:$B,2,0),"")</f>
      </c>
      <c r="S68" s="89"/>
      <c r="T68" s="90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17">
        <f>COUNTIF(U68:AY68,"A")</f>
      </c>
      <c r="BA68" s="17">
        <f>COUNTIF(U68:AY68,"F")</f>
      </c>
      <c r="BB68" s="17">
        <f>COUNTIF(U68:AY68,"E")</f>
      </c>
    </row>
    <row r="69" spans="1:54" ht="15.75" customHeight="1" x14ac:dyDescent="0.2">
      <c r="A69" s="84"/>
      <c r="B69" s="97"/>
      <c r="C69" s="97"/>
      <c r="D69" s="97"/>
      <c r="E69" s="98"/>
      <c r="F69" s="16">
        <f>IF(E69="","",DATEDIF(E69,$I$7,"Y"))</f>
      </c>
      <c r="G69" s="97"/>
      <c r="H69" s="97"/>
      <c r="I69" s="99"/>
      <c r="J69" s="97"/>
      <c r="K69" s="97"/>
      <c r="L69" s="2"/>
      <c r="M69" s="2"/>
      <c r="N69" s="1"/>
      <c r="O69" s="1"/>
      <c r="P69" s="85"/>
      <c r="Q69" s="88"/>
      <c r="R69" s="3">
        <f>IFERROR(VLOOKUP(TablaJulio[[#This Row],[BARRIO]],SECTOR!$A:$B,2,0),"")</f>
      </c>
      <c r="S69" s="89"/>
      <c r="T69" s="90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5"/>
      <c r="AZ69" s="18">
        <f>COUNTIF(U69:AY69,"A")</f>
      </c>
      <c r="BA69" s="17">
        <f>COUNTIF(U69:AY69,"F")</f>
      </c>
      <c r="BB69" s="17">
        <f>COUNTIF(U69:AY69,"E")</f>
      </c>
    </row>
    <row r="70" spans="1:54" ht="15.75" customHeight="1" x14ac:dyDescent="0.2">
      <c r="A70" s="84"/>
      <c r="B70" s="97"/>
      <c r="C70" s="97"/>
      <c r="D70" s="97"/>
      <c r="E70" s="98"/>
      <c r="F70" s="16">
        <f>IF(E70="","",DATEDIF(E70,$I$7,"Y"))</f>
      </c>
      <c r="G70" s="97"/>
      <c r="H70" s="97"/>
      <c r="I70" s="99"/>
      <c r="J70" s="97"/>
      <c r="K70" s="97"/>
      <c r="L70" s="2"/>
      <c r="M70" s="2"/>
      <c r="N70" s="1"/>
      <c r="O70" s="1"/>
      <c r="P70" s="85"/>
      <c r="Q70" s="88"/>
      <c r="R70" s="3">
        <f>IFERROR(VLOOKUP(TablaJulio[[#This Row],[BARRIO]],SECTOR!$A:$B,2,0),"")</f>
      </c>
      <c r="S70" s="89"/>
      <c r="T70" s="90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6"/>
      <c r="AZ70" s="19">
        <f>COUNTIF(U70:AY70,"A")</f>
      </c>
      <c r="BA70" s="17">
        <f>COUNTIF(U70:AY70,"F")</f>
      </c>
      <c r="BB70" s="17">
        <f>COUNTIF(U70:AY70,"E")</f>
      </c>
    </row>
    <row r="71" spans="1:54" ht="15.75" customHeight="1" x14ac:dyDescent="0.2">
      <c r="A71" s="84"/>
      <c r="B71" s="97"/>
      <c r="C71" s="97"/>
      <c r="D71" s="97"/>
      <c r="E71" s="98"/>
      <c r="F71" s="16">
        <f>IF(E71="","",DATEDIF(E71,$I$7,"Y"))</f>
      </c>
      <c r="G71" s="97"/>
      <c r="H71" s="97"/>
      <c r="I71" s="99"/>
      <c r="J71" s="97"/>
      <c r="K71" s="97"/>
      <c r="L71" s="2"/>
      <c r="M71" s="2"/>
      <c r="N71" s="1"/>
      <c r="O71" s="1"/>
      <c r="P71" s="85"/>
      <c r="Q71" s="88"/>
      <c r="R71" s="3">
        <f>IFERROR(VLOOKUP(TablaJulio[[#This Row],[BARRIO]],SECTOR!$A:$B,2,0),"")</f>
      </c>
      <c r="S71" s="89"/>
      <c r="T71" s="90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6"/>
      <c r="AZ71" s="19">
        <f>COUNTIF(U71:AY71,"A")</f>
      </c>
      <c r="BA71" s="17">
        <f>COUNTIF(U71:AY71,"F")</f>
      </c>
      <c r="BB71" s="17">
        <f>COUNTIF(U71:AY71,"E")</f>
      </c>
    </row>
    <row r="72" spans="1:54" ht="15.75" customHeight="1" x14ac:dyDescent="0.2">
      <c r="A72" s="84"/>
      <c r="B72" s="97"/>
      <c r="C72" s="97"/>
      <c r="D72" s="97"/>
      <c r="E72" s="98"/>
      <c r="F72" s="16">
        <f>IF(E72="","",DATEDIF(E72,$I$7,"Y"))</f>
      </c>
      <c r="G72" s="97"/>
      <c r="H72" s="97"/>
      <c r="I72" s="99"/>
      <c r="J72" s="97"/>
      <c r="K72" s="97"/>
      <c r="L72" s="2"/>
      <c r="M72" s="2"/>
      <c r="N72" s="1"/>
      <c r="O72" s="1"/>
      <c r="P72" s="85"/>
      <c r="Q72" s="88"/>
      <c r="R72" s="3">
        <f>IFERROR(VLOOKUP(TablaJulio[[#This Row],[BARRIO]],SECTOR!$A:$B,2,0),"")</f>
      </c>
      <c r="S72" s="89"/>
      <c r="T72" s="90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6"/>
      <c r="AZ72" s="19">
        <f>COUNTIF(U72:AY72,"A")</f>
      </c>
      <c r="BA72" s="17">
        <f>COUNTIF(U72:AY72,"F")</f>
      </c>
      <c r="BB72" s="17">
        <f>COUNTIF(U72:AY72,"E")</f>
      </c>
    </row>
    <row r="73" spans="1:54" ht="15.75" customHeight="1" x14ac:dyDescent="0.2">
      <c r="A73" s="84"/>
      <c r="B73" s="97"/>
      <c r="C73" s="97"/>
      <c r="D73" s="97"/>
      <c r="E73" s="98"/>
      <c r="F73" s="16">
        <f>IF(E73="","",DATEDIF(E73,$I$7,"Y"))</f>
      </c>
      <c r="G73" s="97"/>
      <c r="H73" s="97"/>
      <c r="I73" s="99"/>
      <c r="J73" s="97"/>
      <c r="K73" s="97"/>
      <c r="L73" s="2"/>
      <c r="M73" s="2"/>
      <c r="N73" s="1"/>
      <c r="O73" s="1"/>
      <c r="P73" s="85"/>
      <c r="Q73" s="88"/>
      <c r="R73" s="3">
        <f>IFERROR(VLOOKUP(TablaJulio[[#This Row],[BARRIO]],SECTOR!$A:$B,2,0),"")</f>
      </c>
      <c r="S73" s="89"/>
      <c r="T73" s="90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6"/>
      <c r="AZ73" s="19">
        <f>COUNTIF(U73:AY73,"A")</f>
      </c>
      <c r="BA73" s="17">
        <f>COUNTIF(U73:AY73,"F")</f>
      </c>
      <c r="BB73" s="17">
        <f>COUNTIF(U73:AY73,"E")</f>
      </c>
    </row>
    <row r="74" spans="1:54" ht="15.75" customHeight="1" x14ac:dyDescent="0.2">
      <c r="A74" s="84"/>
      <c r="B74" s="97"/>
      <c r="C74" s="97"/>
      <c r="D74" s="97"/>
      <c r="E74" s="98"/>
      <c r="F74" s="16">
        <f>IF(E74="","",DATEDIF(E74,$I$7,"Y"))</f>
      </c>
      <c r="G74" s="97"/>
      <c r="H74" s="97"/>
      <c r="I74" s="99"/>
      <c r="J74" s="97"/>
      <c r="K74" s="97"/>
      <c r="L74" s="2"/>
      <c r="M74" s="2"/>
      <c r="N74" s="1"/>
      <c r="O74" s="1"/>
      <c r="P74" s="85"/>
      <c r="Q74" s="88"/>
      <c r="R74" s="3">
        <f>IFERROR(VLOOKUP(TablaJulio[[#This Row],[BARRIO]],SECTOR!$A:$B,2,0),"")</f>
      </c>
      <c r="S74" s="89"/>
      <c r="T74" s="90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6"/>
      <c r="AZ74" s="19">
        <f>COUNTIF(U74:AY74,"A")</f>
      </c>
      <c r="BA74" s="17">
        <f>COUNTIF(U74:AY74,"F")</f>
      </c>
      <c r="BB74" s="17">
        <f>COUNTIF(U74:AY74,"E")</f>
      </c>
    </row>
    <row r="75" spans="1:54" ht="15.75" customHeight="1" x14ac:dyDescent="0.2">
      <c r="A75" s="84"/>
      <c r="B75" s="97"/>
      <c r="C75" s="97"/>
      <c r="D75" s="97"/>
      <c r="E75" s="98"/>
      <c r="F75" s="16">
        <f>IF(E75="","",DATEDIF(E75,$I$7,"Y"))</f>
      </c>
      <c r="G75" s="97"/>
      <c r="H75" s="97"/>
      <c r="I75" s="99"/>
      <c r="J75" s="97"/>
      <c r="K75" s="97"/>
      <c r="L75" s="2"/>
      <c r="M75" s="2"/>
      <c r="N75" s="1"/>
      <c r="O75" s="1"/>
      <c r="P75" s="85"/>
      <c r="Q75" s="88"/>
      <c r="R75" s="3">
        <f>IFERROR(VLOOKUP(TablaJulio[[#This Row],[BARRIO]],SECTOR!$A:$B,2,0),"")</f>
      </c>
      <c r="S75" s="89"/>
      <c r="T75" s="90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6"/>
      <c r="AZ75" s="19">
        <f>COUNTIF(U75:AY75,"A")</f>
      </c>
      <c r="BA75" s="17">
        <f>COUNTIF(U75:AY75,"F")</f>
      </c>
      <c r="BB75" s="17">
        <f>COUNTIF(U75:AY75,"E")</f>
      </c>
    </row>
    <row r="76" spans="1:54" ht="15.75" customHeight="1" x14ac:dyDescent="0.2">
      <c r="A76" s="84"/>
      <c r="B76" s="97"/>
      <c r="C76" s="97"/>
      <c r="D76" s="97"/>
      <c r="E76" s="98"/>
      <c r="F76" s="16">
        <f>IF(E76="","",DATEDIF(E76,$I$7,"Y"))</f>
      </c>
      <c r="G76" s="97"/>
      <c r="H76" s="97"/>
      <c r="I76" s="99"/>
      <c r="J76" s="97"/>
      <c r="K76" s="97"/>
      <c r="L76" s="2"/>
      <c r="M76" s="2"/>
      <c r="N76" s="1"/>
      <c r="O76" s="1"/>
      <c r="P76" s="85"/>
      <c r="Q76" s="88"/>
      <c r="R76" s="3">
        <f>IFERROR(VLOOKUP(TablaJulio[[#This Row],[BARRIO]],SECTOR!$A:$B,2,0),"")</f>
      </c>
      <c r="S76" s="89"/>
      <c r="T76" s="90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6"/>
      <c r="AZ76" s="19">
        <f>COUNTIF(U76:AY76,"A")</f>
      </c>
      <c r="BA76" s="17">
        <f>COUNTIF(U76:AY76,"F")</f>
      </c>
      <c r="BB76" s="17">
        <f>COUNTIF(U76:AY76,"E")</f>
      </c>
    </row>
    <row r="77" spans="1:54" ht="15.75" customHeight="1" x14ac:dyDescent="0.2">
      <c r="A77" s="84"/>
      <c r="B77" s="97"/>
      <c r="C77" s="97"/>
      <c r="D77" s="97"/>
      <c r="E77" s="98"/>
      <c r="F77" s="16">
        <f>IF(E77="","",DATEDIF(E77,$I$7,"Y"))</f>
      </c>
      <c r="G77" s="97"/>
      <c r="H77" s="97"/>
      <c r="I77" s="99"/>
      <c r="J77" s="97"/>
      <c r="K77" s="97"/>
      <c r="L77" s="2"/>
      <c r="M77" s="2"/>
      <c r="N77" s="1"/>
      <c r="O77" s="1"/>
      <c r="P77" s="85"/>
      <c r="Q77" s="88"/>
      <c r="R77" s="3">
        <f>IFERROR(VLOOKUP(TablaJulio[[#This Row],[BARRIO]],SECTOR!$A:$B,2,0),"")</f>
      </c>
      <c r="S77" s="89"/>
      <c r="T77" s="90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6"/>
      <c r="AZ77" s="19">
        <f>COUNTIF(U77:AY77,"A")</f>
      </c>
      <c r="BA77" s="17">
        <f>COUNTIF(U77:AY77,"F")</f>
      </c>
      <c r="BB77" s="17">
        <f>COUNTIF(U77:AY77,"E")</f>
      </c>
    </row>
    <row r="78" spans="1:54" ht="15.75" customHeight="1" x14ac:dyDescent="0.2">
      <c r="A78" s="84"/>
      <c r="B78" s="97"/>
      <c r="C78" s="97"/>
      <c r="D78" s="97"/>
      <c r="E78" s="98"/>
      <c r="F78" s="16">
        <f>IF(E78="","",DATEDIF(E78,$I$7,"Y"))</f>
      </c>
      <c r="G78" s="97"/>
      <c r="H78" s="97"/>
      <c r="I78" s="99"/>
      <c r="J78" s="97"/>
      <c r="K78" s="97"/>
      <c r="L78" s="2"/>
      <c r="M78" s="2"/>
      <c r="N78" s="1"/>
      <c r="O78" s="1"/>
      <c r="P78" s="85"/>
      <c r="Q78" s="88"/>
      <c r="R78" s="3">
        <f>IFERROR(VLOOKUP(TablaJulio[[#This Row],[BARRIO]],SECTOR!$A:$B,2,0),"")</f>
      </c>
      <c r="S78" s="89"/>
      <c r="T78" s="90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6"/>
      <c r="AZ78" s="19">
        <f>COUNTIF(U78:AY78,"A")</f>
      </c>
      <c r="BA78" s="17">
        <f>COUNTIF(U78:AY78,"F")</f>
      </c>
      <c r="BB78" s="17">
        <f>COUNTIF(U78:AY78,"E")</f>
      </c>
    </row>
    <row r="79" spans="1:54" ht="15.75" customHeight="1" x14ac:dyDescent="0.2">
      <c r="A79" s="84"/>
      <c r="B79" s="85"/>
      <c r="C79" s="85"/>
      <c r="D79" s="85"/>
      <c r="E79" s="86"/>
      <c r="F79" s="16">
        <f>IF(E79="","",DATEDIF(E79,$I$7,"Y"))</f>
      </c>
      <c r="G79" s="85"/>
      <c r="H79" s="85"/>
      <c r="I79" s="87"/>
      <c r="J79" s="85"/>
      <c r="K79" s="85"/>
      <c r="L79" s="2"/>
      <c r="M79" s="2"/>
      <c r="N79" s="1"/>
      <c r="O79" s="1"/>
      <c r="P79" s="85"/>
      <c r="Q79" s="88"/>
      <c r="R79" s="3">
        <f>IFERROR(VLOOKUP(TablaJulio[[#This Row],[BARRIO]],SECTOR!$A:$B,2,0),"")</f>
      </c>
      <c r="S79" s="89"/>
      <c r="T79" s="90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6"/>
      <c r="AZ79" s="19">
        <f>COUNTIF(U79:AY79,"A")</f>
      </c>
      <c r="BA79" s="17">
        <f>COUNTIF(U79:AY79,"F")</f>
      </c>
      <c r="BB79" s="17">
        <f>COUNTIF(U79:AY79,"E")</f>
      </c>
    </row>
    <row r="80" spans="1:54" ht="15.75" customHeight="1" x14ac:dyDescent="0.2">
      <c r="A80" s="84"/>
      <c r="B80" s="85"/>
      <c r="C80" s="85"/>
      <c r="D80" s="85"/>
      <c r="E80" s="86"/>
      <c r="F80" s="16">
        <f>IF(E80="","",DATEDIF(E80,$I$7,"Y"))</f>
      </c>
      <c r="G80" s="85"/>
      <c r="H80" s="85"/>
      <c r="I80" s="87"/>
      <c r="J80" s="85"/>
      <c r="K80" s="85"/>
      <c r="L80" s="2"/>
      <c r="M80" s="2"/>
      <c r="N80" s="1"/>
      <c r="O80" s="1"/>
      <c r="P80" s="85"/>
      <c r="Q80" s="88"/>
      <c r="R80" s="3">
        <f>IFERROR(VLOOKUP(TablaJulio[[#This Row],[BARRIO]],SECTOR!$A:$B,2,0),"")</f>
      </c>
      <c r="S80" s="89"/>
      <c r="T80" s="90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6"/>
      <c r="AZ80" s="19">
        <f>COUNTIF(U80:AY80,"A")</f>
      </c>
      <c r="BA80" s="17">
        <f>COUNTIF(U80:AY80,"F")</f>
      </c>
      <c r="BB80" s="17">
        <f>COUNTIF(U80:AY80,"E")</f>
      </c>
    </row>
    <row r="81" spans="1:54" ht="15.75" customHeight="1" x14ac:dyDescent="0.2">
      <c r="A81" s="84"/>
      <c r="B81" s="85"/>
      <c r="C81" s="85"/>
      <c r="D81" s="85"/>
      <c r="E81" s="86"/>
      <c r="F81" s="16">
        <f>IF(E81="","",DATEDIF(E81,$I$7,"Y"))</f>
      </c>
      <c r="G81" s="85"/>
      <c r="H81" s="85"/>
      <c r="I81" s="87"/>
      <c r="J81" s="85"/>
      <c r="K81" s="85"/>
      <c r="L81" s="2"/>
      <c r="M81" s="2"/>
      <c r="N81" s="1"/>
      <c r="O81" s="1"/>
      <c r="P81" s="85"/>
      <c r="Q81" s="88"/>
      <c r="R81" s="3">
        <f>IFERROR(VLOOKUP(TablaJulio[[#This Row],[BARRIO]],SECTOR!$A:$B,2,0),"")</f>
      </c>
      <c r="S81" s="89"/>
      <c r="T81" s="90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6"/>
      <c r="AZ81" s="19">
        <f>COUNTIF(U81:AY81,"A")</f>
      </c>
      <c r="BA81" s="17">
        <f>COUNTIF(U81:AY81,"F")</f>
      </c>
      <c r="BB81" s="17">
        <f>COUNTIF(U81:AY81,"E")</f>
      </c>
    </row>
    <row r="82" spans="1:54" ht="15.75" customHeight="1" x14ac:dyDescent="0.2">
      <c r="A82" s="84"/>
      <c r="B82" s="85"/>
      <c r="C82" s="85"/>
      <c r="D82" s="85"/>
      <c r="E82" s="86"/>
      <c r="F82" s="16">
        <f>IF(E82="","",DATEDIF(E82,$I$7,"Y"))</f>
      </c>
      <c r="G82" s="85"/>
      <c r="H82" s="85"/>
      <c r="I82" s="87"/>
      <c r="J82" s="85"/>
      <c r="K82" s="85"/>
      <c r="L82" s="2"/>
      <c r="M82" s="2"/>
      <c r="N82" s="1"/>
      <c r="O82" s="1"/>
      <c r="P82" s="85"/>
      <c r="Q82" s="88"/>
      <c r="R82" s="3">
        <f>IFERROR(VLOOKUP(TablaJulio[[#This Row],[BARRIO]],SECTOR!$A:$B,2,0),"")</f>
      </c>
      <c r="S82" s="89"/>
      <c r="T82" s="90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6"/>
      <c r="AZ82" s="19">
        <f>COUNTIF(U82:AY82,"A")</f>
      </c>
      <c r="BA82" s="17">
        <f>COUNTIF(U82:AY82,"F")</f>
      </c>
      <c r="BB82" s="17">
        <f>COUNTIF(U82:AY82,"E")</f>
      </c>
    </row>
    <row r="83" spans="1:54" ht="15.75" customHeight="1" x14ac:dyDescent="0.2">
      <c r="A83" s="84"/>
      <c r="B83" s="85"/>
      <c r="C83" s="85"/>
      <c r="D83" s="85"/>
      <c r="E83" s="86"/>
      <c r="F83" s="16">
        <f>IF(E83="","",DATEDIF(E83,$I$7,"Y"))</f>
      </c>
      <c r="G83" s="85"/>
      <c r="H83" s="85"/>
      <c r="I83" s="87"/>
      <c r="J83" s="85"/>
      <c r="K83" s="85"/>
      <c r="L83" s="2"/>
      <c r="M83" s="2"/>
      <c r="N83" s="1"/>
      <c r="O83" s="1"/>
      <c r="P83" s="85"/>
      <c r="Q83" s="88"/>
      <c r="R83" s="3">
        <f>IFERROR(VLOOKUP(TablaJulio[[#This Row],[BARRIO]],SECTOR!$A:$B,2,0),"")</f>
      </c>
      <c r="S83" s="89"/>
      <c r="T83" s="90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6"/>
      <c r="AZ83" s="19">
        <f>COUNTIF(U83:AY83,"A")</f>
      </c>
      <c r="BA83" s="17">
        <f>COUNTIF(U83:AY83,"F")</f>
      </c>
      <c r="BB83" s="17">
        <f>COUNTIF(U83:AY83,"E")</f>
      </c>
    </row>
    <row r="84" spans="1:54" ht="15.75" customHeight="1" x14ac:dyDescent="0.2">
      <c r="A84" s="84"/>
      <c r="B84" s="85"/>
      <c r="C84" s="85"/>
      <c r="D84" s="85"/>
      <c r="E84" s="86"/>
      <c r="F84" s="16">
        <f>IF(E84="","",DATEDIF(E84,$I$7,"Y"))</f>
      </c>
      <c r="G84" s="85"/>
      <c r="H84" s="85"/>
      <c r="I84" s="87"/>
      <c r="J84" s="85"/>
      <c r="K84" s="85"/>
      <c r="L84" s="2"/>
      <c r="M84" s="2"/>
      <c r="N84" s="1"/>
      <c r="O84" s="1"/>
      <c r="P84" s="85"/>
      <c r="Q84" s="88"/>
      <c r="R84" s="3">
        <f>IFERROR(VLOOKUP(TablaJulio[[#This Row],[BARRIO]],SECTOR!$A:$B,2,0),"")</f>
      </c>
      <c r="S84" s="89"/>
      <c r="T84" s="90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6"/>
      <c r="AZ84" s="19">
        <f>COUNTIF(U84:AY84,"A")</f>
      </c>
      <c r="BA84" s="17">
        <f>COUNTIF(U84:AY84,"F")</f>
      </c>
      <c r="BB84" s="17">
        <f>COUNTIF(U84:AY84,"E")</f>
      </c>
    </row>
    <row r="85" spans="1:54" ht="15.75" customHeight="1" x14ac:dyDescent="0.2">
      <c r="A85" s="84"/>
      <c r="B85" s="85"/>
      <c r="C85" s="85"/>
      <c r="D85" s="85"/>
      <c r="E85" s="86"/>
      <c r="F85" s="16">
        <f>IF(E85="","",DATEDIF(E85,$I$7,"Y"))</f>
      </c>
      <c r="G85" s="85"/>
      <c r="H85" s="85"/>
      <c r="I85" s="87"/>
      <c r="J85" s="85"/>
      <c r="K85" s="85"/>
      <c r="L85" s="2"/>
      <c r="M85" s="2"/>
      <c r="N85" s="1"/>
      <c r="O85" s="1"/>
      <c r="P85" s="85"/>
      <c r="Q85" s="88"/>
      <c r="R85" s="3">
        <f>IFERROR(VLOOKUP(TablaJulio[[#This Row],[BARRIO]],SECTOR!$A:$B,2,0),"")</f>
      </c>
      <c r="S85" s="89"/>
      <c r="T85" s="90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6"/>
      <c r="AZ85" s="19">
        <f>COUNTIF(U85:AY85,"A")</f>
      </c>
      <c r="BA85" s="17">
        <f>COUNTIF(U85:AY85,"F")</f>
      </c>
      <c r="BB85" s="17">
        <f>COUNTIF(U85:AY85,"E")</f>
      </c>
    </row>
    <row r="86" spans="1:54" ht="15.75" customHeight="1" x14ac:dyDescent="0.2">
      <c r="A86" s="84"/>
      <c r="B86" s="85"/>
      <c r="C86" s="85"/>
      <c r="D86" s="85"/>
      <c r="E86" s="86"/>
      <c r="F86" s="16">
        <f>IF(E86="","",DATEDIF(E86,$I$7,"Y"))</f>
      </c>
      <c r="G86" s="85"/>
      <c r="H86" s="85"/>
      <c r="I86" s="87"/>
      <c r="J86" s="85"/>
      <c r="K86" s="85"/>
      <c r="L86" s="2"/>
      <c r="M86" s="2"/>
      <c r="N86" s="1"/>
      <c r="O86" s="1"/>
      <c r="P86" s="85"/>
      <c r="Q86" s="88"/>
      <c r="R86" s="3">
        <f>IFERROR(VLOOKUP(TablaJulio[[#This Row],[BARRIO]],SECTOR!$A:$B,2,0),"")</f>
      </c>
      <c r="S86" s="89"/>
      <c r="T86" s="90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6"/>
      <c r="AZ86" s="19">
        <f>COUNTIF(U86:AY86,"A")</f>
      </c>
      <c r="BA86" s="17">
        <f>COUNTIF(U86:AY86,"F")</f>
      </c>
      <c r="BB86" s="17">
        <f>COUNTIF(U86:AY86,"E")</f>
      </c>
    </row>
    <row r="87" spans="1:54" ht="15.75" customHeight="1" x14ac:dyDescent="0.2">
      <c r="A87" s="84"/>
      <c r="B87" s="85"/>
      <c r="C87" s="85"/>
      <c r="D87" s="85"/>
      <c r="E87" s="86"/>
      <c r="F87" s="16">
        <f>IF(E87="","",DATEDIF(E87,$I$7,"Y"))</f>
      </c>
      <c r="G87" s="85"/>
      <c r="H87" s="85"/>
      <c r="I87" s="87"/>
      <c r="J87" s="85"/>
      <c r="K87" s="85"/>
      <c r="L87" s="2"/>
      <c r="M87" s="2"/>
      <c r="N87" s="1"/>
      <c r="O87" s="1"/>
      <c r="P87" s="85"/>
      <c r="Q87" s="88"/>
      <c r="R87" s="3">
        <f>IFERROR(VLOOKUP(TablaJulio[[#This Row],[BARRIO]],SECTOR!$A:$B,2,0),"")</f>
      </c>
      <c r="S87" s="89"/>
      <c r="T87" s="90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6"/>
      <c r="AZ87" s="19">
        <f>COUNTIF(U87:AY87,"A")</f>
      </c>
      <c r="BA87" s="17">
        <f>COUNTIF(U87:AY87,"F")</f>
      </c>
      <c r="BB87" s="17">
        <f>COUNTIF(U87:AY87,"E")</f>
      </c>
    </row>
    <row r="88" spans="1:54" ht="15.75" customHeight="1" x14ac:dyDescent="0.2">
      <c r="A88" s="84"/>
      <c r="B88" s="85"/>
      <c r="C88" s="85"/>
      <c r="D88" s="85"/>
      <c r="E88" s="86"/>
      <c r="F88" s="16">
        <f>IF(E88="","",DATEDIF(E88,$I$7,"Y"))</f>
      </c>
      <c r="G88" s="85"/>
      <c r="H88" s="85"/>
      <c r="I88" s="87"/>
      <c r="J88" s="85"/>
      <c r="K88" s="85"/>
      <c r="L88" s="2"/>
      <c r="M88" s="2"/>
      <c r="N88" s="1"/>
      <c r="O88" s="1"/>
      <c r="P88" s="85"/>
      <c r="Q88" s="88"/>
      <c r="R88" s="3">
        <f>IFERROR(VLOOKUP(TablaJulio[[#This Row],[BARRIO]],SECTOR!$A:$B,2,0),"")</f>
      </c>
      <c r="S88" s="89"/>
      <c r="T88" s="90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6"/>
      <c r="AZ88" s="19">
        <f>COUNTIF(U88:AY88,"A")</f>
      </c>
      <c r="BA88" s="17">
        <f>COUNTIF(U88:AY88,"F")</f>
      </c>
      <c r="BB88" s="17">
        <f>COUNTIF(U88:AY88,"E")</f>
      </c>
    </row>
    <row r="89" spans="1:54" ht="15.75" customHeight="1" x14ac:dyDescent="0.2">
      <c r="A89" s="84"/>
      <c r="B89" s="85"/>
      <c r="C89" s="85"/>
      <c r="D89" s="85"/>
      <c r="E89" s="86"/>
      <c r="F89" s="16">
        <f>IF(E89="","",DATEDIF(E89,$I$7,"Y"))</f>
      </c>
      <c r="G89" s="85"/>
      <c r="H89" s="85"/>
      <c r="I89" s="87"/>
      <c r="J89" s="85"/>
      <c r="K89" s="85"/>
      <c r="L89" s="2"/>
      <c r="M89" s="2"/>
      <c r="N89" s="1"/>
      <c r="O89" s="1"/>
      <c r="P89" s="85"/>
      <c r="Q89" s="88"/>
      <c r="R89" s="3">
        <f>IFERROR(VLOOKUP(TablaJulio[[#This Row],[BARRIO]],SECTOR!$A:$B,2,0),"")</f>
      </c>
      <c r="S89" s="89"/>
      <c r="T89" s="90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6"/>
      <c r="AZ89" s="19">
        <f>COUNTIF(U89:AY89,"A")</f>
      </c>
      <c r="BA89" s="17">
        <f>COUNTIF(U89:AY89,"F")</f>
      </c>
      <c r="BB89" s="17">
        <f>COUNTIF(U89:AY89,"E")</f>
      </c>
    </row>
    <row r="90" spans="1:54" ht="15.75" customHeight="1" x14ac:dyDescent="0.2">
      <c r="A90" s="84"/>
      <c r="B90" s="85"/>
      <c r="C90" s="85"/>
      <c r="D90" s="85"/>
      <c r="E90" s="86"/>
      <c r="F90" s="16">
        <f>IF(E90="","",DATEDIF(E90,$I$7,"Y"))</f>
      </c>
      <c r="G90" s="85"/>
      <c r="H90" s="85"/>
      <c r="I90" s="87"/>
      <c r="J90" s="85"/>
      <c r="K90" s="85"/>
      <c r="L90" s="2"/>
      <c r="M90" s="2"/>
      <c r="N90" s="1"/>
      <c r="O90" s="1"/>
      <c r="P90" s="85"/>
      <c r="Q90" s="88"/>
      <c r="R90" s="3">
        <f>IFERROR(VLOOKUP(TablaJulio[[#This Row],[BARRIO]],SECTOR!$A:$B,2,0),"")</f>
      </c>
      <c r="S90" s="89"/>
      <c r="T90" s="90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6"/>
      <c r="AZ90" s="19">
        <f>COUNTIF(U90:AY90,"A")</f>
      </c>
      <c r="BA90" s="17">
        <f>COUNTIF(U90:AY90,"F")</f>
      </c>
      <c r="BB90" s="17">
        <f>COUNTIF(U90:AY90,"E")</f>
      </c>
    </row>
    <row r="91" spans="1:54" ht="15.75" customHeight="1" x14ac:dyDescent="0.2">
      <c r="A91" s="84"/>
      <c r="B91" s="85"/>
      <c r="C91" s="85"/>
      <c r="D91" s="85"/>
      <c r="E91" s="86"/>
      <c r="F91" s="16">
        <f>IF(E91="","",DATEDIF(E91,$I$7,"Y"))</f>
      </c>
      <c r="G91" s="85"/>
      <c r="H91" s="85"/>
      <c r="I91" s="87"/>
      <c r="J91" s="85"/>
      <c r="K91" s="85"/>
      <c r="L91" s="2"/>
      <c r="M91" s="2"/>
      <c r="N91" s="1"/>
      <c r="O91" s="1"/>
      <c r="P91" s="85"/>
      <c r="Q91" s="88"/>
      <c r="R91" s="3">
        <f>IFERROR(VLOOKUP(TablaJulio[[#This Row],[BARRIO]],SECTOR!$A:$B,2,0),"")</f>
      </c>
      <c r="S91" s="89"/>
      <c r="T91" s="90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6"/>
      <c r="AZ91" s="19">
        <f>COUNTIF(U91:AY91,"A")</f>
      </c>
      <c r="BA91" s="17">
        <f>COUNTIF(U91:AY91,"F")</f>
      </c>
      <c r="BB91" s="17">
        <f>COUNTIF(U91:AY91,"E")</f>
      </c>
    </row>
    <row r="92" spans="1:54" ht="15.75" customHeight="1" x14ac:dyDescent="0.2">
      <c r="A92" s="84"/>
      <c r="B92" s="85"/>
      <c r="C92" s="85"/>
      <c r="D92" s="85"/>
      <c r="E92" s="86"/>
      <c r="F92" s="16">
        <f>IF(E92="","",DATEDIF(E92,$I$7,"Y"))</f>
      </c>
      <c r="G92" s="85"/>
      <c r="H92" s="85"/>
      <c r="I92" s="87"/>
      <c r="J92" s="85"/>
      <c r="K92" s="85"/>
      <c r="L92" s="2"/>
      <c r="M92" s="2"/>
      <c r="N92" s="1"/>
      <c r="O92" s="1"/>
      <c r="P92" s="85"/>
      <c r="Q92" s="88"/>
      <c r="R92" s="3">
        <f>IFERROR(VLOOKUP(TablaJulio[[#This Row],[BARRIO]],SECTOR!$A:$B,2,0),"")</f>
      </c>
      <c r="S92" s="89"/>
      <c r="T92" s="90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6"/>
      <c r="AZ92" s="19">
        <f>COUNTIF(U92:AY92,"A")</f>
      </c>
      <c r="BA92" s="17">
        <f>COUNTIF(U92:AY92,"F")</f>
      </c>
      <c r="BB92" s="17">
        <f>COUNTIF(U92:AY92,"E")</f>
      </c>
    </row>
    <row r="93" spans="1:54" ht="15.75" customHeight="1" x14ac:dyDescent="0.2">
      <c r="A93" s="84"/>
      <c r="B93" s="85"/>
      <c r="C93" s="85"/>
      <c r="D93" s="85"/>
      <c r="E93" s="86"/>
      <c r="F93" s="16">
        <f>IF(E93="","",DATEDIF(E93,$I$7,"Y"))</f>
      </c>
      <c r="G93" s="85"/>
      <c r="H93" s="85"/>
      <c r="I93" s="87"/>
      <c r="J93" s="85"/>
      <c r="K93" s="85"/>
      <c r="L93" s="2"/>
      <c r="M93" s="2"/>
      <c r="N93" s="1"/>
      <c r="O93" s="1"/>
      <c r="P93" s="85"/>
      <c r="Q93" s="88"/>
      <c r="R93" s="3">
        <f>IFERROR(VLOOKUP(TablaJulio[[#This Row],[BARRIO]],SECTOR!$A:$B,2,0),"")</f>
      </c>
      <c r="S93" s="89"/>
      <c r="T93" s="90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6"/>
      <c r="AZ93" s="19">
        <f>COUNTIF(U93:AY93,"A")</f>
      </c>
      <c r="BA93" s="17">
        <f>COUNTIF(U93:AY93,"F")</f>
      </c>
      <c r="BB93" s="17">
        <f>COUNTIF(U93:AY93,"E")</f>
      </c>
    </row>
    <row r="94" spans="1:54" ht="15.75" customHeight="1" x14ac:dyDescent="0.2">
      <c r="A94" s="84"/>
      <c r="B94" s="85"/>
      <c r="C94" s="85"/>
      <c r="D94" s="85"/>
      <c r="E94" s="86"/>
      <c r="F94" s="16">
        <f>IF(E94="","",DATEDIF(E94,$I$7,"Y"))</f>
      </c>
      <c r="G94" s="85"/>
      <c r="H94" s="85"/>
      <c r="I94" s="87"/>
      <c r="J94" s="85"/>
      <c r="K94" s="85"/>
      <c r="L94" s="2"/>
      <c r="M94" s="2"/>
      <c r="N94" s="1"/>
      <c r="O94" s="1"/>
      <c r="P94" s="85"/>
      <c r="Q94" s="88"/>
      <c r="R94" s="3">
        <f>IFERROR(VLOOKUP(TablaJulio[[#This Row],[BARRIO]],SECTOR!$A:$B,2,0),"")</f>
      </c>
      <c r="S94" s="89"/>
      <c r="T94" s="90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6"/>
      <c r="AZ94" s="19">
        <f>COUNTIF(U94:AY94,"A")</f>
      </c>
      <c r="BA94" s="17">
        <f>COUNTIF(U94:AY94,"F")</f>
      </c>
      <c r="BB94" s="17">
        <f>COUNTIF(U94:AY94,"E")</f>
      </c>
    </row>
    <row r="95" spans="1:54" ht="15.75" customHeight="1" x14ac:dyDescent="0.2">
      <c r="A95" s="84"/>
      <c r="B95" s="85"/>
      <c r="C95" s="85"/>
      <c r="D95" s="85"/>
      <c r="E95" s="86"/>
      <c r="F95" s="16">
        <f>IF(E95="","",DATEDIF(E95,$I$7,"Y"))</f>
      </c>
      <c r="G95" s="85"/>
      <c r="H95" s="85"/>
      <c r="I95" s="87"/>
      <c r="J95" s="85"/>
      <c r="K95" s="85"/>
      <c r="L95" s="2"/>
      <c r="M95" s="2"/>
      <c r="N95" s="1"/>
      <c r="O95" s="1"/>
      <c r="P95" s="85"/>
      <c r="Q95" s="88"/>
      <c r="R95" s="3">
        <f>IFERROR(VLOOKUP(TablaJulio[[#This Row],[BARRIO]],SECTOR!$A:$B,2,0),"")</f>
      </c>
      <c r="S95" s="89"/>
      <c r="T95" s="90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6"/>
      <c r="AZ95" s="19">
        <f>COUNTIF(U95:AY95,"A")</f>
      </c>
      <c r="BA95" s="17">
        <f>COUNTIF(U95:AY95,"F")</f>
      </c>
      <c r="BB95" s="17">
        <f>COUNTIF(U95:AY95,"E")</f>
      </c>
    </row>
    <row r="96" spans="1:54" ht="15.75" customHeight="1" x14ac:dyDescent="0.2">
      <c r="A96" s="84"/>
      <c r="B96" s="85"/>
      <c r="C96" s="85"/>
      <c r="D96" s="85"/>
      <c r="E96" s="86"/>
      <c r="F96" s="16">
        <f>IF(E96="","",DATEDIF(E96,$I$7,"Y"))</f>
      </c>
      <c r="G96" s="85"/>
      <c r="H96" s="85"/>
      <c r="I96" s="87"/>
      <c r="J96" s="85"/>
      <c r="K96" s="85"/>
      <c r="L96" s="2"/>
      <c r="M96" s="2"/>
      <c r="N96" s="1"/>
      <c r="O96" s="1"/>
      <c r="P96" s="85"/>
      <c r="Q96" s="88"/>
      <c r="R96" s="3">
        <f>IFERROR(VLOOKUP(TablaJulio[[#This Row],[BARRIO]],SECTOR!$A:$B,2,0),"")</f>
      </c>
      <c r="S96" s="89"/>
      <c r="T96" s="90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7"/>
      <c r="AZ96" s="30">
        <f>COUNTIF(U96:AY96,"A")</f>
      </c>
      <c r="BA96" s="17">
        <f>COUNTIF(U96:AY96,"F")</f>
      </c>
      <c r="BB96" s="17">
        <f>COUNTIF(U96:AY96,"E")</f>
      </c>
    </row>
    <row r="97" spans="1:54" ht="15.75" customHeight="1" x14ac:dyDescent="0.2">
      <c r="A97" s="84"/>
      <c r="B97" s="85"/>
      <c r="C97" s="85"/>
      <c r="D97" s="85"/>
      <c r="E97" s="86"/>
      <c r="F97" s="16">
        <f>IF(E97="","",DATEDIF(E97,$I$7,"Y"))</f>
      </c>
      <c r="G97" s="85"/>
      <c r="H97" s="85"/>
      <c r="I97" s="87"/>
      <c r="J97" s="85"/>
      <c r="K97" s="85"/>
      <c r="L97" s="2"/>
      <c r="M97" s="2"/>
      <c r="N97" s="1"/>
      <c r="O97" s="1"/>
      <c r="P97" s="85"/>
      <c r="Q97" s="88"/>
      <c r="R97" s="3">
        <f>IFERROR(VLOOKUP(TablaJulio[[#This Row],[BARRIO]],SECTOR!$A:$B,2,0),"")</f>
      </c>
      <c r="S97" s="89"/>
      <c r="T97" s="90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6"/>
      <c r="AZ97" s="30">
        <f>COUNTIF(U97:AY97,"A")</f>
      </c>
      <c r="BA97" s="17">
        <f>COUNTIF(U97:AY97,"F")</f>
      </c>
      <c r="BB97" s="17">
        <f>COUNTIF(U97:AY97,"E")</f>
      </c>
    </row>
    <row r="98" spans="1:54" ht="15.75" customHeight="1" x14ac:dyDescent="0.2">
      <c r="A98" s="84"/>
      <c r="B98" s="85"/>
      <c r="C98" s="85"/>
      <c r="D98" s="85"/>
      <c r="E98" s="86"/>
      <c r="F98" s="16">
        <f>IF(E98="","",DATEDIF(E98,$I$7,"Y"))</f>
      </c>
      <c r="G98" s="85"/>
      <c r="H98" s="85"/>
      <c r="I98" s="87"/>
      <c r="J98" s="85"/>
      <c r="K98" s="85"/>
      <c r="L98" s="2"/>
      <c r="M98" s="2"/>
      <c r="N98" s="1"/>
      <c r="O98" s="1"/>
      <c r="P98" s="85"/>
      <c r="Q98" s="88"/>
      <c r="R98" s="3">
        <f>IFERROR(VLOOKUP(TablaJulio[[#This Row],[BARRIO]],SECTOR!$A:$B,2,0),"")</f>
      </c>
      <c r="S98" s="89"/>
      <c r="T98" s="90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6"/>
      <c r="AZ98" s="30">
        <f>COUNTIF(U98:AY98,"A")</f>
      </c>
      <c r="BA98" s="17">
        <f>COUNTIF(U98:AY98,"F")</f>
      </c>
      <c r="BB98" s="17">
        <f>COUNTIF(U98:AY98,"E")</f>
      </c>
    </row>
    <row r="99" spans="1:54" ht="15.75" customHeight="1" x14ac:dyDescent="0.2">
      <c r="A99" s="84"/>
      <c r="B99" s="85"/>
      <c r="C99" s="85"/>
      <c r="D99" s="85"/>
      <c r="E99" s="86"/>
      <c r="F99" s="16">
        <f>IF(E99="","",DATEDIF(E99,$I$7,"Y"))</f>
      </c>
      <c r="G99" s="85"/>
      <c r="H99" s="85"/>
      <c r="I99" s="87"/>
      <c r="J99" s="85"/>
      <c r="K99" s="85"/>
      <c r="L99" s="2"/>
      <c r="M99" s="2"/>
      <c r="N99" s="1"/>
      <c r="O99" s="1"/>
      <c r="P99" s="85"/>
      <c r="Q99" s="88"/>
      <c r="R99" s="3">
        <f>IFERROR(VLOOKUP(TablaJulio[[#This Row],[BARRIO]],SECTOR!$A:$B,2,0),"")</f>
      </c>
      <c r="S99" s="89"/>
      <c r="T99" s="90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6"/>
      <c r="AZ99" s="30">
        <f>COUNTIF(U99:AY99,"A")</f>
      </c>
      <c r="BA99" s="17">
        <f>COUNTIF(U99:AY99,"F")</f>
      </c>
      <c r="BB99" s="17">
        <f>COUNTIF(U99:AY99,"E")</f>
      </c>
    </row>
    <row r="100" spans="1:54" ht="15.75" customHeight="1" x14ac:dyDescent="0.2">
      <c r="A100" s="84"/>
      <c r="B100" s="85"/>
      <c r="C100" s="85"/>
      <c r="D100" s="85"/>
      <c r="E100" s="86"/>
      <c r="F100" s="16">
        <f>IF(E100="","",DATEDIF(E100,$I$7,"Y"))</f>
      </c>
      <c r="G100" s="85"/>
      <c r="H100" s="85"/>
      <c r="I100" s="87"/>
      <c r="J100" s="85"/>
      <c r="K100" s="85"/>
      <c r="L100" s="2"/>
      <c r="M100" s="2"/>
      <c r="N100" s="1"/>
      <c r="O100" s="1"/>
      <c r="P100" s="85"/>
      <c r="Q100" s="88"/>
      <c r="R100" s="3">
        <f>IFERROR(VLOOKUP(TablaJulio[[#This Row],[BARRIO]],SECTOR!$A:$B,2,0),"")</f>
      </c>
      <c r="S100" s="89"/>
      <c r="T100" s="90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6"/>
      <c r="AZ100" s="30">
        <f>COUNTIF(U100:AY100,"A")</f>
      </c>
      <c r="BA100" s="17">
        <f>COUNTIF(U100:AY100,"F")</f>
      </c>
      <c r="BB100" s="17">
        <f>COUNTIF(U100:AY100,"E")</f>
      </c>
    </row>
    <row r="101" spans="1:54" ht="15.75" customHeight="1" x14ac:dyDescent="0.2">
      <c r="A101" s="84"/>
      <c r="B101" s="85"/>
      <c r="C101" s="85"/>
      <c r="D101" s="85"/>
      <c r="E101" s="86"/>
      <c r="F101" s="16">
        <f>IF(E101="","",DATEDIF(E101,$I$7,"Y"))</f>
      </c>
      <c r="G101" s="85"/>
      <c r="H101" s="85"/>
      <c r="I101" s="87"/>
      <c r="J101" s="85"/>
      <c r="K101" s="85"/>
      <c r="L101" s="2"/>
      <c r="M101" s="2"/>
      <c r="N101" s="1"/>
      <c r="O101" s="1"/>
      <c r="P101" s="85"/>
      <c r="Q101" s="88"/>
      <c r="R101" s="3">
        <f>IFERROR(VLOOKUP(TablaJulio[[#This Row],[BARRIO]],SECTOR!$A:$B,2,0),"")</f>
      </c>
      <c r="S101" s="89"/>
      <c r="T101" s="90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6"/>
      <c r="AZ101" s="30">
        <f>COUNTIF(U101:AY101,"A")</f>
      </c>
      <c r="BA101" s="17">
        <f>COUNTIF(U101:AY101,"F")</f>
      </c>
      <c r="BB101" s="17">
        <f>COUNTIF(U101:AY101,"E")</f>
      </c>
    </row>
    <row r="102" spans="1:54" ht="15.75" customHeight="1" x14ac:dyDescent="0.2">
      <c r="A102" s="84"/>
      <c r="B102" s="85"/>
      <c r="C102" s="85"/>
      <c r="D102" s="85"/>
      <c r="E102" s="86"/>
      <c r="F102" s="16">
        <f>IF(E102="","",DATEDIF(E102,$I$7,"Y"))</f>
      </c>
      <c r="G102" s="85"/>
      <c r="H102" s="85"/>
      <c r="I102" s="87"/>
      <c r="J102" s="85"/>
      <c r="K102" s="85"/>
      <c r="L102" s="2"/>
      <c r="M102" s="2"/>
      <c r="N102" s="1"/>
      <c r="O102" s="1"/>
      <c r="P102" s="85"/>
      <c r="Q102" s="88"/>
      <c r="R102" s="3">
        <f>IFERROR(VLOOKUP(TablaJulio[[#This Row],[BARRIO]],SECTOR!$A:$B,2,0),"")</f>
      </c>
      <c r="S102" s="89"/>
      <c r="T102" s="90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6"/>
      <c r="AZ102" s="30">
        <f>COUNTIF(U102:AY102,"A")</f>
      </c>
      <c r="BA102" s="17">
        <f>COUNTIF(U102:AY102,"F")</f>
      </c>
      <c r="BB102" s="17">
        <f>COUNTIF(U102:AY102,"E")</f>
      </c>
    </row>
    <row r="103" spans="1:54" ht="15.75" customHeight="1" x14ac:dyDescent="0.2">
      <c r="A103" s="84"/>
      <c r="B103" s="85"/>
      <c r="C103" s="85"/>
      <c r="D103" s="85"/>
      <c r="E103" s="86"/>
      <c r="F103" s="16">
        <f>IF(E103="","",DATEDIF(E103,$I$7,"Y"))</f>
      </c>
      <c r="G103" s="85"/>
      <c r="H103" s="85"/>
      <c r="I103" s="87"/>
      <c r="J103" s="85"/>
      <c r="K103" s="85"/>
      <c r="L103" s="2"/>
      <c r="M103" s="2"/>
      <c r="N103" s="1"/>
      <c r="O103" s="1"/>
      <c r="P103" s="85"/>
      <c r="Q103" s="88"/>
      <c r="R103" s="3">
        <f>IFERROR(VLOOKUP(TablaJulio[[#This Row],[BARRIO]],SECTOR!$A:$B,2,0),"")</f>
      </c>
      <c r="S103" s="89"/>
      <c r="T103" s="90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6"/>
      <c r="AZ103" s="30">
        <f>COUNTIF(U103:AY103,"A")</f>
      </c>
      <c r="BA103" s="17">
        <f>COUNTIF(U103:AY103,"F")</f>
      </c>
      <c r="BB103" s="17">
        <f>COUNTIF(U103:AY103,"E")</f>
      </c>
    </row>
    <row r="104" spans="1:54" ht="15.75" customHeight="1" x14ac:dyDescent="0.2">
      <c r="A104" s="84"/>
      <c r="B104" s="85"/>
      <c r="C104" s="85"/>
      <c r="D104" s="85"/>
      <c r="E104" s="86"/>
      <c r="F104" s="16">
        <f>IF(E104="","",DATEDIF(E104,$I$7,"Y"))</f>
      </c>
      <c r="G104" s="85"/>
      <c r="H104" s="85"/>
      <c r="I104" s="87"/>
      <c r="J104" s="85"/>
      <c r="K104" s="85"/>
      <c r="L104" s="2"/>
      <c r="M104" s="2"/>
      <c r="N104" s="1"/>
      <c r="O104" s="1"/>
      <c r="P104" s="85"/>
      <c r="Q104" s="88"/>
      <c r="R104" s="3">
        <f>IFERROR(VLOOKUP(TablaJulio[[#This Row],[BARRIO]],SECTOR!$A:$B,2,0),"")</f>
      </c>
      <c r="S104" s="89"/>
      <c r="T104" s="90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6"/>
      <c r="AZ104" s="30">
        <f>COUNTIF(U104:AY104,"A")</f>
      </c>
      <c r="BA104" s="17">
        <f>COUNTIF(U104:AY104,"F")</f>
      </c>
      <c r="BB104" s="17">
        <f>COUNTIF(U104:AY104,"E")</f>
      </c>
    </row>
    <row r="105" spans="1:54" ht="15.75" customHeight="1" x14ac:dyDescent="0.2">
      <c r="A105" s="84"/>
      <c r="B105" s="85"/>
      <c r="C105" s="85"/>
      <c r="D105" s="85"/>
      <c r="E105" s="86"/>
      <c r="F105" s="16">
        <f>IF(E105="","",DATEDIF(E105,$I$7,"Y"))</f>
      </c>
      <c r="G105" s="85"/>
      <c r="H105" s="85"/>
      <c r="I105" s="87"/>
      <c r="J105" s="85"/>
      <c r="K105" s="85"/>
      <c r="L105" s="2"/>
      <c r="M105" s="2"/>
      <c r="N105" s="1"/>
      <c r="O105" s="1"/>
      <c r="P105" s="85"/>
      <c r="Q105" s="88"/>
      <c r="R105" s="3">
        <f>IFERROR(VLOOKUP(TablaJulio[[#This Row],[BARRIO]],SECTOR!$A:$B,2,0),"")</f>
      </c>
      <c r="S105" s="89"/>
      <c r="T105" s="90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6"/>
      <c r="AZ105" s="30">
        <f>COUNTIF(U105:AY105,"A")</f>
      </c>
      <c r="BA105" s="17">
        <f>COUNTIF(U105:AY105,"F")</f>
      </c>
      <c r="BB105" s="17">
        <f>COUNTIF(U105:AY105,"E")</f>
      </c>
    </row>
    <row r="106" spans="1:54" ht="15.75" customHeight="1" x14ac:dyDescent="0.2">
      <c r="A106" s="84"/>
      <c r="B106" s="85"/>
      <c r="C106" s="85"/>
      <c r="D106" s="85"/>
      <c r="E106" s="86"/>
      <c r="F106" s="16">
        <f>IF(E106="","",DATEDIF(E106,$I$7,"Y"))</f>
      </c>
      <c r="G106" s="85"/>
      <c r="H106" s="85"/>
      <c r="I106" s="87"/>
      <c r="J106" s="85"/>
      <c r="K106" s="85"/>
      <c r="L106" s="2"/>
      <c r="M106" s="2"/>
      <c r="N106" s="1"/>
      <c r="O106" s="1"/>
      <c r="P106" s="85"/>
      <c r="Q106" s="88"/>
      <c r="R106" s="3">
        <f>IFERROR(VLOOKUP(TablaJulio[[#This Row],[BARRIO]],SECTOR!$A:$B,2,0),"")</f>
      </c>
      <c r="S106" s="89"/>
      <c r="T106" s="90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6"/>
      <c r="AZ106" s="30">
        <f>COUNTIF(U106:AY106,"A")</f>
      </c>
      <c r="BA106" s="17">
        <f>COUNTIF(U106:AY106,"F")</f>
      </c>
      <c r="BB106" s="17">
        <f>COUNTIF(U106:AY106,"E")</f>
      </c>
    </row>
    <row r="107" spans="1:54" ht="15.75" customHeight="1" x14ac:dyDescent="0.2">
      <c r="A107" s="84"/>
      <c r="B107" s="85"/>
      <c r="C107" s="85"/>
      <c r="D107" s="85"/>
      <c r="E107" s="86"/>
      <c r="F107" s="16">
        <f>IF(E107="","",DATEDIF(E107,$I$7,"Y"))</f>
      </c>
      <c r="G107" s="85"/>
      <c r="H107" s="85"/>
      <c r="I107" s="87"/>
      <c r="J107" s="85"/>
      <c r="K107" s="85"/>
      <c r="L107" s="2"/>
      <c r="M107" s="2"/>
      <c r="N107" s="1"/>
      <c r="O107" s="1"/>
      <c r="P107" s="85"/>
      <c r="Q107" s="88"/>
      <c r="R107" s="3">
        <f>IFERROR(VLOOKUP(TablaJulio[[#This Row],[BARRIO]],SECTOR!$A:$B,2,0),"")</f>
      </c>
      <c r="S107" s="89"/>
      <c r="T107" s="90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6"/>
      <c r="AZ107" s="30">
        <f>COUNTIF(U107:AY107,"A")</f>
      </c>
      <c r="BA107" s="17">
        <f>COUNTIF(U107:AY107,"F")</f>
      </c>
      <c r="BB107" s="17">
        <f>COUNTIF(U107:AY107,"E")</f>
      </c>
    </row>
    <row r="108" spans="1:54" ht="15.75" customHeight="1" x14ac:dyDescent="0.2">
      <c r="A108" s="84"/>
      <c r="B108" s="85"/>
      <c r="C108" s="85"/>
      <c r="D108" s="85"/>
      <c r="E108" s="86"/>
      <c r="F108" s="16">
        <f>IF(E108="","",DATEDIF(E108,$I$7,"Y"))</f>
      </c>
      <c r="G108" s="85"/>
      <c r="H108" s="85"/>
      <c r="I108" s="87"/>
      <c r="J108" s="85"/>
      <c r="K108" s="85"/>
      <c r="L108" s="2"/>
      <c r="M108" s="2"/>
      <c r="N108" s="1"/>
      <c r="O108" s="1"/>
      <c r="P108" s="85"/>
      <c r="Q108" s="88"/>
      <c r="R108" s="3">
        <f>IFERROR(VLOOKUP(TablaJulio[[#This Row],[BARRIO]],SECTOR!$A:$B,2,0),"")</f>
      </c>
      <c r="S108" s="89"/>
      <c r="T108" s="90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6"/>
      <c r="AZ108" s="30">
        <f>COUNTIF(U108:AY108,"A")</f>
      </c>
      <c r="BA108" s="17">
        <f>COUNTIF(U108:AY108,"F")</f>
      </c>
      <c r="BB108" s="17">
        <f>COUNTIF(U108:AY108,"E")</f>
      </c>
    </row>
    <row r="109" spans="1:54" ht="15.75" customHeight="1" x14ac:dyDescent="0.2">
      <c r="A109" s="84"/>
      <c r="B109" s="85"/>
      <c r="C109" s="85"/>
      <c r="D109" s="85"/>
      <c r="E109" s="86"/>
      <c r="F109" s="16">
        <f>IF(E109="","",DATEDIF(E109,$I$7,"Y"))</f>
      </c>
      <c r="G109" s="85"/>
      <c r="H109" s="85"/>
      <c r="I109" s="87"/>
      <c r="J109" s="85"/>
      <c r="K109" s="85"/>
      <c r="L109" s="2"/>
      <c r="M109" s="2"/>
      <c r="N109" s="1"/>
      <c r="O109" s="1"/>
      <c r="P109" s="85"/>
      <c r="Q109" s="88"/>
      <c r="R109" s="3">
        <f>IFERROR(VLOOKUP(TablaJulio[[#This Row],[BARRIO]],SECTOR!$A:$B,2,0),"")</f>
      </c>
      <c r="S109" s="89"/>
      <c r="T109" s="90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6"/>
      <c r="AZ109" s="30">
        <f>COUNTIF(U109:AY109,"A")</f>
      </c>
      <c r="BA109" s="17">
        <f>COUNTIF(U109:AY109,"F")</f>
      </c>
      <c r="BB109" s="17">
        <f>COUNTIF(U109:AY109,"E")</f>
      </c>
    </row>
    <row r="110" spans="1:54" ht="15.75" customHeight="1" x14ac:dyDescent="0.2">
      <c r="A110" s="84"/>
      <c r="B110" s="85"/>
      <c r="C110" s="85"/>
      <c r="D110" s="85"/>
      <c r="E110" s="86"/>
      <c r="F110" s="16">
        <f>IF(E110="","",DATEDIF(E110,$I$7,"Y"))</f>
      </c>
      <c r="G110" s="85"/>
      <c r="H110" s="85"/>
      <c r="I110" s="87"/>
      <c r="J110" s="85"/>
      <c r="K110" s="85"/>
      <c r="L110" s="2"/>
      <c r="M110" s="2"/>
      <c r="N110" s="1"/>
      <c r="O110" s="1"/>
      <c r="P110" s="85"/>
      <c r="Q110" s="88"/>
      <c r="R110" s="3">
        <f>IFERROR(VLOOKUP(TablaJulio[[#This Row],[BARRIO]],SECTOR!$A:$B,2,0),"")</f>
      </c>
      <c r="S110" s="89"/>
      <c r="T110" s="90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6"/>
      <c r="AZ110" s="30">
        <f>COUNTIF(U110:AY110,"A")</f>
      </c>
      <c r="BA110" s="17">
        <f>COUNTIF(U110:AY110,"F")</f>
      </c>
      <c r="BB110" s="17">
        <f>COUNTIF(U110:AY110,"E")</f>
      </c>
    </row>
    <row r="111" spans="1:54" ht="15.75" customHeight="1" x14ac:dyDescent="0.2">
      <c r="A111" s="84"/>
      <c r="B111" s="85"/>
      <c r="C111" s="85"/>
      <c r="D111" s="85"/>
      <c r="E111" s="86"/>
      <c r="F111" s="16">
        <f>IF(E111="","",DATEDIF(E111,$I$7,"Y"))</f>
      </c>
      <c r="G111" s="85"/>
      <c r="H111" s="85"/>
      <c r="I111" s="87"/>
      <c r="J111" s="85"/>
      <c r="K111" s="85"/>
      <c r="L111" s="2"/>
      <c r="M111" s="2"/>
      <c r="N111" s="1"/>
      <c r="O111" s="1"/>
      <c r="P111" s="85"/>
      <c r="Q111" s="88"/>
      <c r="R111" s="3">
        <f>IFERROR(VLOOKUP(TablaJulio[[#This Row],[BARRIO]],SECTOR!$A:$B,2,0),"")</f>
      </c>
      <c r="S111" s="89"/>
      <c r="T111" s="90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6"/>
      <c r="AZ111" s="30">
        <f>COUNTIF(U111:AY111,"A")</f>
      </c>
      <c r="BA111" s="17">
        <f>COUNTIF(U111:AY111,"F")</f>
      </c>
      <c r="BB111" s="17">
        <f>COUNTIF(U111:AY111,"E")</f>
      </c>
    </row>
    <row r="112" spans="1:54" ht="15.75" customHeight="1" x14ac:dyDescent="0.2">
      <c r="A112" s="84"/>
      <c r="B112" s="85"/>
      <c r="C112" s="85"/>
      <c r="D112" s="85"/>
      <c r="E112" s="86"/>
      <c r="F112" s="16">
        <f>IF(E112="","",DATEDIF(E112,$I$7,"Y"))</f>
      </c>
      <c r="G112" s="85"/>
      <c r="H112" s="85"/>
      <c r="I112" s="87"/>
      <c r="J112" s="85"/>
      <c r="K112" s="85"/>
      <c r="L112" s="2"/>
      <c r="M112" s="2"/>
      <c r="N112" s="1"/>
      <c r="O112" s="1"/>
      <c r="P112" s="85"/>
      <c r="Q112" s="88"/>
      <c r="R112" s="3">
        <f>IFERROR(VLOOKUP(TablaJulio[[#This Row],[BARRIO]],SECTOR!$A:$B,2,0),"")</f>
      </c>
      <c r="S112" s="89"/>
      <c r="T112" s="90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6"/>
      <c r="AZ112" s="30">
        <f>COUNTIF(U112:AY112,"A")</f>
      </c>
      <c r="BA112" s="17">
        <f>COUNTIF(U112:AY112,"F")</f>
      </c>
      <c r="BB112" s="17">
        <f>COUNTIF(U112:AY112,"E")</f>
      </c>
    </row>
    <row r="113" spans="1:54" ht="15.75" customHeight="1" x14ac:dyDescent="0.2">
      <c r="A113" s="84"/>
      <c r="B113" s="85"/>
      <c r="C113" s="85"/>
      <c r="D113" s="85"/>
      <c r="E113" s="86"/>
      <c r="F113" s="16">
        <f>IF(E113="","",DATEDIF(E113,$I$7,"Y"))</f>
      </c>
      <c r="G113" s="85"/>
      <c r="H113" s="85"/>
      <c r="I113" s="87"/>
      <c r="J113" s="85"/>
      <c r="K113" s="85"/>
      <c r="L113" s="2"/>
      <c r="M113" s="2"/>
      <c r="N113" s="1"/>
      <c r="O113" s="1"/>
      <c r="P113" s="85"/>
      <c r="Q113" s="88"/>
      <c r="R113" s="3">
        <f>IFERROR(VLOOKUP(TablaJulio[[#This Row],[BARRIO]],SECTOR!$A:$B,2,0),"")</f>
      </c>
      <c r="S113" s="89"/>
      <c r="T113" s="90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6"/>
      <c r="AZ113" s="30">
        <f>COUNTIF(U113:AY113,"A")</f>
      </c>
      <c r="BA113" s="17">
        <f>COUNTIF(U113:AY113,"F")</f>
      </c>
      <c r="BB113" s="17">
        <f>COUNTIF(U113:AY113,"E")</f>
      </c>
    </row>
    <row r="114" spans="1:54" ht="15.75" customHeight="1" x14ac:dyDescent="0.2">
      <c r="A114" s="84"/>
      <c r="B114" s="85"/>
      <c r="C114" s="85"/>
      <c r="D114" s="85"/>
      <c r="E114" s="86"/>
      <c r="F114" s="16">
        <f>IF(E114="","",DATEDIF(E114,$I$7,"Y"))</f>
      </c>
      <c r="G114" s="85"/>
      <c r="H114" s="85"/>
      <c r="I114" s="87"/>
      <c r="J114" s="85"/>
      <c r="K114" s="85"/>
      <c r="L114" s="2"/>
      <c r="M114" s="2"/>
      <c r="N114" s="1"/>
      <c r="O114" s="1"/>
      <c r="P114" s="85"/>
      <c r="Q114" s="88"/>
      <c r="R114" s="3">
        <f>IFERROR(VLOOKUP(TablaJulio[[#This Row],[BARRIO]],SECTOR!$A:$B,2,0),"")</f>
      </c>
      <c r="S114" s="89"/>
      <c r="T114" s="90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6"/>
      <c r="AZ114" s="30">
        <f>COUNTIF(U114:AY114,"A")</f>
      </c>
      <c r="BA114" s="17">
        <f>COUNTIF(U114:AY114,"F")</f>
      </c>
      <c r="BB114" s="17">
        <f>COUNTIF(U114:AY114,"E")</f>
      </c>
    </row>
    <row r="115" spans="1:54" ht="15.75" customHeight="1" x14ac:dyDescent="0.2">
      <c r="A115" s="84"/>
      <c r="B115" s="85"/>
      <c r="C115" s="85"/>
      <c r="D115" s="85"/>
      <c r="E115" s="86"/>
      <c r="F115" s="16">
        <f>IF(E115="","",DATEDIF(E115,$I$7,"Y"))</f>
      </c>
      <c r="G115" s="85"/>
      <c r="H115" s="85"/>
      <c r="I115" s="87"/>
      <c r="J115" s="85"/>
      <c r="K115" s="85"/>
      <c r="L115" s="2"/>
      <c r="M115" s="2"/>
      <c r="N115" s="1"/>
      <c r="O115" s="1"/>
      <c r="P115" s="85"/>
      <c r="Q115" s="88"/>
      <c r="R115" s="3">
        <f>IFERROR(VLOOKUP(TablaJulio[[#This Row],[BARRIO]],SECTOR!$A:$B,2,0),"")</f>
      </c>
      <c r="S115" s="89"/>
      <c r="T115" s="90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6"/>
      <c r="AZ115" s="30">
        <f>COUNTIF(U115:AY115,"A")</f>
      </c>
      <c r="BA115" s="17">
        <f>COUNTIF(U115:AY115,"F")</f>
      </c>
      <c r="BB115" s="17">
        <f>COUNTIF(U115:AY115,"E")</f>
      </c>
    </row>
    <row r="116" spans="1:54" ht="15.75" customHeight="1" x14ac:dyDescent="0.2">
      <c r="A116" s="84"/>
      <c r="B116" s="85"/>
      <c r="C116" s="85"/>
      <c r="D116" s="85"/>
      <c r="E116" s="86"/>
      <c r="F116" s="16">
        <f>IF(E116="","",DATEDIF(E116,$I$7,"Y"))</f>
      </c>
      <c r="G116" s="85"/>
      <c r="H116" s="85"/>
      <c r="I116" s="87"/>
      <c r="J116" s="85"/>
      <c r="K116" s="85"/>
      <c r="L116" s="2"/>
      <c r="M116" s="2"/>
      <c r="N116" s="1"/>
      <c r="O116" s="1"/>
      <c r="P116" s="85"/>
      <c r="Q116" s="88"/>
      <c r="R116" s="3">
        <f>IFERROR(VLOOKUP(TablaJulio[[#This Row],[BARRIO]],SECTOR!$A:$B,2,0),"")</f>
      </c>
      <c r="S116" s="89"/>
      <c r="T116" s="90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6"/>
      <c r="AZ116" s="30">
        <f>COUNTIF(U116:AY116,"A")</f>
      </c>
      <c r="BA116" s="17">
        <f>COUNTIF(U116:AY116,"F")</f>
      </c>
      <c r="BB116" s="17">
        <f>COUNTIF(U116:AY116,"E")</f>
      </c>
    </row>
    <row r="117" spans="1:54" ht="15.75" customHeight="1" x14ac:dyDescent="0.2">
      <c r="A117" s="84"/>
      <c r="B117" s="85"/>
      <c r="C117" s="85"/>
      <c r="D117" s="85"/>
      <c r="E117" s="86"/>
      <c r="F117" s="16">
        <f>IF(E117="","",DATEDIF(E117,$I$7,"Y"))</f>
      </c>
      <c r="G117" s="85"/>
      <c r="H117" s="85"/>
      <c r="I117" s="87"/>
      <c r="J117" s="85"/>
      <c r="K117" s="85"/>
      <c r="L117" s="2"/>
      <c r="M117" s="2"/>
      <c r="N117" s="1"/>
      <c r="O117" s="1"/>
      <c r="P117" s="85"/>
      <c r="Q117" s="88"/>
      <c r="R117" s="3">
        <f>IFERROR(VLOOKUP(TablaJulio[[#This Row],[BARRIO]],SECTOR!$A:$B,2,0),"")</f>
      </c>
      <c r="S117" s="89"/>
      <c r="T117" s="90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6"/>
      <c r="AZ117" s="30">
        <f>COUNTIF(U117:AY117,"A")</f>
      </c>
      <c r="BA117" s="17">
        <f>COUNTIF(U117:AY117,"F")</f>
      </c>
      <c r="BB117" s="17">
        <f>COUNTIF(U117:AY117,"E")</f>
      </c>
    </row>
    <row r="118" spans="1:54" ht="15.75" customHeight="1" x14ac:dyDescent="0.2">
      <c r="A118" s="84"/>
      <c r="B118" s="85"/>
      <c r="C118" s="85"/>
      <c r="D118" s="85"/>
      <c r="E118" s="86"/>
      <c r="F118" s="16">
        <f>IF(E118="","",DATEDIF(E118,$I$7,"Y"))</f>
      </c>
      <c r="G118" s="85"/>
      <c r="H118" s="85"/>
      <c r="I118" s="87"/>
      <c r="J118" s="85"/>
      <c r="K118" s="85"/>
      <c r="L118" s="2"/>
      <c r="M118" s="2"/>
      <c r="N118" s="1"/>
      <c r="O118" s="1"/>
      <c r="P118" s="85"/>
      <c r="Q118" s="88"/>
      <c r="R118" s="3">
        <f>IFERROR(VLOOKUP(TablaJulio[[#This Row],[BARRIO]],SECTOR!$A:$B,2,0),"")</f>
      </c>
      <c r="S118" s="89"/>
      <c r="T118" s="90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6"/>
      <c r="AZ118" s="30">
        <f>COUNTIF(U118:AY118,"A")</f>
      </c>
      <c r="BA118" s="17">
        <f>COUNTIF(U118:AY118,"F")</f>
      </c>
      <c r="BB118" s="17">
        <f>COUNTIF(U118:AY118,"E")</f>
      </c>
    </row>
    <row r="119" spans="1:54" ht="15.75" customHeight="1" x14ac:dyDescent="0.2">
      <c r="A119" s="84"/>
      <c r="B119" s="85"/>
      <c r="C119" s="85"/>
      <c r="D119" s="85"/>
      <c r="E119" s="86"/>
      <c r="F119" s="16">
        <f>IF(E119="","",DATEDIF(E119,$I$7,"Y"))</f>
      </c>
      <c r="G119" s="85"/>
      <c r="H119" s="85"/>
      <c r="I119" s="87"/>
      <c r="J119" s="85"/>
      <c r="K119" s="85"/>
      <c r="L119" s="2"/>
      <c r="M119" s="2"/>
      <c r="N119" s="1"/>
      <c r="O119" s="1"/>
      <c r="P119" s="85"/>
      <c r="Q119" s="88"/>
      <c r="R119" s="3">
        <f>IFERROR(VLOOKUP(TablaJulio[[#This Row],[BARRIO]],SECTOR!$A:$B,2,0),"")</f>
      </c>
      <c r="S119" s="89"/>
      <c r="T119" s="90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6"/>
      <c r="AZ119" s="30">
        <f>COUNTIF(U119:AY119,"A")</f>
      </c>
      <c r="BA119" s="17">
        <f>COUNTIF(U119:AY119,"F")</f>
      </c>
      <c r="BB119" s="17">
        <f>COUNTIF(U119:AY119,"E")</f>
      </c>
    </row>
    <row r="120" spans="1:54" ht="15.75" customHeight="1" x14ac:dyDescent="0.2">
      <c r="A120" s="84"/>
      <c r="B120" s="85"/>
      <c r="C120" s="85"/>
      <c r="D120" s="85"/>
      <c r="E120" s="86"/>
      <c r="F120" s="16">
        <f>IF(E120="","",DATEDIF(E120,$I$7,"Y"))</f>
      </c>
      <c r="G120" s="85"/>
      <c r="H120" s="85"/>
      <c r="I120" s="87"/>
      <c r="J120" s="85"/>
      <c r="K120" s="85"/>
      <c r="L120" s="2"/>
      <c r="M120" s="2"/>
      <c r="N120" s="1"/>
      <c r="O120" s="1"/>
      <c r="P120" s="85"/>
      <c r="Q120" s="88"/>
      <c r="R120" s="3">
        <f>IFERROR(VLOOKUP(TablaJulio[[#This Row],[BARRIO]],SECTOR!$A:$B,2,0),"")</f>
      </c>
      <c r="S120" s="89"/>
      <c r="T120" s="90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6"/>
      <c r="AZ120" s="30">
        <f>COUNTIF(U120:AY120,"A")</f>
      </c>
      <c r="BA120" s="17">
        <f>COUNTIF(U120:AY120,"F")</f>
      </c>
      <c r="BB120" s="17">
        <f>COUNTIF(U120:AY120,"E")</f>
      </c>
    </row>
    <row r="121" spans="1:54" ht="15.75" customHeight="1" x14ac:dyDescent="0.2">
      <c r="A121" s="84"/>
      <c r="B121" s="85"/>
      <c r="C121" s="85"/>
      <c r="D121" s="85"/>
      <c r="E121" s="86"/>
      <c r="F121" s="16">
        <f>IF(E121="","",DATEDIF(E121,$I$7,"Y"))</f>
      </c>
      <c r="G121" s="85"/>
      <c r="H121" s="85"/>
      <c r="I121" s="87"/>
      <c r="J121" s="85"/>
      <c r="K121" s="85"/>
      <c r="L121" s="2"/>
      <c r="M121" s="2"/>
      <c r="N121" s="1"/>
      <c r="O121" s="1"/>
      <c r="P121" s="85"/>
      <c r="Q121" s="88"/>
      <c r="R121" s="3">
        <f>IFERROR(VLOOKUP(TablaJulio[[#This Row],[BARRIO]],SECTOR!$A:$B,2,0),"")</f>
      </c>
      <c r="S121" s="89"/>
      <c r="T121" s="90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6"/>
      <c r="AZ121" s="30">
        <f>COUNTIF(U121:AY121,"A")</f>
      </c>
      <c r="BA121" s="17">
        <f>COUNTIF(U121:AY121,"F")</f>
      </c>
      <c r="BB121" s="17">
        <f>COUNTIF(U121:AY121,"E")</f>
      </c>
    </row>
    <row r="122" spans="1:54" ht="15.75" customHeight="1" x14ac:dyDescent="0.2">
      <c r="A122" s="84"/>
      <c r="B122" s="85"/>
      <c r="C122" s="85"/>
      <c r="D122" s="85"/>
      <c r="E122" s="86"/>
      <c r="F122" s="16">
        <f>IF(E122="","",DATEDIF(E122,$I$7,"Y"))</f>
      </c>
      <c r="G122" s="85"/>
      <c r="H122" s="85"/>
      <c r="I122" s="87"/>
      <c r="J122" s="85"/>
      <c r="K122" s="85"/>
      <c r="L122" s="2"/>
      <c r="M122" s="2"/>
      <c r="N122" s="1"/>
      <c r="O122" s="1"/>
      <c r="P122" s="85"/>
      <c r="Q122" s="88"/>
      <c r="R122" s="3">
        <f>IFERROR(VLOOKUP(TablaJulio[[#This Row],[BARRIO]],SECTOR!$A:$B,2,0),"")</f>
      </c>
      <c r="S122" s="89"/>
      <c r="T122" s="90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30">
        <f>COUNTIF(U122:AY122,"A")</f>
      </c>
      <c r="BA122" s="17">
        <f>COUNTIF(U122:AY122,"F")</f>
      </c>
      <c r="BB122" s="17">
        <f>COUNTIF(U122:AY122,"E")</f>
      </c>
    </row>
    <row r="123" spans="1:54" x14ac:dyDescent="0.2">
      <c r="A123" s="100"/>
      <c r="B123" s="101"/>
      <c r="C123" s="101"/>
      <c r="D123" s="101"/>
      <c r="E123" s="102"/>
      <c r="F123" s="16">
        <f>IF(E123="","",DATEDIF(E123,$I$7,"Y"))</f>
      </c>
      <c r="G123" s="101"/>
      <c r="H123" s="101"/>
      <c r="I123" s="103"/>
      <c r="J123" s="101"/>
      <c r="K123" s="101"/>
      <c r="L123" s="10"/>
      <c r="M123" s="10"/>
      <c r="N123" s="10"/>
      <c r="O123" s="10"/>
      <c r="P123" s="101"/>
      <c r="Q123" s="88"/>
      <c r="R123" s="3">
        <f>IFERROR(VLOOKUP(TablaJulio[[#This Row],[BARRIO]],SECTOR!$A:$B,2,0),"")</f>
      </c>
      <c r="S123" s="104"/>
      <c r="T123" s="10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7"/>
      <c r="AZ123" s="30">
        <f>COUNTIF(U123:AY123,"A")</f>
      </c>
      <c r="BA123" s="32">
        <f>COUNTIF(U123:AY123,"F")</f>
      </c>
      <c r="BB123" s="118">
        <f>COUNTIF(U123:AY123,"E")</f>
      </c>
    </row>
    <row r="124" spans="1:54" x14ac:dyDescent="0.2">
      <c r="A124" s="100"/>
      <c r="B124" s="101"/>
      <c r="C124" s="101"/>
      <c r="D124" s="101"/>
      <c r="E124" s="102"/>
      <c r="F124" s="16">
        <f>IF(E124="","",DATEDIF(E124,$I$7,"Y"))</f>
      </c>
      <c r="G124" s="101"/>
      <c r="H124" s="101"/>
      <c r="I124" s="103"/>
      <c r="J124" s="101"/>
      <c r="K124" s="101"/>
      <c r="L124" s="10"/>
      <c r="M124" s="10"/>
      <c r="N124" s="10"/>
      <c r="O124" s="10"/>
      <c r="P124" s="101"/>
      <c r="Q124" s="88"/>
      <c r="R124" s="3">
        <f>IFERROR(VLOOKUP(TablaJulio[[#This Row],[BARRIO]],SECTOR!$A:$B,2,0),"")</f>
      </c>
      <c r="S124" s="104"/>
      <c r="T124" s="10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7"/>
      <c r="AZ124" s="30">
        <f>COUNTIF(U124:AY124,"A")</f>
      </c>
      <c r="BA124" s="32">
        <f>COUNTIF(U124:AY124,"F")</f>
      </c>
      <c r="BB124" s="118">
        <f>COUNTIF(U124:AY124,"E")</f>
      </c>
    </row>
    <row r="125" spans="1:54" x14ac:dyDescent="0.2">
      <c r="A125" s="100"/>
      <c r="B125" s="106"/>
      <c r="C125" s="101"/>
      <c r="D125" s="101"/>
      <c r="E125" s="102"/>
      <c r="F125" s="16">
        <f>IF(E125="","",DATEDIF(E125,$I$7,"Y"))</f>
      </c>
      <c r="G125" s="101"/>
      <c r="H125" s="101"/>
      <c r="I125" s="103"/>
      <c r="J125" s="101"/>
      <c r="K125" s="101"/>
      <c r="L125" s="10"/>
      <c r="M125" s="10"/>
      <c r="N125" s="10"/>
      <c r="O125" s="10"/>
      <c r="P125" s="101"/>
      <c r="Q125" s="88"/>
      <c r="R125" s="3">
        <f>IFERROR(VLOOKUP(TablaJulio[[#This Row],[BARRIO]],SECTOR!$A:$B,2,0),"")</f>
      </c>
      <c r="S125" s="104"/>
      <c r="T125" s="10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7"/>
      <c r="AZ125" s="30">
        <f>COUNTIF(U125:AY125,"A")</f>
      </c>
      <c r="BA125" s="32">
        <f>COUNTIF(U125:AY125,"F")</f>
      </c>
      <c r="BB125" s="118">
        <f>COUNTIF(U125:AY125,"E")</f>
      </c>
    </row>
    <row r="126" spans="1:54" x14ac:dyDescent="0.2">
      <c r="A126" s="84"/>
      <c r="B126" s="107"/>
      <c r="C126" s="85"/>
      <c r="D126" s="85"/>
      <c r="E126" s="86"/>
      <c r="F126" s="16">
        <f>IF(E126="","",DATEDIF(E126,$I$7,"Y"))</f>
      </c>
      <c r="G126" s="85"/>
      <c r="H126" s="85"/>
      <c r="I126" s="87"/>
      <c r="J126" s="85"/>
      <c r="K126" s="85"/>
      <c r="L126" s="10"/>
      <c r="M126" s="10"/>
      <c r="N126" s="10"/>
      <c r="O126" s="10"/>
      <c r="P126" s="85"/>
      <c r="Q126" s="88"/>
      <c r="R126" s="3">
        <f>IFERROR(VLOOKUP(TablaJulio[[#This Row],[BARRIO]],SECTOR!$A:$B,2,0),"")</f>
      </c>
      <c r="S126" s="89"/>
      <c r="T126" s="90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6"/>
      <c r="AZ126" s="30">
        <f>COUNTIF(U126:AY126,"A")</f>
      </c>
      <c r="BA126" s="32">
        <f>COUNTIF(U126:AY126,"F")</f>
      </c>
      <c r="BB126" s="119">
        <f>COUNTIF(U126:AY126,"E")</f>
      </c>
    </row>
    <row r="127" spans="1:54" x14ac:dyDescent="0.2">
      <c r="A127" s="84"/>
      <c r="B127" s="107"/>
      <c r="C127" s="85"/>
      <c r="D127" s="85"/>
      <c r="E127" s="86"/>
      <c r="F127" s="16">
        <f>IF(E127="","",DATEDIF(E127,$I$7,"Y"))</f>
      </c>
      <c r="G127" s="85"/>
      <c r="H127" s="85"/>
      <c r="I127" s="87"/>
      <c r="J127" s="85"/>
      <c r="K127" s="85"/>
      <c r="L127" s="10"/>
      <c r="M127" s="10"/>
      <c r="N127" s="10"/>
      <c r="O127" s="10"/>
      <c r="P127" s="85"/>
      <c r="Q127" s="88"/>
      <c r="R127" s="3">
        <f>IFERROR(VLOOKUP(TablaJulio[[#This Row],[BARRIO]],SECTOR!$A:$B,2,0),"")</f>
      </c>
      <c r="S127" s="89"/>
      <c r="T127" s="90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6"/>
      <c r="AZ127" s="120">
        <f>COUNTIF(U127:AY127,"A")</f>
      </c>
      <c r="BA127" s="121">
        <f>COUNTIF(U127:AY127,"F")</f>
      </c>
      <c r="BB127" s="119">
        <f>COUNTIF(U127:AY127,"E")</f>
      </c>
    </row>
    <row r="128" spans="1:54" x14ac:dyDescent="0.2">
      <c r="A128" s="84"/>
      <c r="B128" s="107"/>
      <c r="C128" s="85"/>
      <c r="D128" s="85"/>
      <c r="E128" s="86"/>
      <c r="F128" s="16">
        <f>IF(E128="","",DATEDIF(E128,$I$7,"Y"))</f>
      </c>
      <c r="G128" s="85"/>
      <c r="H128" s="85"/>
      <c r="I128" s="87"/>
      <c r="J128" s="85"/>
      <c r="K128" s="85"/>
      <c r="L128" s="10"/>
      <c r="M128" s="10"/>
      <c r="N128" s="10"/>
      <c r="O128" s="10"/>
      <c r="P128" s="85"/>
      <c r="Q128" s="88"/>
      <c r="R128" s="3">
        <f>IFERROR(VLOOKUP(TablaJulio[[#This Row],[BARRIO]],SECTOR!$A:$B,2,0),"")</f>
      </c>
      <c r="S128" s="89"/>
      <c r="T128" s="90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6"/>
      <c r="AZ128" s="120">
        <f>COUNTIF(U128:AY128,"A")</f>
      </c>
      <c r="BA128" s="121">
        <f>COUNTIF(U128:AY128,"F")</f>
      </c>
      <c r="BB128" s="119">
        <f>COUNTIF(U128:AY128,"E")</f>
      </c>
    </row>
    <row r="129" spans="1:54" x14ac:dyDescent="0.2">
      <c r="A129" s="84"/>
      <c r="B129" s="107"/>
      <c r="C129" s="85"/>
      <c r="D129" s="85"/>
      <c r="E129" s="86"/>
      <c r="F129" s="16">
        <f>IF(E129="","",DATEDIF(E129,$I$7,"Y"))</f>
      </c>
      <c r="G129" s="85"/>
      <c r="H129" s="85"/>
      <c r="I129" s="87"/>
      <c r="J129" s="85"/>
      <c r="K129" s="85"/>
      <c r="L129" s="10"/>
      <c r="M129" s="10"/>
      <c r="N129" s="10"/>
      <c r="O129" s="10"/>
      <c r="P129" s="85"/>
      <c r="Q129" s="88"/>
      <c r="R129" s="3">
        <f>IFERROR(VLOOKUP(TablaJulio[[#This Row],[BARRIO]],SECTOR!$A:$B,2,0),"")</f>
      </c>
      <c r="S129" s="89"/>
      <c r="T129" s="90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6"/>
      <c r="AZ129" s="120">
        <f>COUNTIF(U129:AY129,"A")</f>
      </c>
      <c r="BA129" s="121">
        <f>COUNTIF(U129:AY129,"F")</f>
      </c>
      <c r="BB129" s="119">
        <f>COUNTIF(U129:AY129,"E")</f>
      </c>
    </row>
    <row r="130" spans="1:54" x14ac:dyDescent="0.2">
      <c r="A130" s="84"/>
      <c r="B130" s="107"/>
      <c r="C130" s="85"/>
      <c r="D130" s="85"/>
      <c r="E130" s="86"/>
      <c r="F130" s="16">
        <f>IF(E130="","",DATEDIF(E130,$I$7,"Y"))</f>
      </c>
      <c r="G130" s="85"/>
      <c r="H130" s="85"/>
      <c r="I130" s="87"/>
      <c r="J130" s="85"/>
      <c r="K130" s="85"/>
      <c r="L130" s="10"/>
      <c r="M130" s="10"/>
      <c r="N130" s="10"/>
      <c r="O130" s="10"/>
      <c r="P130" s="85"/>
      <c r="Q130" s="88"/>
      <c r="R130" s="3">
        <f>IFERROR(VLOOKUP(TablaJulio[[#This Row],[BARRIO]],SECTOR!$A:$B,2,0),"")</f>
      </c>
      <c r="S130" s="89"/>
      <c r="T130" s="90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6"/>
      <c r="AZ130" s="120">
        <f>COUNTIF(U130:AY130,"A")</f>
      </c>
      <c r="BA130" s="121">
        <f>COUNTIF(U130:AY130,"F")</f>
      </c>
      <c r="BB130" s="119">
        <f>COUNTIF(U130:AY130,"E")</f>
      </c>
    </row>
    <row r="131" spans="1:54" x14ac:dyDescent="0.2">
      <c r="A131" s="84"/>
      <c r="B131" s="107"/>
      <c r="C131" s="85"/>
      <c r="D131" s="85"/>
      <c r="E131" s="86"/>
      <c r="F131" s="16">
        <f>IF(E131="","",DATEDIF(E131,$I$7,"Y"))</f>
      </c>
      <c r="G131" s="85"/>
      <c r="H131" s="85"/>
      <c r="I131" s="87"/>
      <c r="J131" s="85"/>
      <c r="K131" s="85"/>
      <c r="L131" s="10"/>
      <c r="M131" s="10"/>
      <c r="N131" s="10"/>
      <c r="O131" s="10"/>
      <c r="P131" s="85"/>
      <c r="Q131" s="88"/>
      <c r="R131" s="3">
        <f>IFERROR(VLOOKUP(TablaJulio[[#This Row],[BARRIO]],SECTOR!$A:$B,2,0),"")</f>
      </c>
      <c r="S131" s="89"/>
      <c r="T131" s="90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6"/>
      <c r="AZ131" s="120">
        <f>COUNTIF(U131:AY131,"A")</f>
      </c>
      <c r="BA131" s="121">
        <f>COUNTIF(U131:AY131,"F")</f>
      </c>
      <c r="BB131" s="119">
        <f>COUNTIF(U131:AY131,"E")</f>
      </c>
    </row>
    <row r="132" spans="1:54" x14ac:dyDescent="0.2">
      <c r="A132" s="84"/>
      <c r="B132" s="107"/>
      <c r="C132" s="85"/>
      <c r="D132" s="85"/>
      <c r="E132" s="86"/>
      <c r="F132" s="16">
        <f>IF(E132="","",DATEDIF(E132,$I$7,"Y"))</f>
      </c>
      <c r="G132" s="85"/>
      <c r="H132" s="85"/>
      <c r="I132" s="87"/>
      <c r="J132" s="85"/>
      <c r="K132" s="85"/>
      <c r="L132" s="10"/>
      <c r="M132" s="10"/>
      <c r="N132" s="10"/>
      <c r="O132" s="10"/>
      <c r="P132" s="85"/>
      <c r="Q132" s="88"/>
      <c r="R132" s="3">
        <f>IFERROR(VLOOKUP(TablaJulio[[#This Row],[BARRIO]],SECTOR!$A:$B,2,0),"")</f>
      </c>
      <c r="S132" s="89"/>
      <c r="T132" s="90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6"/>
      <c r="AZ132" s="120">
        <f>COUNTIF(U132:AY132,"A")</f>
      </c>
      <c r="BA132" s="121">
        <f>COUNTIF(U132:AY132,"F")</f>
      </c>
      <c r="BB132" s="119">
        <f>COUNTIF(U132:AY132,"E")</f>
      </c>
    </row>
    <row r="133" spans="1:54" x14ac:dyDescent="0.2">
      <c r="A133" s="84"/>
      <c r="B133" s="107"/>
      <c r="C133" s="85"/>
      <c r="D133" s="85"/>
      <c r="E133" s="86"/>
      <c r="F133" s="16">
        <f>IF(E133="","",DATEDIF(E133,$I$7,"Y"))</f>
      </c>
      <c r="G133" s="85"/>
      <c r="H133" s="85"/>
      <c r="I133" s="87"/>
      <c r="J133" s="85"/>
      <c r="K133" s="85"/>
      <c r="L133" s="10"/>
      <c r="M133" s="10"/>
      <c r="N133" s="10"/>
      <c r="O133" s="10"/>
      <c r="P133" s="85"/>
      <c r="Q133" s="88"/>
      <c r="R133" s="3">
        <f>IFERROR(VLOOKUP(TablaJulio[[#This Row],[BARRIO]],SECTOR!$A:$B,2,0),"")</f>
      </c>
      <c r="S133" s="89"/>
      <c r="T133" s="90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6"/>
      <c r="AZ133" s="120">
        <f>COUNTIF(U133:AY133,"A")</f>
      </c>
      <c r="BA133" s="121">
        <f>COUNTIF(U133:AY133,"F")</f>
      </c>
      <c r="BB133" s="119">
        <f>COUNTIF(U133:AY133,"E")</f>
      </c>
    </row>
    <row r="134" spans="1:54" x14ac:dyDescent="0.2">
      <c r="A134" s="84"/>
      <c r="B134" s="107"/>
      <c r="C134" s="85"/>
      <c r="D134" s="85"/>
      <c r="E134" s="86"/>
      <c r="F134" s="16">
        <f>IF(E134="","",DATEDIF(E134,$I$7,"Y"))</f>
      </c>
      <c r="G134" s="85"/>
      <c r="H134" s="85"/>
      <c r="I134" s="87"/>
      <c r="J134" s="85"/>
      <c r="K134" s="85"/>
      <c r="L134" s="10"/>
      <c r="M134" s="10"/>
      <c r="N134" s="10"/>
      <c r="O134" s="10"/>
      <c r="P134" s="85"/>
      <c r="Q134" s="88"/>
      <c r="R134" s="3">
        <f>IFERROR(VLOOKUP(TablaJulio[[#This Row],[BARRIO]],SECTOR!$A:$B,2,0),"")</f>
      </c>
      <c r="S134" s="89"/>
      <c r="T134" s="90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6"/>
      <c r="AZ134" s="120">
        <f>COUNTIF(U134:AY134,"A")</f>
      </c>
      <c r="BA134" s="121">
        <f>COUNTIF(U134:AY134,"F")</f>
      </c>
      <c r="BB134" s="119">
        <f>COUNTIF(U134:AY134,"E")</f>
      </c>
    </row>
    <row r="135" spans="1:54" x14ac:dyDescent="0.2">
      <c r="A135" s="84"/>
      <c r="B135" s="107"/>
      <c r="C135" s="85"/>
      <c r="D135" s="85"/>
      <c r="E135" s="86"/>
      <c r="F135" s="16">
        <f>IF(E135="","",DATEDIF(E135,$I$7,"Y"))</f>
      </c>
      <c r="G135" s="85"/>
      <c r="H135" s="85"/>
      <c r="I135" s="87"/>
      <c r="J135" s="85"/>
      <c r="K135" s="85"/>
      <c r="L135" s="10"/>
      <c r="M135" s="10"/>
      <c r="N135" s="10"/>
      <c r="O135" s="10"/>
      <c r="P135" s="85"/>
      <c r="Q135" s="88"/>
      <c r="R135" s="3">
        <f>IFERROR(VLOOKUP(TablaJulio[[#This Row],[BARRIO]],SECTOR!$A:$B,2,0),"")</f>
      </c>
      <c r="S135" s="89"/>
      <c r="T135" s="90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6"/>
      <c r="AZ135" s="120">
        <f>COUNTIF(U135:AY135,"A")</f>
      </c>
      <c r="BA135" s="121">
        <f>COUNTIF(U135:AY135,"F")</f>
      </c>
      <c r="BB135" s="119">
        <f>COUNTIF(U135:AY135,"E")</f>
      </c>
    </row>
    <row r="136" spans="1:54" x14ac:dyDescent="0.2">
      <c r="A136" s="84"/>
      <c r="B136" s="107"/>
      <c r="C136" s="85"/>
      <c r="D136" s="85"/>
      <c r="E136" s="86"/>
      <c r="F136" s="16">
        <f>IF(E136="","",DATEDIF(E136,$I$7,"Y"))</f>
      </c>
      <c r="G136" s="85"/>
      <c r="H136" s="85"/>
      <c r="I136" s="87"/>
      <c r="J136" s="85"/>
      <c r="K136" s="85"/>
      <c r="L136" s="10"/>
      <c r="M136" s="10"/>
      <c r="N136" s="10"/>
      <c r="O136" s="10"/>
      <c r="P136" s="85"/>
      <c r="Q136" s="88"/>
      <c r="R136" s="3">
        <f>IFERROR(VLOOKUP(TablaJulio[[#This Row],[BARRIO]],SECTOR!$A:$B,2,0),"")</f>
      </c>
      <c r="S136" s="89"/>
      <c r="T136" s="90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6"/>
      <c r="AZ136" s="120">
        <f>COUNTIF(U136:AY136,"A")</f>
      </c>
      <c r="BA136" s="121">
        <f>COUNTIF(U136:AY136,"F")</f>
      </c>
      <c r="BB136" s="119">
        <f>COUNTIF(U136:AY136,"E")</f>
      </c>
    </row>
    <row r="137" spans="1:54" x14ac:dyDescent="0.2">
      <c r="A137" s="84"/>
      <c r="B137" s="107"/>
      <c r="C137" s="85"/>
      <c r="D137" s="85"/>
      <c r="E137" s="86"/>
      <c r="F137" s="16">
        <f>IF(E137="","",DATEDIF(E137,$I$7,"Y"))</f>
      </c>
      <c r="G137" s="85"/>
      <c r="H137" s="85"/>
      <c r="I137" s="87"/>
      <c r="J137" s="85"/>
      <c r="K137" s="85"/>
      <c r="L137" s="10"/>
      <c r="M137" s="10"/>
      <c r="N137" s="10"/>
      <c r="O137" s="10"/>
      <c r="P137" s="85"/>
      <c r="Q137" s="88"/>
      <c r="R137" s="3">
        <f>IFERROR(VLOOKUP(TablaJulio[[#This Row],[BARRIO]],SECTOR!$A:$B,2,0),"")</f>
      </c>
      <c r="S137" s="89"/>
      <c r="T137" s="90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6"/>
      <c r="AZ137" s="120">
        <f>COUNTIF(U137:AY137,"A")</f>
      </c>
      <c r="BA137" s="121">
        <f>COUNTIF(U137:AY137,"F")</f>
      </c>
      <c r="BB137" s="119">
        <f>COUNTIF(U137:AY137,"E")</f>
      </c>
    </row>
    <row r="138" spans="1:54" x14ac:dyDescent="0.2">
      <c r="A138" s="84"/>
      <c r="B138" s="107"/>
      <c r="C138" s="85"/>
      <c r="D138" s="85"/>
      <c r="E138" s="86"/>
      <c r="F138" s="16">
        <f>IF(E138="","",DATEDIF(E138,$I$7,"Y"))</f>
      </c>
      <c r="G138" s="85"/>
      <c r="H138" s="85"/>
      <c r="I138" s="87"/>
      <c r="J138" s="85"/>
      <c r="K138" s="85"/>
      <c r="L138" s="10"/>
      <c r="M138" s="10"/>
      <c r="N138" s="10"/>
      <c r="O138" s="10"/>
      <c r="P138" s="85"/>
      <c r="Q138" s="88"/>
      <c r="R138" s="3">
        <f>IFERROR(VLOOKUP(TablaJulio[[#This Row],[BARRIO]],SECTOR!$A:$B,2,0),"")</f>
      </c>
      <c r="S138" s="89"/>
      <c r="T138" s="90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6"/>
      <c r="AZ138" s="120">
        <f>COUNTIF(U138:AY138,"A")</f>
      </c>
      <c r="BA138" s="121">
        <f>COUNTIF(U138:AY138,"F")</f>
      </c>
      <c r="BB138" s="119">
        <f>COUNTIF(U138:AY138,"E")</f>
      </c>
    </row>
    <row r="139" spans="1:54" x14ac:dyDescent="0.2">
      <c r="A139" s="84"/>
      <c r="B139" s="107"/>
      <c r="C139" s="85"/>
      <c r="D139" s="85"/>
      <c r="E139" s="86"/>
      <c r="F139" s="16">
        <f>IF(E139="","",DATEDIF(E139,$I$7,"Y"))</f>
      </c>
      <c r="G139" s="85"/>
      <c r="H139" s="85"/>
      <c r="I139" s="87"/>
      <c r="J139" s="85"/>
      <c r="K139" s="85"/>
      <c r="L139" s="10"/>
      <c r="M139" s="10"/>
      <c r="N139" s="10"/>
      <c r="O139" s="10"/>
      <c r="P139" s="85"/>
      <c r="Q139" s="88"/>
      <c r="R139" s="3">
        <f>IFERROR(VLOOKUP(TablaJulio[[#This Row],[BARRIO]],SECTOR!$A:$B,2,0),"")</f>
      </c>
      <c r="S139" s="89"/>
      <c r="T139" s="90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6"/>
      <c r="AZ139" s="120">
        <f>COUNTIF(U139:AY139,"A")</f>
      </c>
      <c r="BA139" s="121">
        <f>COUNTIF(U139:AY139,"F")</f>
      </c>
      <c r="BB139" s="119">
        <f>COUNTIF(U139:AY139,"E")</f>
      </c>
    </row>
    <row r="140" spans="1:54" x14ac:dyDescent="0.2">
      <c r="A140" s="84"/>
      <c r="B140" s="107"/>
      <c r="C140" s="85"/>
      <c r="D140" s="85"/>
      <c r="E140" s="86"/>
      <c r="F140" s="16">
        <f>IF(E140="","",DATEDIF(E140,$I$7,"Y"))</f>
      </c>
      <c r="G140" s="85"/>
      <c r="H140" s="85"/>
      <c r="I140" s="87"/>
      <c r="J140" s="85"/>
      <c r="K140" s="85"/>
      <c r="L140" s="10"/>
      <c r="M140" s="10"/>
      <c r="N140" s="10"/>
      <c r="O140" s="10"/>
      <c r="P140" s="85"/>
      <c r="Q140" s="88"/>
      <c r="R140" s="3">
        <f>IFERROR(VLOOKUP(TablaJulio[[#This Row],[BARRIO]],SECTOR!$A:$B,2,0),"")</f>
      </c>
      <c r="S140" s="89"/>
      <c r="T140" s="90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6"/>
      <c r="AZ140" s="120">
        <f>COUNTIF(U140:AY140,"A")</f>
      </c>
      <c r="BA140" s="121">
        <f>COUNTIF(U140:AY140,"F")</f>
      </c>
      <c r="BB140" s="119">
        <f>COUNTIF(U140:AY140,"E")</f>
      </c>
    </row>
    <row r="141" spans="1:54" x14ac:dyDescent="0.2">
      <c r="A141" s="84"/>
      <c r="B141" s="107"/>
      <c r="C141" s="85"/>
      <c r="D141" s="85"/>
      <c r="E141" s="86"/>
      <c r="F141" s="16">
        <f>IF(E141="","",DATEDIF(E141,$I$7,"Y"))</f>
      </c>
      <c r="G141" s="85"/>
      <c r="H141" s="85"/>
      <c r="I141" s="87"/>
      <c r="J141" s="85"/>
      <c r="K141" s="85"/>
      <c r="L141" s="10"/>
      <c r="M141" s="10"/>
      <c r="N141" s="10"/>
      <c r="O141" s="10"/>
      <c r="P141" s="85"/>
      <c r="Q141" s="88"/>
      <c r="R141" s="3">
        <f>IFERROR(VLOOKUP(TablaJulio[[#This Row],[BARRIO]],SECTOR!$A:$B,2,0),"")</f>
      </c>
      <c r="S141" s="89"/>
      <c r="T141" s="90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6"/>
      <c r="AZ141" s="120">
        <f>COUNTIF(U141:AY141,"A")</f>
      </c>
      <c r="BA141" s="121">
        <f>COUNTIF(U141:AY141,"F")</f>
      </c>
      <c r="BB141" s="119">
        <f>COUNTIF(U141:AY141,"E")</f>
      </c>
    </row>
    <row r="142" spans="1:54" x14ac:dyDescent="0.2">
      <c r="A142" s="84"/>
      <c r="B142" s="107"/>
      <c r="C142" s="85"/>
      <c r="D142" s="85"/>
      <c r="E142" s="86"/>
      <c r="F142" s="16">
        <f>IF(E142="","",DATEDIF(E142,$I$7,"Y"))</f>
      </c>
      <c r="G142" s="85"/>
      <c r="H142" s="85"/>
      <c r="I142" s="87"/>
      <c r="J142" s="85"/>
      <c r="K142" s="85"/>
      <c r="L142" s="10"/>
      <c r="M142" s="10"/>
      <c r="N142" s="10"/>
      <c r="O142" s="10"/>
      <c r="P142" s="85"/>
      <c r="Q142" s="88"/>
      <c r="R142" s="3">
        <f>IFERROR(VLOOKUP(TablaJulio[[#This Row],[BARRIO]],SECTOR!$A:$B,2,0),"")</f>
      </c>
      <c r="S142" s="89"/>
      <c r="T142" s="90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6"/>
      <c r="AZ142" s="120">
        <f>COUNTIF(U142:AY142,"A")</f>
      </c>
      <c r="BA142" s="121">
        <f>COUNTIF(U142:AY142,"F")</f>
      </c>
      <c r="BB142" s="119">
        <f>COUNTIF(U142:AY142,"E")</f>
      </c>
    </row>
    <row r="143" spans="1:54" x14ac:dyDescent="0.2">
      <c r="A143" s="84"/>
      <c r="B143" s="107"/>
      <c r="C143" s="85"/>
      <c r="D143" s="85"/>
      <c r="E143" s="86"/>
      <c r="F143" s="16">
        <f>IF(E143="","",DATEDIF(E143,$I$7,"Y"))</f>
      </c>
      <c r="G143" s="85"/>
      <c r="H143" s="85"/>
      <c r="I143" s="87"/>
      <c r="J143" s="85"/>
      <c r="K143" s="85"/>
      <c r="L143" s="10"/>
      <c r="M143" s="10"/>
      <c r="N143" s="10"/>
      <c r="O143" s="10"/>
      <c r="P143" s="85"/>
      <c r="Q143" s="88"/>
      <c r="R143" s="3">
        <f>IFERROR(VLOOKUP(TablaJulio[[#This Row],[BARRIO]],SECTOR!$A:$B,2,0),"")</f>
      </c>
      <c r="S143" s="89"/>
      <c r="T143" s="90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6"/>
      <c r="AZ143" s="120">
        <f>COUNTIF(U143:AY143,"A")</f>
      </c>
      <c r="BA143" s="121">
        <f>COUNTIF(U143:AY143,"F")</f>
      </c>
      <c r="BB143" s="119">
        <f>COUNTIF(U143:AY143,"E")</f>
      </c>
    </row>
    <row r="144" spans="1:54" x14ac:dyDescent="0.2">
      <c r="A144" s="84"/>
      <c r="B144" s="107"/>
      <c r="C144" s="85"/>
      <c r="D144" s="85"/>
      <c r="E144" s="86"/>
      <c r="F144" s="16">
        <f>IF(E144="","",DATEDIF(E144,$I$7,"Y"))</f>
      </c>
      <c r="G144" s="85"/>
      <c r="H144" s="85"/>
      <c r="I144" s="87"/>
      <c r="J144" s="85"/>
      <c r="K144" s="85"/>
      <c r="L144" s="10"/>
      <c r="M144" s="10"/>
      <c r="N144" s="10"/>
      <c r="O144" s="10"/>
      <c r="P144" s="85"/>
      <c r="Q144" s="88"/>
      <c r="R144" s="3">
        <f>IFERROR(VLOOKUP(TablaJulio[[#This Row],[BARRIO]],SECTOR!$A:$B,2,0),"")</f>
      </c>
      <c r="S144" s="89"/>
      <c r="T144" s="90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6"/>
      <c r="AZ144" s="120">
        <f>COUNTIF(U144:AY144,"A")</f>
      </c>
      <c r="BA144" s="121">
        <f>COUNTIF(U144:AY144,"F")</f>
      </c>
      <c r="BB144" s="119">
        <f>COUNTIF(U144:AY144,"E")</f>
      </c>
    </row>
    <row r="145" spans="1:54" x14ac:dyDescent="0.2">
      <c r="A145" s="84"/>
      <c r="B145" s="107"/>
      <c r="C145" s="85"/>
      <c r="D145" s="85"/>
      <c r="E145" s="86"/>
      <c r="F145" s="16">
        <f>IF(E145="","",DATEDIF(E145,$I$7,"Y"))</f>
      </c>
      <c r="G145" s="85"/>
      <c r="H145" s="85"/>
      <c r="I145" s="87"/>
      <c r="J145" s="85"/>
      <c r="K145" s="85"/>
      <c r="L145" s="10"/>
      <c r="M145" s="10"/>
      <c r="N145" s="10"/>
      <c r="O145" s="10"/>
      <c r="P145" s="85"/>
      <c r="Q145" s="88"/>
      <c r="R145" s="3">
        <f>IFERROR(VLOOKUP(TablaJulio[[#This Row],[BARRIO]],SECTOR!$A:$B,2,0),"")</f>
      </c>
      <c r="S145" s="89"/>
      <c r="T145" s="90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6"/>
      <c r="AZ145" s="120">
        <f>COUNTIF(U145:AY145,"A")</f>
      </c>
      <c r="BA145" s="121">
        <f>COUNTIF(U145:AY145,"F")</f>
      </c>
      <c r="BB145" s="119">
        <f>COUNTIF(U145:AY145,"E")</f>
      </c>
    </row>
    <row r="146" spans="1:54" x14ac:dyDescent="0.2">
      <c r="A146" s="84"/>
      <c r="B146" s="107"/>
      <c r="C146" s="85"/>
      <c r="D146" s="85"/>
      <c r="E146" s="86"/>
      <c r="F146" s="16">
        <f>IF(E146="","",DATEDIF(E146,$I$7,"Y"))</f>
      </c>
      <c r="G146" s="85"/>
      <c r="H146" s="85"/>
      <c r="I146" s="87"/>
      <c r="J146" s="85"/>
      <c r="K146" s="85"/>
      <c r="L146" s="10"/>
      <c r="M146" s="10"/>
      <c r="N146" s="10"/>
      <c r="O146" s="10"/>
      <c r="P146" s="85"/>
      <c r="Q146" s="88"/>
      <c r="R146" s="3">
        <f>IFERROR(VLOOKUP(TablaJulio[[#This Row],[BARRIO]],SECTOR!$A:$B,2,0),"")</f>
      </c>
      <c r="S146" s="89"/>
      <c r="T146" s="90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6"/>
      <c r="AZ146" s="120">
        <f>COUNTIF(U146:AY146,"A")</f>
      </c>
      <c r="BA146" s="121">
        <f>COUNTIF(U146:AY146,"F")</f>
      </c>
      <c r="BB146" s="119">
        <f>COUNTIF(U146:AY146,"E")</f>
      </c>
    </row>
    <row r="147" spans="1:54" x14ac:dyDescent="0.2">
      <c r="A147" s="84"/>
      <c r="B147" s="107"/>
      <c r="C147" s="85"/>
      <c r="D147" s="85"/>
      <c r="E147" s="86"/>
      <c r="F147" s="16">
        <f>IF(E147="","",DATEDIF(E147,$I$7,"Y"))</f>
      </c>
      <c r="G147" s="85"/>
      <c r="H147" s="85"/>
      <c r="I147" s="87"/>
      <c r="J147" s="85"/>
      <c r="K147" s="85"/>
      <c r="L147" s="10"/>
      <c r="M147" s="10"/>
      <c r="N147" s="10"/>
      <c r="O147" s="10"/>
      <c r="P147" s="85"/>
      <c r="Q147" s="88"/>
      <c r="R147" s="3">
        <f>IFERROR(VLOOKUP(TablaJulio[[#This Row],[BARRIO]],SECTOR!$A:$B,2,0),"")</f>
      </c>
      <c r="S147" s="89"/>
      <c r="T147" s="90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6"/>
      <c r="AZ147" s="120">
        <f>COUNTIF(U147:AY147,"A")</f>
      </c>
      <c r="BA147" s="121">
        <f>COUNTIF(U147:AY147,"F")</f>
      </c>
      <c r="BB147" s="119">
        <f>COUNTIF(U147:AY147,"E")</f>
      </c>
    </row>
    <row r="148" spans="1:54" x14ac:dyDescent="0.2">
      <c r="A148" s="84"/>
      <c r="B148" s="107"/>
      <c r="C148" s="85"/>
      <c r="D148" s="85"/>
      <c r="E148" s="86"/>
      <c r="F148" s="16">
        <f>IF(E148="","",DATEDIF(E148,$I$7,"Y"))</f>
      </c>
      <c r="G148" s="85"/>
      <c r="H148" s="85"/>
      <c r="I148" s="87"/>
      <c r="J148" s="85"/>
      <c r="K148" s="85"/>
      <c r="L148" s="10"/>
      <c r="M148" s="10"/>
      <c r="N148" s="10"/>
      <c r="O148" s="10"/>
      <c r="P148" s="85"/>
      <c r="Q148" s="88"/>
      <c r="R148" s="3">
        <f>IFERROR(VLOOKUP(TablaJulio[[#This Row],[BARRIO]],SECTOR!$A:$B,2,0),"")</f>
      </c>
      <c r="S148" s="89"/>
      <c r="T148" s="90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6"/>
      <c r="AZ148" s="120">
        <f>COUNTIF(U148:AY148,"A")</f>
      </c>
      <c r="BA148" s="121">
        <f>COUNTIF(U148:AY148,"F")</f>
      </c>
      <c r="BB148" s="119">
        <f>COUNTIF(U148:AY148,"E")</f>
      </c>
    </row>
    <row r="149" spans="1:54" x14ac:dyDescent="0.2">
      <c r="A149" s="84"/>
      <c r="B149" s="107"/>
      <c r="C149" s="85"/>
      <c r="D149" s="85"/>
      <c r="E149" s="86"/>
      <c r="F149" s="16">
        <f>IF(E149="","",DATEDIF(E149,$I$7,"Y"))</f>
      </c>
      <c r="G149" s="85"/>
      <c r="H149" s="85"/>
      <c r="I149" s="87"/>
      <c r="J149" s="85"/>
      <c r="K149" s="85"/>
      <c r="L149" s="10"/>
      <c r="M149" s="10"/>
      <c r="N149" s="10"/>
      <c r="O149" s="10"/>
      <c r="P149" s="85"/>
      <c r="Q149" s="88"/>
      <c r="R149" s="3">
        <f>IFERROR(VLOOKUP(TablaJulio[[#This Row],[BARRIO]],SECTOR!$A:$B,2,0),"")</f>
      </c>
      <c r="S149" s="89"/>
      <c r="T149" s="90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6"/>
      <c r="AZ149" s="120">
        <f>COUNTIF(U149:AY149,"A")</f>
      </c>
      <c r="BA149" s="121">
        <f>COUNTIF(U149:AY149,"F")</f>
      </c>
      <c r="BB149" s="119">
        <f>COUNTIF(U149:AY149,"E")</f>
      </c>
    </row>
    <row r="150" spans="1:54" x14ac:dyDescent="0.2">
      <c r="A150" s="84"/>
      <c r="B150" s="107"/>
      <c r="C150" s="85"/>
      <c r="D150" s="85"/>
      <c r="E150" s="86"/>
      <c r="F150" s="16">
        <f>IF(E150="","",DATEDIF(E150,$I$7,"Y"))</f>
      </c>
      <c r="G150" s="85"/>
      <c r="H150" s="85"/>
      <c r="I150" s="87"/>
      <c r="J150" s="85"/>
      <c r="K150" s="85"/>
      <c r="L150" s="10"/>
      <c r="M150" s="10"/>
      <c r="N150" s="10"/>
      <c r="O150" s="10"/>
      <c r="P150" s="85"/>
      <c r="Q150" s="88"/>
      <c r="R150" s="3">
        <f>IFERROR(VLOOKUP(TablaJulio[[#This Row],[BARRIO]],SECTOR!$A:$B,2,0),"")</f>
      </c>
      <c r="S150" s="89"/>
      <c r="T150" s="90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6"/>
      <c r="AZ150" s="120">
        <f>COUNTIF(U150:AY150,"A")</f>
      </c>
      <c r="BA150" s="121">
        <f>COUNTIF(U150:AY150,"F")</f>
      </c>
      <c r="BB150" s="119">
        <f>COUNTIF(U150:AY150,"E")</f>
      </c>
    </row>
    <row r="151" spans="1:54" x14ac:dyDescent="0.2">
      <c r="A151" s="84"/>
      <c r="B151" s="107"/>
      <c r="C151" s="85"/>
      <c r="D151" s="85"/>
      <c r="E151" s="86"/>
      <c r="F151" s="16">
        <f>IF(E151="","",DATEDIF(E151,$I$7,"Y"))</f>
      </c>
      <c r="G151" s="85"/>
      <c r="H151" s="85"/>
      <c r="I151" s="87"/>
      <c r="J151" s="85"/>
      <c r="K151" s="85"/>
      <c r="L151" s="10"/>
      <c r="M151" s="10"/>
      <c r="N151" s="10"/>
      <c r="O151" s="10"/>
      <c r="P151" s="85"/>
      <c r="Q151" s="88"/>
      <c r="R151" s="3">
        <f>IFERROR(VLOOKUP(TablaJulio[[#This Row],[BARRIO]],SECTOR!$A:$B,2,0),"")</f>
      </c>
      <c r="S151" s="89"/>
      <c r="T151" s="90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6"/>
      <c r="AZ151" s="120">
        <f>COUNTIF(U151:AY151,"A")</f>
      </c>
      <c r="BA151" s="121">
        <f>COUNTIF(U151:AY151,"F")</f>
      </c>
      <c r="BB151" s="119">
        <f>COUNTIF(U151:AY151,"E")</f>
      </c>
    </row>
    <row r="152" spans="1:54" x14ac:dyDescent="0.2">
      <c r="A152" s="84"/>
      <c r="B152" s="107"/>
      <c r="C152" s="85"/>
      <c r="D152" s="85"/>
      <c r="E152" s="86"/>
      <c r="F152" s="16">
        <f>IF(E152="","",DATEDIF(E152,$I$7,"Y"))</f>
      </c>
      <c r="G152" s="85"/>
      <c r="H152" s="85"/>
      <c r="I152" s="87"/>
      <c r="J152" s="85"/>
      <c r="K152" s="85"/>
      <c r="L152" s="10"/>
      <c r="M152" s="10"/>
      <c r="N152" s="10"/>
      <c r="O152" s="10"/>
      <c r="P152" s="85"/>
      <c r="Q152" s="88"/>
      <c r="R152" s="3">
        <f>IFERROR(VLOOKUP(TablaJulio[[#This Row],[BARRIO]],SECTOR!$A:$B,2,0),"")</f>
      </c>
      <c r="S152" s="89"/>
      <c r="T152" s="90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6"/>
      <c r="AZ152" s="120">
        <f>COUNTIF(U152:AY152,"A")</f>
      </c>
      <c r="BA152" s="121">
        <f>COUNTIF(U152:AY152,"F")</f>
      </c>
      <c r="BB152" s="119">
        <f>COUNTIF(U152:AY152,"E")</f>
      </c>
    </row>
    <row r="153" spans="1:54" x14ac:dyDescent="0.2">
      <c r="A153" s="84"/>
      <c r="B153" s="107"/>
      <c r="C153" s="85"/>
      <c r="D153" s="85"/>
      <c r="E153" s="86"/>
      <c r="F153" s="16">
        <f>IF(E153="","",DATEDIF(E153,$I$7,"Y"))</f>
      </c>
      <c r="G153" s="85"/>
      <c r="H153" s="85"/>
      <c r="I153" s="87"/>
      <c r="J153" s="85"/>
      <c r="K153" s="85"/>
      <c r="L153" s="10"/>
      <c r="M153" s="10"/>
      <c r="N153" s="10"/>
      <c r="O153" s="10"/>
      <c r="P153" s="85"/>
      <c r="Q153" s="88"/>
      <c r="R153" s="3">
        <f>IFERROR(VLOOKUP(TablaJulio[[#This Row],[BARRIO]],SECTOR!$A:$B,2,0),"")</f>
      </c>
      <c r="S153" s="89"/>
      <c r="T153" s="90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6"/>
      <c r="AZ153" s="120">
        <f>COUNTIF(U153:AY153,"A")</f>
      </c>
      <c r="BA153" s="121">
        <f>COUNTIF(U153:AY153,"F")</f>
      </c>
      <c r="BB153" s="119">
        <f>COUNTIF(U153:AY153,"E")</f>
      </c>
    </row>
    <row r="154" spans="1:54" x14ac:dyDescent="0.2">
      <c r="A154" s="84"/>
      <c r="B154" s="107"/>
      <c r="C154" s="85"/>
      <c r="D154" s="85"/>
      <c r="E154" s="86"/>
      <c r="F154" s="16">
        <f>IF(E154="","",DATEDIF(E154,$I$7,"Y"))</f>
      </c>
      <c r="G154" s="85"/>
      <c r="H154" s="85"/>
      <c r="I154" s="87"/>
      <c r="J154" s="85"/>
      <c r="K154" s="85"/>
      <c r="L154" s="10"/>
      <c r="M154" s="10"/>
      <c r="N154" s="10"/>
      <c r="O154" s="10"/>
      <c r="P154" s="85"/>
      <c r="Q154" s="88"/>
      <c r="R154" s="3">
        <f>IFERROR(VLOOKUP(TablaJulio[[#This Row],[BARRIO]],SECTOR!$A:$B,2,0),"")</f>
      </c>
      <c r="S154" s="89"/>
      <c r="T154" s="90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6"/>
      <c r="AZ154" s="120">
        <f>COUNTIF(U154:AY154,"A")</f>
      </c>
      <c r="BA154" s="121">
        <f>COUNTIF(U154:AY154,"F")</f>
      </c>
      <c r="BB154" s="119">
        <f>COUNTIF(U154:AY154,"E")</f>
      </c>
    </row>
    <row r="155" spans="1:54" x14ac:dyDescent="0.2">
      <c r="A155" s="84"/>
      <c r="B155" s="107"/>
      <c r="C155" s="85"/>
      <c r="D155" s="85"/>
      <c r="E155" s="86"/>
      <c r="F155" s="16">
        <f>IF(E155="","",DATEDIF(E155,$I$7,"Y"))</f>
      </c>
      <c r="G155" s="85"/>
      <c r="H155" s="85"/>
      <c r="I155" s="87"/>
      <c r="J155" s="85"/>
      <c r="K155" s="85"/>
      <c r="L155" s="10"/>
      <c r="M155" s="10"/>
      <c r="N155" s="10"/>
      <c r="O155" s="10"/>
      <c r="P155" s="85"/>
      <c r="Q155" s="88"/>
      <c r="R155" s="3">
        <f>IFERROR(VLOOKUP(TablaJulio[[#This Row],[BARRIO]],SECTOR!$A:$B,2,0),"")</f>
      </c>
      <c r="S155" s="89"/>
      <c r="T155" s="90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6"/>
      <c r="AZ155" s="120">
        <f>COUNTIF(U155:AY155,"A")</f>
      </c>
      <c r="BA155" s="121">
        <f>COUNTIF(U155:AY155,"F")</f>
      </c>
      <c r="BB155" s="119">
        <f>COUNTIF(U155:AY155,"E")</f>
      </c>
    </row>
    <row r="156" spans="1:54" x14ac:dyDescent="0.2">
      <c r="A156" s="84"/>
      <c r="B156" s="107"/>
      <c r="C156" s="85"/>
      <c r="D156" s="85"/>
      <c r="E156" s="86"/>
      <c r="F156" s="16">
        <f>IF(E156="","",DATEDIF(E156,$I$7,"Y"))</f>
      </c>
      <c r="G156" s="85"/>
      <c r="H156" s="85"/>
      <c r="I156" s="87"/>
      <c r="J156" s="85"/>
      <c r="K156" s="85"/>
      <c r="L156" s="10"/>
      <c r="M156" s="10"/>
      <c r="N156" s="10"/>
      <c r="O156" s="10"/>
      <c r="P156" s="85"/>
      <c r="Q156" s="88"/>
      <c r="R156" s="3">
        <f>IFERROR(VLOOKUP(TablaJulio[[#This Row],[BARRIO]],SECTOR!$A:$B,2,0),"")</f>
      </c>
      <c r="S156" s="89"/>
      <c r="T156" s="90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6"/>
      <c r="AZ156" s="120">
        <f>COUNTIF(U156:AY156,"A")</f>
      </c>
      <c r="BA156" s="121">
        <f>COUNTIF(U156:AY156,"F")</f>
      </c>
      <c r="BB156" s="119">
        <f>COUNTIF(U156:AY156,"E")</f>
      </c>
    </row>
    <row r="157" spans="1:54" x14ac:dyDescent="0.2">
      <c r="A157" s="84"/>
      <c r="B157" s="107"/>
      <c r="C157" s="85"/>
      <c r="D157" s="85"/>
      <c r="E157" s="86"/>
      <c r="F157" s="16">
        <f>IF(E157="","",DATEDIF(E157,$I$7,"Y"))</f>
      </c>
      <c r="G157" s="85"/>
      <c r="H157" s="85"/>
      <c r="I157" s="87"/>
      <c r="J157" s="85"/>
      <c r="K157" s="85"/>
      <c r="L157" s="10"/>
      <c r="M157" s="10"/>
      <c r="N157" s="10"/>
      <c r="O157" s="10"/>
      <c r="P157" s="85"/>
      <c r="Q157" s="88"/>
      <c r="R157" s="3">
        <f>IFERROR(VLOOKUP(TablaJulio[[#This Row],[BARRIO]],SECTOR!$A:$B,2,0),"")</f>
      </c>
      <c r="S157" s="89"/>
      <c r="T157" s="90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6"/>
      <c r="AZ157" s="120">
        <f>COUNTIF(U157:AY157,"A")</f>
      </c>
      <c r="BA157" s="121">
        <f>COUNTIF(U157:AY157,"F")</f>
      </c>
      <c r="BB157" s="119">
        <f>COUNTIF(U157:AY157,"E")</f>
      </c>
    </row>
    <row r="158" spans="1:54" x14ac:dyDescent="0.2">
      <c r="A158" s="84"/>
      <c r="B158" s="107"/>
      <c r="C158" s="85"/>
      <c r="D158" s="85"/>
      <c r="E158" s="86"/>
      <c r="F158" s="16">
        <f>IF(E158="","",DATEDIF(E158,$I$7,"Y"))</f>
      </c>
      <c r="G158" s="85"/>
      <c r="H158" s="85"/>
      <c r="I158" s="87"/>
      <c r="J158" s="85"/>
      <c r="K158" s="85"/>
      <c r="L158" s="10"/>
      <c r="M158" s="10"/>
      <c r="N158" s="10"/>
      <c r="O158" s="10"/>
      <c r="P158" s="85"/>
      <c r="Q158" s="88"/>
      <c r="R158" s="3">
        <f>IFERROR(VLOOKUP(TablaJulio[[#This Row],[BARRIO]],SECTOR!$A:$B,2,0),"")</f>
      </c>
      <c r="S158" s="89"/>
      <c r="T158" s="90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6"/>
      <c r="AZ158" s="120">
        <f>COUNTIF(U158:AY158,"A")</f>
      </c>
      <c r="BA158" s="121">
        <f>COUNTIF(U158:AY158,"F")</f>
      </c>
      <c r="BB158" s="119">
        <f>COUNTIF(U158:AY158,"E")</f>
      </c>
    </row>
    <row r="159" spans="1:54" x14ac:dyDescent="0.2">
      <c r="A159" s="84"/>
      <c r="B159" s="107"/>
      <c r="C159" s="85"/>
      <c r="D159" s="85"/>
      <c r="E159" s="86"/>
      <c r="F159" s="16">
        <f>IF(E159="","",DATEDIF(E159,$I$7,"Y"))</f>
      </c>
      <c r="G159" s="85"/>
      <c r="H159" s="85"/>
      <c r="I159" s="87"/>
      <c r="J159" s="85"/>
      <c r="K159" s="85"/>
      <c r="L159" s="10"/>
      <c r="M159" s="10"/>
      <c r="N159" s="10"/>
      <c r="O159" s="10"/>
      <c r="P159" s="85"/>
      <c r="Q159" s="88"/>
      <c r="R159" s="3">
        <f>IFERROR(VLOOKUP(TablaJulio[[#This Row],[BARRIO]],SECTOR!$A:$B,2,0),"")</f>
      </c>
      <c r="S159" s="89"/>
      <c r="T159" s="90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6"/>
      <c r="AZ159" s="120">
        <f>COUNTIF(U159:AY159,"A")</f>
      </c>
      <c r="BA159" s="121">
        <f>COUNTIF(U159:AY159,"F")</f>
      </c>
      <c r="BB159" s="119">
        <f>COUNTIF(U159:AY159,"E")</f>
      </c>
    </row>
    <row r="160" spans="1:54" x14ac:dyDescent="0.2">
      <c r="A160" s="84"/>
      <c r="B160" s="107"/>
      <c r="C160" s="85"/>
      <c r="D160" s="85"/>
      <c r="E160" s="86"/>
      <c r="F160" s="16">
        <f>IF(E160="","",DATEDIF(E160,$I$7,"Y"))</f>
      </c>
      <c r="G160" s="85"/>
      <c r="H160" s="85"/>
      <c r="I160" s="87"/>
      <c r="J160" s="85"/>
      <c r="K160" s="85"/>
      <c r="L160" s="10"/>
      <c r="M160" s="10"/>
      <c r="N160" s="10"/>
      <c r="O160" s="10"/>
      <c r="P160" s="85"/>
      <c r="Q160" s="88"/>
      <c r="R160" s="3">
        <f>IFERROR(VLOOKUP(TablaJulio[[#This Row],[BARRIO]],SECTOR!$A:$B,2,0),"")</f>
      </c>
      <c r="S160" s="89"/>
      <c r="T160" s="90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6"/>
      <c r="AZ160" s="120">
        <f>COUNTIF(U160:AY160,"A")</f>
      </c>
      <c r="BA160" s="121">
        <f>COUNTIF(U160:AY160,"F")</f>
      </c>
      <c r="BB160" s="119">
        <f>COUNTIF(U160:AY160,"E")</f>
      </c>
    </row>
    <row r="161" spans="1:54" x14ac:dyDescent="0.2">
      <c r="A161" s="84"/>
      <c r="B161" s="107"/>
      <c r="C161" s="85"/>
      <c r="D161" s="85"/>
      <c r="E161" s="86"/>
      <c r="F161" s="16">
        <f>IF(E161="","",DATEDIF(E161,$I$7,"Y"))</f>
      </c>
      <c r="G161" s="85"/>
      <c r="H161" s="85"/>
      <c r="I161" s="87"/>
      <c r="J161" s="85"/>
      <c r="K161" s="85"/>
      <c r="L161" s="10"/>
      <c r="M161" s="10"/>
      <c r="N161" s="10"/>
      <c r="O161" s="10"/>
      <c r="P161" s="85"/>
      <c r="Q161" s="88"/>
      <c r="R161" s="3">
        <f>IFERROR(VLOOKUP(TablaJulio[[#This Row],[BARRIO]],SECTOR!$A:$B,2,0),"")</f>
      </c>
      <c r="S161" s="89"/>
      <c r="T161" s="90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6"/>
      <c r="AZ161" s="120">
        <f>COUNTIF(U161:AY161,"A")</f>
      </c>
      <c r="BA161" s="121">
        <f>COUNTIF(U161:AY161,"F")</f>
      </c>
      <c r="BB161" s="119">
        <f>COUNTIF(U161:AY161,"E")</f>
      </c>
    </row>
    <row r="162" spans="1:54" x14ac:dyDescent="0.2">
      <c r="A162" s="84"/>
      <c r="B162" s="107"/>
      <c r="C162" s="85"/>
      <c r="D162" s="85"/>
      <c r="E162" s="86"/>
      <c r="F162" s="16">
        <f>IF(E162="","",DATEDIF(E162,$I$7,"Y"))</f>
      </c>
      <c r="G162" s="85"/>
      <c r="H162" s="85"/>
      <c r="I162" s="87"/>
      <c r="J162" s="85"/>
      <c r="K162" s="85"/>
      <c r="L162" s="10"/>
      <c r="M162" s="10"/>
      <c r="N162" s="10"/>
      <c r="O162" s="10"/>
      <c r="P162" s="85"/>
      <c r="Q162" s="88"/>
      <c r="R162" s="3">
        <f>IFERROR(VLOOKUP(TablaJulio[[#This Row],[BARRIO]],SECTOR!$A:$B,2,0),"")</f>
      </c>
      <c r="S162" s="89"/>
      <c r="T162" s="90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6"/>
      <c r="AZ162" s="120">
        <f>COUNTIF(U162:AY162,"A")</f>
      </c>
      <c r="BA162" s="121">
        <f>COUNTIF(U162:AY162,"F")</f>
      </c>
      <c r="BB162" s="119">
        <f>COUNTIF(U162:AY162,"E")</f>
      </c>
    </row>
    <row r="163" spans="1:54" x14ac:dyDescent="0.2">
      <c r="A163" s="84"/>
      <c r="B163" s="107"/>
      <c r="C163" s="85"/>
      <c r="D163" s="85"/>
      <c r="E163" s="86"/>
      <c r="F163" s="16">
        <f>IF(E163="","",DATEDIF(E163,$I$7,"Y"))</f>
      </c>
      <c r="G163" s="85"/>
      <c r="H163" s="85"/>
      <c r="I163" s="87"/>
      <c r="J163" s="85"/>
      <c r="K163" s="85"/>
      <c r="L163" s="10"/>
      <c r="M163" s="10"/>
      <c r="N163" s="10"/>
      <c r="O163" s="10"/>
      <c r="P163" s="85"/>
      <c r="Q163" s="88"/>
      <c r="R163" s="3">
        <f>IFERROR(VLOOKUP(TablaJulio[[#This Row],[BARRIO]],SECTOR!$A:$B,2,0),"")</f>
      </c>
      <c r="S163" s="89"/>
      <c r="T163" s="90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6"/>
      <c r="AZ163" s="120">
        <f>COUNTIF(U163:AY163,"A")</f>
      </c>
      <c r="BA163" s="121">
        <f>COUNTIF(U163:AY163,"F")</f>
      </c>
      <c r="BB163" s="119">
        <f>COUNTIF(U163:AY163,"E")</f>
      </c>
    </row>
    <row r="164" spans="1:54" x14ac:dyDescent="0.2">
      <c r="A164" s="84"/>
      <c r="B164" s="107"/>
      <c r="C164" s="85"/>
      <c r="D164" s="85"/>
      <c r="E164" s="86"/>
      <c r="F164" s="16">
        <f>IF(E164="","",DATEDIF(E164,$I$7,"Y"))</f>
      </c>
      <c r="G164" s="85"/>
      <c r="H164" s="85"/>
      <c r="I164" s="87"/>
      <c r="J164" s="85"/>
      <c r="K164" s="85"/>
      <c r="L164" s="10"/>
      <c r="M164" s="10"/>
      <c r="N164" s="10"/>
      <c r="O164" s="10"/>
      <c r="P164" s="85"/>
      <c r="Q164" s="88"/>
      <c r="R164" s="3">
        <f>IFERROR(VLOOKUP(TablaJulio[[#This Row],[BARRIO]],SECTOR!$A:$B,2,0),"")</f>
      </c>
      <c r="S164" s="89"/>
      <c r="T164" s="90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6"/>
      <c r="AZ164" s="120">
        <f>COUNTIF(U164:AY164,"A")</f>
      </c>
      <c r="BA164" s="121">
        <f>COUNTIF(U164:AY164,"F")</f>
      </c>
      <c r="BB164" s="119">
        <f>COUNTIF(U164:AY164,"E")</f>
      </c>
    </row>
    <row r="165" spans="1:54" x14ac:dyDescent="0.2">
      <c r="A165" s="84"/>
      <c r="B165" s="107"/>
      <c r="C165" s="85"/>
      <c r="D165" s="85"/>
      <c r="E165" s="86"/>
      <c r="F165" s="16">
        <f>IF(E165="","",DATEDIF(E165,$I$7,"Y"))</f>
      </c>
      <c r="G165" s="85"/>
      <c r="H165" s="85"/>
      <c r="I165" s="87"/>
      <c r="J165" s="85"/>
      <c r="K165" s="85"/>
      <c r="L165" s="10"/>
      <c r="M165" s="10"/>
      <c r="N165" s="10"/>
      <c r="O165" s="10"/>
      <c r="P165" s="85"/>
      <c r="Q165" s="88"/>
      <c r="R165" s="3">
        <f>IFERROR(VLOOKUP(TablaJulio[[#This Row],[BARRIO]],SECTOR!$A:$B,2,0),"")</f>
      </c>
      <c r="S165" s="89"/>
      <c r="T165" s="90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6"/>
      <c r="AZ165" s="120">
        <f>COUNTIF(U165:AY165,"A")</f>
      </c>
      <c r="BA165" s="121">
        <f>COUNTIF(U165:AY165,"F")</f>
      </c>
      <c r="BB165" s="119">
        <f>COUNTIF(U165:AY165,"E")</f>
      </c>
    </row>
    <row r="166" spans="1:54" x14ac:dyDescent="0.2">
      <c r="A166" s="84"/>
      <c r="B166" s="107"/>
      <c r="C166" s="85"/>
      <c r="D166" s="85"/>
      <c r="E166" s="86"/>
      <c r="F166" s="16">
        <f>IF(E166="","",DATEDIF(E166,$I$7,"Y"))</f>
      </c>
      <c r="G166" s="85"/>
      <c r="H166" s="85"/>
      <c r="I166" s="87"/>
      <c r="J166" s="85"/>
      <c r="K166" s="85"/>
      <c r="L166" s="10"/>
      <c r="M166" s="10"/>
      <c r="N166" s="10"/>
      <c r="O166" s="10"/>
      <c r="P166" s="85"/>
      <c r="Q166" s="88"/>
      <c r="R166" s="3">
        <f>IFERROR(VLOOKUP(TablaJulio[[#This Row],[BARRIO]],SECTOR!$A:$B,2,0),"")</f>
      </c>
      <c r="S166" s="89"/>
      <c r="T166" s="90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6"/>
      <c r="AZ166" s="120">
        <f>COUNTIF(U166:AY166,"A")</f>
      </c>
      <c r="BA166" s="121">
        <f>COUNTIF(U166:AY166,"F")</f>
      </c>
      <c r="BB166" s="119">
        <f>COUNTIF(U166:AY166,"E")</f>
      </c>
    </row>
    <row r="167" spans="1:54" x14ac:dyDescent="0.2">
      <c r="A167" s="84"/>
      <c r="B167" s="107"/>
      <c r="C167" s="85"/>
      <c r="D167" s="85"/>
      <c r="E167" s="86"/>
      <c r="F167" s="16">
        <f>IF(E167="","",DATEDIF(E167,$I$7,"Y"))</f>
      </c>
      <c r="G167" s="85"/>
      <c r="H167" s="85"/>
      <c r="I167" s="87"/>
      <c r="J167" s="85"/>
      <c r="K167" s="85"/>
      <c r="L167" s="10"/>
      <c r="M167" s="10"/>
      <c r="N167" s="10"/>
      <c r="O167" s="10"/>
      <c r="P167" s="85"/>
      <c r="Q167" s="88"/>
      <c r="R167" s="3">
        <f>IFERROR(VLOOKUP(TablaJulio[[#This Row],[BARRIO]],SECTOR!$A:$B,2,0),"")</f>
      </c>
      <c r="S167" s="89"/>
      <c r="T167" s="90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6"/>
      <c r="AZ167" s="120">
        <f>COUNTIF(U167:AY167,"A")</f>
      </c>
      <c r="BA167" s="121">
        <f>COUNTIF(U167:AY167,"F")</f>
      </c>
      <c r="BB167" s="119">
        <f>COUNTIF(U167:AY167,"E")</f>
      </c>
    </row>
    <row r="168" spans="1:54" x14ac:dyDescent="0.2">
      <c r="A168" s="84"/>
      <c r="B168" s="107"/>
      <c r="C168" s="85"/>
      <c r="D168" s="85"/>
      <c r="E168" s="86"/>
      <c r="F168" s="16">
        <f>IF(E168="","",DATEDIF(E168,$I$7,"Y"))</f>
      </c>
      <c r="G168" s="85"/>
      <c r="H168" s="85"/>
      <c r="I168" s="87"/>
      <c r="J168" s="85"/>
      <c r="K168" s="85"/>
      <c r="L168" s="2"/>
      <c r="M168" s="2"/>
      <c r="N168" s="10"/>
      <c r="O168" s="2"/>
      <c r="P168" s="85"/>
      <c r="Q168" s="88"/>
      <c r="R168" s="3">
        <f>IFERROR(VLOOKUP(TablaJulio[[#This Row],[BARRIO]],SECTOR!$A:$B,2,0),"")</f>
      </c>
      <c r="S168" s="89"/>
      <c r="T168" s="90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6"/>
      <c r="AZ168" s="120">
        <f>COUNTIF(U168:AY168,"A")</f>
      </c>
      <c r="BA168" s="121">
        <f>COUNTIF(U168:AY168,"F")</f>
      </c>
      <c r="BB168" s="119">
        <f>COUNTIF(U168:AY168,"E")</f>
      </c>
    </row>
    <row r="169" spans="1:54" x14ac:dyDescent="0.2">
      <c r="A169" s="84"/>
      <c r="B169" s="85"/>
      <c r="C169" s="85"/>
      <c r="D169" s="85"/>
      <c r="E169" s="86"/>
      <c r="F169" s="16">
        <f>IF(E169="","",DATEDIF(E169,$I$7,"Y"))</f>
      </c>
      <c r="G169" s="85"/>
      <c r="H169" s="85"/>
      <c r="I169" s="87"/>
      <c r="J169" s="85"/>
      <c r="K169" s="85"/>
      <c r="L169" s="10"/>
      <c r="M169" s="10"/>
      <c r="N169" s="10"/>
      <c r="O169" s="10"/>
      <c r="P169" s="85"/>
      <c r="Q169" s="88"/>
      <c r="R169" s="3">
        <f>IFERROR(VLOOKUP(TablaJulio[[#This Row],[BARRIO]],SECTOR!$A:$B,2,0),"")</f>
      </c>
      <c r="S169" s="89"/>
      <c r="T169" s="90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6"/>
      <c r="AZ169" s="30">
        <f>COUNTIF(U169:AY169,"A")</f>
      </c>
      <c r="BA169" s="32">
        <f>COUNTIF(U169:AY169,"F")</f>
      </c>
      <c r="BB169" s="119">
        <f>COUNTIF(U169:AY169,"E")</f>
      </c>
    </row>
    <row r="170" spans="1:54" x14ac:dyDescent="0.2">
      <c r="A170" s="84"/>
      <c r="B170" s="85"/>
      <c r="C170" s="85"/>
      <c r="D170" s="85"/>
      <c r="E170" s="86"/>
      <c r="F170" s="16">
        <f>IF(E170="","",DATEDIF(E170,$I$7,"Y"))</f>
      </c>
      <c r="G170" s="85"/>
      <c r="H170" s="85"/>
      <c r="I170" s="87"/>
      <c r="J170" s="85"/>
      <c r="K170" s="85"/>
      <c r="L170" s="10"/>
      <c r="M170" s="10"/>
      <c r="N170" s="10"/>
      <c r="O170" s="10"/>
      <c r="P170" s="85"/>
      <c r="Q170" s="88"/>
      <c r="R170" s="3">
        <f>IFERROR(VLOOKUP(TablaJulio[[#This Row],[BARRIO]],SECTOR!$A:$B,2,0),"")</f>
      </c>
      <c r="S170" s="89"/>
      <c r="T170" s="90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6"/>
      <c r="AZ170" s="120">
        <f>COUNTIF(U170:AY170,"A")</f>
      </c>
      <c r="BA170" s="121">
        <f>COUNTIF(U170:AY170,"F")</f>
      </c>
      <c r="BB170" s="119">
        <f>COUNTIF(U170:AY170,"E")</f>
      </c>
    </row>
    <row r="171" spans="1:54" x14ac:dyDescent="0.2">
      <c r="A171" s="84"/>
      <c r="B171" s="85"/>
      <c r="C171" s="85"/>
      <c r="D171" s="85"/>
      <c r="E171" s="86"/>
      <c r="F171" s="16">
        <f>IF(E171="","",DATEDIF(E171,$I$7,"Y"))</f>
      </c>
      <c r="G171" s="85"/>
      <c r="H171" s="85"/>
      <c r="I171" s="87"/>
      <c r="J171" s="85"/>
      <c r="K171" s="85"/>
      <c r="L171" s="10"/>
      <c r="M171" s="10"/>
      <c r="N171" s="10"/>
      <c r="O171" s="10"/>
      <c r="P171" s="85"/>
      <c r="Q171" s="88"/>
      <c r="R171" s="3">
        <f>IFERROR(VLOOKUP(TablaJulio[[#This Row],[BARRIO]],SECTOR!$A:$B,2,0),"")</f>
      </c>
      <c r="S171" s="89"/>
      <c r="T171" s="90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6"/>
      <c r="AZ171" s="120">
        <f>COUNTIF(U171:AY171,"A")</f>
      </c>
      <c r="BA171" s="121">
        <f>COUNTIF(U171:AY171,"F")</f>
      </c>
      <c r="BB171" s="119">
        <f>COUNTIF(U171:AY171,"E")</f>
      </c>
    </row>
    <row r="172" spans="1:54" x14ac:dyDescent="0.2">
      <c r="A172" s="84"/>
      <c r="B172" s="85"/>
      <c r="C172" s="85"/>
      <c r="D172" s="85"/>
      <c r="E172" s="86"/>
      <c r="F172" s="16">
        <f>IF(E172="","",DATEDIF(E172,$I$7,"Y"))</f>
      </c>
      <c r="G172" s="85"/>
      <c r="H172" s="85"/>
      <c r="I172" s="87"/>
      <c r="J172" s="85"/>
      <c r="K172" s="85"/>
      <c r="L172" s="10"/>
      <c r="M172" s="10"/>
      <c r="N172" s="10"/>
      <c r="O172" s="10"/>
      <c r="P172" s="85"/>
      <c r="Q172" s="88"/>
      <c r="R172" s="3">
        <f>IFERROR(VLOOKUP(TablaJulio[[#This Row],[BARRIO]],SECTOR!$A:$B,2,0),"")</f>
      </c>
      <c r="S172" s="89"/>
      <c r="T172" s="90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6"/>
      <c r="AZ172" s="120">
        <f>COUNTIF(U172:AY172,"A")</f>
      </c>
      <c r="BA172" s="121">
        <f>COUNTIF(U172:AY172,"F")</f>
      </c>
      <c r="BB172" s="119">
        <f>COUNTIF(U172:AY172,"E")</f>
      </c>
    </row>
    <row r="173" spans="1:54" x14ac:dyDescent="0.2">
      <c r="A173" s="84"/>
      <c r="B173" s="85"/>
      <c r="C173" s="85"/>
      <c r="D173" s="85"/>
      <c r="E173" s="86"/>
      <c r="F173" s="16">
        <f>IF(E173="","",DATEDIF(E173,$I$7,"Y"))</f>
      </c>
      <c r="G173" s="85"/>
      <c r="H173" s="85"/>
      <c r="I173" s="87"/>
      <c r="J173" s="85"/>
      <c r="K173" s="85"/>
      <c r="L173" s="10"/>
      <c r="M173" s="10"/>
      <c r="N173" s="10"/>
      <c r="O173" s="10"/>
      <c r="P173" s="85"/>
      <c r="Q173" s="88"/>
      <c r="R173" s="3">
        <f>IFERROR(VLOOKUP(TablaJulio[[#This Row],[BARRIO]],SECTOR!$A:$B,2,0),"")</f>
      </c>
      <c r="S173" s="89"/>
      <c r="T173" s="90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6"/>
      <c r="AZ173" s="120">
        <f>COUNTIF(U173:AY173,"A")</f>
      </c>
      <c r="BA173" s="121">
        <f>COUNTIF(U173:AY173,"F")</f>
      </c>
      <c r="BB173" s="119">
        <f>COUNTIF(U173:AY173,"E")</f>
      </c>
    </row>
    <row r="174" spans="1:54" x14ac:dyDescent="0.2">
      <c r="A174" s="84"/>
      <c r="B174" s="85"/>
      <c r="C174" s="85"/>
      <c r="D174" s="85"/>
      <c r="E174" s="86"/>
      <c r="F174" s="16">
        <f>IF(E174="","",DATEDIF(E174,$I$7,"Y"))</f>
      </c>
      <c r="G174" s="85"/>
      <c r="H174" s="85"/>
      <c r="I174" s="87"/>
      <c r="J174" s="85"/>
      <c r="K174" s="85"/>
      <c r="L174" s="10"/>
      <c r="M174" s="10"/>
      <c r="N174" s="10"/>
      <c r="O174" s="10"/>
      <c r="P174" s="85"/>
      <c r="Q174" s="88"/>
      <c r="R174" s="3">
        <f>IFERROR(VLOOKUP(TablaJulio[[#This Row],[BARRIO]],SECTOR!$A:$B,2,0),"")</f>
      </c>
      <c r="S174" s="89"/>
      <c r="T174" s="90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6"/>
      <c r="AZ174" s="120">
        <f>COUNTIF(U174:AY174,"A")</f>
      </c>
      <c r="BA174" s="121">
        <f>COUNTIF(U174:AY174,"F")</f>
      </c>
      <c r="BB174" s="119">
        <f>COUNTIF(U174:AY174,"E")</f>
      </c>
    </row>
    <row r="175" spans="1:54" x14ac:dyDescent="0.2">
      <c r="A175" s="84"/>
      <c r="B175" s="85"/>
      <c r="C175" s="85"/>
      <c r="D175" s="85"/>
      <c r="E175" s="86"/>
      <c r="F175" s="16">
        <f>IF(E175="","",DATEDIF(E175,$I$7,"Y"))</f>
      </c>
      <c r="G175" s="85"/>
      <c r="H175" s="85"/>
      <c r="I175" s="87"/>
      <c r="J175" s="85"/>
      <c r="K175" s="85"/>
      <c r="L175" s="10"/>
      <c r="M175" s="10"/>
      <c r="N175" s="10"/>
      <c r="O175" s="10"/>
      <c r="P175" s="85"/>
      <c r="Q175" s="88"/>
      <c r="R175" s="3">
        <f>IFERROR(VLOOKUP(TablaJulio[[#This Row],[BARRIO]],SECTOR!$A:$B,2,0),"")</f>
      </c>
      <c r="S175" s="89"/>
      <c r="T175" s="90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6"/>
      <c r="AZ175" s="120">
        <f>COUNTIF(U175:AY175,"A")</f>
      </c>
      <c r="BA175" s="121">
        <f>COUNTIF(U175:AY175,"F")</f>
      </c>
      <c r="BB175" s="119">
        <f>COUNTIF(U175:AY175,"E")</f>
      </c>
    </row>
    <row r="176" spans="1:54" x14ac:dyDescent="0.2">
      <c r="A176" s="84"/>
      <c r="B176" s="85"/>
      <c r="C176" s="85"/>
      <c r="D176" s="85"/>
      <c r="E176" s="86"/>
      <c r="F176" s="16">
        <f>IF(E176="","",DATEDIF(E176,$I$7,"Y"))</f>
      </c>
      <c r="G176" s="85"/>
      <c r="H176" s="85"/>
      <c r="I176" s="87"/>
      <c r="J176" s="85"/>
      <c r="K176" s="85"/>
      <c r="L176" s="10"/>
      <c r="M176" s="10"/>
      <c r="N176" s="10"/>
      <c r="O176" s="10"/>
      <c r="P176" s="85"/>
      <c r="Q176" s="88"/>
      <c r="R176" s="3">
        <f>IFERROR(VLOOKUP(TablaJulio[[#This Row],[BARRIO]],SECTOR!$A:$B,2,0),"")</f>
      </c>
      <c r="S176" s="89"/>
      <c r="T176" s="90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6"/>
      <c r="AZ176" s="120">
        <f>COUNTIF(U176:AY176,"A")</f>
      </c>
      <c r="BA176" s="121">
        <f>COUNTIF(U176:AY176,"F")</f>
      </c>
      <c r="BB176" s="119">
        <f>COUNTIF(U176:AY176,"E")</f>
      </c>
    </row>
    <row r="177" spans="1:54" x14ac:dyDescent="0.2">
      <c r="A177" s="84"/>
      <c r="B177" s="85"/>
      <c r="C177" s="85"/>
      <c r="D177" s="85"/>
      <c r="E177" s="86"/>
      <c r="F177" s="16">
        <f>IF(E177="","",DATEDIF(E177,$I$7,"Y"))</f>
      </c>
      <c r="G177" s="85"/>
      <c r="H177" s="85"/>
      <c r="I177" s="87"/>
      <c r="J177" s="85"/>
      <c r="K177" s="85"/>
      <c r="L177" s="10"/>
      <c r="M177" s="10"/>
      <c r="N177" s="10"/>
      <c r="O177" s="10"/>
      <c r="P177" s="85"/>
      <c r="Q177" s="88"/>
      <c r="R177" s="3">
        <f>IFERROR(VLOOKUP(TablaJulio[[#This Row],[BARRIO]],SECTOR!$A:$B,2,0),"")</f>
      </c>
      <c r="S177" s="89"/>
      <c r="T177" s="90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6"/>
      <c r="AZ177" s="120">
        <f>COUNTIF(U177:AY177,"A")</f>
      </c>
      <c r="BA177" s="121">
        <f>COUNTIF(U177:AY177,"F")</f>
      </c>
      <c r="BB177" s="119">
        <f>COUNTIF(U177:AY177,"E")</f>
      </c>
    </row>
    <row r="178" spans="1:54" x14ac:dyDescent="0.2">
      <c r="A178" s="84"/>
      <c r="B178" s="85"/>
      <c r="C178" s="85"/>
      <c r="D178" s="85"/>
      <c r="E178" s="86"/>
      <c r="F178" s="16">
        <f>IF(E178="","",DATEDIF(E178,$I$7,"Y"))</f>
      </c>
      <c r="G178" s="85"/>
      <c r="H178" s="85"/>
      <c r="I178" s="87"/>
      <c r="J178" s="85"/>
      <c r="K178" s="85"/>
      <c r="L178" s="10"/>
      <c r="M178" s="10"/>
      <c r="N178" s="10"/>
      <c r="O178" s="10"/>
      <c r="P178" s="85"/>
      <c r="Q178" s="88"/>
      <c r="R178" s="3">
        <f>IFERROR(VLOOKUP(TablaJulio[[#This Row],[BARRIO]],SECTOR!$A:$B,2,0),"")</f>
      </c>
      <c r="S178" s="89"/>
      <c r="T178" s="90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6"/>
      <c r="AZ178" s="120">
        <f>COUNTIF(U178:AY178,"A")</f>
      </c>
      <c r="BA178" s="121">
        <f>COUNTIF(U178:AY178,"F")</f>
      </c>
      <c r="BB178" s="119">
        <f>COUNTIF(U178:AY178,"E")</f>
      </c>
    </row>
    <row r="179" spans="1:54" x14ac:dyDescent="0.2">
      <c r="A179" s="84"/>
      <c r="B179" s="85"/>
      <c r="C179" s="85"/>
      <c r="D179" s="85"/>
      <c r="E179" s="86"/>
      <c r="F179" s="16">
        <f>IF(E179="","",DATEDIF(E179,$I$7,"Y"))</f>
      </c>
      <c r="G179" s="85"/>
      <c r="H179" s="85"/>
      <c r="I179" s="87"/>
      <c r="J179" s="85"/>
      <c r="K179" s="85"/>
      <c r="L179" s="10"/>
      <c r="M179" s="10"/>
      <c r="N179" s="10"/>
      <c r="O179" s="10"/>
      <c r="P179" s="85"/>
      <c r="Q179" s="88"/>
      <c r="R179" s="3">
        <f>IFERROR(VLOOKUP(TablaJulio[[#This Row],[BARRIO]],SECTOR!$A:$B,2,0),"")</f>
      </c>
      <c r="S179" s="89"/>
      <c r="T179" s="90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6"/>
      <c r="AZ179" s="120">
        <f>COUNTIF(U179:AY179,"A")</f>
      </c>
      <c r="BA179" s="121">
        <f>COUNTIF(U179:AY179,"F")</f>
      </c>
      <c r="BB179" s="119">
        <f>COUNTIF(U179:AY179,"E")</f>
      </c>
    </row>
    <row r="180" spans="1:54" x14ac:dyDescent="0.2">
      <c r="A180" s="84"/>
      <c r="B180" s="85"/>
      <c r="C180" s="85"/>
      <c r="D180" s="85"/>
      <c r="E180" s="86"/>
      <c r="F180" s="16">
        <f>IF(E180="","",DATEDIF(E180,$I$7,"Y"))</f>
      </c>
      <c r="G180" s="85"/>
      <c r="H180" s="85"/>
      <c r="I180" s="87"/>
      <c r="J180" s="85"/>
      <c r="K180" s="85"/>
      <c r="L180" s="10"/>
      <c r="M180" s="10"/>
      <c r="N180" s="10"/>
      <c r="O180" s="10"/>
      <c r="P180" s="85"/>
      <c r="Q180" s="88"/>
      <c r="R180" s="3">
        <f>IFERROR(VLOOKUP(TablaJulio[[#This Row],[BARRIO]],SECTOR!$A:$B,2,0),"")</f>
      </c>
      <c r="S180" s="89"/>
      <c r="T180" s="90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6"/>
      <c r="AZ180" s="120">
        <f>COUNTIF(U180:AY180,"A")</f>
      </c>
      <c r="BA180" s="121">
        <f>COUNTIF(U180:AY180,"F")</f>
      </c>
      <c r="BB180" s="119">
        <f>COUNTIF(U180:AY180,"E")</f>
      </c>
    </row>
    <row r="181" spans="1:54" x14ac:dyDescent="0.2">
      <c r="A181" s="84"/>
      <c r="B181" s="85"/>
      <c r="C181" s="85"/>
      <c r="D181" s="85"/>
      <c r="E181" s="86"/>
      <c r="F181" s="16">
        <f>IF(E181="","",DATEDIF(E181,$I$7,"Y"))</f>
      </c>
      <c r="G181" s="85"/>
      <c r="H181" s="85"/>
      <c r="I181" s="87"/>
      <c r="J181" s="85"/>
      <c r="K181" s="85"/>
      <c r="L181" s="10"/>
      <c r="M181" s="10"/>
      <c r="N181" s="10"/>
      <c r="O181" s="10"/>
      <c r="P181" s="85"/>
      <c r="Q181" s="88"/>
      <c r="R181" s="3">
        <f>IFERROR(VLOOKUP(TablaJulio[[#This Row],[BARRIO]],SECTOR!$A:$B,2,0),"")</f>
      </c>
      <c r="S181" s="89"/>
      <c r="T181" s="90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6"/>
      <c r="AZ181" s="120">
        <f>COUNTIF(U181:AY181,"A")</f>
      </c>
      <c r="BA181" s="121">
        <f>COUNTIF(U181:AY181,"F")</f>
      </c>
      <c r="BB181" s="119">
        <f>COUNTIF(U181:AY181,"E")</f>
      </c>
    </row>
    <row r="182" spans="1:54" x14ac:dyDescent="0.2">
      <c r="A182" s="84"/>
      <c r="B182" s="85"/>
      <c r="C182" s="85"/>
      <c r="D182" s="85"/>
      <c r="E182" s="86"/>
      <c r="F182" s="16">
        <f>IF(E182="","",DATEDIF(E182,$I$7,"Y"))</f>
      </c>
      <c r="G182" s="85"/>
      <c r="H182" s="85"/>
      <c r="I182" s="87"/>
      <c r="J182" s="85"/>
      <c r="K182" s="85"/>
      <c r="L182" s="10"/>
      <c r="M182" s="10"/>
      <c r="N182" s="10"/>
      <c r="O182" s="10"/>
      <c r="P182" s="85"/>
      <c r="Q182" s="88"/>
      <c r="R182" s="3">
        <f>IFERROR(VLOOKUP(TablaJulio[[#This Row],[BARRIO]],SECTOR!$A:$B,2,0),"")</f>
      </c>
      <c r="S182" s="89"/>
      <c r="T182" s="90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6"/>
      <c r="AZ182" s="120">
        <f>COUNTIF(U182:AY182,"A")</f>
      </c>
      <c r="BA182" s="121">
        <f>COUNTIF(U182:AY182,"F")</f>
      </c>
      <c r="BB182" s="119">
        <f>COUNTIF(U182:AY182,"E")</f>
      </c>
    </row>
    <row r="183" spans="1:54" x14ac:dyDescent="0.2">
      <c r="A183" s="84"/>
      <c r="B183" s="85"/>
      <c r="C183" s="85"/>
      <c r="D183" s="85"/>
      <c r="E183" s="86"/>
      <c r="F183" s="16">
        <f>IF(E183="","",DATEDIF(E183,$I$7,"Y"))</f>
      </c>
      <c r="G183" s="85"/>
      <c r="H183" s="85"/>
      <c r="I183" s="87"/>
      <c r="J183" s="85"/>
      <c r="K183" s="85"/>
      <c r="L183" s="10"/>
      <c r="M183" s="10"/>
      <c r="N183" s="10"/>
      <c r="O183" s="10"/>
      <c r="P183" s="85"/>
      <c r="Q183" s="88"/>
      <c r="R183" s="3">
        <f>IFERROR(VLOOKUP(TablaJulio[[#This Row],[BARRIO]],SECTOR!$A:$B,2,0),"")</f>
      </c>
      <c r="S183" s="89"/>
      <c r="T183" s="90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6"/>
      <c r="AZ183" s="120">
        <f>COUNTIF(U183:AY183,"A")</f>
      </c>
      <c r="BA183" s="121">
        <f>COUNTIF(U183:AY183,"F")</f>
      </c>
      <c r="BB183" s="119">
        <f>COUNTIF(U183:AY183,"E")</f>
      </c>
    </row>
    <row r="184" spans="1:54" x14ac:dyDescent="0.2">
      <c r="A184" s="84"/>
      <c r="B184" s="85"/>
      <c r="C184" s="85"/>
      <c r="D184" s="85"/>
      <c r="E184" s="86"/>
      <c r="F184" s="16">
        <f>IF(E184="","",DATEDIF(E184,$I$7,"Y"))</f>
      </c>
      <c r="G184" s="85"/>
      <c r="H184" s="85"/>
      <c r="I184" s="87"/>
      <c r="J184" s="85"/>
      <c r="K184" s="85"/>
      <c r="L184" s="10"/>
      <c r="M184" s="10"/>
      <c r="N184" s="10"/>
      <c r="O184" s="10"/>
      <c r="P184" s="85"/>
      <c r="Q184" s="88"/>
      <c r="R184" s="3">
        <f>IFERROR(VLOOKUP(TablaJulio[[#This Row],[BARRIO]],SECTOR!$A:$B,2,0),"")</f>
      </c>
      <c r="S184" s="89"/>
      <c r="T184" s="90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6"/>
      <c r="AZ184" s="120">
        <f>COUNTIF(U184:AY184,"A")</f>
      </c>
      <c r="BA184" s="121">
        <f>COUNTIF(U184:AY184,"F")</f>
      </c>
      <c r="BB184" s="119">
        <f>COUNTIF(U184:AY184,"E")</f>
      </c>
    </row>
    <row r="185" spans="1:54" x14ac:dyDescent="0.2">
      <c r="A185" s="84"/>
      <c r="B185" s="85"/>
      <c r="C185" s="85"/>
      <c r="D185" s="85"/>
      <c r="E185" s="86"/>
      <c r="F185" s="16">
        <f>IF(E185="","",DATEDIF(E185,$I$7,"Y"))</f>
      </c>
      <c r="G185" s="85"/>
      <c r="H185" s="85"/>
      <c r="I185" s="87"/>
      <c r="J185" s="85"/>
      <c r="K185" s="85"/>
      <c r="L185" s="10"/>
      <c r="M185" s="10"/>
      <c r="N185" s="10"/>
      <c r="O185" s="10"/>
      <c r="P185" s="85"/>
      <c r="Q185" s="88"/>
      <c r="R185" s="3">
        <f>IFERROR(VLOOKUP(TablaJulio[[#This Row],[BARRIO]],SECTOR!$A:$B,2,0),"")</f>
      </c>
      <c r="S185" s="89"/>
      <c r="T185" s="90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6"/>
      <c r="AZ185" s="120">
        <f>COUNTIF(U185:AY185,"A")</f>
      </c>
      <c r="BA185" s="121">
        <f>COUNTIF(U185:AY185,"F")</f>
      </c>
      <c r="BB185" s="119">
        <f>COUNTIF(U185:AY185,"E")</f>
      </c>
    </row>
    <row r="186" spans="1:54" x14ac:dyDescent="0.2">
      <c r="A186" s="84"/>
      <c r="B186" s="85"/>
      <c r="C186" s="85"/>
      <c r="D186" s="85"/>
      <c r="E186" s="86"/>
      <c r="F186" s="16">
        <f>IF(E186="","",DATEDIF(E186,$I$7,"Y"))</f>
      </c>
      <c r="G186" s="85"/>
      <c r="H186" s="85"/>
      <c r="I186" s="87"/>
      <c r="J186" s="85"/>
      <c r="K186" s="85"/>
      <c r="L186" s="10"/>
      <c r="M186" s="10"/>
      <c r="N186" s="10"/>
      <c r="O186" s="10"/>
      <c r="P186" s="85"/>
      <c r="Q186" s="88"/>
      <c r="R186" s="3">
        <f>IFERROR(VLOOKUP(TablaJulio[[#This Row],[BARRIO]],SECTOR!$A:$B,2,0),"")</f>
      </c>
      <c r="S186" s="89"/>
      <c r="T186" s="90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6"/>
      <c r="AZ186" s="120">
        <f>COUNTIF(U186:AY186,"A")</f>
      </c>
      <c r="BA186" s="121">
        <f>COUNTIF(U186:AY186,"F")</f>
      </c>
      <c r="BB186" s="119">
        <f>COUNTIF(U186:AY186,"E")</f>
      </c>
    </row>
    <row r="187" spans="1:54" x14ac:dyDescent="0.2">
      <c r="A187" s="84"/>
      <c r="B187" s="85"/>
      <c r="C187" s="85"/>
      <c r="D187" s="85"/>
      <c r="E187" s="86"/>
      <c r="F187" s="16">
        <f>IF(E187="","",DATEDIF(E187,$I$7,"Y"))</f>
      </c>
      <c r="G187" s="85"/>
      <c r="H187" s="85"/>
      <c r="I187" s="87"/>
      <c r="J187" s="85"/>
      <c r="K187" s="85"/>
      <c r="L187" s="10"/>
      <c r="M187" s="10"/>
      <c r="N187" s="10"/>
      <c r="O187" s="10"/>
      <c r="P187" s="85"/>
      <c r="Q187" s="88"/>
      <c r="R187" s="3">
        <f>IFERROR(VLOOKUP(TablaJulio[[#This Row],[BARRIO]],SECTOR!$A:$B,2,0),"")</f>
      </c>
      <c r="S187" s="89"/>
      <c r="T187" s="90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6"/>
      <c r="AZ187" s="120">
        <f>COUNTIF(U187:AY187,"A")</f>
      </c>
      <c r="BA187" s="121">
        <f>COUNTIF(U187:AY187,"F")</f>
      </c>
      <c r="BB187" s="119">
        <f>COUNTIF(U187:AY187,"E")</f>
      </c>
    </row>
    <row r="188" spans="1:54" x14ac:dyDescent="0.2">
      <c r="A188" s="84"/>
      <c r="B188" s="85"/>
      <c r="C188" s="85"/>
      <c r="D188" s="85"/>
      <c r="E188" s="86"/>
      <c r="F188" s="16">
        <f>IF(E188="","",DATEDIF(E188,$I$7,"Y"))</f>
      </c>
      <c r="G188" s="85"/>
      <c r="H188" s="85"/>
      <c r="I188" s="87"/>
      <c r="J188" s="85"/>
      <c r="K188" s="85"/>
      <c r="L188" s="10"/>
      <c r="M188" s="10"/>
      <c r="N188" s="10"/>
      <c r="O188" s="10"/>
      <c r="P188" s="85"/>
      <c r="Q188" s="88"/>
      <c r="R188" s="3">
        <f>IFERROR(VLOOKUP(TablaJulio[[#This Row],[BARRIO]],SECTOR!$A:$B,2,0),"")</f>
      </c>
      <c r="S188" s="89"/>
      <c r="T188" s="90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6"/>
      <c r="AZ188" s="120">
        <f>COUNTIF(U188:AY188,"A")</f>
      </c>
      <c r="BA188" s="121">
        <f>COUNTIF(U188:AY188,"F")</f>
      </c>
      <c r="BB188" s="119">
        <f>COUNTIF(U188:AY188,"E")</f>
      </c>
    </row>
    <row r="189" spans="1:54" x14ac:dyDescent="0.2">
      <c r="A189" s="84"/>
      <c r="B189" s="85"/>
      <c r="C189" s="85"/>
      <c r="D189" s="85"/>
      <c r="E189" s="86"/>
      <c r="F189" s="16">
        <f>IF(E189="","",DATEDIF(E189,$I$7,"Y"))</f>
      </c>
      <c r="G189" s="85"/>
      <c r="H189" s="85"/>
      <c r="I189" s="87"/>
      <c r="J189" s="85"/>
      <c r="K189" s="85"/>
      <c r="L189" s="10"/>
      <c r="M189" s="10"/>
      <c r="N189" s="10"/>
      <c r="O189" s="10"/>
      <c r="P189" s="85"/>
      <c r="Q189" s="88"/>
      <c r="R189" s="3">
        <f>IFERROR(VLOOKUP(TablaJulio[[#This Row],[BARRIO]],SECTOR!$A:$B,2,0),"")</f>
      </c>
      <c r="S189" s="89"/>
      <c r="T189" s="90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6"/>
      <c r="AZ189" s="120">
        <f>COUNTIF(U189:AY189,"A")</f>
      </c>
      <c r="BA189" s="121">
        <f>COUNTIF(U189:AY189,"F")</f>
      </c>
      <c r="BB189" s="119">
        <f>COUNTIF(U189:AY189,"E")</f>
      </c>
    </row>
    <row r="190" spans="1:54" x14ac:dyDescent="0.2">
      <c r="A190" s="84"/>
      <c r="B190" s="85"/>
      <c r="C190" s="85"/>
      <c r="D190" s="85"/>
      <c r="E190" s="86"/>
      <c r="F190" s="16">
        <f>IF(E190="","",DATEDIF(E190,$I$7,"Y"))</f>
      </c>
      <c r="G190" s="85"/>
      <c r="H190" s="85"/>
      <c r="I190" s="87"/>
      <c r="J190" s="85"/>
      <c r="K190" s="85"/>
      <c r="L190" s="10"/>
      <c r="M190" s="10"/>
      <c r="N190" s="10"/>
      <c r="O190" s="10"/>
      <c r="P190" s="85"/>
      <c r="Q190" s="88"/>
      <c r="R190" s="3">
        <f>IFERROR(VLOOKUP(TablaJulio[[#This Row],[BARRIO]],SECTOR!$A:$B,2,0),"")</f>
      </c>
      <c r="S190" s="89"/>
      <c r="T190" s="90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6"/>
      <c r="AZ190" s="120">
        <f>COUNTIF(U190:AY190,"A")</f>
      </c>
      <c r="BA190" s="121">
        <f>COUNTIF(U190:AY190,"F")</f>
      </c>
      <c r="BB190" s="119">
        <f>COUNTIF(U190:AY190,"E")</f>
      </c>
    </row>
    <row r="191" spans="1:54" x14ac:dyDescent="0.2">
      <c r="A191" s="84"/>
      <c r="B191" s="85"/>
      <c r="C191" s="85"/>
      <c r="D191" s="85"/>
      <c r="E191" s="86"/>
      <c r="F191" s="16">
        <f>IF(E191="","",DATEDIF(E191,$I$7,"Y"))</f>
      </c>
      <c r="G191" s="85"/>
      <c r="H191" s="85"/>
      <c r="I191" s="87"/>
      <c r="J191" s="85"/>
      <c r="K191" s="85"/>
      <c r="L191" s="10"/>
      <c r="M191" s="10"/>
      <c r="N191" s="10"/>
      <c r="O191" s="10"/>
      <c r="P191" s="85"/>
      <c r="Q191" s="88"/>
      <c r="R191" s="3">
        <f>IFERROR(VLOOKUP(TablaJulio[[#This Row],[BARRIO]],SECTOR!$A:$B,2,0),"")</f>
      </c>
      <c r="S191" s="89"/>
      <c r="T191" s="90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6"/>
      <c r="AZ191" s="120">
        <f>COUNTIF(U191:AY191,"A")</f>
      </c>
      <c r="BA191" s="121">
        <f>COUNTIF(U191:AY191,"F")</f>
      </c>
      <c r="BB191" s="119">
        <f>COUNTIF(U191:AY191,"E")</f>
      </c>
    </row>
    <row r="192" spans="1:54" x14ac:dyDescent="0.2">
      <c r="A192" s="84"/>
      <c r="B192" s="85"/>
      <c r="C192" s="85"/>
      <c r="D192" s="85"/>
      <c r="E192" s="86"/>
      <c r="F192" s="16">
        <f>IF(E192="","",DATEDIF(E192,$I$7,"Y"))</f>
      </c>
      <c r="G192" s="85"/>
      <c r="H192" s="85"/>
      <c r="I192" s="87"/>
      <c r="J192" s="85"/>
      <c r="K192" s="85"/>
      <c r="L192" s="10"/>
      <c r="M192" s="10"/>
      <c r="N192" s="10"/>
      <c r="O192" s="10"/>
      <c r="P192" s="85"/>
      <c r="Q192" s="88"/>
      <c r="R192" s="3">
        <f>IFERROR(VLOOKUP(TablaJulio[[#This Row],[BARRIO]],SECTOR!$A:$B,2,0),"")</f>
      </c>
      <c r="S192" s="89"/>
      <c r="T192" s="90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6"/>
      <c r="AZ192" s="120">
        <f>COUNTIF(U192:AY192,"A")</f>
      </c>
      <c r="BA192" s="121">
        <f>COUNTIF(U192:AY192,"F")</f>
      </c>
      <c r="BB192" s="119">
        <f>COUNTIF(U192:AY192,"E")</f>
      </c>
    </row>
    <row r="193" spans="1:54" x14ac:dyDescent="0.2">
      <c r="A193" s="84"/>
      <c r="B193" s="85"/>
      <c r="C193" s="85"/>
      <c r="D193" s="85"/>
      <c r="E193" s="86"/>
      <c r="F193" s="16">
        <f>IF(E193="","",DATEDIF(E193,$I$7,"Y"))</f>
      </c>
      <c r="G193" s="85"/>
      <c r="H193" s="85"/>
      <c r="I193" s="87"/>
      <c r="J193" s="85"/>
      <c r="K193" s="85"/>
      <c r="L193" s="10"/>
      <c r="M193" s="10"/>
      <c r="N193" s="10"/>
      <c r="O193" s="10"/>
      <c r="P193" s="85"/>
      <c r="Q193" s="88"/>
      <c r="R193" s="3">
        <f>IFERROR(VLOOKUP(TablaJulio[[#This Row],[BARRIO]],SECTOR!$A:$B,2,0),"")</f>
      </c>
      <c r="S193" s="89"/>
      <c r="T193" s="90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6"/>
      <c r="AZ193" s="120">
        <f>COUNTIF(U193:AY193,"A")</f>
      </c>
      <c r="BA193" s="121">
        <f>COUNTIF(U193:AY193,"F")</f>
      </c>
      <c r="BB193" s="119">
        <f>COUNTIF(U193:AY193,"E")</f>
      </c>
    </row>
    <row r="194" spans="1:54" x14ac:dyDescent="0.2">
      <c r="A194" s="84"/>
      <c r="B194" s="85"/>
      <c r="C194" s="85"/>
      <c r="D194" s="85"/>
      <c r="E194" s="86"/>
      <c r="F194" s="16">
        <f>IF(E194="","",DATEDIF(E194,$I$7,"Y"))</f>
      </c>
      <c r="G194" s="85"/>
      <c r="H194" s="85"/>
      <c r="I194" s="87"/>
      <c r="J194" s="85"/>
      <c r="K194" s="85"/>
      <c r="L194" s="10"/>
      <c r="M194" s="10"/>
      <c r="N194" s="10"/>
      <c r="O194" s="10"/>
      <c r="P194" s="85"/>
      <c r="Q194" s="88"/>
      <c r="R194" s="3">
        <f>IFERROR(VLOOKUP(TablaJulio[[#This Row],[BARRIO]],SECTOR!$A:$B,2,0),"")</f>
      </c>
      <c r="S194" s="89"/>
      <c r="T194" s="90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6"/>
      <c r="AZ194" s="120">
        <f>COUNTIF(U194:AY194,"A")</f>
      </c>
      <c r="BA194" s="121">
        <f>COUNTIF(U194:AY194,"F")</f>
      </c>
      <c r="BB194" s="119">
        <f>COUNTIF(U194:AY194,"E")</f>
      </c>
    </row>
    <row r="195" spans="1:54" x14ac:dyDescent="0.2">
      <c r="A195" s="84"/>
      <c r="B195" s="85"/>
      <c r="C195" s="85"/>
      <c r="D195" s="85"/>
      <c r="E195" s="86"/>
      <c r="F195" s="16">
        <f>IF(E195="","",DATEDIF(E195,$I$7,"Y"))</f>
      </c>
      <c r="G195" s="85"/>
      <c r="H195" s="85"/>
      <c r="I195" s="87"/>
      <c r="J195" s="85"/>
      <c r="K195" s="85"/>
      <c r="L195" s="10"/>
      <c r="M195" s="10"/>
      <c r="N195" s="10"/>
      <c r="O195" s="10"/>
      <c r="P195" s="85"/>
      <c r="Q195" s="88"/>
      <c r="R195" s="3">
        <f>IFERROR(VLOOKUP(TablaJulio[[#This Row],[BARRIO]],SECTOR!$A:$B,2,0),"")</f>
      </c>
      <c r="S195" s="89"/>
      <c r="T195" s="90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6"/>
      <c r="AZ195" s="120">
        <f>COUNTIF(U195:AY195,"A")</f>
      </c>
      <c r="BA195" s="121">
        <f>COUNTIF(U195:AY195,"F")</f>
      </c>
      <c r="BB195" s="119">
        <f>COUNTIF(U195:AY195,"E")</f>
      </c>
    </row>
    <row r="196" spans="1:54" x14ac:dyDescent="0.2">
      <c r="A196" s="84"/>
      <c r="B196" s="85"/>
      <c r="C196" s="85"/>
      <c r="D196" s="85"/>
      <c r="E196" s="86"/>
      <c r="F196" s="16">
        <f>IF(E196="","",DATEDIF(E196,$I$7,"Y"))</f>
      </c>
      <c r="G196" s="85"/>
      <c r="H196" s="85"/>
      <c r="I196" s="87"/>
      <c r="J196" s="85"/>
      <c r="K196" s="85"/>
      <c r="L196" s="10"/>
      <c r="M196" s="10"/>
      <c r="N196" s="10"/>
      <c r="O196" s="10"/>
      <c r="P196" s="85"/>
      <c r="Q196" s="88"/>
      <c r="R196" s="3">
        <f>IFERROR(VLOOKUP(TablaJulio[[#This Row],[BARRIO]],SECTOR!$A:$B,2,0),"")</f>
      </c>
      <c r="S196" s="89"/>
      <c r="T196" s="90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6"/>
      <c r="AZ196" s="120">
        <f>COUNTIF(U196:AY196,"A")</f>
      </c>
      <c r="BA196" s="121">
        <f>COUNTIF(U196:AY196,"F")</f>
      </c>
      <c r="BB196" s="119">
        <f>COUNTIF(U196:AY196,"E")</f>
      </c>
    </row>
    <row r="197" spans="1:54" x14ac:dyDescent="0.2">
      <c r="A197" s="84"/>
      <c r="B197" s="85"/>
      <c r="C197" s="85"/>
      <c r="D197" s="85"/>
      <c r="E197" s="86"/>
      <c r="F197" s="16">
        <f>IF(E197="","",DATEDIF(E197,$I$7,"Y"))</f>
      </c>
      <c r="G197" s="85"/>
      <c r="H197" s="85"/>
      <c r="I197" s="87"/>
      <c r="J197" s="85"/>
      <c r="K197" s="85"/>
      <c r="L197" s="10"/>
      <c r="M197" s="10"/>
      <c r="N197" s="10"/>
      <c r="O197" s="10"/>
      <c r="P197" s="85"/>
      <c r="Q197" s="88"/>
      <c r="R197" s="3">
        <f>IFERROR(VLOOKUP(TablaJulio[[#This Row],[BARRIO]],SECTOR!$A:$B,2,0),"")</f>
      </c>
      <c r="S197" s="89"/>
      <c r="T197" s="90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6"/>
      <c r="AZ197" s="120">
        <f>COUNTIF(U197:AY197,"A")</f>
      </c>
      <c r="BA197" s="121">
        <f>COUNTIF(U197:AY197,"F")</f>
      </c>
      <c r="BB197" s="119">
        <f>COUNTIF(U197:AY197,"E")</f>
      </c>
    </row>
    <row r="198" spans="1:54" x14ac:dyDescent="0.2">
      <c r="A198" s="84"/>
      <c r="B198" s="85"/>
      <c r="C198" s="85"/>
      <c r="D198" s="85"/>
      <c r="E198" s="86"/>
      <c r="F198" s="16">
        <f>IF(E198="","",DATEDIF(E198,$I$7,"Y"))</f>
      </c>
      <c r="G198" s="85"/>
      <c r="H198" s="85"/>
      <c r="I198" s="87"/>
      <c r="J198" s="85"/>
      <c r="K198" s="85"/>
      <c r="L198" s="10"/>
      <c r="M198" s="10"/>
      <c r="N198" s="10"/>
      <c r="O198" s="10"/>
      <c r="P198" s="85"/>
      <c r="Q198" s="88"/>
      <c r="R198" s="3">
        <f>IFERROR(VLOOKUP(TablaJulio[[#This Row],[BARRIO]],SECTOR!$A:$B,2,0),"")</f>
      </c>
      <c r="S198" s="89"/>
      <c r="T198" s="90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6"/>
      <c r="AZ198" s="120">
        <f>COUNTIF(U198:AY198,"A")</f>
      </c>
      <c r="BA198" s="121">
        <f>COUNTIF(U198:AY198,"F")</f>
      </c>
      <c r="BB198" s="119">
        <f>COUNTIF(U198:AY198,"E")</f>
      </c>
    </row>
    <row r="199" spans="1:54" x14ac:dyDescent="0.2">
      <c r="A199" s="84"/>
      <c r="B199" s="85"/>
      <c r="C199" s="85"/>
      <c r="D199" s="85"/>
      <c r="E199" s="86"/>
      <c r="F199" s="16">
        <f>IF(E199="","",DATEDIF(E199,$I$7,"Y"))</f>
      </c>
      <c r="G199" s="85"/>
      <c r="H199" s="85"/>
      <c r="I199" s="87"/>
      <c r="J199" s="85"/>
      <c r="K199" s="85"/>
      <c r="L199" s="10"/>
      <c r="M199" s="10"/>
      <c r="N199" s="10"/>
      <c r="O199" s="10"/>
      <c r="P199" s="85"/>
      <c r="Q199" s="88"/>
      <c r="R199" s="3">
        <f>IFERROR(VLOOKUP(TablaJulio[[#This Row],[BARRIO]],SECTOR!$A:$B,2,0),"")</f>
      </c>
      <c r="S199" s="89"/>
      <c r="T199" s="90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6"/>
      <c r="AZ199" s="120">
        <f>COUNTIF(U199:AY199,"A")</f>
      </c>
      <c r="BA199" s="121">
        <f>COUNTIF(U199:AY199,"F")</f>
      </c>
      <c r="BB199" s="119">
        <f>COUNTIF(U199:AY199,"E")</f>
      </c>
    </row>
    <row r="200" spans="1:54" x14ac:dyDescent="0.2">
      <c r="A200" s="84"/>
      <c r="B200" s="85"/>
      <c r="C200" s="85"/>
      <c r="D200" s="85"/>
      <c r="E200" s="86"/>
      <c r="F200" s="16">
        <f>IF(E200="","",DATEDIF(E200,$I$7,"Y"))</f>
      </c>
      <c r="G200" s="85"/>
      <c r="H200" s="85"/>
      <c r="I200" s="87"/>
      <c r="J200" s="85"/>
      <c r="K200" s="85"/>
      <c r="L200" s="10"/>
      <c r="M200" s="10"/>
      <c r="N200" s="10"/>
      <c r="O200" s="10"/>
      <c r="P200" s="85"/>
      <c r="Q200" s="88"/>
      <c r="R200" s="3">
        <f>IFERROR(VLOOKUP(TablaJulio[[#This Row],[BARRIO]],SECTOR!$A:$B,2,0),"")</f>
      </c>
      <c r="S200" s="89"/>
      <c r="T200" s="90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6"/>
      <c r="AZ200" s="120">
        <f>COUNTIF(U200:AY200,"A")</f>
      </c>
      <c r="BA200" s="121">
        <f>COUNTIF(U200:AY200,"F")</f>
      </c>
      <c r="BB200" s="119">
        <f>COUNTIF(U200:AY200,"E")</f>
      </c>
    </row>
    <row r="201" spans="1:54" x14ac:dyDescent="0.2">
      <c r="A201" s="84"/>
      <c r="B201" s="85"/>
      <c r="C201" s="85"/>
      <c r="D201" s="85"/>
      <c r="E201" s="86"/>
      <c r="F201" s="16">
        <f>IF(E201="","",DATEDIF(E201,$I$7,"Y"))</f>
      </c>
      <c r="G201" s="85"/>
      <c r="H201" s="85"/>
      <c r="I201" s="87"/>
      <c r="J201" s="85"/>
      <c r="K201" s="85"/>
      <c r="L201" s="10"/>
      <c r="M201" s="10"/>
      <c r="N201" s="10"/>
      <c r="O201" s="10"/>
      <c r="P201" s="85"/>
      <c r="Q201" s="88"/>
      <c r="R201" s="3">
        <f>IFERROR(VLOOKUP(TablaJulio[[#This Row],[BARRIO]],SECTOR!$A:$B,2,0),"")</f>
      </c>
      <c r="S201" s="89"/>
      <c r="T201" s="90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6"/>
      <c r="AZ201" s="120">
        <f>COUNTIF(U201:AY201,"A")</f>
      </c>
      <c r="BA201" s="121">
        <f>COUNTIF(U201:AY201,"F")</f>
      </c>
      <c r="BB201" s="119">
        <f>COUNTIF(U201:AY201,"E")</f>
      </c>
    </row>
    <row r="202" spans="1:54" x14ac:dyDescent="0.2">
      <c r="A202" s="84"/>
      <c r="B202" s="85"/>
      <c r="C202" s="85"/>
      <c r="D202" s="85"/>
      <c r="E202" s="86"/>
      <c r="F202" s="16">
        <f>IF(E202="","",DATEDIF(E202,$I$7,"Y"))</f>
      </c>
      <c r="G202" s="85"/>
      <c r="H202" s="85"/>
      <c r="I202" s="87"/>
      <c r="J202" s="85"/>
      <c r="K202" s="85"/>
      <c r="L202" s="10"/>
      <c r="M202" s="10"/>
      <c r="N202" s="10"/>
      <c r="O202" s="10"/>
      <c r="P202" s="85"/>
      <c r="Q202" s="88"/>
      <c r="R202" s="3">
        <f>IFERROR(VLOOKUP(TablaJulio[[#This Row],[BARRIO]],SECTOR!$A:$B,2,0),"")</f>
      </c>
      <c r="S202" s="89"/>
      <c r="T202" s="90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6"/>
      <c r="AZ202" s="120">
        <f>COUNTIF(U202:AY202,"A")</f>
      </c>
      <c r="BA202" s="121">
        <f>COUNTIF(U202:AY202,"F")</f>
      </c>
      <c r="BB202" s="119">
        <f>COUNTIF(U202:AY202,"E")</f>
      </c>
    </row>
    <row r="203" spans="1:54" x14ac:dyDescent="0.2">
      <c r="A203" s="84"/>
      <c r="B203" s="85"/>
      <c r="C203" s="85"/>
      <c r="D203" s="85"/>
      <c r="E203" s="86"/>
      <c r="F203" s="16">
        <f>IF(E203="","",DATEDIF(E203,$I$7,"Y"))</f>
      </c>
      <c r="G203" s="85"/>
      <c r="H203" s="85"/>
      <c r="I203" s="87"/>
      <c r="J203" s="85"/>
      <c r="K203" s="85"/>
      <c r="L203" s="10"/>
      <c r="M203" s="10"/>
      <c r="N203" s="10"/>
      <c r="O203" s="10"/>
      <c r="P203" s="85"/>
      <c r="Q203" s="88"/>
      <c r="R203" s="3">
        <f>IFERROR(VLOOKUP(TablaJulio[[#This Row],[BARRIO]],SECTOR!$A:$B,2,0),"")</f>
      </c>
      <c r="S203" s="89"/>
      <c r="T203" s="90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6"/>
      <c r="AZ203" s="120">
        <f>COUNTIF(U203:AY203,"A")</f>
      </c>
      <c r="BA203" s="121">
        <f>COUNTIF(U203:AY203,"F")</f>
      </c>
      <c r="BB203" s="119">
        <f>COUNTIF(U203:AY203,"E")</f>
      </c>
    </row>
    <row r="204" spans="1:54" x14ac:dyDescent="0.2">
      <c r="A204" s="84"/>
      <c r="B204" s="85"/>
      <c r="C204" s="85"/>
      <c r="D204" s="85"/>
      <c r="E204" s="86"/>
      <c r="F204" s="16">
        <f>IF(E204="","",DATEDIF(E204,$I$7,"Y"))</f>
      </c>
      <c r="G204" s="85"/>
      <c r="H204" s="85"/>
      <c r="I204" s="87"/>
      <c r="J204" s="85"/>
      <c r="K204" s="85"/>
      <c r="L204" s="10"/>
      <c r="M204" s="10"/>
      <c r="N204" s="10"/>
      <c r="O204" s="10"/>
      <c r="P204" s="85"/>
      <c r="Q204" s="88"/>
      <c r="R204" s="3">
        <f>IFERROR(VLOOKUP(TablaJulio[[#This Row],[BARRIO]],SECTOR!$A:$B,2,0),"")</f>
      </c>
      <c r="S204" s="89"/>
      <c r="T204" s="90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6"/>
      <c r="AZ204" s="120">
        <f>COUNTIF(U204:AY204,"A")</f>
      </c>
      <c r="BA204" s="121">
        <f>COUNTIF(U204:AY204,"F")</f>
      </c>
      <c r="BB204" s="119">
        <f>COUNTIF(U204:AY204,"E")</f>
      </c>
    </row>
    <row r="205" spans="1:54" x14ac:dyDescent="0.2">
      <c r="A205" s="84"/>
      <c r="B205" s="85"/>
      <c r="C205" s="85"/>
      <c r="D205" s="85"/>
      <c r="E205" s="86"/>
      <c r="F205" s="16">
        <f>IF(E205="","",DATEDIF(E205,$I$7,"Y"))</f>
      </c>
      <c r="G205" s="85"/>
      <c r="H205" s="85"/>
      <c r="I205" s="87"/>
      <c r="J205" s="85"/>
      <c r="K205" s="85"/>
      <c r="L205" s="10"/>
      <c r="M205" s="10"/>
      <c r="N205" s="10"/>
      <c r="O205" s="10"/>
      <c r="P205" s="85"/>
      <c r="Q205" s="88"/>
      <c r="R205" s="3">
        <f>IFERROR(VLOOKUP(TablaJulio[[#This Row],[BARRIO]],SECTOR!$A:$B,2,0),"")</f>
      </c>
      <c r="S205" s="89"/>
      <c r="T205" s="90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6"/>
      <c r="AZ205" s="120">
        <f>COUNTIF(U205:AY205,"A")</f>
      </c>
      <c r="BA205" s="121">
        <f>COUNTIF(U205:AY205,"F")</f>
      </c>
      <c r="BB205" s="119">
        <f>COUNTIF(U205:AY205,"E")</f>
      </c>
    </row>
    <row r="206" spans="1:54" x14ac:dyDescent="0.2">
      <c r="A206" s="84"/>
      <c r="B206" s="85"/>
      <c r="C206" s="85"/>
      <c r="D206" s="85"/>
      <c r="E206" s="86"/>
      <c r="F206" s="16">
        <f>IF(E206="","",DATEDIF(E206,$I$7,"Y"))</f>
      </c>
      <c r="G206" s="85"/>
      <c r="H206" s="85"/>
      <c r="I206" s="87"/>
      <c r="J206" s="85"/>
      <c r="K206" s="85"/>
      <c r="L206" s="10"/>
      <c r="M206" s="10"/>
      <c r="N206" s="10"/>
      <c r="O206" s="10"/>
      <c r="P206" s="85"/>
      <c r="Q206" s="88"/>
      <c r="R206" s="3">
        <f>IFERROR(VLOOKUP(TablaJulio[[#This Row],[BARRIO]],SECTOR!$A:$B,2,0),"")</f>
      </c>
      <c r="S206" s="89"/>
      <c r="T206" s="90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6"/>
      <c r="AZ206" s="120">
        <f>COUNTIF(U206:AY206,"A")</f>
      </c>
      <c r="BA206" s="121">
        <f>COUNTIF(U206:AY206,"F")</f>
      </c>
      <c r="BB206" s="119">
        <f>COUNTIF(U206:AY206,"E")</f>
      </c>
    </row>
    <row r="207" spans="1:54" x14ac:dyDescent="0.2">
      <c r="A207" s="84"/>
      <c r="B207" s="85"/>
      <c r="C207" s="85"/>
      <c r="D207" s="85"/>
      <c r="E207" s="86"/>
      <c r="F207" s="16">
        <f>IF(E207="","",DATEDIF(E207,$I$7,"Y"))</f>
      </c>
      <c r="G207" s="85"/>
      <c r="H207" s="85"/>
      <c r="I207" s="87"/>
      <c r="J207" s="85"/>
      <c r="K207" s="85"/>
      <c r="L207" s="10"/>
      <c r="M207" s="10"/>
      <c r="N207" s="10"/>
      <c r="O207" s="10"/>
      <c r="P207" s="85"/>
      <c r="Q207" s="88"/>
      <c r="R207" s="3">
        <f>IFERROR(VLOOKUP(TablaJulio[[#This Row],[BARRIO]],SECTOR!$A:$B,2,0),"")</f>
      </c>
      <c r="S207" s="89"/>
      <c r="T207" s="90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6"/>
      <c r="AZ207" s="120">
        <f>COUNTIF(U207:AY207,"A")</f>
      </c>
      <c r="BA207" s="121">
        <f>COUNTIF(U207:AY207,"F")</f>
      </c>
      <c r="BB207" s="119">
        <f>COUNTIF(U207:AY207,"E")</f>
      </c>
    </row>
    <row r="208" spans="1:54" x14ac:dyDescent="0.2">
      <c r="A208" s="84"/>
      <c r="B208" s="85"/>
      <c r="C208" s="85"/>
      <c r="D208" s="85"/>
      <c r="E208" s="86"/>
      <c r="F208" s="16">
        <f>IF(E208="","",DATEDIF(E208,$I$7,"Y"))</f>
      </c>
      <c r="G208" s="85"/>
      <c r="H208" s="85"/>
      <c r="I208" s="87"/>
      <c r="J208" s="85"/>
      <c r="K208" s="85"/>
      <c r="L208" s="10"/>
      <c r="M208" s="10"/>
      <c r="N208" s="10"/>
      <c r="O208" s="10"/>
      <c r="P208" s="85"/>
      <c r="Q208" s="88"/>
      <c r="R208" s="3">
        <f>IFERROR(VLOOKUP(TablaJulio[[#This Row],[BARRIO]],SECTOR!$A:$B,2,0),"")</f>
      </c>
      <c r="S208" s="89"/>
      <c r="T208" s="90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6"/>
      <c r="AZ208" s="120">
        <f>COUNTIF(U208:AY208,"A")</f>
      </c>
      <c r="BA208" s="121">
        <f>COUNTIF(U208:AY208,"F")</f>
      </c>
      <c r="BB208" s="119">
        <f>COUNTIF(U208:AY208,"E")</f>
      </c>
    </row>
    <row r="209" spans="1:54" x14ac:dyDescent="0.2">
      <c r="A209" s="84"/>
      <c r="B209" s="85"/>
      <c r="C209" s="85"/>
      <c r="D209" s="85"/>
      <c r="E209" s="86"/>
      <c r="F209" s="16">
        <f>IF(E209="","",DATEDIF(E209,$I$7,"Y"))</f>
      </c>
      <c r="G209" s="85"/>
      <c r="H209" s="85"/>
      <c r="I209" s="87"/>
      <c r="J209" s="85"/>
      <c r="K209" s="85"/>
      <c r="L209" s="10"/>
      <c r="M209" s="10"/>
      <c r="N209" s="10"/>
      <c r="O209" s="10"/>
      <c r="P209" s="85"/>
      <c r="Q209" s="88"/>
      <c r="R209" s="3">
        <f>IFERROR(VLOOKUP(TablaJulio[[#This Row],[BARRIO]],SECTOR!$A:$B,2,0),"")</f>
      </c>
      <c r="S209" s="89"/>
      <c r="T209" s="90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6"/>
      <c r="AZ209" s="120">
        <f>COUNTIF(U209:AY209,"A")</f>
      </c>
      <c r="BA209" s="121">
        <f>COUNTIF(U209:AY209,"F")</f>
      </c>
      <c r="BB209" s="119">
        <f>COUNTIF(U209:AY209,"E")</f>
      </c>
    </row>
    <row r="210" spans="1:54" x14ac:dyDescent="0.2">
      <c r="A210" s="84"/>
      <c r="B210" s="85"/>
      <c r="C210" s="85"/>
      <c r="D210" s="85"/>
      <c r="E210" s="86"/>
      <c r="F210" s="16">
        <f>IF(E210="","",DATEDIF(E210,$I$7,"Y"))</f>
      </c>
      <c r="G210" s="85"/>
      <c r="H210" s="85"/>
      <c r="I210" s="87"/>
      <c r="J210" s="85"/>
      <c r="K210" s="85"/>
      <c r="L210" s="10"/>
      <c r="M210" s="10"/>
      <c r="N210" s="10"/>
      <c r="O210" s="10"/>
      <c r="P210" s="85"/>
      <c r="Q210" s="88"/>
      <c r="R210" s="3">
        <f>IFERROR(VLOOKUP(TablaJulio[[#This Row],[BARRIO]],SECTOR!$A:$B,2,0),"")</f>
      </c>
      <c r="S210" s="89"/>
      <c r="T210" s="90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6"/>
      <c r="AZ210" s="120">
        <f>COUNTIF(U210:AY210,"A")</f>
      </c>
      <c r="BA210" s="121">
        <f>COUNTIF(U210:AY210,"F")</f>
      </c>
      <c r="BB210" s="119">
        <f>COUNTIF(U210:AY210,"E")</f>
      </c>
    </row>
    <row r="211" spans="1:54" x14ac:dyDescent="0.2">
      <c r="A211" s="84"/>
      <c r="B211" s="85"/>
      <c r="C211" s="85"/>
      <c r="D211" s="85"/>
      <c r="E211" s="86"/>
      <c r="F211" s="16">
        <f>IF(E211="","",DATEDIF(E211,$I$7,"Y"))</f>
      </c>
      <c r="G211" s="85"/>
      <c r="H211" s="85"/>
      <c r="I211" s="87"/>
      <c r="J211" s="85"/>
      <c r="K211" s="85"/>
      <c r="L211" s="10"/>
      <c r="M211" s="10"/>
      <c r="N211" s="10"/>
      <c r="O211" s="10"/>
      <c r="P211" s="85"/>
      <c r="Q211" s="88"/>
      <c r="R211" s="3">
        <f>IFERROR(VLOOKUP(TablaJulio[[#This Row],[BARRIO]],SECTOR!$A:$B,2,0),"")</f>
      </c>
      <c r="S211" s="89"/>
      <c r="T211" s="90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6"/>
      <c r="AZ211" s="120">
        <f>COUNTIF(U211:AY211,"A")</f>
      </c>
      <c r="BA211" s="121">
        <f>COUNTIF(U211:AY211,"F")</f>
      </c>
      <c r="BB211" s="119">
        <f>COUNTIF(U211:AY211,"E")</f>
      </c>
    </row>
    <row r="212" spans="1:54" x14ac:dyDescent="0.2">
      <c r="A212" s="84"/>
      <c r="B212" s="85"/>
      <c r="C212" s="85"/>
      <c r="D212" s="85"/>
      <c r="E212" s="86"/>
      <c r="F212" s="16">
        <f>IF(E212="","",DATEDIF(E212,$I$7,"Y"))</f>
      </c>
      <c r="G212" s="85"/>
      <c r="H212" s="85"/>
      <c r="I212" s="87"/>
      <c r="J212" s="85"/>
      <c r="K212" s="85"/>
      <c r="L212" s="10"/>
      <c r="M212" s="10"/>
      <c r="N212" s="10"/>
      <c r="O212" s="10"/>
      <c r="P212" s="85"/>
      <c r="Q212" s="88"/>
      <c r="R212" s="3">
        <f>IFERROR(VLOOKUP(TablaJulio[[#This Row],[BARRIO]],SECTOR!$A:$B,2,0),"")</f>
      </c>
      <c r="S212" s="89"/>
      <c r="T212" s="90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6"/>
      <c r="AZ212" s="120">
        <f>COUNTIF(U212:AY212,"A")</f>
      </c>
      <c r="BA212" s="121">
        <f>COUNTIF(U212:AY212,"F")</f>
      </c>
      <c r="BB212" s="119">
        <f>COUNTIF(U212:AY212,"E")</f>
      </c>
    </row>
    <row r="213" spans="1:54" x14ac:dyDescent="0.2">
      <c r="A213" s="84"/>
      <c r="B213" s="85"/>
      <c r="C213" s="85"/>
      <c r="D213" s="85"/>
      <c r="E213" s="86"/>
      <c r="F213" s="16">
        <f>IF(E213="","",DATEDIF(E213,$I$7,"Y"))</f>
      </c>
      <c r="G213" s="85"/>
      <c r="H213" s="85"/>
      <c r="I213" s="87"/>
      <c r="J213" s="85"/>
      <c r="K213" s="85"/>
      <c r="L213" s="10"/>
      <c r="M213" s="10"/>
      <c r="N213" s="10"/>
      <c r="O213" s="10"/>
      <c r="P213" s="85"/>
      <c r="Q213" s="88"/>
      <c r="R213" s="3">
        <f>IFERROR(VLOOKUP(TablaJulio[[#This Row],[BARRIO]],SECTOR!$A:$B,2,0),"")</f>
      </c>
      <c r="S213" s="89"/>
      <c r="T213" s="90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6"/>
      <c r="AZ213" s="120">
        <f>COUNTIF(U213:AY213,"A")</f>
      </c>
      <c r="BA213" s="121">
        <f>COUNTIF(U213:AY213,"F")</f>
      </c>
      <c r="BB213" s="119">
        <f>COUNTIF(U213:AY213,"E")</f>
      </c>
    </row>
    <row r="214" spans="1:54" x14ac:dyDescent="0.2">
      <c r="A214" s="84"/>
      <c r="B214" s="85"/>
      <c r="C214" s="85"/>
      <c r="D214" s="85"/>
      <c r="E214" s="86"/>
      <c r="F214" s="16">
        <f>IF(E214="","",DATEDIF(E214,$I$7,"Y"))</f>
      </c>
      <c r="G214" s="85"/>
      <c r="H214" s="85"/>
      <c r="I214" s="87"/>
      <c r="J214" s="85"/>
      <c r="K214" s="85"/>
      <c r="L214" s="10"/>
      <c r="M214" s="10"/>
      <c r="N214" s="10"/>
      <c r="O214" s="10"/>
      <c r="P214" s="85"/>
      <c r="Q214" s="88"/>
      <c r="R214" s="3">
        <f>IFERROR(VLOOKUP(TablaJulio[[#This Row],[BARRIO]],SECTOR!$A:$B,2,0),"")</f>
      </c>
      <c r="S214" s="89"/>
      <c r="T214" s="90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6"/>
      <c r="AZ214" s="120">
        <f>COUNTIF(U214:AY214,"A")</f>
      </c>
      <c r="BA214" s="121">
        <f>COUNTIF(U214:AY214,"F")</f>
      </c>
      <c r="BB214" s="119">
        <f>COUNTIF(U214:AY214,"E")</f>
      </c>
    </row>
    <row r="215" spans="1:54" x14ac:dyDescent="0.2">
      <c r="A215" s="84"/>
      <c r="B215" s="85"/>
      <c r="C215" s="85"/>
      <c r="D215" s="85"/>
      <c r="E215" s="86"/>
      <c r="F215" s="16">
        <f>IF(E215="","",DATEDIF(E215,$I$7,"Y"))</f>
      </c>
      <c r="G215" s="85"/>
      <c r="H215" s="85"/>
      <c r="I215" s="87"/>
      <c r="J215" s="85"/>
      <c r="K215" s="85"/>
      <c r="L215" s="10"/>
      <c r="M215" s="10"/>
      <c r="N215" s="10"/>
      <c r="O215" s="10"/>
      <c r="P215" s="85"/>
      <c r="Q215" s="88"/>
      <c r="R215" s="3">
        <f>IFERROR(VLOOKUP(TablaJulio[[#This Row],[BARRIO]],SECTOR!$A:$B,2,0),"")</f>
      </c>
      <c r="S215" s="89"/>
      <c r="T215" s="90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6"/>
      <c r="AZ215" s="120">
        <f>COUNTIF(U215:AY215,"A")</f>
      </c>
      <c r="BA215" s="121">
        <f>COUNTIF(U215:AY215,"F")</f>
      </c>
      <c r="BB215" s="119">
        <f>COUNTIF(U215:AY215,"E")</f>
      </c>
    </row>
    <row r="216" spans="1:54" x14ac:dyDescent="0.2">
      <c r="A216" s="84"/>
      <c r="B216" s="85"/>
      <c r="C216" s="85"/>
      <c r="D216" s="85"/>
      <c r="E216" s="86"/>
      <c r="F216" s="16">
        <f>IF(E216="","",DATEDIF(E216,$I$7,"Y"))</f>
      </c>
      <c r="G216" s="85"/>
      <c r="H216" s="85"/>
      <c r="I216" s="87"/>
      <c r="J216" s="85"/>
      <c r="K216" s="85"/>
      <c r="L216" s="10"/>
      <c r="M216" s="10"/>
      <c r="N216" s="10"/>
      <c r="O216" s="10"/>
      <c r="P216" s="85"/>
      <c r="Q216" s="88"/>
      <c r="R216" s="3">
        <f>IFERROR(VLOOKUP(TablaJulio[[#This Row],[BARRIO]],SECTOR!$A:$B,2,0),"")</f>
      </c>
      <c r="S216" s="89"/>
      <c r="T216" s="90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6"/>
      <c r="AZ216" s="120">
        <f>COUNTIF(U216:AY216,"A")</f>
      </c>
      <c r="BA216" s="121">
        <f>COUNTIF(U216:AY216,"F")</f>
      </c>
      <c r="BB216" s="119">
        <f>COUNTIF(U216:AY216,"E")</f>
      </c>
    </row>
    <row r="217" spans="1:54" x14ac:dyDescent="0.2">
      <c r="A217" s="84"/>
      <c r="B217" s="85"/>
      <c r="C217" s="85"/>
      <c r="D217" s="85"/>
      <c r="E217" s="86"/>
      <c r="F217" s="16">
        <f>IF(E217="","",DATEDIF(E217,$I$7,"Y"))</f>
      </c>
      <c r="G217" s="85"/>
      <c r="H217" s="85"/>
      <c r="I217" s="87"/>
      <c r="J217" s="85"/>
      <c r="K217" s="85"/>
      <c r="L217" s="10"/>
      <c r="M217" s="10"/>
      <c r="N217" s="10"/>
      <c r="O217" s="10"/>
      <c r="P217" s="85"/>
      <c r="Q217" s="88"/>
      <c r="R217" s="3">
        <f>IFERROR(VLOOKUP(TablaJulio[[#This Row],[BARRIO]],SECTOR!$A:$B,2,0),"")</f>
      </c>
      <c r="S217" s="89"/>
      <c r="T217" s="90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6"/>
      <c r="AZ217" s="120">
        <f>COUNTIF(U217:AY217,"A")</f>
      </c>
      <c r="BA217" s="121">
        <f>COUNTIF(U217:AY217,"F")</f>
      </c>
      <c r="BB217" s="119">
        <f>COUNTIF(U217:AY217,"E")</f>
      </c>
    </row>
    <row r="218" spans="1:54" x14ac:dyDescent="0.2">
      <c r="A218" s="84"/>
      <c r="B218" s="85"/>
      <c r="C218" s="85"/>
      <c r="D218" s="85"/>
      <c r="E218" s="86"/>
      <c r="F218" s="16">
        <f>IF(E218="","",DATEDIF(E218,$I$7,"Y"))</f>
      </c>
      <c r="G218" s="85"/>
      <c r="H218" s="85"/>
      <c r="I218" s="87"/>
      <c r="J218" s="85"/>
      <c r="K218" s="85"/>
      <c r="L218" s="10"/>
      <c r="M218" s="10"/>
      <c r="N218" s="10"/>
      <c r="O218" s="10"/>
      <c r="P218" s="85"/>
      <c r="Q218" s="88"/>
      <c r="R218" s="3">
        <f>IFERROR(VLOOKUP(TablaJulio[[#This Row],[BARRIO]],SECTOR!$A:$B,2,0),"")</f>
      </c>
      <c r="S218" s="89"/>
      <c r="T218" s="90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6"/>
      <c r="AZ218" s="120">
        <f>COUNTIF(U218:AY218,"A")</f>
      </c>
      <c r="BA218" s="121">
        <f>COUNTIF(U218:AY218,"F")</f>
      </c>
      <c r="BB218" s="119">
        <f>COUNTIF(U218:AY218,"E")</f>
      </c>
    </row>
    <row r="219" spans="1:54" x14ac:dyDescent="0.2">
      <c r="A219" s="84"/>
      <c r="B219" s="85"/>
      <c r="C219" s="85"/>
      <c r="D219" s="85"/>
      <c r="E219" s="86"/>
      <c r="F219" s="16">
        <f>IF(E219="","",DATEDIF(E219,$I$7,"Y"))</f>
      </c>
      <c r="G219" s="85"/>
      <c r="H219" s="85"/>
      <c r="I219" s="87"/>
      <c r="J219" s="85"/>
      <c r="K219" s="85"/>
      <c r="L219" s="10"/>
      <c r="M219" s="10"/>
      <c r="N219" s="10"/>
      <c r="O219" s="10"/>
      <c r="P219" s="85"/>
      <c r="Q219" s="88"/>
      <c r="R219" s="3">
        <f>IFERROR(VLOOKUP(TablaJulio[[#This Row],[BARRIO]],SECTOR!$A:$B,2,0),"")</f>
      </c>
      <c r="S219" s="89"/>
      <c r="T219" s="90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6"/>
      <c r="AZ219" s="120">
        <f>COUNTIF(U219:AY219,"A")</f>
      </c>
      <c r="BA219" s="121">
        <f>COUNTIF(U219:AY219,"F")</f>
      </c>
      <c r="BB219" s="119">
        <f>COUNTIF(U219:AY219,"E")</f>
      </c>
    </row>
    <row r="220" spans="1:54" x14ac:dyDescent="0.2">
      <c r="A220" s="84"/>
      <c r="B220" s="85"/>
      <c r="C220" s="85"/>
      <c r="D220" s="85"/>
      <c r="E220" s="86"/>
      <c r="F220" s="16">
        <f>IF(E220="","",DATEDIF(E220,$I$7,"Y"))</f>
      </c>
      <c r="G220" s="85"/>
      <c r="H220" s="85"/>
      <c r="I220" s="87"/>
      <c r="J220" s="85"/>
      <c r="K220" s="85"/>
      <c r="L220" s="10"/>
      <c r="M220" s="10"/>
      <c r="N220" s="10"/>
      <c r="O220" s="10"/>
      <c r="P220" s="85"/>
      <c r="Q220" s="88"/>
      <c r="R220" s="3">
        <f>IFERROR(VLOOKUP(TablaJulio[[#This Row],[BARRIO]],SECTOR!$A:$B,2,0),"")</f>
      </c>
      <c r="S220" s="89"/>
      <c r="T220" s="90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6"/>
      <c r="AZ220" s="120">
        <f>COUNTIF(U220:AY220,"A")</f>
      </c>
      <c r="BA220" s="121">
        <f>COUNTIF(U220:AY220,"F")</f>
      </c>
      <c r="BB220" s="119">
        <f>COUNTIF(U220:AY220,"E")</f>
      </c>
    </row>
    <row r="221" spans="1:54" x14ac:dyDescent="0.2">
      <c r="A221" s="84"/>
      <c r="B221" s="85"/>
      <c r="C221" s="85"/>
      <c r="D221" s="85"/>
      <c r="E221" s="86"/>
      <c r="F221" s="16">
        <f>IF(E221="","",DATEDIF(E221,$I$7,"Y"))</f>
      </c>
      <c r="G221" s="85"/>
      <c r="H221" s="85"/>
      <c r="I221" s="87"/>
      <c r="J221" s="85"/>
      <c r="K221" s="85"/>
      <c r="L221" s="10"/>
      <c r="M221" s="10"/>
      <c r="N221" s="10"/>
      <c r="O221" s="10"/>
      <c r="P221" s="85"/>
      <c r="Q221" s="88"/>
      <c r="R221" s="3">
        <f>IFERROR(VLOOKUP(TablaJulio[[#This Row],[BARRIO]],SECTOR!$A:$B,2,0),"")</f>
      </c>
      <c r="S221" s="89"/>
      <c r="T221" s="90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6"/>
      <c r="AZ221" s="120">
        <f>COUNTIF(U221:AY221,"A")</f>
      </c>
      <c r="BA221" s="121">
        <f>COUNTIF(U221:AY221,"F")</f>
      </c>
      <c r="BB221" s="119">
        <f>COUNTIF(U221:AY221,"E")</f>
      </c>
    </row>
    <row r="222" spans="1:54" x14ac:dyDescent="0.2">
      <c r="A222" s="84"/>
      <c r="B222" s="85"/>
      <c r="C222" s="85"/>
      <c r="D222" s="85"/>
      <c r="E222" s="86"/>
      <c r="F222" s="16">
        <f>IF(E222="","",DATEDIF(E222,$I$7,"Y"))</f>
      </c>
      <c r="G222" s="85"/>
      <c r="H222" s="85"/>
      <c r="I222" s="87"/>
      <c r="J222" s="85"/>
      <c r="K222" s="85"/>
      <c r="L222" s="10"/>
      <c r="M222" s="10"/>
      <c r="N222" s="10"/>
      <c r="O222" s="10"/>
      <c r="P222" s="85"/>
      <c r="Q222" s="88"/>
      <c r="R222" s="3">
        <f>IFERROR(VLOOKUP(TablaJulio[[#This Row],[BARRIO]],SECTOR!$A:$B,2,0),"")</f>
      </c>
      <c r="S222" s="89"/>
      <c r="T222" s="90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6"/>
      <c r="AZ222" s="120">
        <f>COUNTIF(U222:AY222,"A")</f>
      </c>
      <c r="BA222" s="121">
        <f>COUNTIF(U222:AY222,"F")</f>
      </c>
      <c r="BB222" s="119">
        <f>COUNTIF(U222:AY222,"E")</f>
      </c>
    </row>
    <row r="223" spans="1:54" x14ac:dyDescent="0.2">
      <c r="A223" s="84"/>
      <c r="B223" s="85"/>
      <c r="C223" s="85"/>
      <c r="D223" s="85"/>
      <c r="E223" s="86"/>
      <c r="F223" s="16">
        <f>IF(E223="","",DATEDIF(E223,$I$7,"Y"))</f>
      </c>
      <c r="G223" s="85"/>
      <c r="H223" s="85"/>
      <c r="I223" s="87"/>
      <c r="J223" s="85"/>
      <c r="K223" s="85"/>
      <c r="L223" s="10"/>
      <c r="M223" s="10"/>
      <c r="N223" s="10"/>
      <c r="O223" s="10"/>
      <c r="P223" s="85"/>
      <c r="Q223" s="88"/>
      <c r="R223" s="3">
        <f>IFERROR(VLOOKUP(TablaJulio[[#This Row],[BARRIO]],SECTOR!$A:$B,2,0),"")</f>
      </c>
      <c r="S223" s="89"/>
      <c r="T223" s="90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6"/>
      <c r="AZ223" s="120">
        <f>COUNTIF(U223:AY223,"A")</f>
      </c>
      <c r="BA223" s="121">
        <f>COUNTIF(U223:AY223,"F")</f>
      </c>
      <c r="BB223" s="119">
        <f>COUNTIF(U223:AY223,"E")</f>
      </c>
    </row>
    <row r="224" spans="1:54" x14ac:dyDescent="0.2">
      <c r="A224" s="84"/>
      <c r="B224" s="85"/>
      <c r="C224" s="85"/>
      <c r="D224" s="85"/>
      <c r="E224" s="86"/>
      <c r="F224" s="16">
        <f>IF(E224="","",DATEDIF(E224,$I$7,"Y"))</f>
      </c>
      <c r="G224" s="85"/>
      <c r="H224" s="85"/>
      <c r="I224" s="87"/>
      <c r="J224" s="85"/>
      <c r="K224" s="85"/>
      <c r="L224" s="10"/>
      <c r="M224" s="10"/>
      <c r="N224" s="10"/>
      <c r="O224" s="10"/>
      <c r="P224" s="85"/>
      <c r="Q224" s="88"/>
      <c r="R224" s="3">
        <f>IFERROR(VLOOKUP(TablaJulio[[#This Row],[BARRIO]],SECTOR!$A:$B,2,0),"")</f>
      </c>
      <c r="S224" s="89"/>
      <c r="T224" s="90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6"/>
      <c r="AZ224" s="120">
        <f>COUNTIF(U224:AY224,"A")</f>
      </c>
      <c r="BA224" s="121">
        <f>COUNTIF(U224:AY224,"F")</f>
      </c>
      <c r="BB224" s="119">
        <f>COUNTIF(U224:AY224,"E")</f>
      </c>
    </row>
    <row r="225" spans="1:54" x14ac:dyDescent="0.2">
      <c r="A225" s="84"/>
      <c r="B225" s="85"/>
      <c r="C225" s="85"/>
      <c r="D225" s="85"/>
      <c r="E225" s="86"/>
      <c r="F225" s="16">
        <f>IF(E225="","",DATEDIF(E225,$I$7,"Y"))</f>
      </c>
      <c r="G225" s="85"/>
      <c r="H225" s="85"/>
      <c r="I225" s="87"/>
      <c r="J225" s="85"/>
      <c r="K225" s="85"/>
      <c r="L225" s="10"/>
      <c r="M225" s="10"/>
      <c r="N225" s="10"/>
      <c r="O225" s="10"/>
      <c r="P225" s="85"/>
      <c r="Q225" s="88"/>
      <c r="R225" s="3">
        <f>IFERROR(VLOOKUP(TablaJulio[[#This Row],[BARRIO]],SECTOR!$A:$B,2,0),"")</f>
      </c>
      <c r="S225" s="89"/>
      <c r="T225" s="90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6"/>
      <c r="AZ225" s="120">
        <f>COUNTIF(U225:AY225,"A")</f>
      </c>
      <c r="BA225" s="121">
        <f>COUNTIF(U225:AY225,"F")</f>
      </c>
      <c r="BB225" s="119">
        <f>COUNTIF(U225:AY225,"E")</f>
      </c>
    </row>
    <row r="226" spans="1:54" x14ac:dyDescent="0.2">
      <c r="A226" s="84"/>
      <c r="B226" s="85"/>
      <c r="C226" s="85"/>
      <c r="D226" s="85"/>
      <c r="E226" s="86"/>
      <c r="F226" s="16">
        <f>IF(E226="","",DATEDIF(E226,$I$7,"Y"))</f>
      </c>
      <c r="G226" s="85"/>
      <c r="H226" s="85"/>
      <c r="I226" s="87"/>
      <c r="J226" s="85"/>
      <c r="K226" s="85"/>
      <c r="L226" s="10"/>
      <c r="M226" s="10"/>
      <c r="N226" s="10"/>
      <c r="O226" s="10"/>
      <c r="P226" s="85"/>
      <c r="Q226" s="88"/>
      <c r="R226" s="3">
        <f>IFERROR(VLOOKUP(TablaJulio[[#This Row],[BARRIO]],SECTOR!$A:$B,2,0),"")</f>
      </c>
      <c r="S226" s="89"/>
      <c r="T226" s="90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6"/>
      <c r="AZ226" s="120">
        <f>COUNTIF(U226:AY226,"A")</f>
      </c>
      <c r="BA226" s="121">
        <f>COUNTIF(U226:AY226,"F")</f>
      </c>
      <c r="BB226" s="119">
        <f>COUNTIF(U226:AY226,"E")</f>
      </c>
    </row>
    <row r="227" spans="1:54" x14ac:dyDescent="0.2">
      <c r="A227" s="84"/>
      <c r="B227" s="85"/>
      <c r="C227" s="85"/>
      <c r="D227" s="85"/>
      <c r="E227" s="86"/>
      <c r="F227" s="16">
        <f>IF(E227="","",DATEDIF(E227,$I$7,"Y"))</f>
      </c>
      <c r="G227" s="85"/>
      <c r="H227" s="85"/>
      <c r="I227" s="87"/>
      <c r="J227" s="85"/>
      <c r="K227" s="85"/>
      <c r="L227" s="10"/>
      <c r="M227" s="10"/>
      <c r="N227" s="10"/>
      <c r="O227" s="10"/>
      <c r="P227" s="85"/>
      <c r="Q227" s="88"/>
      <c r="R227" s="3">
        <f>IFERROR(VLOOKUP(TablaJulio[[#This Row],[BARRIO]],SECTOR!$A:$B,2,0),"")</f>
      </c>
      <c r="S227" s="89"/>
      <c r="T227" s="90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6"/>
      <c r="AZ227" s="120">
        <f>COUNTIF(U227:AY227,"A")</f>
      </c>
      <c r="BA227" s="121">
        <f>COUNTIF(U227:AY227,"F")</f>
      </c>
      <c r="BB227" s="119">
        <f>COUNTIF(U227:AY227,"E")</f>
      </c>
    </row>
    <row r="228" spans="1:54" x14ac:dyDescent="0.2">
      <c r="A228" s="84"/>
      <c r="B228" s="85"/>
      <c r="C228" s="85"/>
      <c r="D228" s="85"/>
      <c r="E228" s="86"/>
      <c r="F228" s="16">
        <f>IF(E228="","",DATEDIF(E228,$I$7,"Y"))</f>
      </c>
      <c r="G228" s="85"/>
      <c r="H228" s="85"/>
      <c r="I228" s="87"/>
      <c r="J228" s="85"/>
      <c r="K228" s="85"/>
      <c r="L228" s="10"/>
      <c r="M228" s="10"/>
      <c r="N228" s="10"/>
      <c r="O228" s="10"/>
      <c r="P228" s="85"/>
      <c r="Q228" s="88"/>
      <c r="R228" s="3">
        <f>IFERROR(VLOOKUP(TablaJulio[[#This Row],[BARRIO]],SECTOR!$A:$B,2,0),"")</f>
      </c>
      <c r="S228" s="89"/>
      <c r="T228" s="90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6"/>
      <c r="AZ228" s="120">
        <f>COUNTIF(U228:AY228,"A")</f>
      </c>
      <c r="BA228" s="121">
        <f>COUNTIF(U228:AY228,"F")</f>
      </c>
      <c r="BB228" s="119">
        <f>COUNTIF(U228:AY228,"E")</f>
      </c>
    </row>
    <row r="229" spans="1:54" x14ac:dyDescent="0.2">
      <c r="A229" s="84"/>
      <c r="B229" s="85"/>
      <c r="C229" s="85"/>
      <c r="D229" s="85"/>
      <c r="E229" s="86"/>
      <c r="F229" s="16">
        <f>IF(E229="","",DATEDIF(E229,$I$7,"Y"))</f>
      </c>
      <c r="G229" s="85"/>
      <c r="H229" s="85"/>
      <c r="I229" s="87"/>
      <c r="J229" s="85"/>
      <c r="K229" s="85"/>
      <c r="L229" s="10"/>
      <c r="M229" s="10"/>
      <c r="N229" s="10"/>
      <c r="O229" s="10"/>
      <c r="P229" s="85"/>
      <c r="Q229" s="88"/>
      <c r="R229" s="3">
        <f>IFERROR(VLOOKUP(TablaJulio[[#This Row],[BARRIO]],SECTOR!$A:$B,2,0),"")</f>
      </c>
      <c r="S229" s="89"/>
      <c r="T229" s="90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6"/>
      <c r="AZ229" s="120">
        <f>COUNTIF(U229:AY229,"A")</f>
      </c>
      <c r="BA229" s="121">
        <f>COUNTIF(U229:AY229,"F")</f>
      </c>
      <c r="BB229" s="119">
        <f>COUNTIF(U229:AY229,"E")</f>
      </c>
    </row>
    <row r="230" spans="1:54" x14ac:dyDescent="0.2">
      <c r="A230" s="84"/>
      <c r="B230" s="85"/>
      <c r="C230" s="85"/>
      <c r="D230" s="85"/>
      <c r="E230" s="86"/>
      <c r="F230" s="16">
        <f>IF(E230="","",DATEDIF(E230,$I$7,"Y"))</f>
      </c>
      <c r="G230" s="85"/>
      <c r="H230" s="85"/>
      <c r="I230" s="87"/>
      <c r="J230" s="85"/>
      <c r="K230" s="85"/>
      <c r="L230" s="10"/>
      <c r="M230" s="10"/>
      <c r="N230" s="10"/>
      <c r="O230" s="10"/>
      <c r="P230" s="85"/>
      <c r="Q230" s="88"/>
      <c r="R230" s="3">
        <f>IFERROR(VLOOKUP(TablaJulio[[#This Row],[BARRIO]],SECTOR!$A:$B,2,0),"")</f>
      </c>
      <c r="S230" s="89"/>
      <c r="T230" s="90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6"/>
      <c r="AZ230" s="120">
        <f>COUNTIF(U230:AY230,"A")</f>
      </c>
      <c r="BA230" s="121">
        <f>COUNTIF(U230:AY230,"F")</f>
      </c>
      <c r="BB230" s="119">
        <f>COUNTIF(U230:AY230,"E")</f>
      </c>
    </row>
    <row r="231" spans="1:54" x14ac:dyDescent="0.2">
      <c r="A231" s="84"/>
      <c r="B231" s="85"/>
      <c r="C231" s="85"/>
      <c r="D231" s="85"/>
      <c r="E231" s="86"/>
      <c r="F231" s="16">
        <f>IF(E231="","",DATEDIF(E231,$I$7,"Y"))</f>
      </c>
      <c r="G231" s="85"/>
      <c r="H231" s="85"/>
      <c r="I231" s="87"/>
      <c r="J231" s="85"/>
      <c r="K231" s="85"/>
      <c r="L231" s="10"/>
      <c r="M231" s="10"/>
      <c r="N231" s="10"/>
      <c r="O231" s="10"/>
      <c r="P231" s="85"/>
      <c r="Q231" s="88"/>
      <c r="R231" s="3">
        <f>IFERROR(VLOOKUP(TablaJulio[[#This Row],[BARRIO]],SECTOR!$A:$B,2,0),"")</f>
      </c>
      <c r="S231" s="89"/>
      <c r="T231" s="90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6"/>
      <c r="AZ231" s="120">
        <f>COUNTIF(U231:AY231,"A")</f>
      </c>
      <c r="BA231" s="121">
        <f>COUNTIF(U231:AY231,"F")</f>
      </c>
      <c r="BB231" s="119">
        <f>COUNTIF(U231:AY231,"E")</f>
      </c>
    </row>
    <row r="232" spans="1:54" x14ac:dyDescent="0.2">
      <c r="A232" s="84"/>
      <c r="B232" s="85"/>
      <c r="C232" s="85"/>
      <c r="D232" s="85"/>
      <c r="E232" s="86"/>
      <c r="F232" s="16">
        <f>IF(E232="","",DATEDIF(E232,$I$7,"Y"))</f>
      </c>
      <c r="G232" s="85"/>
      <c r="H232" s="85"/>
      <c r="I232" s="87"/>
      <c r="J232" s="85"/>
      <c r="K232" s="85"/>
      <c r="L232" s="10"/>
      <c r="M232" s="10"/>
      <c r="N232" s="10"/>
      <c r="O232" s="10"/>
      <c r="P232" s="85"/>
      <c r="Q232" s="88"/>
      <c r="R232" s="3">
        <f>IFERROR(VLOOKUP(TablaJulio[[#This Row],[BARRIO]],SECTOR!$A:$B,2,0),"")</f>
      </c>
      <c r="S232" s="89"/>
      <c r="T232" s="90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6"/>
      <c r="AZ232" s="120">
        <f>COUNTIF(U232:AY232,"A")</f>
      </c>
      <c r="BA232" s="121">
        <f>COUNTIF(U232:AY232,"F")</f>
      </c>
      <c r="BB232" s="119">
        <f>COUNTIF(U232:AY232,"E")</f>
      </c>
    </row>
    <row r="233" spans="1:54" x14ac:dyDescent="0.2">
      <c r="A233" s="84"/>
      <c r="B233" s="85"/>
      <c r="C233" s="85"/>
      <c r="D233" s="85"/>
      <c r="E233" s="86"/>
      <c r="F233" s="16">
        <f>IF(E233="","",DATEDIF(E233,$I$7,"Y"))</f>
      </c>
      <c r="G233" s="85"/>
      <c r="H233" s="85"/>
      <c r="I233" s="87"/>
      <c r="J233" s="85"/>
      <c r="K233" s="85"/>
      <c r="L233" s="10"/>
      <c r="M233" s="10"/>
      <c r="N233" s="10"/>
      <c r="O233" s="10"/>
      <c r="P233" s="85"/>
      <c r="Q233" s="88"/>
      <c r="R233" s="3">
        <f>IFERROR(VLOOKUP(TablaJulio[[#This Row],[BARRIO]],SECTOR!$A:$B,2,0),"")</f>
      </c>
      <c r="S233" s="89"/>
      <c r="T233" s="90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6"/>
      <c r="AZ233" s="120">
        <f>COUNTIF(U233:AY233,"A")</f>
      </c>
      <c r="BA233" s="121">
        <f>COUNTIF(U233:AY233,"F")</f>
      </c>
      <c r="BB233" s="119">
        <f>COUNTIF(U233:AY233,"E")</f>
      </c>
    </row>
    <row r="234" spans="1:54" x14ac:dyDescent="0.2">
      <c r="A234" s="84"/>
      <c r="B234" s="85"/>
      <c r="C234" s="85"/>
      <c r="D234" s="85"/>
      <c r="E234" s="86"/>
      <c r="F234" s="16">
        <f>IF(E234="","",DATEDIF(E234,$I$7,"Y"))</f>
      </c>
      <c r="G234" s="85"/>
      <c r="H234" s="85"/>
      <c r="I234" s="87"/>
      <c r="J234" s="85"/>
      <c r="K234" s="85"/>
      <c r="L234" s="10"/>
      <c r="M234" s="10"/>
      <c r="N234" s="10"/>
      <c r="O234" s="10"/>
      <c r="P234" s="85"/>
      <c r="Q234" s="88"/>
      <c r="R234" s="3">
        <f>IFERROR(VLOOKUP(TablaJulio[[#This Row],[BARRIO]],SECTOR!$A:$B,2,0),"")</f>
      </c>
      <c r="S234" s="89"/>
      <c r="T234" s="90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6"/>
      <c r="AZ234" s="120">
        <f>COUNTIF(U234:AY234,"A")</f>
      </c>
      <c r="BA234" s="121">
        <f>COUNTIF(U234:AY234,"F")</f>
      </c>
      <c r="BB234" s="119">
        <f>COUNTIF(U234:AY234,"E")</f>
      </c>
    </row>
    <row r="235" spans="1:54" x14ac:dyDescent="0.2">
      <c r="A235" s="84"/>
      <c r="B235" s="85"/>
      <c r="C235" s="85"/>
      <c r="D235" s="85"/>
      <c r="E235" s="86"/>
      <c r="F235" s="16">
        <f>IF(E235="","",DATEDIF(E235,$I$7,"Y"))</f>
      </c>
      <c r="G235" s="85"/>
      <c r="H235" s="85"/>
      <c r="I235" s="87"/>
      <c r="J235" s="85"/>
      <c r="K235" s="85"/>
      <c r="L235" s="10"/>
      <c r="M235" s="10"/>
      <c r="N235" s="10"/>
      <c r="O235" s="10"/>
      <c r="P235" s="85"/>
      <c r="Q235" s="88"/>
      <c r="R235" s="3">
        <f>IFERROR(VLOOKUP(TablaJulio[[#This Row],[BARRIO]],SECTOR!$A:$B,2,0),"")</f>
      </c>
      <c r="S235" s="89"/>
      <c r="T235" s="90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6"/>
      <c r="AZ235" s="120">
        <f>COUNTIF(U235:AY235,"A")</f>
      </c>
      <c r="BA235" s="121">
        <f>COUNTIF(U235:AY235,"F")</f>
      </c>
      <c r="BB235" s="119">
        <f>COUNTIF(U235:AY235,"E")</f>
      </c>
    </row>
    <row r="236" spans="1:54" x14ac:dyDescent="0.2">
      <c r="A236" s="84"/>
      <c r="B236" s="85"/>
      <c r="C236" s="85"/>
      <c r="D236" s="85"/>
      <c r="E236" s="86"/>
      <c r="F236" s="16">
        <f>IF(E236="","",DATEDIF(E236,$I$7,"Y"))</f>
      </c>
      <c r="G236" s="85"/>
      <c r="H236" s="85"/>
      <c r="I236" s="87"/>
      <c r="J236" s="85"/>
      <c r="K236" s="85"/>
      <c r="L236" s="10"/>
      <c r="M236" s="10"/>
      <c r="N236" s="10"/>
      <c r="O236" s="10"/>
      <c r="P236" s="85"/>
      <c r="Q236" s="88"/>
      <c r="R236" s="3">
        <f>IFERROR(VLOOKUP(TablaJulio[[#This Row],[BARRIO]],SECTOR!$A:$B,2,0),"")</f>
      </c>
      <c r="S236" s="89"/>
      <c r="T236" s="90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6"/>
      <c r="AZ236" s="120">
        <f>COUNTIF(U236:AY236,"A")</f>
      </c>
      <c r="BA236" s="121">
        <f>COUNTIF(U236:AY236,"F")</f>
      </c>
      <c r="BB236" s="119">
        <f>COUNTIF(U236:AY236,"E")</f>
      </c>
    </row>
    <row r="237" spans="1:54" x14ac:dyDescent="0.2">
      <c r="A237" s="84"/>
      <c r="B237" s="85"/>
      <c r="C237" s="85"/>
      <c r="D237" s="85"/>
      <c r="E237" s="86"/>
      <c r="F237" s="16">
        <f>IF(E237="","",DATEDIF(E237,$I$7,"Y"))</f>
      </c>
      <c r="G237" s="85"/>
      <c r="H237" s="85"/>
      <c r="I237" s="87"/>
      <c r="J237" s="85"/>
      <c r="K237" s="85"/>
      <c r="L237" s="10"/>
      <c r="M237" s="10"/>
      <c r="N237" s="10"/>
      <c r="O237" s="10"/>
      <c r="P237" s="85"/>
      <c r="Q237" s="88"/>
      <c r="R237" s="3">
        <f>IFERROR(VLOOKUP(TablaJulio[[#This Row],[BARRIO]],SECTOR!$A:$B,2,0),"")</f>
      </c>
      <c r="S237" s="89"/>
      <c r="T237" s="90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6"/>
      <c r="AZ237" s="120">
        <f>COUNTIF(U237:AY237,"A")</f>
      </c>
      <c r="BA237" s="121">
        <f>COUNTIF(U237:AY237,"F")</f>
      </c>
      <c r="BB237" s="119">
        <f>COUNTIF(U237:AY237,"E")</f>
      </c>
    </row>
    <row r="238" spans="1:54" x14ac:dyDescent="0.2">
      <c r="A238" s="84"/>
      <c r="B238" s="85"/>
      <c r="C238" s="85"/>
      <c r="D238" s="85"/>
      <c r="E238" s="86"/>
      <c r="F238" s="16">
        <f>IF(E238="","",DATEDIF(E238,$I$7,"Y"))</f>
      </c>
      <c r="G238" s="85"/>
      <c r="H238" s="85"/>
      <c r="I238" s="87"/>
      <c r="J238" s="85"/>
      <c r="K238" s="85"/>
      <c r="L238" s="10"/>
      <c r="M238" s="10"/>
      <c r="N238" s="10"/>
      <c r="O238" s="10"/>
      <c r="P238" s="85"/>
      <c r="Q238" s="88"/>
      <c r="R238" s="3">
        <f>IFERROR(VLOOKUP(TablaJulio[[#This Row],[BARRIO]],SECTOR!$A:$B,2,0),"")</f>
      </c>
      <c r="S238" s="89"/>
      <c r="T238" s="90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6"/>
      <c r="AZ238" s="120">
        <f>COUNTIF(U238:AY238,"A")</f>
      </c>
      <c r="BA238" s="121">
        <f>COUNTIF(U238:AY238,"F")</f>
      </c>
      <c r="BB238" s="119">
        <f>COUNTIF(U238:AY238,"E")</f>
      </c>
    </row>
    <row r="239" spans="1:54" x14ac:dyDescent="0.2">
      <c r="A239" s="84"/>
      <c r="B239" s="85"/>
      <c r="C239" s="85"/>
      <c r="D239" s="85"/>
      <c r="E239" s="86"/>
      <c r="F239" s="16">
        <f>IF(E239="","",DATEDIF(E239,$I$7,"Y"))</f>
      </c>
      <c r="G239" s="85"/>
      <c r="H239" s="85"/>
      <c r="I239" s="87"/>
      <c r="J239" s="85"/>
      <c r="K239" s="85"/>
      <c r="L239" s="10"/>
      <c r="M239" s="10"/>
      <c r="N239" s="10"/>
      <c r="O239" s="10"/>
      <c r="P239" s="85"/>
      <c r="Q239" s="88"/>
      <c r="R239" s="3">
        <f>IFERROR(VLOOKUP(TablaJulio[[#This Row],[BARRIO]],SECTOR!$A:$B,2,0),"")</f>
      </c>
      <c r="S239" s="89"/>
      <c r="T239" s="90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6"/>
      <c r="AZ239" s="120">
        <f>COUNTIF(U239:AY239,"A")</f>
      </c>
      <c r="BA239" s="121">
        <f>COUNTIF(U239:AY239,"F")</f>
      </c>
      <c r="BB239" s="119">
        <f>COUNTIF(U239:AY239,"E")</f>
      </c>
    </row>
    <row r="240" spans="1:54" x14ac:dyDescent="0.2">
      <c r="A240" s="84"/>
      <c r="B240" s="85"/>
      <c r="C240" s="85"/>
      <c r="D240" s="85"/>
      <c r="E240" s="86"/>
      <c r="F240" s="16">
        <f>IF(E240="","",DATEDIF(E240,$I$7,"Y"))</f>
      </c>
      <c r="G240" s="85"/>
      <c r="H240" s="85"/>
      <c r="I240" s="87"/>
      <c r="J240" s="85"/>
      <c r="K240" s="85"/>
      <c r="L240" s="10"/>
      <c r="M240" s="10"/>
      <c r="N240" s="10"/>
      <c r="O240" s="10"/>
      <c r="P240" s="85"/>
      <c r="Q240" s="88"/>
      <c r="R240" s="3">
        <f>IFERROR(VLOOKUP(TablaJulio[[#This Row],[BARRIO]],SECTOR!$A:$B,2,0),"")</f>
      </c>
      <c r="S240" s="89"/>
      <c r="T240" s="90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6"/>
      <c r="AZ240" s="120">
        <f>COUNTIF(U240:AY240,"A")</f>
      </c>
      <c r="BA240" s="121">
        <f>COUNTIF(U240:AY240,"F")</f>
      </c>
      <c r="BB240" s="119">
        <f>COUNTIF(U240:AY240,"E")</f>
      </c>
    </row>
    <row r="241" spans="1:54" x14ac:dyDescent="0.2">
      <c r="A241" s="84"/>
      <c r="B241" s="85"/>
      <c r="C241" s="85"/>
      <c r="D241" s="85"/>
      <c r="E241" s="86"/>
      <c r="F241" s="16">
        <f>IF(E241="","",DATEDIF(E241,$I$7,"Y"))</f>
      </c>
      <c r="G241" s="85"/>
      <c r="H241" s="85"/>
      <c r="I241" s="87"/>
      <c r="J241" s="85"/>
      <c r="K241" s="85"/>
      <c r="L241" s="10"/>
      <c r="M241" s="10"/>
      <c r="N241" s="10"/>
      <c r="O241" s="10"/>
      <c r="P241" s="85"/>
      <c r="Q241" s="88"/>
      <c r="R241" s="3">
        <f>IFERROR(VLOOKUP(TablaJulio[[#This Row],[BARRIO]],SECTOR!$A:$B,2,0),"")</f>
      </c>
      <c r="S241" s="89"/>
      <c r="T241" s="90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6"/>
      <c r="AZ241" s="120">
        <f>COUNTIF(U241:AY241,"A")</f>
      </c>
      <c r="BA241" s="121">
        <f>COUNTIF(U241:AY241,"F")</f>
      </c>
      <c r="BB241" s="119">
        <f>COUNTIF(U241:AY241,"E")</f>
      </c>
    </row>
    <row r="242" spans="1:54" x14ac:dyDescent="0.2">
      <c r="A242" s="84"/>
      <c r="B242" s="85"/>
      <c r="C242" s="85"/>
      <c r="D242" s="85"/>
      <c r="E242" s="86"/>
      <c r="F242" s="16">
        <f>IF(E242="","",DATEDIF(E242,$I$7,"Y"))</f>
      </c>
      <c r="G242" s="85"/>
      <c r="H242" s="85"/>
      <c r="I242" s="87"/>
      <c r="J242" s="85"/>
      <c r="K242" s="85"/>
      <c r="L242" s="10"/>
      <c r="M242" s="10"/>
      <c r="N242" s="10"/>
      <c r="O242" s="10"/>
      <c r="P242" s="85"/>
      <c r="Q242" s="88"/>
      <c r="R242" s="3">
        <f>IFERROR(VLOOKUP(TablaJulio[[#This Row],[BARRIO]],SECTOR!$A:$B,2,0),"")</f>
      </c>
      <c r="S242" s="89"/>
      <c r="T242" s="90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6"/>
      <c r="AZ242" s="120">
        <f>COUNTIF(U242:AY242,"A")</f>
      </c>
      <c r="BA242" s="121">
        <f>COUNTIF(U242:AY242,"F")</f>
      </c>
      <c r="BB242" s="119">
        <f>COUNTIF(U242:AY242,"E")</f>
      </c>
    </row>
    <row r="243" spans="1:54" x14ac:dyDescent="0.2">
      <c r="A243" s="84"/>
      <c r="B243" s="85"/>
      <c r="C243" s="85"/>
      <c r="D243" s="85"/>
      <c r="E243" s="86"/>
      <c r="F243" s="16">
        <f>IF(E243="","",DATEDIF(E243,$I$7,"Y"))</f>
      </c>
      <c r="G243" s="85"/>
      <c r="H243" s="85"/>
      <c r="I243" s="87"/>
      <c r="J243" s="85"/>
      <c r="K243" s="85"/>
      <c r="L243" s="10"/>
      <c r="M243" s="10"/>
      <c r="N243" s="10"/>
      <c r="O243" s="10"/>
      <c r="P243" s="85"/>
      <c r="Q243" s="88"/>
      <c r="R243" s="3">
        <f>IFERROR(VLOOKUP(TablaJulio[[#This Row],[BARRIO]],SECTOR!$A:$B,2,0),"")</f>
      </c>
      <c r="S243" s="89"/>
      <c r="T243" s="90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6"/>
      <c r="AZ243" s="120">
        <f>COUNTIF(U243:AY243,"A")</f>
      </c>
      <c r="BA243" s="121">
        <f>COUNTIF(U243:AY243,"F")</f>
      </c>
      <c r="BB243" s="119">
        <f>COUNTIF(U243:AY243,"E")</f>
      </c>
    </row>
    <row r="244" spans="1:54" x14ac:dyDescent="0.2">
      <c r="A244" s="84"/>
      <c r="B244" s="85"/>
      <c r="C244" s="85"/>
      <c r="D244" s="85"/>
      <c r="E244" s="86"/>
      <c r="F244" s="16">
        <f>IF(E244="","",DATEDIF(E244,$I$7,"Y"))</f>
      </c>
      <c r="G244" s="85"/>
      <c r="H244" s="85"/>
      <c r="I244" s="87"/>
      <c r="J244" s="85"/>
      <c r="K244" s="85"/>
      <c r="L244" s="10"/>
      <c r="M244" s="10"/>
      <c r="N244" s="10"/>
      <c r="O244" s="10"/>
      <c r="P244" s="85"/>
      <c r="Q244" s="88"/>
      <c r="R244" s="3">
        <f>IFERROR(VLOOKUP(TablaJulio[[#This Row],[BARRIO]],SECTOR!$A:$B,2,0),"")</f>
      </c>
      <c r="S244" s="89"/>
      <c r="T244" s="90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6"/>
      <c r="AZ244" s="120">
        <f>COUNTIF(U244:AY244,"A")</f>
      </c>
      <c r="BA244" s="121">
        <f>COUNTIF(U244:AY244,"F")</f>
      </c>
      <c r="BB244" s="119">
        <f>COUNTIF(U244:AY244,"E")</f>
      </c>
    </row>
    <row r="245" spans="1:54" x14ac:dyDescent="0.2">
      <c r="A245" s="84"/>
      <c r="B245" s="85"/>
      <c r="C245" s="85"/>
      <c r="D245" s="85"/>
      <c r="E245" s="86"/>
      <c r="F245" s="16">
        <f>IF(E245="","",DATEDIF(E245,$I$7,"Y"))</f>
      </c>
      <c r="G245" s="85"/>
      <c r="H245" s="85"/>
      <c r="I245" s="87"/>
      <c r="J245" s="85"/>
      <c r="K245" s="85"/>
      <c r="L245" s="10"/>
      <c r="M245" s="10"/>
      <c r="N245" s="10"/>
      <c r="O245" s="10"/>
      <c r="P245" s="85"/>
      <c r="Q245" s="88"/>
      <c r="R245" s="3">
        <f>IFERROR(VLOOKUP(TablaJulio[[#This Row],[BARRIO]],SECTOR!$A:$B,2,0),"")</f>
      </c>
      <c r="S245" s="89"/>
      <c r="T245" s="90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6"/>
      <c r="AZ245" s="120">
        <f>COUNTIF(U245:AY245,"A")</f>
      </c>
      <c r="BA245" s="121">
        <f>COUNTIF(U245:AY245,"F")</f>
      </c>
      <c r="BB245" s="119">
        <f>COUNTIF(U245:AY245,"E")</f>
      </c>
    </row>
    <row r="246" spans="1:54" x14ac:dyDescent="0.2">
      <c r="A246" s="84"/>
      <c r="B246" s="85"/>
      <c r="C246" s="85"/>
      <c r="D246" s="85"/>
      <c r="E246" s="86"/>
      <c r="F246" s="16">
        <f>IF(E246="","",DATEDIF(E246,$I$7,"Y"))</f>
      </c>
      <c r="G246" s="85"/>
      <c r="H246" s="85"/>
      <c r="I246" s="87"/>
      <c r="J246" s="85"/>
      <c r="K246" s="85"/>
      <c r="L246" s="10"/>
      <c r="M246" s="10"/>
      <c r="N246" s="10"/>
      <c r="O246" s="10"/>
      <c r="P246" s="85"/>
      <c r="Q246" s="88"/>
      <c r="R246" s="3">
        <f>IFERROR(VLOOKUP(TablaJulio[[#This Row],[BARRIO]],SECTOR!$A:$B,2,0),"")</f>
      </c>
      <c r="S246" s="89"/>
      <c r="T246" s="90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6"/>
      <c r="AZ246" s="120">
        <f>COUNTIF(U246:AY246,"A")</f>
      </c>
      <c r="BA246" s="121">
        <f>COUNTIF(U246:AY246,"F")</f>
      </c>
      <c r="BB246" s="119">
        <f>COUNTIF(U246:AY246,"E")</f>
      </c>
    </row>
    <row r="247" spans="1:54" x14ac:dyDescent="0.2">
      <c r="A247" s="84"/>
      <c r="B247" s="85"/>
      <c r="C247" s="85"/>
      <c r="D247" s="85"/>
      <c r="E247" s="86"/>
      <c r="F247" s="16">
        <f>IF(E247="","",DATEDIF(E247,$I$7,"Y"))</f>
      </c>
      <c r="G247" s="85"/>
      <c r="H247" s="85"/>
      <c r="I247" s="87"/>
      <c r="J247" s="85"/>
      <c r="K247" s="85"/>
      <c r="L247" s="10"/>
      <c r="M247" s="10"/>
      <c r="N247" s="10"/>
      <c r="O247" s="10"/>
      <c r="P247" s="85"/>
      <c r="Q247" s="88"/>
      <c r="R247" s="3">
        <f>IFERROR(VLOOKUP(TablaJulio[[#This Row],[BARRIO]],SECTOR!$A:$B,2,0),"")</f>
      </c>
      <c r="S247" s="89"/>
      <c r="T247" s="90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6"/>
      <c r="AZ247" s="120">
        <f>COUNTIF(U247:AY247,"A")</f>
      </c>
      <c r="BA247" s="121">
        <f>COUNTIF(U247:AY247,"F")</f>
      </c>
      <c r="BB247" s="119">
        <f>COUNTIF(U247:AY247,"E")</f>
      </c>
    </row>
    <row r="248" spans="1:54" x14ac:dyDescent="0.2">
      <c r="A248" s="84"/>
      <c r="B248" s="85"/>
      <c r="C248" s="85"/>
      <c r="D248" s="85"/>
      <c r="E248" s="86"/>
      <c r="F248" s="16">
        <f>IF(E248="","",DATEDIF(E248,$I$7,"Y"))</f>
      </c>
      <c r="G248" s="85"/>
      <c r="H248" s="85"/>
      <c r="I248" s="87"/>
      <c r="J248" s="85"/>
      <c r="K248" s="85"/>
      <c r="L248" s="10"/>
      <c r="M248" s="10"/>
      <c r="N248" s="10"/>
      <c r="O248" s="10"/>
      <c r="P248" s="85"/>
      <c r="Q248" s="88"/>
      <c r="R248" s="3">
        <f>IFERROR(VLOOKUP(TablaJulio[[#This Row],[BARRIO]],SECTOR!$A:$B,2,0),"")</f>
      </c>
      <c r="S248" s="89"/>
      <c r="T248" s="90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6"/>
      <c r="AZ248" s="120">
        <f>COUNTIF(U248:AY248,"A")</f>
      </c>
      <c r="BA248" s="121">
        <f>COUNTIF(U248:AY248,"F")</f>
      </c>
      <c r="BB248" s="119">
        <f>COUNTIF(U248:AY248,"E")</f>
      </c>
    </row>
    <row r="249" spans="1:54" x14ac:dyDescent="0.2">
      <c r="A249" s="84"/>
      <c r="B249" s="85"/>
      <c r="C249" s="85"/>
      <c r="D249" s="85"/>
      <c r="E249" s="86"/>
      <c r="F249" s="16">
        <f>IF(E249="","",DATEDIF(E249,$I$7,"Y"))</f>
      </c>
      <c r="G249" s="85"/>
      <c r="H249" s="85"/>
      <c r="I249" s="87"/>
      <c r="J249" s="85"/>
      <c r="K249" s="85"/>
      <c r="L249" s="10"/>
      <c r="M249" s="10"/>
      <c r="N249" s="10"/>
      <c r="O249" s="10"/>
      <c r="P249" s="85"/>
      <c r="Q249" s="88"/>
      <c r="R249" s="3">
        <f>IFERROR(VLOOKUP(TablaJulio[[#This Row],[BARRIO]],SECTOR!$A:$B,2,0),"")</f>
      </c>
      <c r="S249" s="89"/>
      <c r="T249" s="90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6"/>
      <c r="AZ249" s="120">
        <f>COUNTIF(U249:AY249,"A")</f>
      </c>
      <c r="BA249" s="121">
        <f>COUNTIF(U249:AY249,"F")</f>
      </c>
      <c r="BB249" s="119">
        <f>COUNTIF(U249:AY249,"E")</f>
      </c>
    </row>
    <row r="250" spans="1:54" x14ac:dyDescent="0.2">
      <c r="A250" s="84"/>
      <c r="B250" s="85"/>
      <c r="C250" s="85"/>
      <c r="D250" s="85"/>
      <c r="E250" s="86"/>
      <c r="F250" s="16">
        <f>IF(E250="","",DATEDIF(E250,$I$7,"Y"))</f>
      </c>
      <c r="G250" s="85"/>
      <c r="H250" s="85"/>
      <c r="I250" s="87"/>
      <c r="J250" s="85"/>
      <c r="K250" s="85"/>
      <c r="L250" s="10"/>
      <c r="M250" s="10"/>
      <c r="N250" s="10"/>
      <c r="O250" s="10"/>
      <c r="P250" s="85"/>
      <c r="Q250" s="88"/>
      <c r="R250" s="3">
        <f>IFERROR(VLOOKUP(TablaJulio[[#This Row],[BARRIO]],SECTOR!$A:$B,2,0),"")</f>
      </c>
      <c r="S250" s="89"/>
      <c r="T250" s="90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6"/>
      <c r="AZ250" s="120">
        <f>COUNTIF(U250:AY250,"A")</f>
      </c>
      <c r="BA250" s="121">
        <f>COUNTIF(U250:AY250,"F")</f>
      </c>
      <c r="BB250" s="119">
        <f>COUNTIF(U250:AY250,"E")</f>
      </c>
    </row>
    <row r="251" spans="1:54" x14ac:dyDescent="0.2">
      <c r="A251" s="84"/>
      <c r="B251" s="85"/>
      <c r="C251" s="85"/>
      <c r="D251" s="85"/>
      <c r="E251" s="86"/>
      <c r="F251" s="16">
        <f>IF(E251="","",DATEDIF(E251,$I$7,"Y"))</f>
      </c>
      <c r="G251" s="85"/>
      <c r="H251" s="85"/>
      <c r="I251" s="87"/>
      <c r="J251" s="85"/>
      <c r="K251" s="85"/>
      <c r="L251" s="10"/>
      <c r="M251" s="10"/>
      <c r="N251" s="10"/>
      <c r="O251" s="10"/>
      <c r="P251" s="85"/>
      <c r="Q251" s="88"/>
      <c r="R251" s="3">
        <f>IFERROR(VLOOKUP(TablaJulio[[#This Row],[BARRIO]],SECTOR!$A:$B,2,0),"")</f>
      </c>
      <c r="S251" s="89"/>
      <c r="T251" s="90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6"/>
      <c r="AZ251" s="120">
        <f>COUNTIF(U251:AY251,"A")</f>
      </c>
      <c r="BA251" s="121">
        <f>COUNTIF(U251:AY251,"F")</f>
      </c>
      <c r="BB251" s="119">
        <f>COUNTIF(U251:AY251,"E")</f>
      </c>
    </row>
    <row r="252" spans="1:54" x14ac:dyDescent="0.2">
      <c r="A252" s="84"/>
      <c r="B252" s="85"/>
      <c r="C252" s="85"/>
      <c r="D252" s="85"/>
      <c r="E252" s="86"/>
      <c r="F252" s="16">
        <f>IF(E252="","",DATEDIF(E252,$I$7,"Y"))</f>
      </c>
      <c r="G252" s="85"/>
      <c r="H252" s="85"/>
      <c r="I252" s="87"/>
      <c r="J252" s="85"/>
      <c r="K252" s="85"/>
      <c r="L252" s="10"/>
      <c r="M252" s="10"/>
      <c r="N252" s="10"/>
      <c r="O252" s="10"/>
      <c r="P252" s="85"/>
      <c r="Q252" s="88"/>
      <c r="R252" s="3">
        <f>IFERROR(VLOOKUP(TablaJulio[[#This Row],[BARRIO]],SECTOR!$A:$B,2,0),"")</f>
      </c>
      <c r="S252" s="89"/>
      <c r="T252" s="90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6"/>
      <c r="AZ252" s="120">
        <f>COUNTIF(U252:AY252,"A")</f>
      </c>
      <c r="BA252" s="121">
        <f>COUNTIF(U252:AY252,"F")</f>
      </c>
      <c r="BB252" s="119">
        <f>COUNTIF(U252:AY252,"E")</f>
      </c>
    </row>
    <row r="253" spans="1:54" x14ac:dyDescent="0.2">
      <c r="A253" s="84"/>
      <c r="B253" s="85"/>
      <c r="C253" s="85"/>
      <c r="D253" s="85"/>
      <c r="E253" s="86"/>
      <c r="F253" s="16">
        <f>IF(E253="","",DATEDIF(E253,$I$7,"Y"))</f>
      </c>
      <c r="G253" s="85"/>
      <c r="H253" s="85"/>
      <c r="I253" s="87"/>
      <c r="J253" s="85"/>
      <c r="K253" s="85"/>
      <c r="L253" s="10"/>
      <c r="M253" s="10"/>
      <c r="N253" s="10"/>
      <c r="O253" s="10"/>
      <c r="P253" s="85"/>
      <c r="Q253" s="88"/>
      <c r="R253" s="3">
        <f>IFERROR(VLOOKUP(TablaJulio[[#This Row],[BARRIO]],SECTOR!$A:$B,2,0),"")</f>
      </c>
      <c r="S253" s="89"/>
      <c r="T253" s="90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6"/>
      <c r="AZ253" s="120">
        <f>COUNTIF(U253:AY253,"A")</f>
      </c>
      <c r="BA253" s="121">
        <f>COUNTIF(U253:AY253,"F")</f>
      </c>
      <c r="BB253" s="119">
        <f>COUNTIF(U253:AY253,"E")</f>
      </c>
    </row>
    <row r="254" spans="1:54" x14ac:dyDescent="0.2">
      <c r="A254" s="84"/>
      <c r="B254" s="85"/>
      <c r="C254" s="85"/>
      <c r="D254" s="85"/>
      <c r="E254" s="86"/>
      <c r="F254" s="16">
        <f>IF(E254="","",DATEDIF(E254,$I$7,"Y"))</f>
      </c>
      <c r="G254" s="85"/>
      <c r="H254" s="85"/>
      <c r="I254" s="87"/>
      <c r="J254" s="85"/>
      <c r="K254" s="85"/>
      <c r="L254" s="10"/>
      <c r="M254" s="10"/>
      <c r="N254" s="10"/>
      <c r="O254" s="10"/>
      <c r="P254" s="85"/>
      <c r="Q254" s="88"/>
      <c r="R254" s="3">
        <f>IFERROR(VLOOKUP(TablaJulio[[#This Row],[BARRIO]],SECTOR!$A:$B,2,0),"")</f>
      </c>
      <c r="S254" s="89"/>
      <c r="T254" s="90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6"/>
      <c r="AZ254" s="120">
        <f>COUNTIF(U254:AY254,"A")</f>
      </c>
      <c r="BA254" s="121">
        <f>COUNTIF(U254:AY254,"F")</f>
      </c>
      <c r="BB254" s="119">
        <f>COUNTIF(U254:AY254,"E")</f>
      </c>
    </row>
    <row r="255" spans="1:54" x14ac:dyDescent="0.2">
      <c r="A255" s="84"/>
      <c r="B255" s="85"/>
      <c r="C255" s="85"/>
      <c r="D255" s="85"/>
      <c r="E255" s="86"/>
      <c r="F255" s="16">
        <f>IF(E255="","",DATEDIF(E255,$I$7,"Y"))</f>
      </c>
      <c r="G255" s="85"/>
      <c r="H255" s="85"/>
      <c r="I255" s="87"/>
      <c r="J255" s="85"/>
      <c r="K255" s="85"/>
      <c r="L255" s="10"/>
      <c r="M255" s="10"/>
      <c r="N255" s="10"/>
      <c r="O255" s="10"/>
      <c r="P255" s="85"/>
      <c r="Q255" s="88"/>
      <c r="R255" s="3">
        <f>IFERROR(VLOOKUP(TablaJulio[[#This Row],[BARRIO]],SECTOR!$A:$B,2,0),"")</f>
      </c>
      <c r="S255" s="89"/>
      <c r="T255" s="90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6"/>
      <c r="AZ255" s="120">
        <f>COUNTIF(U255:AY255,"A")</f>
      </c>
      <c r="BA255" s="121">
        <f>COUNTIF(U255:AY255,"F")</f>
      </c>
      <c r="BB255" s="119">
        <f>COUNTIF(U255:AY255,"E")</f>
      </c>
    </row>
    <row r="256" spans="1:54" x14ac:dyDescent="0.2">
      <c r="A256" s="84"/>
      <c r="B256" s="85"/>
      <c r="C256" s="85"/>
      <c r="D256" s="85"/>
      <c r="E256" s="86"/>
      <c r="F256" s="16">
        <f>IF(E256="","",DATEDIF(E256,$I$7,"Y"))</f>
      </c>
      <c r="G256" s="85"/>
      <c r="H256" s="85"/>
      <c r="I256" s="87"/>
      <c r="J256" s="85"/>
      <c r="K256" s="85"/>
      <c r="L256" s="10"/>
      <c r="M256" s="10"/>
      <c r="N256" s="10"/>
      <c r="O256" s="10"/>
      <c r="P256" s="85"/>
      <c r="Q256" s="88"/>
      <c r="R256" s="3">
        <f>IFERROR(VLOOKUP(TablaJulio[[#This Row],[BARRIO]],SECTOR!$A:$B,2,0),"")</f>
      </c>
      <c r="S256" s="89"/>
      <c r="T256" s="90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6"/>
      <c r="AZ256" s="120">
        <f>COUNTIF(U256:AY256,"A")</f>
      </c>
      <c r="BA256" s="121">
        <f>COUNTIF(U256:AY256,"F")</f>
      </c>
      <c r="BB256" s="119">
        <f>COUNTIF(U256:AY256,"E")</f>
      </c>
    </row>
    <row r="257" spans="1:54" x14ac:dyDescent="0.2">
      <c r="A257" s="84"/>
      <c r="B257" s="85"/>
      <c r="C257" s="85"/>
      <c r="D257" s="85"/>
      <c r="E257" s="86"/>
      <c r="F257" s="16">
        <f>IF(E257="","",DATEDIF(E257,$I$7,"Y"))</f>
      </c>
      <c r="G257" s="85"/>
      <c r="H257" s="85"/>
      <c r="I257" s="87"/>
      <c r="J257" s="85"/>
      <c r="K257" s="85"/>
      <c r="L257" s="10"/>
      <c r="M257" s="10"/>
      <c r="N257" s="10"/>
      <c r="O257" s="10"/>
      <c r="P257" s="85"/>
      <c r="Q257" s="88"/>
      <c r="R257" s="3">
        <f>IFERROR(VLOOKUP(TablaJulio[[#This Row],[BARRIO]],SECTOR!$A:$B,2,0),"")</f>
      </c>
      <c r="S257" s="89"/>
      <c r="T257" s="90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6"/>
      <c r="AZ257" s="120">
        <f>COUNTIF(U257:AY257,"A")</f>
      </c>
      <c r="BA257" s="121">
        <f>COUNTIF(U257:AY257,"F")</f>
      </c>
      <c r="BB257" s="119">
        <f>COUNTIF(U257:AY257,"E")</f>
      </c>
    </row>
    <row r="258" spans="1:54" x14ac:dyDescent="0.2">
      <c r="A258" s="84"/>
      <c r="B258" s="85"/>
      <c r="C258" s="85"/>
      <c r="D258" s="85"/>
      <c r="E258" s="86"/>
      <c r="F258" s="16">
        <f>IF(E258="","",DATEDIF(E258,$I$7,"Y"))</f>
      </c>
      <c r="G258" s="85"/>
      <c r="H258" s="85"/>
      <c r="I258" s="87"/>
      <c r="J258" s="85"/>
      <c r="K258" s="85"/>
      <c r="L258" s="10"/>
      <c r="M258" s="10"/>
      <c r="N258" s="10"/>
      <c r="O258" s="10"/>
      <c r="P258" s="85"/>
      <c r="Q258" s="88"/>
      <c r="R258" s="3">
        <f>IFERROR(VLOOKUP(TablaJulio[[#This Row],[BARRIO]],SECTOR!$A:$B,2,0),"")</f>
      </c>
      <c r="S258" s="89"/>
      <c r="T258" s="90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6"/>
      <c r="AZ258" s="120">
        <f>COUNTIF(U258:AY258,"A")</f>
      </c>
      <c r="BA258" s="121">
        <f>COUNTIF(U258:AY258,"F")</f>
      </c>
      <c r="BB258" s="119">
        <f>COUNTIF(U258:AY258,"E")</f>
      </c>
    </row>
    <row r="259" spans="1:54" x14ac:dyDescent="0.2">
      <c r="A259" s="84"/>
      <c r="B259" s="85"/>
      <c r="C259" s="85"/>
      <c r="D259" s="85"/>
      <c r="E259" s="86"/>
      <c r="F259" s="16">
        <f>IF(E259="","",DATEDIF(E259,$I$7,"Y"))</f>
      </c>
      <c r="G259" s="85"/>
      <c r="H259" s="85"/>
      <c r="I259" s="87"/>
      <c r="J259" s="85"/>
      <c r="K259" s="85"/>
      <c r="L259" s="10"/>
      <c r="M259" s="10"/>
      <c r="N259" s="10"/>
      <c r="O259" s="10"/>
      <c r="P259" s="85"/>
      <c r="Q259" s="88"/>
      <c r="R259" s="3">
        <f>IFERROR(VLOOKUP(TablaJulio[[#This Row],[BARRIO]],SECTOR!$A:$B,2,0),"")</f>
      </c>
      <c r="S259" s="89"/>
      <c r="T259" s="90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6"/>
      <c r="AZ259" s="120">
        <f>COUNTIF(U259:AY259,"A")</f>
      </c>
      <c r="BA259" s="121">
        <f>COUNTIF(U259:AY259,"F")</f>
      </c>
      <c r="BB259" s="119">
        <f>COUNTIF(U259:AY259,"E")</f>
      </c>
    </row>
    <row r="260" spans="1:54" x14ac:dyDescent="0.2">
      <c r="A260" s="84"/>
      <c r="B260" s="85"/>
      <c r="C260" s="85"/>
      <c r="D260" s="85"/>
      <c r="E260" s="86"/>
      <c r="F260" s="16">
        <f>IF(E260="","",DATEDIF(E260,$I$7,"Y"))</f>
      </c>
      <c r="G260" s="85"/>
      <c r="H260" s="85"/>
      <c r="I260" s="87"/>
      <c r="J260" s="85"/>
      <c r="K260" s="85"/>
      <c r="L260" s="10"/>
      <c r="M260" s="10"/>
      <c r="N260" s="10"/>
      <c r="O260" s="10"/>
      <c r="P260" s="85"/>
      <c r="Q260" s="88"/>
      <c r="R260" s="3">
        <f>IFERROR(VLOOKUP(TablaJulio[[#This Row],[BARRIO]],SECTOR!$A:$B,2,0),"")</f>
      </c>
      <c r="S260" s="89"/>
      <c r="T260" s="90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6"/>
      <c r="AZ260" s="120">
        <f>COUNTIF(U260:AY260,"A")</f>
      </c>
      <c r="BA260" s="121">
        <f>COUNTIF(U260:AY260,"F")</f>
      </c>
      <c r="BB260" s="119">
        <f>COUNTIF(U260:AY260,"E")</f>
      </c>
    </row>
    <row r="261" spans="1:54" x14ac:dyDescent="0.2">
      <c r="A261" s="84"/>
      <c r="B261" s="85"/>
      <c r="C261" s="85"/>
      <c r="D261" s="85"/>
      <c r="E261" s="86"/>
      <c r="F261" s="16">
        <f>IF(E261="","",DATEDIF(E261,$I$7,"Y"))</f>
      </c>
      <c r="G261" s="85"/>
      <c r="H261" s="85"/>
      <c r="I261" s="87"/>
      <c r="J261" s="85"/>
      <c r="K261" s="85"/>
      <c r="L261" s="10"/>
      <c r="M261" s="10"/>
      <c r="N261" s="10"/>
      <c r="O261" s="10"/>
      <c r="P261" s="85"/>
      <c r="Q261" s="88"/>
      <c r="R261" s="3">
        <f>IFERROR(VLOOKUP(TablaJulio[[#This Row],[BARRIO]],SECTOR!$A:$B,2,0),"")</f>
      </c>
      <c r="S261" s="89"/>
      <c r="T261" s="90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6"/>
      <c r="AZ261" s="120">
        <f>COUNTIF(U261:AY261,"A")</f>
      </c>
      <c r="BA261" s="121">
        <f>COUNTIF(U261:AY261,"F")</f>
      </c>
      <c r="BB261" s="119">
        <f>COUNTIF(U261:AY261,"E")</f>
      </c>
    </row>
    <row r="262" spans="1:54" x14ac:dyDescent="0.2">
      <c r="A262" s="84"/>
      <c r="B262" s="85"/>
      <c r="C262" s="85"/>
      <c r="D262" s="85"/>
      <c r="E262" s="86"/>
      <c r="F262" s="16">
        <f>IF(E262="","",DATEDIF(E262,$I$7,"Y"))</f>
      </c>
      <c r="G262" s="85"/>
      <c r="H262" s="85"/>
      <c r="I262" s="87"/>
      <c r="J262" s="85"/>
      <c r="K262" s="85"/>
      <c r="L262" s="10"/>
      <c r="M262" s="10"/>
      <c r="N262" s="10"/>
      <c r="O262" s="10"/>
      <c r="P262" s="85"/>
      <c r="Q262" s="88"/>
      <c r="R262" s="3">
        <f>IFERROR(VLOOKUP(TablaJulio[[#This Row],[BARRIO]],SECTOR!$A:$B,2,0),"")</f>
      </c>
      <c r="S262" s="89"/>
      <c r="T262" s="90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6"/>
      <c r="AZ262" s="120">
        <f>COUNTIF(U262:AY262,"A")</f>
      </c>
      <c r="BA262" s="121">
        <f>COUNTIF(U262:AY262,"F")</f>
      </c>
      <c r="BB262" s="119">
        <f>COUNTIF(U262:AY262,"E")</f>
      </c>
    </row>
    <row r="263" spans="1:54" x14ac:dyDescent="0.2">
      <c r="A263" s="84"/>
      <c r="B263" s="85"/>
      <c r="C263" s="85"/>
      <c r="D263" s="85"/>
      <c r="E263" s="86"/>
      <c r="F263" s="16">
        <f>IF(E263="","",DATEDIF(E263,$I$7,"Y"))</f>
      </c>
      <c r="G263" s="85"/>
      <c r="H263" s="85"/>
      <c r="I263" s="87"/>
      <c r="J263" s="85"/>
      <c r="K263" s="85"/>
      <c r="L263" s="10"/>
      <c r="M263" s="10"/>
      <c r="N263" s="10"/>
      <c r="O263" s="10"/>
      <c r="P263" s="85"/>
      <c r="Q263" s="88"/>
      <c r="R263" s="3">
        <f>IFERROR(VLOOKUP(TablaJulio[[#This Row],[BARRIO]],SECTOR!$A:$B,2,0),"")</f>
      </c>
      <c r="S263" s="89"/>
      <c r="T263" s="90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6"/>
      <c r="AZ263" s="120">
        <f>COUNTIF(U263:AY263,"A")</f>
      </c>
      <c r="BA263" s="121">
        <f>COUNTIF(U263:AY263,"F")</f>
      </c>
      <c r="BB263" s="119">
        <f>COUNTIF(U263:AY263,"E")</f>
      </c>
    </row>
    <row r="264" spans="1:54" x14ac:dyDescent="0.2">
      <c r="A264" s="84"/>
      <c r="B264" s="85"/>
      <c r="C264" s="85"/>
      <c r="D264" s="85"/>
      <c r="E264" s="86"/>
      <c r="F264" s="16">
        <f>IF(E264="","",DATEDIF(E264,$I$7,"Y"))</f>
      </c>
      <c r="G264" s="85"/>
      <c r="H264" s="85"/>
      <c r="I264" s="87"/>
      <c r="J264" s="85"/>
      <c r="K264" s="85"/>
      <c r="L264" s="10"/>
      <c r="M264" s="10"/>
      <c r="N264" s="10"/>
      <c r="O264" s="10"/>
      <c r="P264" s="85"/>
      <c r="Q264" s="88"/>
      <c r="R264" s="3">
        <f>IFERROR(VLOOKUP(TablaJulio[[#This Row],[BARRIO]],SECTOR!$A:$B,2,0),"")</f>
      </c>
      <c r="S264" s="89"/>
      <c r="T264" s="90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6"/>
      <c r="AZ264" s="120">
        <f>COUNTIF(U264:AY264,"A")</f>
      </c>
      <c r="BA264" s="121">
        <f>COUNTIF(U264:AY264,"F")</f>
      </c>
      <c r="BB264" s="119">
        <f>COUNTIF(U264:AY264,"E")</f>
      </c>
    </row>
    <row r="265" spans="1:54" x14ac:dyDescent="0.2">
      <c r="A265" s="84"/>
      <c r="B265" s="85"/>
      <c r="C265" s="85"/>
      <c r="D265" s="85"/>
      <c r="E265" s="86"/>
      <c r="F265" s="16">
        <f>IF(E265="","",DATEDIF(E265,$I$7,"Y"))</f>
      </c>
      <c r="G265" s="85"/>
      <c r="H265" s="85"/>
      <c r="I265" s="87"/>
      <c r="J265" s="85"/>
      <c r="K265" s="85"/>
      <c r="L265" s="10"/>
      <c r="M265" s="10"/>
      <c r="N265" s="10"/>
      <c r="O265" s="10"/>
      <c r="P265" s="85"/>
      <c r="Q265" s="88"/>
      <c r="R265" s="3">
        <f>IFERROR(VLOOKUP(TablaJulio[[#This Row],[BARRIO]],SECTOR!$A:$B,2,0),"")</f>
      </c>
      <c r="S265" s="89"/>
      <c r="T265" s="90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6"/>
      <c r="AZ265" s="120">
        <f>COUNTIF(U265:AY265,"A")</f>
      </c>
      <c r="BA265" s="121">
        <f>COUNTIF(U265:AY265,"F")</f>
      </c>
      <c r="BB265" s="119">
        <f>COUNTIF(U265:AY265,"E")</f>
      </c>
    </row>
    <row r="266" spans="1:54" x14ac:dyDescent="0.2">
      <c r="A266" s="84"/>
      <c r="B266" s="85"/>
      <c r="C266" s="85"/>
      <c r="D266" s="85"/>
      <c r="E266" s="86"/>
      <c r="F266" s="16">
        <f>IF(E266="","",DATEDIF(E266,$I$7,"Y"))</f>
      </c>
      <c r="G266" s="85"/>
      <c r="H266" s="85"/>
      <c r="I266" s="87"/>
      <c r="J266" s="85"/>
      <c r="K266" s="85"/>
      <c r="L266" s="10"/>
      <c r="M266" s="10"/>
      <c r="N266" s="10"/>
      <c r="O266" s="10"/>
      <c r="P266" s="85"/>
      <c r="Q266" s="88"/>
      <c r="R266" s="3">
        <f>IFERROR(VLOOKUP(TablaJulio[[#This Row],[BARRIO]],SECTOR!$A:$B,2,0),"")</f>
      </c>
      <c r="S266" s="89"/>
      <c r="T266" s="90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6"/>
      <c r="AZ266" s="120">
        <f>COUNTIF(U266:AY266,"A")</f>
      </c>
      <c r="BA266" s="121">
        <f>COUNTIF(U266:AY266,"F")</f>
      </c>
      <c r="BB266" s="119">
        <f>COUNTIF(U266:AY266,"E")</f>
      </c>
    </row>
    <row r="267" spans="1:54" x14ac:dyDescent="0.2">
      <c r="A267" s="84"/>
      <c r="B267" s="85"/>
      <c r="C267" s="85"/>
      <c r="D267" s="85"/>
      <c r="E267" s="86"/>
      <c r="F267" s="16">
        <f>IF(E267="","",DATEDIF(E267,$I$7,"Y"))</f>
      </c>
      <c r="G267" s="85"/>
      <c r="H267" s="85"/>
      <c r="I267" s="87"/>
      <c r="J267" s="85"/>
      <c r="K267" s="85"/>
      <c r="L267" s="10"/>
      <c r="M267" s="10"/>
      <c r="N267" s="10"/>
      <c r="O267" s="10"/>
      <c r="P267" s="85"/>
      <c r="Q267" s="88"/>
      <c r="R267" s="3">
        <f>IFERROR(VLOOKUP(TablaJulio[[#This Row],[BARRIO]],SECTOR!$A:$B,2,0),"")</f>
      </c>
      <c r="S267" s="89"/>
      <c r="T267" s="90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6"/>
      <c r="AZ267" s="120">
        <f>COUNTIF(U267:AY267,"A")</f>
      </c>
      <c r="BA267" s="121">
        <f>COUNTIF(U267:AY267,"F")</f>
      </c>
      <c r="BB267" s="119">
        <f>COUNTIF(U267:AY267,"E")</f>
      </c>
    </row>
    <row r="268" spans="1:54" x14ac:dyDescent="0.2">
      <c r="A268" s="84"/>
      <c r="B268" s="85"/>
      <c r="C268" s="85"/>
      <c r="D268" s="85"/>
      <c r="E268" s="86"/>
      <c r="F268" s="16">
        <f>IF(E268="","",DATEDIF(E268,$I$7,"Y"))</f>
      </c>
      <c r="G268" s="85"/>
      <c r="H268" s="85"/>
      <c r="I268" s="87"/>
      <c r="J268" s="85"/>
      <c r="K268" s="85"/>
      <c r="L268" s="10"/>
      <c r="M268" s="10"/>
      <c r="N268" s="10"/>
      <c r="O268" s="10"/>
      <c r="P268" s="85"/>
      <c r="Q268" s="88"/>
      <c r="R268" s="3">
        <f>IFERROR(VLOOKUP(TablaJulio[[#This Row],[BARRIO]],SECTOR!$A:$B,2,0),"")</f>
      </c>
      <c r="S268" s="89"/>
      <c r="T268" s="90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6"/>
      <c r="AZ268" s="120">
        <f>COUNTIF(U268:AY268,"A")</f>
      </c>
      <c r="BA268" s="121">
        <f>COUNTIF(U268:AY268,"F")</f>
      </c>
      <c r="BB268" s="119">
        <f>COUNTIF(U268:AY268,"E")</f>
      </c>
    </row>
    <row r="269" spans="1:54" x14ac:dyDescent="0.2">
      <c r="A269" s="84"/>
      <c r="B269" s="85"/>
      <c r="C269" s="85"/>
      <c r="D269" s="85"/>
      <c r="E269" s="86"/>
      <c r="F269" s="16">
        <f>IF(E269="","",DATEDIF(E269,$I$7,"Y"))</f>
      </c>
      <c r="G269" s="85"/>
      <c r="H269" s="85"/>
      <c r="I269" s="87"/>
      <c r="J269" s="85"/>
      <c r="K269" s="85"/>
      <c r="L269" s="10"/>
      <c r="M269" s="10"/>
      <c r="N269" s="10"/>
      <c r="O269" s="10"/>
      <c r="P269" s="85"/>
      <c r="Q269" s="88"/>
      <c r="R269" s="3">
        <f>IFERROR(VLOOKUP(TablaJulio[[#This Row],[BARRIO]],SECTOR!$A:$B,2,0),"")</f>
      </c>
      <c r="S269" s="89"/>
      <c r="T269" s="90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6"/>
      <c r="AZ269" s="120">
        <f>COUNTIF(U269:AY269,"A")</f>
      </c>
      <c r="BA269" s="121">
        <f>COUNTIF(U269:AY269,"F")</f>
      </c>
      <c r="BB269" s="119">
        <f>COUNTIF(U269:AY269,"E")</f>
      </c>
    </row>
    <row r="270" spans="1:54" x14ac:dyDescent="0.2">
      <c r="A270" s="84"/>
      <c r="B270" s="85"/>
      <c r="C270" s="85"/>
      <c r="D270" s="85"/>
      <c r="E270" s="86"/>
      <c r="F270" s="16">
        <f>IF(E270="","",DATEDIF(E270,$I$7,"Y"))</f>
      </c>
      <c r="G270" s="85"/>
      <c r="H270" s="85"/>
      <c r="I270" s="87"/>
      <c r="J270" s="85"/>
      <c r="K270" s="85"/>
      <c r="L270" s="10"/>
      <c r="M270" s="10"/>
      <c r="N270" s="10"/>
      <c r="O270" s="10"/>
      <c r="P270" s="85"/>
      <c r="Q270" s="88"/>
      <c r="R270" s="3">
        <f>IFERROR(VLOOKUP(TablaJulio[[#This Row],[BARRIO]],SECTOR!$A:$B,2,0),"")</f>
      </c>
      <c r="S270" s="89"/>
      <c r="T270" s="90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6"/>
      <c r="AZ270" s="120">
        <f>COUNTIF(U270:AY270,"A")</f>
      </c>
      <c r="BA270" s="121">
        <f>COUNTIF(U270:AY270,"F")</f>
      </c>
      <c r="BB270" s="119">
        <f>COUNTIF(U270:AY270,"E")</f>
      </c>
    </row>
    <row r="271" spans="1:54" x14ac:dyDescent="0.2">
      <c r="A271" s="84"/>
      <c r="B271" s="85"/>
      <c r="C271" s="85"/>
      <c r="D271" s="85"/>
      <c r="E271" s="86"/>
      <c r="F271" s="16">
        <f>IF(E271="","",DATEDIF(E271,$I$7,"Y"))</f>
      </c>
      <c r="G271" s="85"/>
      <c r="H271" s="85"/>
      <c r="I271" s="87"/>
      <c r="J271" s="85"/>
      <c r="K271" s="85"/>
      <c r="L271" s="10"/>
      <c r="M271" s="10"/>
      <c r="N271" s="10"/>
      <c r="O271" s="10"/>
      <c r="P271" s="85"/>
      <c r="Q271" s="88"/>
      <c r="R271" s="3">
        <f>IFERROR(VLOOKUP(TablaJulio[[#This Row],[BARRIO]],SECTOR!$A:$B,2,0),"")</f>
      </c>
      <c r="S271" s="89"/>
      <c r="T271" s="90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6"/>
      <c r="AZ271" s="120">
        <f>COUNTIF(U271:AY271,"A")</f>
      </c>
      <c r="BA271" s="121">
        <f>COUNTIF(U271:AY271,"F")</f>
      </c>
      <c r="BB271" s="119">
        <f>COUNTIF(U271:AY271,"E")</f>
      </c>
    </row>
    <row r="272" spans="1:54" x14ac:dyDescent="0.2">
      <c r="A272" s="84"/>
      <c r="B272" s="85"/>
      <c r="C272" s="85"/>
      <c r="D272" s="85"/>
      <c r="E272" s="86"/>
      <c r="F272" s="16">
        <f>IF(E272="","",DATEDIF(E272,$I$7,"Y"))</f>
      </c>
      <c r="G272" s="85"/>
      <c r="H272" s="85"/>
      <c r="I272" s="87"/>
      <c r="J272" s="85"/>
      <c r="K272" s="85"/>
      <c r="L272" s="10"/>
      <c r="M272" s="10"/>
      <c r="N272" s="10"/>
      <c r="O272" s="10"/>
      <c r="P272" s="85"/>
      <c r="Q272" s="88"/>
      <c r="R272" s="3">
        <f>IFERROR(VLOOKUP(TablaJulio[[#This Row],[BARRIO]],SECTOR!$A:$B,2,0),"")</f>
      </c>
      <c r="S272" s="89"/>
      <c r="T272" s="90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6"/>
      <c r="AZ272" s="120">
        <f>COUNTIF(U272:AY272,"A")</f>
      </c>
      <c r="BA272" s="121">
        <f>COUNTIF(U272:AY272,"F")</f>
      </c>
      <c r="BB272" s="119">
        <f>COUNTIF(U272:AY272,"E")</f>
      </c>
    </row>
    <row r="273" spans="1:54" x14ac:dyDescent="0.2">
      <c r="A273" s="84"/>
      <c r="B273" s="85"/>
      <c r="C273" s="85"/>
      <c r="D273" s="85"/>
      <c r="E273" s="86"/>
      <c r="F273" s="16">
        <f>IF(E273="","",DATEDIF(E273,$I$7,"Y"))</f>
      </c>
      <c r="G273" s="85"/>
      <c r="H273" s="85"/>
      <c r="I273" s="87"/>
      <c r="J273" s="85"/>
      <c r="K273" s="85"/>
      <c r="L273" s="10"/>
      <c r="M273" s="10"/>
      <c r="N273" s="10"/>
      <c r="O273" s="10"/>
      <c r="P273" s="85"/>
      <c r="Q273" s="88"/>
      <c r="R273" s="3">
        <f>IFERROR(VLOOKUP(TablaJulio[[#This Row],[BARRIO]],SECTOR!$A:$B,2,0),"")</f>
      </c>
      <c r="S273" s="89"/>
      <c r="T273" s="90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6"/>
      <c r="AZ273" s="120">
        <f>COUNTIF(U273:AY273,"A")</f>
      </c>
      <c r="BA273" s="121">
        <f>COUNTIF(U273:AY273,"F")</f>
      </c>
      <c r="BB273" s="119">
        <f>COUNTIF(U273:AY273,"E")</f>
      </c>
    </row>
    <row r="274" spans="1:54" x14ac:dyDescent="0.2">
      <c r="A274" s="84"/>
      <c r="B274" s="85"/>
      <c r="C274" s="85"/>
      <c r="D274" s="85"/>
      <c r="E274" s="86"/>
      <c r="F274" s="16">
        <f>IF(E274="","",DATEDIF(E274,$I$7,"Y"))</f>
      </c>
      <c r="G274" s="85"/>
      <c r="H274" s="85"/>
      <c r="I274" s="87"/>
      <c r="J274" s="85"/>
      <c r="K274" s="85"/>
      <c r="L274" s="10"/>
      <c r="M274" s="10"/>
      <c r="N274" s="10"/>
      <c r="O274" s="10"/>
      <c r="P274" s="85"/>
      <c r="Q274" s="88"/>
      <c r="R274" s="3">
        <f>IFERROR(VLOOKUP(TablaJulio[[#This Row],[BARRIO]],SECTOR!$A:$B,2,0),"")</f>
      </c>
      <c r="S274" s="89"/>
      <c r="T274" s="90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6"/>
      <c r="AZ274" s="120">
        <f>COUNTIF(U274:AY274,"A")</f>
      </c>
      <c r="BA274" s="121">
        <f>COUNTIF(U274:AY274,"F")</f>
      </c>
      <c r="BB274" s="119">
        <f>COUNTIF(U274:AY274,"E")</f>
      </c>
    </row>
    <row r="275" spans="1:54" x14ac:dyDescent="0.2">
      <c r="A275" s="84"/>
      <c r="B275" s="85"/>
      <c r="C275" s="85"/>
      <c r="D275" s="85"/>
      <c r="E275" s="86"/>
      <c r="F275" s="16">
        <f>IF(E275="","",DATEDIF(E275,$I$7,"Y"))</f>
      </c>
      <c r="G275" s="85"/>
      <c r="H275" s="85"/>
      <c r="I275" s="87"/>
      <c r="J275" s="85"/>
      <c r="K275" s="85"/>
      <c r="L275" s="10"/>
      <c r="M275" s="10"/>
      <c r="N275" s="10"/>
      <c r="O275" s="10"/>
      <c r="P275" s="85"/>
      <c r="Q275" s="88"/>
      <c r="R275" s="3">
        <f>IFERROR(VLOOKUP(TablaJulio[[#This Row],[BARRIO]],SECTOR!$A:$B,2,0),"")</f>
      </c>
      <c r="S275" s="89"/>
      <c r="T275" s="90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6"/>
      <c r="AZ275" s="120">
        <f>COUNTIF(U275:AY275,"A")</f>
      </c>
      <c r="BA275" s="121">
        <f>COUNTIF(U275:AY275,"F")</f>
      </c>
      <c r="BB275" s="119">
        <f>COUNTIF(U275:AY275,"E")</f>
      </c>
    </row>
    <row r="276" spans="1:54" x14ac:dyDescent="0.2">
      <c r="A276" s="84"/>
      <c r="B276" s="85"/>
      <c r="C276" s="85"/>
      <c r="D276" s="85"/>
      <c r="E276" s="86"/>
      <c r="F276" s="16">
        <f>IF(E276="","",DATEDIF(E276,$I$7,"Y"))</f>
      </c>
      <c r="G276" s="85"/>
      <c r="H276" s="85"/>
      <c r="I276" s="87"/>
      <c r="J276" s="85"/>
      <c r="K276" s="85"/>
      <c r="L276" s="10"/>
      <c r="M276" s="10"/>
      <c r="N276" s="10"/>
      <c r="O276" s="10"/>
      <c r="P276" s="85"/>
      <c r="Q276" s="88"/>
      <c r="R276" s="3">
        <f>IFERROR(VLOOKUP(TablaJulio[[#This Row],[BARRIO]],SECTOR!$A:$B,2,0),"")</f>
      </c>
      <c r="S276" s="89"/>
      <c r="T276" s="90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6"/>
      <c r="AZ276" s="120">
        <f>COUNTIF(U276:AY276,"A")</f>
      </c>
      <c r="BA276" s="121">
        <f>COUNTIF(U276:AY276,"F")</f>
      </c>
      <c r="BB276" s="119">
        <f>COUNTIF(U276:AY276,"E")</f>
      </c>
    </row>
    <row r="277" spans="1:54" x14ac:dyDescent="0.2">
      <c r="A277" s="84"/>
      <c r="B277" s="85"/>
      <c r="C277" s="85"/>
      <c r="D277" s="85"/>
      <c r="E277" s="86"/>
      <c r="F277" s="16">
        <f>IF(E277="","",DATEDIF(E277,$I$7,"Y"))</f>
      </c>
      <c r="G277" s="85"/>
      <c r="H277" s="85"/>
      <c r="I277" s="87"/>
      <c r="J277" s="85"/>
      <c r="K277" s="85"/>
      <c r="L277" s="10"/>
      <c r="M277" s="10"/>
      <c r="N277" s="10"/>
      <c r="O277" s="10"/>
      <c r="P277" s="85"/>
      <c r="Q277" s="88"/>
      <c r="R277" s="3">
        <f>IFERROR(VLOOKUP(TablaJulio[[#This Row],[BARRIO]],SECTOR!$A:$B,2,0),"")</f>
      </c>
      <c r="S277" s="89"/>
      <c r="T277" s="90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6"/>
      <c r="AZ277" s="120">
        <f>COUNTIF(U277:AY277,"A")</f>
      </c>
      <c r="BA277" s="121">
        <f>COUNTIF(U277:AY277,"F")</f>
      </c>
      <c r="BB277" s="119">
        <f>COUNTIF(U277:AY277,"E")</f>
      </c>
    </row>
    <row r="278" spans="1:54" x14ac:dyDescent="0.2">
      <c r="A278" s="84"/>
      <c r="B278" s="85"/>
      <c r="C278" s="85"/>
      <c r="D278" s="85"/>
      <c r="E278" s="86"/>
      <c r="F278" s="16">
        <f>IF(E278="","",DATEDIF(E278,$I$7,"Y"))</f>
      </c>
      <c r="G278" s="85"/>
      <c r="H278" s="85"/>
      <c r="I278" s="87"/>
      <c r="J278" s="85"/>
      <c r="K278" s="85"/>
      <c r="L278" s="10"/>
      <c r="M278" s="10"/>
      <c r="N278" s="10"/>
      <c r="O278" s="10"/>
      <c r="P278" s="85"/>
      <c r="Q278" s="88"/>
      <c r="R278" s="3">
        <f>IFERROR(VLOOKUP(TablaJulio[[#This Row],[BARRIO]],SECTOR!$A:$B,2,0),"")</f>
      </c>
      <c r="S278" s="89"/>
      <c r="T278" s="90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6"/>
      <c r="AZ278" s="120">
        <f>COUNTIF(U278:AY278,"A")</f>
      </c>
      <c r="BA278" s="121">
        <f>COUNTIF(U278:AY278,"F")</f>
      </c>
      <c r="BB278" s="119">
        <f>COUNTIF(U278:AY278,"E")</f>
      </c>
    </row>
    <row r="279" spans="1:54" x14ac:dyDescent="0.2">
      <c r="A279" s="84"/>
      <c r="B279" s="85"/>
      <c r="C279" s="85"/>
      <c r="D279" s="85"/>
      <c r="E279" s="86"/>
      <c r="F279" s="16">
        <f>IF(E279="","",DATEDIF(E279,$I$7,"Y"))</f>
      </c>
      <c r="G279" s="85"/>
      <c r="H279" s="85"/>
      <c r="I279" s="87"/>
      <c r="J279" s="85"/>
      <c r="K279" s="85"/>
      <c r="L279" s="10"/>
      <c r="M279" s="10"/>
      <c r="N279" s="10"/>
      <c r="O279" s="10"/>
      <c r="P279" s="85"/>
      <c r="Q279" s="88"/>
      <c r="R279" s="3">
        <f>IFERROR(VLOOKUP(TablaJulio[[#This Row],[BARRIO]],SECTOR!$A:$B,2,0),"")</f>
      </c>
      <c r="S279" s="89"/>
      <c r="T279" s="90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6"/>
      <c r="AZ279" s="120">
        <f>COUNTIF(U279:AY279,"A")</f>
      </c>
      <c r="BA279" s="121">
        <f>COUNTIF(U279:AY279,"F")</f>
      </c>
      <c r="BB279" s="119">
        <f>COUNTIF(U279:AY279,"E")</f>
      </c>
    </row>
    <row r="280" spans="1:54" x14ac:dyDescent="0.2">
      <c r="A280" s="84"/>
      <c r="B280" s="85"/>
      <c r="C280" s="85"/>
      <c r="D280" s="85"/>
      <c r="E280" s="86"/>
      <c r="F280" s="16">
        <f>IF(E280="","",DATEDIF(E280,$I$7,"Y"))</f>
      </c>
      <c r="G280" s="85"/>
      <c r="H280" s="85"/>
      <c r="I280" s="87"/>
      <c r="J280" s="85"/>
      <c r="K280" s="85"/>
      <c r="L280" s="10"/>
      <c r="M280" s="10"/>
      <c r="N280" s="10"/>
      <c r="O280" s="10"/>
      <c r="P280" s="85"/>
      <c r="Q280" s="88"/>
      <c r="R280" s="3">
        <f>IFERROR(VLOOKUP(TablaJulio[[#This Row],[BARRIO]],SECTOR!$A:$B,2,0),"")</f>
      </c>
      <c r="S280" s="89"/>
      <c r="T280" s="90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6"/>
      <c r="AZ280" s="120">
        <f>COUNTIF(U280:AY280,"A")</f>
      </c>
      <c r="BA280" s="121">
        <f>COUNTIF(U280:AY280,"F")</f>
      </c>
      <c r="BB280" s="119">
        <f>COUNTIF(U280:AY280,"E")</f>
      </c>
    </row>
    <row r="281" spans="1:54" x14ac:dyDescent="0.2">
      <c r="A281" s="84"/>
      <c r="B281" s="85"/>
      <c r="C281" s="85"/>
      <c r="D281" s="85"/>
      <c r="E281" s="86"/>
      <c r="F281" s="16">
        <f>IF(E281="","",DATEDIF(E281,$I$7,"Y"))</f>
      </c>
      <c r="G281" s="85"/>
      <c r="H281" s="85"/>
      <c r="I281" s="87"/>
      <c r="J281" s="85"/>
      <c r="K281" s="85"/>
      <c r="L281" s="10"/>
      <c r="M281" s="10"/>
      <c r="N281" s="10"/>
      <c r="O281" s="10"/>
      <c r="P281" s="85"/>
      <c r="Q281" s="88"/>
      <c r="R281" s="3">
        <f>IFERROR(VLOOKUP(TablaJulio[[#This Row],[BARRIO]],SECTOR!$A:$B,2,0),"")</f>
      </c>
      <c r="S281" s="89"/>
      <c r="T281" s="90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6"/>
      <c r="AZ281" s="120">
        <f>COUNTIF(U281:AY281,"A")</f>
      </c>
      <c r="BA281" s="121">
        <f>COUNTIF(U281:AY281,"F")</f>
      </c>
      <c r="BB281" s="119">
        <f>COUNTIF(U281:AY281,"E")</f>
      </c>
    </row>
    <row r="282" spans="1:54" x14ac:dyDescent="0.2">
      <c r="A282" s="84"/>
      <c r="B282" s="85"/>
      <c r="C282" s="85"/>
      <c r="D282" s="85"/>
      <c r="E282" s="86"/>
      <c r="F282" s="16">
        <f>IF(E282="","",DATEDIF(E282,$I$7,"Y"))</f>
      </c>
      <c r="G282" s="85"/>
      <c r="H282" s="85"/>
      <c r="I282" s="87"/>
      <c r="J282" s="85"/>
      <c r="K282" s="85"/>
      <c r="L282" s="10"/>
      <c r="M282" s="10"/>
      <c r="N282" s="10"/>
      <c r="O282" s="10"/>
      <c r="P282" s="85"/>
      <c r="Q282" s="88"/>
      <c r="R282" s="3">
        <f>IFERROR(VLOOKUP(TablaJulio[[#This Row],[BARRIO]],SECTOR!$A:$B,2,0),"")</f>
      </c>
      <c r="S282" s="89"/>
      <c r="T282" s="90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6"/>
      <c r="AZ282" s="120">
        <f>COUNTIF(U282:AY282,"A")</f>
      </c>
      <c r="BA282" s="121">
        <f>COUNTIF(U282:AY282,"F")</f>
      </c>
      <c r="BB282" s="119">
        <f>COUNTIF(U282:AY282,"E")</f>
      </c>
    </row>
    <row r="283" spans="1:54" x14ac:dyDescent="0.2">
      <c r="A283" s="84"/>
      <c r="B283" s="85"/>
      <c r="C283" s="85"/>
      <c r="D283" s="85"/>
      <c r="E283" s="86"/>
      <c r="F283" s="16">
        <f>IF(E283="","",DATEDIF(E283,$I$7,"Y"))</f>
      </c>
      <c r="G283" s="85"/>
      <c r="H283" s="85"/>
      <c r="I283" s="87"/>
      <c r="J283" s="85"/>
      <c r="K283" s="85"/>
      <c r="L283" s="10"/>
      <c r="M283" s="10"/>
      <c r="N283" s="10"/>
      <c r="O283" s="10"/>
      <c r="P283" s="85"/>
      <c r="Q283" s="88"/>
      <c r="R283" s="3">
        <f>IFERROR(VLOOKUP(TablaJulio[[#This Row],[BARRIO]],SECTOR!$A:$B,2,0),"")</f>
      </c>
      <c r="S283" s="89"/>
      <c r="T283" s="90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6"/>
      <c r="AZ283" s="120">
        <f>COUNTIF(U283:AY283,"A")</f>
      </c>
      <c r="BA283" s="121">
        <f>COUNTIF(U283:AY283,"F")</f>
      </c>
      <c r="BB283" s="119">
        <f>COUNTIF(U283:AY283,"E")</f>
      </c>
    </row>
    <row r="284" spans="1:54" x14ac:dyDescent="0.2">
      <c r="A284" s="84"/>
      <c r="B284" s="85"/>
      <c r="C284" s="85"/>
      <c r="D284" s="85"/>
      <c r="E284" s="86"/>
      <c r="F284" s="16">
        <f>IF(E284="","",DATEDIF(E284,$I$7,"Y"))</f>
      </c>
      <c r="G284" s="85"/>
      <c r="H284" s="85"/>
      <c r="I284" s="87"/>
      <c r="J284" s="85"/>
      <c r="K284" s="85"/>
      <c r="L284" s="10"/>
      <c r="M284" s="10"/>
      <c r="N284" s="10"/>
      <c r="O284" s="10"/>
      <c r="P284" s="85"/>
      <c r="Q284" s="88"/>
      <c r="R284" s="3">
        <f>IFERROR(VLOOKUP(TablaJulio[[#This Row],[BARRIO]],SECTOR!$A:$B,2,0),"")</f>
      </c>
      <c r="S284" s="89"/>
      <c r="T284" s="90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6"/>
      <c r="AZ284" s="120">
        <f>COUNTIF(U284:AY284,"A")</f>
      </c>
      <c r="BA284" s="121">
        <f>COUNTIF(U284:AY284,"F")</f>
      </c>
      <c r="BB284" s="119">
        <f>COUNTIF(U284:AY284,"E")</f>
      </c>
    </row>
    <row r="285" spans="1:54" x14ac:dyDescent="0.2">
      <c r="A285" s="84"/>
      <c r="B285" s="85"/>
      <c r="C285" s="85"/>
      <c r="D285" s="85"/>
      <c r="E285" s="86"/>
      <c r="F285" s="16">
        <f>IF(E285="","",DATEDIF(E285,$I$7,"Y"))</f>
      </c>
      <c r="G285" s="85"/>
      <c r="H285" s="85"/>
      <c r="I285" s="87"/>
      <c r="J285" s="85"/>
      <c r="K285" s="85"/>
      <c r="L285" s="10"/>
      <c r="M285" s="10"/>
      <c r="N285" s="10"/>
      <c r="O285" s="10"/>
      <c r="P285" s="85"/>
      <c r="Q285" s="88"/>
      <c r="R285" s="3">
        <f>IFERROR(VLOOKUP(TablaJulio[[#This Row],[BARRIO]],SECTOR!$A:$B,2,0),"")</f>
      </c>
      <c r="S285" s="89"/>
      <c r="T285" s="90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6"/>
      <c r="AZ285" s="120">
        <f>COUNTIF(U285:AY285,"A")</f>
      </c>
      <c r="BA285" s="121">
        <f>COUNTIF(U285:AY285,"F")</f>
      </c>
      <c r="BB285" s="119">
        <f>COUNTIF(U285:AY285,"E")</f>
      </c>
    </row>
    <row r="286" spans="1:54" x14ac:dyDescent="0.2">
      <c r="A286" s="84"/>
      <c r="B286" s="85"/>
      <c r="C286" s="85"/>
      <c r="D286" s="85"/>
      <c r="E286" s="86"/>
      <c r="F286" s="16">
        <f>IF(E286="","",DATEDIF(E286,$I$7,"Y"))</f>
      </c>
      <c r="G286" s="85"/>
      <c r="H286" s="85"/>
      <c r="I286" s="87"/>
      <c r="J286" s="85"/>
      <c r="K286" s="85"/>
      <c r="L286" s="10"/>
      <c r="M286" s="10"/>
      <c r="N286" s="10"/>
      <c r="O286" s="10"/>
      <c r="P286" s="85"/>
      <c r="Q286" s="88"/>
      <c r="R286" s="3">
        <f>IFERROR(VLOOKUP(TablaJulio[[#This Row],[BARRIO]],SECTOR!$A:$B,2,0),"")</f>
      </c>
      <c r="S286" s="89"/>
      <c r="T286" s="90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6"/>
      <c r="AZ286" s="120">
        <f>COUNTIF(U286:AY286,"A")</f>
      </c>
      <c r="BA286" s="121">
        <f>COUNTIF(U286:AY286,"F")</f>
      </c>
      <c r="BB286" s="119">
        <f>COUNTIF(U286:AY286,"E")</f>
      </c>
    </row>
    <row r="287" spans="1:54" x14ac:dyDescent="0.2">
      <c r="A287" s="84"/>
      <c r="B287" s="85"/>
      <c r="C287" s="85"/>
      <c r="D287" s="85"/>
      <c r="E287" s="86"/>
      <c r="F287" s="16">
        <f>IF(E287="","",DATEDIF(E287,$I$7,"Y"))</f>
      </c>
      <c r="G287" s="85"/>
      <c r="H287" s="85"/>
      <c r="I287" s="87"/>
      <c r="J287" s="85"/>
      <c r="K287" s="85"/>
      <c r="L287" s="10"/>
      <c r="M287" s="10"/>
      <c r="N287" s="10"/>
      <c r="O287" s="10"/>
      <c r="P287" s="85"/>
      <c r="Q287" s="88"/>
      <c r="R287" s="3">
        <f>IFERROR(VLOOKUP(TablaJulio[[#This Row],[BARRIO]],SECTOR!$A:$B,2,0),"")</f>
      </c>
      <c r="S287" s="89"/>
      <c r="T287" s="90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6"/>
      <c r="AZ287" s="120">
        <f>COUNTIF(U287:AY287,"A")</f>
      </c>
      <c r="BA287" s="121">
        <f>COUNTIF(U287:AY287,"F")</f>
      </c>
      <c r="BB287" s="119">
        <f>COUNTIF(U287:AY287,"E")</f>
      </c>
    </row>
    <row r="288" spans="1:54" x14ac:dyDescent="0.2">
      <c r="A288" s="84"/>
      <c r="B288" s="85"/>
      <c r="C288" s="85"/>
      <c r="D288" s="85"/>
      <c r="E288" s="86"/>
      <c r="F288" s="16">
        <f>IF(E288="","",DATEDIF(E288,$I$7,"Y"))</f>
      </c>
      <c r="G288" s="85"/>
      <c r="H288" s="85"/>
      <c r="I288" s="87"/>
      <c r="J288" s="85"/>
      <c r="K288" s="85"/>
      <c r="L288" s="10"/>
      <c r="M288" s="10"/>
      <c r="N288" s="10"/>
      <c r="O288" s="10"/>
      <c r="P288" s="85"/>
      <c r="Q288" s="88"/>
      <c r="R288" s="3">
        <f>IFERROR(VLOOKUP(TablaJulio[[#This Row],[BARRIO]],SECTOR!$A:$B,2,0),"")</f>
      </c>
      <c r="S288" s="89"/>
      <c r="T288" s="90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6"/>
      <c r="AZ288" s="120">
        <f>COUNTIF(U288:AY288,"A")</f>
      </c>
      <c r="BA288" s="121">
        <f>COUNTIF(U288:AY288,"F")</f>
      </c>
      <c r="BB288" s="119">
        <f>COUNTIF(U288:AY288,"E")</f>
      </c>
    </row>
    <row r="289" spans="1:54" x14ac:dyDescent="0.2">
      <c r="A289" s="84"/>
      <c r="B289" s="85"/>
      <c r="C289" s="85"/>
      <c r="D289" s="85"/>
      <c r="E289" s="86"/>
      <c r="F289" s="16">
        <f>IF(E289="","",DATEDIF(E289,$I$7,"Y"))</f>
      </c>
      <c r="G289" s="85"/>
      <c r="H289" s="85"/>
      <c r="I289" s="87"/>
      <c r="J289" s="85"/>
      <c r="K289" s="85"/>
      <c r="L289" s="10"/>
      <c r="M289" s="10"/>
      <c r="N289" s="10"/>
      <c r="O289" s="10"/>
      <c r="P289" s="85"/>
      <c r="Q289" s="88"/>
      <c r="R289" s="3">
        <f>IFERROR(VLOOKUP(TablaJulio[[#This Row],[BARRIO]],SECTOR!$A:$B,2,0),"")</f>
      </c>
      <c r="S289" s="89"/>
      <c r="T289" s="90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6"/>
      <c r="AZ289" s="120">
        <f>COUNTIF(U289:AY289,"A")</f>
      </c>
      <c r="BA289" s="121">
        <f>COUNTIF(U289:AY289,"F")</f>
      </c>
      <c r="BB289" s="119">
        <f>COUNTIF(U289:AY289,"E")</f>
      </c>
    </row>
    <row r="290" spans="1:54" x14ac:dyDescent="0.2">
      <c r="A290" s="84"/>
      <c r="B290" s="85"/>
      <c r="C290" s="85"/>
      <c r="D290" s="85"/>
      <c r="E290" s="86"/>
      <c r="F290" s="16">
        <f>IF(E290="","",DATEDIF(E290,$I$7,"Y"))</f>
      </c>
      <c r="G290" s="85"/>
      <c r="H290" s="85"/>
      <c r="I290" s="87"/>
      <c r="J290" s="85"/>
      <c r="K290" s="85"/>
      <c r="L290" s="10"/>
      <c r="M290" s="10"/>
      <c r="N290" s="10"/>
      <c r="O290" s="10"/>
      <c r="P290" s="85"/>
      <c r="Q290" s="88"/>
      <c r="R290" s="3">
        <f>IFERROR(VLOOKUP(TablaJulio[[#This Row],[BARRIO]],SECTOR!$A:$B,2,0),"")</f>
      </c>
      <c r="S290" s="89"/>
      <c r="T290" s="90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6"/>
      <c r="AZ290" s="120">
        <f>COUNTIF(U290:AY290,"A")</f>
      </c>
      <c r="BA290" s="121">
        <f>COUNTIF(U290:AY290,"F")</f>
      </c>
      <c r="BB290" s="119">
        <f>COUNTIF(U290:AY290,"E")</f>
      </c>
    </row>
    <row r="291" spans="1:54" x14ac:dyDescent="0.2">
      <c r="A291" s="84"/>
      <c r="B291" s="85"/>
      <c r="C291" s="85"/>
      <c r="D291" s="85"/>
      <c r="E291" s="86"/>
      <c r="F291" s="16">
        <f>IF(E291="","",DATEDIF(E291,$I$7,"Y"))</f>
      </c>
      <c r="G291" s="85"/>
      <c r="H291" s="85"/>
      <c r="I291" s="87"/>
      <c r="J291" s="85"/>
      <c r="K291" s="85"/>
      <c r="L291" s="10"/>
      <c r="M291" s="10"/>
      <c r="N291" s="10"/>
      <c r="O291" s="10"/>
      <c r="P291" s="85"/>
      <c r="Q291" s="88"/>
      <c r="R291" s="3">
        <f>IFERROR(VLOOKUP(TablaJulio[[#This Row],[BARRIO]],SECTOR!$A:$B,2,0),"")</f>
      </c>
      <c r="S291" s="89"/>
      <c r="T291" s="90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6"/>
      <c r="AZ291" s="120">
        <f>COUNTIF(U291:AY291,"A")</f>
      </c>
      <c r="BA291" s="121">
        <f>COUNTIF(U291:AY291,"F")</f>
      </c>
      <c r="BB291" s="119">
        <f>COUNTIF(U291:AY291,"E")</f>
      </c>
    </row>
    <row r="292" spans="1:54" x14ac:dyDescent="0.2">
      <c r="A292" s="84"/>
      <c r="B292" s="85"/>
      <c r="C292" s="85"/>
      <c r="D292" s="85"/>
      <c r="E292" s="86"/>
      <c r="F292" s="16">
        <f>IF(E292="","",DATEDIF(E292,$I$7,"Y"))</f>
      </c>
      <c r="G292" s="85"/>
      <c r="H292" s="85"/>
      <c r="I292" s="87"/>
      <c r="J292" s="85"/>
      <c r="K292" s="85"/>
      <c r="L292" s="10"/>
      <c r="M292" s="10"/>
      <c r="N292" s="10"/>
      <c r="O292" s="10"/>
      <c r="P292" s="85"/>
      <c r="Q292" s="88"/>
      <c r="R292" s="3">
        <f>IFERROR(VLOOKUP(TablaJulio[[#This Row],[BARRIO]],SECTOR!$A:$B,2,0),"")</f>
      </c>
      <c r="S292" s="89"/>
      <c r="T292" s="90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6"/>
      <c r="AZ292" s="120">
        <f>COUNTIF(U292:AY292,"A")</f>
      </c>
      <c r="BA292" s="121">
        <f>COUNTIF(U292:AY292,"F")</f>
      </c>
      <c r="BB292" s="119">
        <f>COUNTIF(U292:AY292,"E")</f>
      </c>
    </row>
    <row r="293" spans="1:54" x14ac:dyDescent="0.2">
      <c r="A293" s="84"/>
      <c r="B293" s="85"/>
      <c r="C293" s="85"/>
      <c r="D293" s="85"/>
      <c r="E293" s="86"/>
      <c r="F293" s="16">
        <f>IF(E293="","",DATEDIF(E293,$I$7,"Y"))</f>
      </c>
      <c r="G293" s="85"/>
      <c r="H293" s="85"/>
      <c r="I293" s="87"/>
      <c r="J293" s="85"/>
      <c r="K293" s="85"/>
      <c r="L293" s="10"/>
      <c r="M293" s="10"/>
      <c r="N293" s="10"/>
      <c r="O293" s="10"/>
      <c r="P293" s="85"/>
      <c r="Q293" s="88"/>
      <c r="R293" s="3">
        <f>IFERROR(VLOOKUP(TablaJulio[[#This Row],[BARRIO]],SECTOR!$A:$B,2,0),"")</f>
      </c>
      <c r="S293" s="89"/>
      <c r="T293" s="90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6"/>
      <c r="AZ293" s="120">
        <f>COUNTIF(U293:AY293,"A")</f>
      </c>
      <c r="BA293" s="121">
        <f>COUNTIF(U293:AY293,"F")</f>
      </c>
      <c r="BB293" s="119">
        <f>COUNTIF(U293:AY293,"E")</f>
      </c>
    </row>
    <row r="294" spans="1:54" x14ac:dyDescent="0.2">
      <c r="A294" s="84"/>
      <c r="B294" s="85"/>
      <c r="C294" s="85"/>
      <c r="D294" s="85"/>
      <c r="E294" s="86"/>
      <c r="F294" s="16">
        <f>IF(E294="","",DATEDIF(E294,$I$7,"Y"))</f>
      </c>
      <c r="G294" s="85"/>
      <c r="H294" s="85"/>
      <c r="I294" s="87"/>
      <c r="J294" s="85"/>
      <c r="K294" s="85"/>
      <c r="L294" s="10"/>
      <c r="M294" s="10"/>
      <c r="N294" s="10"/>
      <c r="O294" s="10"/>
      <c r="P294" s="85"/>
      <c r="Q294" s="88"/>
      <c r="R294" s="3">
        <f>IFERROR(VLOOKUP(TablaJulio[[#This Row],[BARRIO]],SECTOR!$A:$B,2,0),"")</f>
      </c>
      <c r="S294" s="89"/>
      <c r="T294" s="90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6"/>
      <c r="AZ294" s="120">
        <f>COUNTIF(U294:AY294,"A")</f>
      </c>
      <c r="BA294" s="121">
        <f>COUNTIF(U294:AY294,"F")</f>
      </c>
      <c r="BB294" s="119">
        <f>COUNTIF(U294:AY294,"E")</f>
      </c>
    </row>
    <row r="295" spans="1:54" x14ac:dyDescent="0.2">
      <c r="A295" s="84"/>
      <c r="B295" s="85"/>
      <c r="C295" s="85"/>
      <c r="D295" s="85"/>
      <c r="E295" s="86"/>
      <c r="F295" s="16">
        <f>IF(E295="","",DATEDIF(E295,$I$7,"Y"))</f>
      </c>
      <c r="G295" s="85"/>
      <c r="H295" s="85"/>
      <c r="I295" s="87"/>
      <c r="J295" s="85"/>
      <c r="K295" s="85"/>
      <c r="L295" s="10"/>
      <c r="M295" s="10"/>
      <c r="N295" s="10"/>
      <c r="O295" s="10"/>
      <c r="P295" s="85"/>
      <c r="Q295" s="88"/>
      <c r="R295" s="3">
        <f>IFERROR(VLOOKUP(TablaJulio[[#This Row],[BARRIO]],SECTOR!$A:$B,2,0),"")</f>
      </c>
      <c r="S295" s="89"/>
      <c r="T295" s="90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6"/>
      <c r="AZ295" s="120">
        <f>COUNTIF(U295:AY295,"A")</f>
      </c>
      <c r="BA295" s="121">
        <f>COUNTIF(U295:AY295,"F")</f>
      </c>
      <c r="BB295" s="119">
        <f>COUNTIF(U295:AY295,"E")</f>
      </c>
    </row>
    <row r="296" spans="1:54" x14ac:dyDescent="0.2">
      <c r="A296" s="84"/>
      <c r="B296" s="85"/>
      <c r="C296" s="85"/>
      <c r="D296" s="85"/>
      <c r="E296" s="86"/>
      <c r="F296" s="16">
        <f>IF(E296="","",DATEDIF(E296,$I$7,"Y"))</f>
      </c>
      <c r="G296" s="85"/>
      <c r="H296" s="85"/>
      <c r="I296" s="87"/>
      <c r="J296" s="85"/>
      <c r="K296" s="85"/>
      <c r="L296" s="10"/>
      <c r="M296" s="10"/>
      <c r="N296" s="10"/>
      <c r="O296" s="10"/>
      <c r="P296" s="85"/>
      <c r="Q296" s="88"/>
      <c r="R296" s="3">
        <f>IFERROR(VLOOKUP(TablaJulio[[#This Row],[BARRIO]],SECTOR!$A:$B,2,0),"")</f>
      </c>
      <c r="S296" s="89"/>
      <c r="T296" s="90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6"/>
      <c r="AZ296" s="120">
        <f>COUNTIF(U296:AY296,"A")</f>
      </c>
      <c r="BA296" s="121">
        <f>COUNTIF(U296:AY296,"F")</f>
      </c>
      <c r="BB296" s="119">
        <f>COUNTIF(U296:AY296,"E")</f>
      </c>
    </row>
    <row r="297" spans="1:54" x14ac:dyDescent="0.2">
      <c r="A297" s="84"/>
      <c r="B297" s="85"/>
      <c r="C297" s="85"/>
      <c r="D297" s="85"/>
      <c r="E297" s="86"/>
      <c r="F297" s="16">
        <f>IF(E297="","",DATEDIF(E297,$I$7,"Y"))</f>
      </c>
      <c r="G297" s="85"/>
      <c r="H297" s="85"/>
      <c r="I297" s="87"/>
      <c r="J297" s="85"/>
      <c r="K297" s="85"/>
      <c r="L297" s="10"/>
      <c r="M297" s="10"/>
      <c r="N297" s="10"/>
      <c r="O297" s="10"/>
      <c r="P297" s="85"/>
      <c r="Q297" s="88"/>
      <c r="R297" s="3">
        <f>IFERROR(VLOOKUP(TablaJulio[[#This Row],[BARRIO]],SECTOR!$A:$B,2,0),"")</f>
      </c>
      <c r="S297" s="89"/>
      <c r="T297" s="90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6"/>
      <c r="AZ297" s="120">
        <f>COUNTIF(U297:AY297,"A")</f>
      </c>
      <c r="BA297" s="121">
        <f>COUNTIF(U297:AY297,"F")</f>
      </c>
      <c r="BB297" s="119">
        <f>COUNTIF(U297:AY297,"E")</f>
      </c>
    </row>
    <row r="298" spans="1:54" x14ac:dyDescent="0.2">
      <c r="A298" s="84"/>
      <c r="B298" s="85"/>
      <c r="C298" s="85"/>
      <c r="D298" s="85"/>
      <c r="E298" s="86"/>
      <c r="F298" s="16">
        <f>IF(E298="","",DATEDIF(E298,$I$7,"Y"))</f>
      </c>
      <c r="G298" s="85"/>
      <c r="H298" s="85"/>
      <c r="I298" s="87"/>
      <c r="J298" s="85"/>
      <c r="K298" s="85"/>
      <c r="L298" s="10"/>
      <c r="M298" s="10"/>
      <c r="N298" s="10"/>
      <c r="O298" s="10"/>
      <c r="P298" s="85"/>
      <c r="Q298" s="88"/>
      <c r="R298" s="3">
        <f>IFERROR(VLOOKUP(TablaJulio[[#This Row],[BARRIO]],SECTOR!$A:$B,2,0),"")</f>
      </c>
      <c r="S298" s="89"/>
      <c r="T298" s="90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6"/>
      <c r="AZ298" s="120">
        <f>COUNTIF(U298:AY298,"A")</f>
      </c>
      <c r="BA298" s="121">
        <f>COUNTIF(U298:AY298,"F")</f>
      </c>
      <c r="BB298" s="119">
        <f>COUNTIF(U298:AY298,"E")</f>
      </c>
    </row>
    <row r="299" spans="1:54" x14ac:dyDescent="0.2">
      <c r="A299" s="84"/>
      <c r="B299" s="85"/>
      <c r="C299" s="85"/>
      <c r="D299" s="85"/>
      <c r="E299" s="86"/>
      <c r="F299" s="16">
        <f>IF(E299="","",DATEDIF(E299,$I$7,"Y"))</f>
      </c>
      <c r="G299" s="85"/>
      <c r="H299" s="85"/>
      <c r="I299" s="87"/>
      <c r="J299" s="85"/>
      <c r="K299" s="85"/>
      <c r="L299" s="10"/>
      <c r="M299" s="10"/>
      <c r="N299" s="10"/>
      <c r="O299" s="10"/>
      <c r="P299" s="85"/>
      <c r="Q299" s="88"/>
      <c r="R299" s="3">
        <f>IFERROR(VLOOKUP(TablaJulio[[#This Row],[BARRIO]],SECTOR!$A:$B,2,0),"")</f>
      </c>
      <c r="S299" s="89"/>
      <c r="T299" s="90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6"/>
      <c r="AZ299" s="120">
        <f>COUNTIF(U299:AY299,"A")</f>
      </c>
      <c r="BA299" s="121">
        <f>COUNTIF(U299:AY299,"F")</f>
      </c>
      <c r="BB299" s="119">
        <f>COUNTIF(U299:AY299,"E")</f>
      </c>
    </row>
    <row r="300" spans="1:54" x14ac:dyDescent="0.2">
      <c r="A300" s="84"/>
      <c r="B300" s="85"/>
      <c r="C300" s="85"/>
      <c r="D300" s="85"/>
      <c r="E300" s="86"/>
      <c r="F300" s="16">
        <f>IF(E300="","",DATEDIF(E300,$I$7,"Y"))</f>
      </c>
      <c r="G300" s="85"/>
      <c r="H300" s="85"/>
      <c r="I300" s="87"/>
      <c r="J300" s="85"/>
      <c r="K300" s="85"/>
      <c r="L300" s="10"/>
      <c r="M300" s="10"/>
      <c r="N300" s="10"/>
      <c r="O300" s="10"/>
      <c r="P300" s="85"/>
      <c r="Q300" s="88"/>
      <c r="R300" s="3">
        <f>IFERROR(VLOOKUP(TablaJulio[[#This Row],[BARRIO]],SECTOR!$A:$B,2,0),"")</f>
      </c>
      <c r="S300" s="89"/>
      <c r="T300" s="90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6"/>
      <c r="AZ300" s="120">
        <f>COUNTIF(U300:AY300,"A")</f>
      </c>
      <c r="BA300" s="121">
        <f>COUNTIF(U300:AY300,"F")</f>
      </c>
      <c r="BB300" s="119">
        <f>COUNTIF(U300:AY300,"E")</f>
      </c>
    </row>
    <row r="301" spans="1:54" x14ac:dyDescent="0.2">
      <c r="A301" s="84"/>
      <c r="B301" s="85"/>
      <c r="C301" s="85"/>
      <c r="D301" s="85"/>
      <c r="E301" s="86"/>
      <c r="F301" s="16">
        <f>IF(E301="","",DATEDIF(E301,$I$7,"Y"))</f>
      </c>
      <c r="G301" s="85"/>
      <c r="H301" s="85"/>
      <c r="I301" s="87"/>
      <c r="J301" s="85"/>
      <c r="K301" s="85"/>
      <c r="L301" s="10"/>
      <c r="M301" s="10"/>
      <c r="N301" s="10"/>
      <c r="O301" s="10"/>
      <c r="P301" s="85"/>
      <c r="Q301" s="88"/>
      <c r="R301" s="3">
        <f>IFERROR(VLOOKUP(TablaJulio[[#This Row],[BARRIO]],SECTOR!$A:$B,2,0),"")</f>
      </c>
      <c r="S301" s="89"/>
      <c r="T301" s="90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6"/>
      <c r="AZ301" s="120">
        <f>COUNTIF(U301:AY301,"A")</f>
      </c>
      <c r="BA301" s="121">
        <f>COUNTIF(U301:AY301,"F")</f>
      </c>
      <c r="BB301" s="119">
        <f>COUNTIF(U301:AY301,"E")</f>
      </c>
    </row>
    <row r="302" spans="1:54" x14ac:dyDescent="0.2">
      <c r="A302" s="84"/>
      <c r="B302" s="85"/>
      <c r="C302" s="85"/>
      <c r="D302" s="85"/>
      <c r="E302" s="86"/>
      <c r="F302" s="16">
        <f>IF(E302="","",DATEDIF(E302,$I$7,"Y"))</f>
      </c>
      <c r="G302" s="85"/>
      <c r="H302" s="85"/>
      <c r="I302" s="87"/>
      <c r="J302" s="85"/>
      <c r="K302" s="85"/>
      <c r="L302" s="10"/>
      <c r="M302" s="10"/>
      <c r="N302" s="10"/>
      <c r="O302" s="10"/>
      <c r="P302" s="85"/>
      <c r="Q302" s="88"/>
      <c r="R302" s="3">
        <f>IFERROR(VLOOKUP(TablaJulio[[#This Row],[BARRIO]],SECTOR!$A:$B,2,0),"")</f>
      </c>
      <c r="S302" s="89"/>
      <c r="T302" s="90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6"/>
      <c r="AZ302" s="120">
        <f>COUNTIF(U302:AY302,"A")</f>
      </c>
      <c r="BA302" s="121">
        <f>COUNTIF(U302:AY302,"F")</f>
      </c>
      <c r="BB302" s="119">
        <f>COUNTIF(U302:AY302,"E")</f>
      </c>
    </row>
    <row r="303" spans="1:54" x14ac:dyDescent="0.2">
      <c r="A303" s="84"/>
      <c r="B303" s="85"/>
      <c r="C303" s="85"/>
      <c r="D303" s="85"/>
      <c r="E303" s="86"/>
      <c r="F303" s="16">
        <f>IF(E303="","",DATEDIF(E303,$I$7,"Y"))</f>
      </c>
      <c r="G303" s="85"/>
      <c r="H303" s="85"/>
      <c r="I303" s="87"/>
      <c r="J303" s="85"/>
      <c r="K303" s="85"/>
      <c r="L303" s="10"/>
      <c r="M303" s="10"/>
      <c r="N303" s="10"/>
      <c r="O303" s="10"/>
      <c r="P303" s="85"/>
      <c r="Q303" s="88"/>
      <c r="R303" s="3">
        <f>IFERROR(VLOOKUP(TablaJulio[[#This Row],[BARRIO]],SECTOR!$A:$B,2,0),"")</f>
      </c>
      <c r="S303" s="89"/>
      <c r="T303" s="90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6"/>
      <c r="AZ303" s="120">
        <f>COUNTIF(U303:AY303,"A")</f>
      </c>
      <c r="BA303" s="121">
        <f>COUNTIF(U303:AY303,"F")</f>
      </c>
      <c r="BB303" s="119">
        <f>COUNTIF(U303:AY303,"E")</f>
      </c>
    </row>
    <row r="304" spans="1:54" x14ac:dyDescent="0.2">
      <c r="A304" s="84"/>
      <c r="B304" s="85"/>
      <c r="C304" s="85"/>
      <c r="D304" s="85"/>
      <c r="E304" s="86"/>
      <c r="F304" s="16">
        <f>IF(E304="","",DATEDIF(E304,$I$7,"Y"))</f>
      </c>
      <c r="G304" s="85"/>
      <c r="H304" s="85"/>
      <c r="I304" s="87"/>
      <c r="J304" s="85"/>
      <c r="K304" s="85"/>
      <c r="L304" s="10"/>
      <c r="M304" s="10"/>
      <c r="N304" s="10"/>
      <c r="O304" s="10"/>
      <c r="P304" s="85"/>
      <c r="Q304" s="88"/>
      <c r="R304" s="3">
        <f>IFERROR(VLOOKUP(TablaJulio[[#This Row],[BARRIO]],SECTOR!$A:$B,2,0),"")</f>
      </c>
      <c r="S304" s="89"/>
      <c r="T304" s="90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6"/>
      <c r="AZ304" s="120">
        <f>COUNTIF(U304:AY304,"A")</f>
      </c>
      <c r="BA304" s="121">
        <f>COUNTIF(U304:AY304,"F")</f>
      </c>
      <c r="BB304" s="119">
        <f>COUNTIF(U304:AY304,"E")</f>
      </c>
    </row>
    <row r="305" spans="1:54" x14ac:dyDescent="0.2">
      <c r="A305" s="84"/>
      <c r="B305" s="85"/>
      <c r="C305" s="85"/>
      <c r="D305" s="85"/>
      <c r="E305" s="86"/>
      <c r="F305" s="16">
        <f>IF(E305="","",DATEDIF(E305,$I$7,"Y"))</f>
      </c>
      <c r="G305" s="85"/>
      <c r="H305" s="85"/>
      <c r="I305" s="87"/>
      <c r="J305" s="85"/>
      <c r="K305" s="85"/>
      <c r="L305" s="10"/>
      <c r="M305" s="10"/>
      <c r="N305" s="10"/>
      <c r="O305" s="10"/>
      <c r="P305" s="85"/>
      <c r="Q305" s="88"/>
      <c r="R305" s="3">
        <f>IFERROR(VLOOKUP(TablaJulio[[#This Row],[BARRIO]],SECTOR!$A:$B,2,0),"")</f>
      </c>
      <c r="S305" s="89"/>
      <c r="T305" s="90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6"/>
      <c r="AZ305" s="120">
        <f>COUNTIF(U305:AY305,"A")</f>
      </c>
      <c r="BA305" s="121">
        <f>COUNTIF(U305:AY305,"F")</f>
      </c>
      <c r="BB305" s="119">
        <f>COUNTIF(U305:AY305,"E")</f>
      </c>
    </row>
    <row r="306" spans="1:54" x14ac:dyDescent="0.2">
      <c r="A306" s="84"/>
      <c r="B306" s="85"/>
      <c r="C306" s="85"/>
      <c r="D306" s="85"/>
      <c r="E306" s="86"/>
      <c r="F306" s="16">
        <f>IF(E306="","",DATEDIF(E306,$I$7,"Y"))</f>
      </c>
      <c r="G306" s="85"/>
      <c r="H306" s="85"/>
      <c r="I306" s="87"/>
      <c r="J306" s="85"/>
      <c r="K306" s="85"/>
      <c r="L306" s="10"/>
      <c r="M306" s="10"/>
      <c r="N306" s="10"/>
      <c r="O306" s="10"/>
      <c r="P306" s="85"/>
      <c r="Q306" s="88"/>
      <c r="R306" s="3">
        <f>IFERROR(VLOOKUP(TablaJulio[[#This Row],[BARRIO]],SECTOR!$A:$B,2,0),"")</f>
      </c>
      <c r="S306" s="89"/>
      <c r="T306" s="90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6"/>
      <c r="AZ306" s="120">
        <f>COUNTIF(U306:AY306,"A")</f>
      </c>
      <c r="BA306" s="121">
        <f>COUNTIF(U306:AY306,"F")</f>
      </c>
      <c r="BB306" s="119">
        <f>COUNTIF(U306:AY306,"E")</f>
      </c>
    </row>
    <row r="307" spans="1:54" x14ac:dyDescent="0.2">
      <c r="A307" s="84"/>
      <c r="B307" s="85"/>
      <c r="C307" s="85"/>
      <c r="D307" s="85"/>
      <c r="E307" s="86"/>
      <c r="F307" s="16">
        <f>IF(E307="","",DATEDIF(E307,$I$7,"Y"))</f>
      </c>
      <c r="G307" s="85"/>
      <c r="H307" s="85"/>
      <c r="I307" s="87"/>
      <c r="J307" s="85"/>
      <c r="K307" s="85"/>
      <c r="L307" s="10"/>
      <c r="M307" s="10"/>
      <c r="N307" s="10"/>
      <c r="O307" s="10"/>
      <c r="P307" s="85"/>
      <c r="Q307" s="88"/>
      <c r="R307" s="3">
        <f>IFERROR(VLOOKUP(TablaJulio[[#This Row],[BARRIO]],SECTOR!$A:$B,2,0),"")</f>
      </c>
      <c r="S307" s="89"/>
      <c r="T307" s="90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6"/>
      <c r="AZ307" s="120">
        <f>COUNTIF(U307:AY307,"A")</f>
      </c>
      <c r="BA307" s="121">
        <f>COUNTIF(U307:AY307,"F")</f>
      </c>
      <c r="BB307" s="119">
        <f>COUNTIF(U307:AY307,"E")</f>
      </c>
    </row>
    <row r="308" spans="1:54" x14ac:dyDescent="0.2">
      <c r="A308" s="84"/>
      <c r="B308" s="85"/>
      <c r="C308" s="85"/>
      <c r="D308" s="85"/>
      <c r="E308" s="86"/>
      <c r="F308" s="16">
        <f>IF(E308="","",DATEDIF(E308,$I$7,"Y"))</f>
      </c>
      <c r="G308" s="85"/>
      <c r="H308" s="85"/>
      <c r="I308" s="87"/>
      <c r="J308" s="85"/>
      <c r="K308" s="85"/>
      <c r="L308" s="10"/>
      <c r="M308" s="10"/>
      <c r="N308" s="10"/>
      <c r="O308" s="10"/>
      <c r="P308" s="85"/>
      <c r="Q308" s="88"/>
      <c r="R308" s="3">
        <f>IFERROR(VLOOKUP(TablaJulio[[#This Row],[BARRIO]],SECTOR!$A:$B,2,0),"")</f>
      </c>
      <c r="S308" s="89"/>
      <c r="T308" s="90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6"/>
      <c r="AZ308" s="120">
        <f>COUNTIF(U308:AY308,"A")</f>
      </c>
      <c r="BA308" s="121">
        <f>COUNTIF(U308:AY308,"F")</f>
      </c>
      <c r="BB308" s="119">
        <f>COUNTIF(U308:AY308,"E")</f>
      </c>
    </row>
    <row r="309" spans="1:54" x14ac:dyDescent="0.2">
      <c r="A309" s="84"/>
      <c r="B309" s="85"/>
      <c r="C309" s="85"/>
      <c r="D309" s="85"/>
      <c r="E309" s="86"/>
      <c r="F309" s="16">
        <f>IF(E309="","",DATEDIF(E309,$I$7,"Y"))</f>
      </c>
      <c r="G309" s="85"/>
      <c r="H309" s="85"/>
      <c r="I309" s="87"/>
      <c r="J309" s="85"/>
      <c r="K309" s="85"/>
      <c r="L309" s="10"/>
      <c r="M309" s="10"/>
      <c r="N309" s="10"/>
      <c r="O309" s="10"/>
      <c r="P309" s="85"/>
      <c r="Q309" s="88"/>
      <c r="R309" s="3">
        <f>IFERROR(VLOOKUP(TablaJulio[[#This Row],[BARRIO]],SECTOR!$A:$B,2,0),"")</f>
      </c>
      <c r="S309" s="89"/>
      <c r="T309" s="90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6"/>
      <c r="AZ309" s="120">
        <f>COUNTIF(U309:AY309,"A")</f>
      </c>
      <c r="BA309" s="121">
        <f>COUNTIF(U309:AY309,"F")</f>
      </c>
      <c r="BB309" s="119">
        <f>COUNTIF(U309:AY309,"E")</f>
      </c>
    </row>
    <row r="310" spans="1:54" x14ac:dyDescent="0.2">
      <c r="A310" s="84"/>
      <c r="B310" s="85"/>
      <c r="C310" s="85"/>
      <c r="D310" s="85"/>
      <c r="E310" s="86"/>
      <c r="F310" s="16">
        <f>IF(E310="","",DATEDIF(E310,$I$7,"Y"))</f>
      </c>
      <c r="G310" s="85"/>
      <c r="H310" s="85"/>
      <c r="I310" s="87"/>
      <c r="J310" s="85"/>
      <c r="K310" s="85"/>
      <c r="L310" s="10"/>
      <c r="M310" s="10"/>
      <c r="N310" s="10"/>
      <c r="O310" s="10"/>
      <c r="P310" s="85"/>
      <c r="Q310" s="88"/>
      <c r="R310" s="3">
        <f>IFERROR(VLOOKUP(TablaJulio[[#This Row],[BARRIO]],SECTOR!$A:$B,2,0),"")</f>
      </c>
      <c r="S310" s="89"/>
      <c r="T310" s="90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6"/>
      <c r="AZ310" s="120">
        <f>COUNTIF(U310:AY310,"A")</f>
      </c>
      <c r="BA310" s="121">
        <f>COUNTIF(U310:AY310,"F")</f>
      </c>
      <c r="BB310" s="119">
        <f>COUNTIF(U310:AY310,"E")</f>
      </c>
    </row>
    <row r="311" spans="1:54" x14ac:dyDescent="0.2">
      <c r="A311" s="84"/>
      <c r="B311" s="85"/>
      <c r="C311" s="85"/>
      <c r="D311" s="85"/>
      <c r="E311" s="86"/>
      <c r="F311" s="16">
        <f>IF(E311="","",DATEDIF(E311,$I$7,"Y"))</f>
      </c>
      <c r="G311" s="85"/>
      <c r="H311" s="85"/>
      <c r="I311" s="87"/>
      <c r="J311" s="85"/>
      <c r="K311" s="85"/>
      <c r="L311" s="10"/>
      <c r="M311" s="10"/>
      <c r="N311" s="10"/>
      <c r="O311" s="10"/>
      <c r="P311" s="85"/>
      <c r="Q311" s="88"/>
      <c r="R311" s="3">
        <f>IFERROR(VLOOKUP(TablaJulio[[#This Row],[BARRIO]],SECTOR!$A:$B,2,0),"")</f>
      </c>
      <c r="S311" s="89"/>
      <c r="T311" s="90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6"/>
      <c r="AZ311" s="120">
        <f>COUNTIF(U311:AY311,"A")</f>
      </c>
      <c r="BA311" s="121">
        <f>COUNTIF(U311:AY311,"F")</f>
      </c>
      <c r="BB311" s="119">
        <f>COUNTIF(U311:AY311,"E")</f>
      </c>
    </row>
    <row r="312" spans="1:54" x14ac:dyDescent="0.2">
      <c r="A312" s="84"/>
      <c r="B312" s="85"/>
      <c r="C312" s="85"/>
      <c r="D312" s="85"/>
      <c r="E312" s="86"/>
      <c r="F312" s="16">
        <f>IF(E312="","",DATEDIF(E312,$I$7,"Y"))</f>
      </c>
      <c r="G312" s="85"/>
      <c r="H312" s="85"/>
      <c r="I312" s="87"/>
      <c r="J312" s="85"/>
      <c r="K312" s="85"/>
      <c r="L312" s="10"/>
      <c r="M312" s="10"/>
      <c r="N312" s="10"/>
      <c r="O312" s="10"/>
      <c r="P312" s="85"/>
      <c r="Q312" s="88"/>
      <c r="R312" s="3">
        <f>IFERROR(VLOOKUP(TablaJulio[[#This Row],[BARRIO]],SECTOR!$A:$B,2,0),"")</f>
      </c>
      <c r="S312" s="89"/>
      <c r="T312" s="90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6"/>
      <c r="AZ312" s="120">
        <f>COUNTIF(U312:AY312,"A")</f>
      </c>
      <c r="BA312" s="121">
        <f>COUNTIF(U312:AY312,"F")</f>
      </c>
      <c r="BB312" s="119">
        <f>COUNTIF(U312:AY312,"E")</f>
      </c>
    </row>
    <row r="313" spans="1:54" x14ac:dyDescent="0.2">
      <c r="A313" s="84"/>
      <c r="B313" s="85"/>
      <c r="C313" s="85"/>
      <c r="D313" s="85"/>
      <c r="E313" s="86"/>
      <c r="F313" s="16">
        <f>IF(E313="","",DATEDIF(E313,$I$7,"Y"))</f>
      </c>
      <c r="G313" s="85"/>
      <c r="H313" s="85"/>
      <c r="I313" s="87"/>
      <c r="J313" s="85"/>
      <c r="K313" s="85"/>
      <c r="L313" s="10"/>
      <c r="M313" s="10"/>
      <c r="N313" s="10"/>
      <c r="O313" s="10"/>
      <c r="P313" s="85"/>
      <c r="Q313" s="88"/>
      <c r="R313" s="3">
        <f>IFERROR(VLOOKUP(TablaJulio[[#This Row],[BARRIO]],SECTOR!$A:$B,2,0),"")</f>
      </c>
      <c r="S313" s="89"/>
      <c r="T313" s="90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6"/>
      <c r="AZ313" s="120">
        <f>COUNTIF(U313:AY313,"A")</f>
      </c>
      <c r="BA313" s="121">
        <f>COUNTIF(U313:AY313,"F")</f>
      </c>
      <c r="BB313" s="119">
        <f>COUNTIF(U313:AY313,"E")</f>
      </c>
    </row>
    <row r="314" spans="1:54" x14ac:dyDescent="0.2">
      <c r="A314" s="84"/>
      <c r="B314" s="85"/>
      <c r="C314" s="85"/>
      <c r="D314" s="85"/>
      <c r="E314" s="86"/>
      <c r="F314" s="16">
        <f>IF(E314="","",DATEDIF(E314,$I$7,"Y"))</f>
      </c>
      <c r="G314" s="85"/>
      <c r="H314" s="85"/>
      <c r="I314" s="87"/>
      <c r="J314" s="85"/>
      <c r="K314" s="85"/>
      <c r="L314" s="10"/>
      <c r="M314" s="10"/>
      <c r="N314" s="10"/>
      <c r="O314" s="10"/>
      <c r="P314" s="85"/>
      <c r="Q314" s="88"/>
      <c r="R314" s="3">
        <f>IFERROR(VLOOKUP(TablaJulio[[#This Row],[BARRIO]],SECTOR!$A:$B,2,0),"")</f>
      </c>
      <c r="S314" s="89"/>
      <c r="T314" s="90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6"/>
      <c r="AZ314" s="120">
        <f>COUNTIF(U314:AY314,"A")</f>
      </c>
      <c r="BA314" s="121">
        <f>COUNTIF(U314:AY314,"F")</f>
      </c>
      <c r="BB314" s="119">
        <f>COUNTIF(U314:AY314,"E")</f>
      </c>
    </row>
    <row r="315" spans="1:54" x14ac:dyDescent="0.2">
      <c r="A315" s="84"/>
      <c r="B315" s="85"/>
      <c r="C315" s="85"/>
      <c r="D315" s="85"/>
      <c r="E315" s="86"/>
      <c r="F315" s="16">
        <f>IF(E315="","",DATEDIF(E315,$I$7,"Y"))</f>
      </c>
      <c r="G315" s="85"/>
      <c r="H315" s="85"/>
      <c r="I315" s="87"/>
      <c r="J315" s="85"/>
      <c r="K315" s="85"/>
      <c r="L315" s="10"/>
      <c r="M315" s="10"/>
      <c r="N315" s="10"/>
      <c r="O315" s="10"/>
      <c r="P315" s="85"/>
      <c r="Q315" s="88"/>
      <c r="R315" s="3">
        <f>IFERROR(VLOOKUP(TablaJulio[[#This Row],[BARRIO]],SECTOR!$A:$B,2,0),"")</f>
      </c>
      <c r="S315" s="89"/>
      <c r="T315" s="90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6"/>
      <c r="AZ315" s="120">
        <f>COUNTIF(U315:AY315,"A")</f>
      </c>
      <c r="BA315" s="121">
        <f>COUNTIF(U315:AY315,"F")</f>
      </c>
      <c r="BB315" s="119">
        <f>COUNTIF(U315:AY315,"E")</f>
      </c>
    </row>
    <row r="316" spans="1:54" x14ac:dyDescent="0.2">
      <c r="A316" s="84"/>
      <c r="B316" s="85"/>
      <c r="C316" s="85"/>
      <c r="D316" s="85"/>
      <c r="E316" s="86"/>
      <c r="F316" s="16">
        <f>IF(E316="","",DATEDIF(E316,$I$7,"Y"))</f>
      </c>
      <c r="G316" s="85"/>
      <c r="H316" s="85"/>
      <c r="I316" s="87"/>
      <c r="J316" s="85"/>
      <c r="K316" s="85"/>
      <c r="L316" s="10"/>
      <c r="M316" s="10"/>
      <c r="N316" s="10"/>
      <c r="O316" s="10"/>
      <c r="P316" s="85"/>
      <c r="Q316" s="88"/>
      <c r="R316" s="3">
        <f>IFERROR(VLOOKUP(TablaJulio[[#This Row],[BARRIO]],SECTOR!$A:$B,2,0),"")</f>
      </c>
      <c r="S316" s="89"/>
      <c r="T316" s="90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6"/>
      <c r="AZ316" s="120">
        <f>COUNTIF(U316:AY316,"A")</f>
      </c>
      <c r="BA316" s="121">
        <f>COUNTIF(U316:AY316,"F")</f>
      </c>
      <c r="BB316" s="119">
        <f>COUNTIF(U316:AY316,"E")</f>
      </c>
    </row>
    <row r="317" spans="1:54" x14ac:dyDescent="0.2">
      <c r="A317" s="84"/>
      <c r="B317" s="85"/>
      <c r="C317" s="85"/>
      <c r="D317" s="85"/>
      <c r="E317" s="86"/>
      <c r="F317" s="16">
        <f>IF(E317="","",DATEDIF(E317,$I$7,"Y"))</f>
      </c>
      <c r="G317" s="85"/>
      <c r="H317" s="85"/>
      <c r="I317" s="87"/>
      <c r="J317" s="85"/>
      <c r="K317" s="85"/>
      <c r="L317" s="10"/>
      <c r="M317" s="10"/>
      <c r="N317" s="10"/>
      <c r="O317" s="10"/>
      <c r="P317" s="85"/>
      <c r="Q317" s="88"/>
      <c r="R317" s="3">
        <f>IFERROR(VLOOKUP(TablaJulio[[#This Row],[BARRIO]],SECTOR!$A:$B,2,0),"")</f>
      </c>
      <c r="S317" s="89"/>
      <c r="T317" s="90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6"/>
      <c r="AZ317" s="120">
        <f>COUNTIF(U317:AY317,"A")</f>
      </c>
      <c r="BA317" s="121">
        <f>COUNTIF(U317:AY317,"F")</f>
      </c>
      <c r="BB317" s="119">
        <f>COUNTIF(U317:AY317,"E")</f>
      </c>
    </row>
    <row r="318" spans="1:54" x14ac:dyDescent="0.2">
      <c r="A318" s="84"/>
      <c r="B318" s="85"/>
      <c r="C318" s="85"/>
      <c r="D318" s="85"/>
      <c r="E318" s="86"/>
      <c r="F318" s="16">
        <f>IF(E318="","",DATEDIF(E318,$I$7,"Y"))</f>
      </c>
      <c r="G318" s="85"/>
      <c r="H318" s="85"/>
      <c r="I318" s="87"/>
      <c r="J318" s="85"/>
      <c r="K318" s="85"/>
      <c r="L318" s="10"/>
      <c r="M318" s="10"/>
      <c r="N318" s="10"/>
      <c r="O318" s="10"/>
      <c r="P318" s="85"/>
      <c r="Q318" s="88"/>
      <c r="R318" s="3">
        <f>IFERROR(VLOOKUP(TablaJulio[[#This Row],[BARRIO]],SECTOR!$A:$B,2,0),"")</f>
      </c>
      <c r="S318" s="89"/>
      <c r="T318" s="90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6"/>
      <c r="AZ318" s="120">
        <f>COUNTIF(U318:AY318,"A")</f>
      </c>
      <c r="BA318" s="121">
        <f>COUNTIF(U318:AY318,"F")</f>
      </c>
      <c r="BB318" s="119">
        <f>COUNTIF(U318:AY318,"E")</f>
      </c>
    </row>
    <row r="319" spans="1:54" x14ac:dyDescent="0.2">
      <c r="A319" s="84"/>
      <c r="B319" s="85"/>
      <c r="C319" s="85"/>
      <c r="D319" s="85"/>
      <c r="E319" s="86"/>
      <c r="F319" s="16">
        <f>IF(E319="","",DATEDIF(E319,$I$7,"Y"))</f>
      </c>
      <c r="G319" s="85"/>
      <c r="H319" s="85"/>
      <c r="I319" s="87"/>
      <c r="J319" s="85"/>
      <c r="K319" s="85"/>
      <c r="L319" s="10"/>
      <c r="M319" s="10"/>
      <c r="N319" s="10"/>
      <c r="O319" s="10"/>
      <c r="P319" s="85"/>
      <c r="Q319" s="88"/>
      <c r="R319" s="3">
        <f>IFERROR(VLOOKUP(TablaJulio[[#This Row],[BARRIO]],SECTOR!$A:$B,2,0),"")</f>
      </c>
      <c r="S319" s="89"/>
      <c r="T319" s="90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6"/>
      <c r="AZ319" s="120">
        <f>COUNTIF(U319:AY319,"A")</f>
      </c>
      <c r="BA319" s="121">
        <f>COUNTIF(U319:AY319,"F")</f>
      </c>
      <c r="BB319" s="119">
        <f>COUNTIF(U319:AY319,"E")</f>
      </c>
    </row>
    <row r="320" spans="1:54" x14ac:dyDescent="0.2">
      <c r="A320" s="84"/>
      <c r="B320" s="85"/>
      <c r="C320" s="85"/>
      <c r="D320" s="85"/>
      <c r="E320" s="86"/>
      <c r="F320" s="16">
        <f>IF(E320="","",DATEDIF(E320,$I$7,"Y"))</f>
      </c>
      <c r="G320" s="85"/>
      <c r="H320" s="85"/>
      <c r="I320" s="87"/>
      <c r="J320" s="85"/>
      <c r="K320" s="85"/>
      <c r="L320" s="10"/>
      <c r="M320" s="10"/>
      <c r="N320" s="10"/>
      <c r="O320" s="10"/>
      <c r="P320" s="85"/>
      <c r="Q320" s="88"/>
      <c r="R320" s="3">
        <f>IFERROR(VLOOKUP(TablaJulio[[#This Row],[BARRIO]],SECTOR!$A:$B,2,0),"")</f>
      </c>
      <c r="S320" s="89"/>
      <c r="T320" s="90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6"/>
      <c r="AZ320" s="120">
        <f>COUNTIF(U320:AY320,"A")</f>
      </c>
      <c r="BA320" s="121">
        <f>COUNTIF(U320:AY320,"F")</f>
      </c>
      <c r="BB320" s="119">
        <f>COUNTIF(U320:AY320,"E")</f>
      </c>
    </row>
    <row r="321" spans="1:54" x14ac:dyDescent="0.2">
      <c r="A321" s="84"/>
      <c r="B321" s="85"/>
      <c r="C321" s="85"/>
      <c r="D321" s="85"/>
      <c r="E321" s="86"/>
      <c r="F321" s="16">
        <f>IF(E321="","",DATEDIF(E321,$I$7,"Y"))</f>
      </c>
      <c r="G321" s="85"/>
      <c r="H321" s="85"/>
      <c r="I321" s="87"/>
      <c r="J321" s="85"/>
      <c r="K321" s="85"/>
      <c r="L321" s="10"/>
      <c r="M321" s="10"/>
      <c r="N321" s="10"/>
      <c r="O321" s="10"/>
      <c r="P321" s="85"/>
      <c r="Q321" s="88"/>
      <c r="R321" s="3">
        <f>IFERROR(VLOOKUP(TablaJulio[[#This Row],[BARRIO]],SECTOR!$A:$B,2,0),"")</f>
      </c>
      <c r="S321" s="89"/>
      <c r="T321" s="90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6"/>
      <c r="AZ321" s="120">
        <f>COUNTIF(U321:AY321,"A")</f>
      </c>
      <c r="BA321" s="121">
        <f>COUNTIF(U321:AY321,"F")</f>
      </c>
      <c r="BB321" s="119">
        <f>COUNTIF(U321:AY321,"E")</f>
      </c>
    </row>
    <row r="322" spans="1:54" x14ac:dyDescent="0.2">
      <c r="A322" s="84"/>
      <c r="B322" s="85"/>
      <c r="C322" s="85"/>
      <c r="D322" s="85"/>
      <c r="E322" s="86"/>
      <c r="F322" s="16">
        <f>IF(E322="","",DATEDIF(E322,$I$7,"Y"))</f>
      </c>
      <c r="G322" s="85"/>
      <c r="H322" s="85"/>
      <c r="I322" s="87"/>
      <c r="J322" s="85"/>
      <c r="K322" s="85"/>
      <c r="L322" s="10"/>
      <c r="M322" s="10"/>
      <c r="N322" s="10"/>
      <c r="O322" s="10"/>
      <c r="P322" s="85"/>
      <c r="Q322" s="88"/>
      <c r="R322" s="3">
        <f>IFERROR(VLOOKUP(TablaJulio[[#This Row],[BARRIO]],SECTOR!$A:$B,2,0),"")</f>
      </c>
      <c r="S322" s="89"/>
      <c r="T322" s="90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6"/>
      <c r="AZ322" s="120">
        <f>COUNTIF(U322:AY322,"A")</f>
      </c>
      <c r="BA322" s="121">
        <f>COUNTIF(U322:AY322,"F")</f>
      </c>
      <c r="BB322" s="119">
        <f>COUNTIF(U322:AY322,"E")</f>
      </c>
    </row>
    <row r="323" spans="1:54" x14ac:dyDescent="0.2">
      <c r="A323" s="84"/>
      <c r="B323" s="85"/>
      <c r="C323" s="85"/>
      <c r="D323" s="85"/>
      <c r="E323" s="86"/>
      <c r="F323" s="16">
        <f>IF(E323="","",DATEDIF(E323,$I$7,"Y"))</f>
      </c>
      <c r="G323" s="85"/>
      <c r="H323" s="85"/>
      <c r="I323" s="87"/>
      <c r="J323" s="85"/>
      <c r="K323" s="85"/>
      <c r="L323" s="10"/>
      <c r="M323" s="10"/>
      <c r="N323" s="10"/>
      <c r="O323" s="10"/>
      <c r="P323" s="85"/>
      <c r="Q323" s="88"/>
      <c r="R323" s="3">
        <f>IFERROR(VLOOKUP(TablaJulio[[#This Row],[BARRIO]],SECTOR!$A:$B,2,0),"")</f>
      </c>
      <c r="S323" s="89"/>
      <c r="T323" s="90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6"/>
      <c r="AZ323" s="120">
        <f>COUNTIF(U323:AY323,"A")</f>
      </c>
      <c r="BA323" s="121">
        <f>COUNTIF(U323:AY323,"F")</f>
      </c>
      <c r="BB323" s="119">
        <f>COUNTIF(U323:AY323,"E")</f>
      </c>
    </row>
    <row r="324" spans="1:54" x14ac:dyDescent="0.2">
      <c r="A324" s="84"/>
      <c r="B324" s="85"/>
      <c r="C324" s="85"/>
      <c r="D324" s="85"/>
      <c r="E324" s="86"/>
      <c r="F324" s="16">
        <f>IF(E324="","",DATEDIF(E324,$I$7,"Y"))</f>
      </c>
      <c r="G324" s="85"/>
      <c r="H324" s="85"/>
      <c r="I324" s="87"/>
      <c r="J324" s="85"/>
      <c r="K324" s="85"/>
      <c r="L324" s="10"/>
      <c r="M324" s="10"/>
      <c r="N324" s="10"/>
      <c r="O324" s="10"/>
      <c r="P324" s="85"/>
      <c r="Q324" s="88"/>
      <c r="R324" s="3">
        <f>IFERROR(VLOOKUP(TablaJulio[[#This Row],[BARRIO]],SECTOR!$A:$B,2,0),"")</f>
      </c>
      <c r="S324" s="89"/>
      <c r="T324" s="90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6"/>
      <c r="AZ324" s="120">
        <f>COUNTIF(U324:AY324,"A")</f>
      </c>
      <c r="BA324" s="121">
        <f>COUNTIF(U324:AY324,"F")</f>
      </c>
      <c r="BB324" s="119">
        <f>COUNTIF(U324:AY324,"E")</f>
      </c>
    </row>
    <row r="325" spans="1:54" x14ac:dyDescent="0.2">
      <c r="A325" s="84"/>
      <c r="B325" s="85"/>
      <c r="C325" s="85"/>
      <c r="D325" s="85"/>
      <c r="E325" s="86"/>
      <c r="F325" s="16">
        <f>IF(E325="","",DATEDIF(E325,$I$7,"Y"))</f>
      </c>
      <c r="G325" s="85"/>
      <c r="H325" s="85"/>
      <c r="I325" s="87"/>
      <c r="J325" s="85"/>
      <c r="K325" s="85"/>
      <c r="L325" s="10"/>
      <c r="M325" s="10"/>
      <c r="N325" s="10"/>
      <c r="O325" s="10"/>
      <c r="P325" s="85"/>
      <c r="Q325" s="88"/>
      <c r="R325" s="3">
        <f>IFERROR(VLOOKUP(TablaJulio[[#This Row],[BARRIO]],SECTOR!$A:$B,2,0),"")</f>
      </c>
      <c r="S325" s="89"/>
      <c r="T325" s="90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6"/>
      <c r="AZ325" s="120">
        <f>COUNTIF(U325:AY325,"A")</f>
      </c>
      <c r="BA325" s="121">
        <f>COUNTIF(U325:AY325,"F")</f>
      </c>
      <c r="BB325" s="119">
        <f>COUNTIF(U325:AY325,"E")</f>
      </c>
    </row>
    <row r="326" spans="1:54" x14ac:dyDescent="0.2">
      <c r="A326" s="84"/>
      <c r="B326" s="85"/>
      <c r="C326" s="85"/>
      <c r="D326" s="85"/>
      <c r="E326" s="86"/>
      <c r="F326" s="16">
        <f>IF(E326="","",DATEDIF(E326,$I$7,"Y"))</f>
      </c>
      <c r="G326" s="85"/>
      <c r="H326" s="85"/>
      <c r="I326" s="87"/>
      <c r="J326" s="85"/>
      <c r="K326" s="85"/>
      <c r="L326" s="10"/>
      <c r="M326" s="10"/>
      <c r="N326" s="10"/>
      <c r="O326" s="10"/>
      <c r="P326" s="85"/>
      <c r="Q326" s="88"/>
      <c r="R326" s="3">
        <f>IFERROR(VLOOKUP(TablaJulio[[#This Row],[BARRIO]],SECTOR!$A:$B,2,0),"")</f>
      </c>
      <c r="S326" s="89"/>
      <c r="T326" s="90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6"/>
      <c r="AZ326" s="120">
        <f>COUNTIF(U326:AY326,"A")</f>
      </c>
      <c r="BA326" s="121">
        <f>COUNTIF(U326:AY326,"F")</f>
      </c>
      <c r="BB326" s="119">
        <f>COUNTIF(U326:AY326,"E")</f>
      </c>
    </row>
    <row r="327" spans="1:54" x14ac:dyDescent="0.2">
      <c r="A327" s="84"/>
      <c r="B327" s="85"/>
      <c r="C327" s="85"/>
      <c r="D327" s="85"/>
      <c r="E327" s="86"/>
      <c r="F327" s="16">
        <f>IF(E327="","",DATEDIF(E327,$I$7,"Y"))</f>
      </c>
      <c r="G327" s="85"/>
      <c r="H327" s="85"/>
      <c r="I327" s="87"/>
      <c r="J327" s="85"/>
      <c r="K327" s="85"/>
      <c r="L327" s="10"/>
      <c r="M327" s="10"/>
      <c r="N327" s="10"/>
      <c r="O327" s="10"/>
      <c r="P327" s="85"/>
      <c r="Q327" s="88"/>
      <c r="R327" s="3">
        <f>IFERROR(VLOOKUP(TablaJulio[[#This Row],[BARRIO]],SECTOR!$A:$B,2,0),"")</f>
      </c>
      <c r="S327" s="89"/>
      <c r="T327" s="90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6"/>
      <c r="AZ327" s="120">
        <f>COUNTIF(U327:AY327,"A")</f>
      </c>
      <c r="BA327" s="121">
        <f>COUNTIF(U327:AY327,"F")</f>
      </c>
      <c r="BB327" s="119">
        <f>COUNTIF(U327:AY327,"E")</f>
      </c>
    </row>
    <row r="328" spans="1:54" x14ac:dyDescent="0.2">
      <c r="A328" s="84"/>
      <c r="B328" s="85"/>
      <c r="C328" s="85"/>
      <c r="D328" s="85"/>
      <c r="E328" s="86"/>
      <c r="F328" s="16">
        <f>IF(E328="","",DATEDIF(E328,$I$7,"Y"))</f>
      </c>
      <c r="G328" s="85"/>
      <c r="H328" s="85"/>
      <c r="I328" s="87"/>
      <c r="J328" s="85"/>
      <c r="K328" s="85"/>
      <c r="L328" s="10"/>
      <c r="M328" s="10"/>
      <c r="N328" s="10"/>
      <c r="O328" s="10"/>
      <c r="P328" s="85"/>
      <c r="Q328" s="88"/>
      <c r="R328" s="3">
        <f>IFERROR(VLOOKUP(TablaJulio[[#This Row],[BARRIO]],SECTOR!$A:$B,2,0),"")</f>
      </c>
      <c r="S328" s="89"/>
      <c r="T328" s="90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6"/>
      <c r="AZ328" s="120">
        <f>COUNTIF(U328:AY328,"A")</f>
      </c>
      <c r="BA328" s="121">
        <f>COUNTIF(U328:AY328,"F")</f>
      </c>
      <c r="BB328" s="119">
        <f>COUNTIF(U328:AY328,"E")</f>
      </c>
    </row>
    <row r="329" spans="1:54" x14ac:dyDescent="0.2">
      <c r="A329" s="84"/>
      <c r="B329" s="85"/>
      <c r="C329" s="85"/>
      <c r="D329" s="85"/>
      <c r="E329" s="86"/>
      <c r="F329" s="16">
        <f>IF(E329="","",DATEDIF(E329,$I$7,"Y"))</f>
      </c>
      <c r="G329" s="85"/>
      <c r="H329" s="85"/>
      <c r="I329" s="87"/>
      <c r="J329" s="85"/>
      <c r="K329" s="85"/>
      <c r="L329" s="10"/>
      <c r="M329" s="10"/>
      <c r="N329" s="10"/>
      <c r="O329" s="10"/>
      <c r="P329" s="85"/>
      <c r="Q329" s="88"/>
      <c r="R329" s="3">
        <f>IFERROR(VLOOKUP(TablaJulio[[#This Row],[BARRIO]],SECTOR!$A:$B,2,0),"")</f>
      </c>
      <c r="S329" s="89"/>
      <c r="T329" s="90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6"/>
      <c r="AZ329" s="120">
        <f>COUNTIF(U329:AY329,"A")</f>
      </c>
      <c r="BA329" s="121">
        <f>COUNTIF(U329:AY329,"F")</f>
      </c>
      <c r="BB329" s="119">
        <f>COUNTIF(U329:AY329,"E")</f>
      </c>
    </row>
    <row r="330" spans="1:54" x14ac:dyDescent="0.2">
      <c r="A330" s="84"/>
      <c r="B330" s="85"/>
      <c r="C330" s="85"/>
      <c r="D330" s="85"/>
      <c r="E330" s="86"/>
      <c r="F330" s="16">
        <f>IF(E330="","",DATEDIF(E330,$I$7,"Y"))</f>
      </c>
      <c r="G330" s="85"/>
      <c r="H330" s="85"/>
      <c r="I330" s="87"/>
      <c r="J330" s="85"/>
      <c r="K330" s="85"/>
      <c r="L330" s="10"/>
      <c r="M330" s="10"/>
      <c r="N330" s="10"/>
      <c r="O330" s="10"/>
      <c r="P330" s="85"/>
      <c r="Q330" s="88"/>
      <c r="R330" s="3">
        <f>IFERROR(VLOOKUP(TablaJulio[[#This Row],[BARRIO]],SECTOR!$A:$B,2,0),"")</f>
      </c>
      <c r="S330" s="89"/>
      <c r="T330" s="90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6"/>
      <c r="AZ330" s="120">
        <f>COUNTIF(U330:AY330,"A")</f>
      </c>
      <c r="BA330" s="121">
        <f>COUNTIF(U330:AY330,"F")</f>
      </c>
      <c r="BB330" s="119">
        <f>COUNTIF(U330:AY330,"E")</f>
      </c>
    </row>
    <row r="331" spans="1:54" x14ac:dyDescent="0.2">
      <c r="A331" s="84"/>
      <c r="B331" s="85"/>
      <c r="C331" s="85"/>
      <c r="D331" s="85"/>
      <c r="E331" s="86"/>
      <c r="F331" s="16">
        <f>IF(E331="","",DATEDIF(E331,$I$7,"Y"))</f>
      </c>
      <c r="G331" s="85"/>
      <c r="H331" s="85"/>
      <c r="I331" s="87"/>
      <c r="J331" s="85"/>
      <c r="K331" s="85"/>
      <c r="L331" s="10"/>
      <c r="M331" s="10"/>
      <c r="N331" s="10"/>
      <c r="O331" s="10"/>
      <c r="P331" s="85"/>
      <c r="Q331" s="88"/>
      <c r="R331" s="3">
        <f>IFERROR(VLOOKUP(TablaJulio[[#This Row],[BARRIO]],SECTOR!$A:$B,2,0),"")</f>
      </c>
      <c r="S331" s="89"/>
      <c r="T331" s="90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6"/>
      <c r="AZ331" s="120">
        <f>COUNTIF(U331:AY331,"A")</f>
      </c>
      <c r="BA331" s="121">
        <f>COUNTIF(U331:AY331,"F")</f>
      </c>
      <c r="BB331" s="119">
        <f>COUNTIF(U331:AY331,"E")</f>
      </c>
    </row>
    <row r="332" spans="1:54" x14ac:dyDescent="0.2">
      <c r="A332" s="84"/>
      <c r="B332" s="85"/>
      <c r="C332" s="85"/>
      <c r="D332" s="85"/>
      <c r="E332" s="86"/>
      <c r="F332" s="16">
        <f>IF(E332="","",DATEDIF(E332,$I$7,"Y"))</f>
      </c>
      <c r="G332" s="85"/>
      <c r="H332" s="85"/>
      <c r="I332" s="87"/>
      <c r="J332" s="85"/>
      <c r="K332" s="85"/>
      <c r="L332" s="10"/>
      <c r="M332" s="10"/>
      <c r="N332" s="10"/>
      <c r="O332" s="10"/>
      <c r="P332" s="85"/>
      <c r="Q332" s="88"/>
      <c r="R332" s="3">
        <f>IFERROR(VLOOKUP(TablaJulio[[#This Row],[BARRIO]],SECTOR!$A:$B,2,0),"")</f>
      </c>
      <c r="S332" s="89"/>
      <c r="T332" s="90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6"/>
      <c r="AZ332" s="120">
        <f>COUNTIF(U332:AY332,"A")</f>
      </c>
      <c r="BA332" s="121">
        <f>COUNTIF(U332:AY332,"F")</f>
      </c>
      <c r="BB332" s="119">
        <f>COUNTIF(U332:AY332,"E")</f>
      </c>
    </row>
    <row r="333" spans="1:54" x14ac:dyDescent="0.2">
      <c r="A333" s="84"/>
      <c r="B333" s="85"/>
      <c r="C333" s="85"/>
      <c r="D333" s="85"/>
      <c r="E333" s="86"/>
      <c r="F333" s="16">
        <f>IF(E333="","",DATEDIF(E333,$I$7,"Y"))</f>
      </c>
      <c r="G333" s="85"/>
      <c r="H333" s="85"/>
      <c r="I333" s="87"/>
      <c r="J333" s="85"/>
      <c r="K333" s="85"/>
      <c r="L333" s="10"/>
      <c r="M333" s="10"/>
      <c r="N333" s="10"/>
      <c r="O333" s="10"/>
      <c r="P333" s="85"/>
      <c r="Q333" s="88"/>
      <c r="R333" s="3">
        <f>IFERROR(VLOOKUP(TablaJulio[[#This Row],[BARRIO]],SECTOR!$A:$B,2,0),"")</f>
      </c>
      <c r="S333" s="89"/>
      <c r="T333" s="90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6"/>
      <c r="AZ333" s="120">
        <f>COUNTIF(U333:AY333,"A")</f>
      </c>
      <c r="BA333" s="121">
        <f>COUNTIF(U333:AY333,"F")</f>
      </c>
      <c r="BB333" s="119">
        <f>COUNTIF(U333:AY333,"E")</f>
      </c>
    </row>
    <row r="334" spans="1:54" x14ac:dyDescent="0.2">
      <c r="A334" s="84"/>
      <c r="B334" s="85"/>
      <c r="C334" s="85"/>
      <c r="D334" s="85"/>
      <c r="E334" s="86"/>
      <c r="F334" s="16">
        <f>IF(E334="","",DATEDIF(E334,$I$7,"Y"))</f>
      </c>
      <c r="G334" s="85"/>
      <c r="H334" s="85"/>
      <c r="I334" s="87"/>
      <c r="J334" s="85"/>
      <c r="K334" s="85"/>
      <c r="L334" s="10"/>
      <c r="M334" s="10"/>
      <c r="N334" s="10"/>
      <c r="O334" s="10"/>
      <c r="P334" s="85"/>
      <c r="Q334" s="88"/>
      <c r="R334" s="3">
        <f>IFERROR(VLOOKUP(TablaJulio[[#This Row],[BARRIO]],SECTOR!$A:$B,2,0),"")</f>
      </c>
      <c r="S334" s="89"/>
      <c r="T334" s="90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6"/>
      <c r="AZ334" s="120">
        <f>COUNTIF(U334:AY334,"A")</f>
      </c>
      <c r="BA334" s="121">
        <f>COUNTIF(U334:AY334,"F")</f>
      </c>
      <c r="BB334" s="119">
        <f>COUNTIF(U334:AY334,"E")</f>
      </c>
    </row>
    <row r="335" spans="1:54" x14ac:dyDescent="0.2">
      <c r="A335" s="84"/>
      <c r="B335" s="85"/>
      <c r="C335" s="85"/>
      <c r="D335" s="85"/>
      <c r="E335" s="86"/>
      <c r="F335" s="16">
        <f>IF(E335="","",DATEDIF(E335,$I$7,"Y"))</f>
      </c>
      <c r="G335" s="85"/>
      <c r="H335" s="85"/>
      <c r="I335" s="87"/>
      <c r="J335" s="85"/>
      <c r="K335" s="85"/>
      <c r="L335" s="10"/>
      <c r="M335" s="10"/>
      <c r="N335" s="10"/>
      <c r="O335" s="10"/>
      <c r="P335" s="85"/>
      <c r="Q335" s="88"/>
      <c r="R335" s="3">
        <f>IFERROR(VLOOKUP(TablaJulio[[#This Row],[BARRIO]],SECTOR!$A:$B,2,0),"")</f>
      </c>
      <c r="S335" s="89"/>
      <c r="T335" s="90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6"/>
      <c r="AZ335" s="120">
        <f>COUNTIF(U335:AY335,"A")</f>
      </c>
      <c r="BA335" s="121">
        <f>COUNTIF(U335:AY335,"F")</f>
      </c>
      <c r="BB335" s="119">
        <f>COUNTIF(U335:AY335,"E")</f>
      </c>
    </row>
    <row r="336" spans="1:54" x14ac:dyDescent="0.2">
      <c r="A336" s="84"/>
      <c r="B336" s="85"/>
      <c r="C336" s="85"/>
      <c r="D336" s="85"/>
      <c r="E336" s="86"/>
      <c r="F336" s="16">
        <f>IF(E336="","",DATEDIF(E336,$I$7,"Y"))</f>
      </c>
      <c r="G336" s="85"/>
      <c r="H336" s="85"/>
      <c r="I336" s="87"/>
      <c r="J336" s="85"/>
      <c r="K336" s="85"/>
      <c r="L336" s="10"/>
      <c r="M336" s="10"/>
      <c r="N336" s="10"/>
      <c r="O336" s="10"/>
      <c r="P336" s="85"/>
      <c r="Q336" s="88"/>
      <c r="R336" s="3">
        <f>IFERROR(VLOOKUP(TablaJulio[[#This Row],[BARRIO]],SECTOR!$A:$B,2,0),"")</f>
      </c>
      <c r="S336" s="89"/>
      <c r="T336" s="90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6"/>
      <c r="AZ336" s="120">
        <f>COUNTIF(U336:AY336,"A")</f>
      </c>
      <c r="BA336" s="121">
        <f>COUNTIF(U336:AY336,"F")</f>
      </c>
      <c r="BB336" s="119">
        <f>COUNTIF(U336:AY336,"E")</f>
      </c>
    </row>
    <row r="337" spans="1:54" x14ac:dyDescent="0.2">
      <c r="A337" s="84"/>
      <c r="B337" s="85"/>
      <c r="C337" s="85"/>
      <c r="D337" s="85"/>
      <c r="E337" s="86"/>
      <c r="F337" s="16">
        <f>IF(E337="","",DATEDIF(E337,$I$7,"Y"))</f>
      </c>
      <c r="G337" s="85"/>
      <c r="H337" s="85"/>
      <c r="I337" s="87"/>
      <c r="J337" s="85"/>
      <c r="K337" s="85"/>
      <c r="L337" s="10"/>
      <c r="M337" s="10"/>
      <c r="N337" s="10"/>
      <c r="O337" s="10"/>
      <c r="P337" s="85"/>
      <c r="Q337" s="88"/>
      <c r="R337" s="3">
        <f>IFERROR(VLOOKUP(TablaJulio[[#This Row],[BARRIO]],SECTOR!$A:$B,2,0),"")</f>
      </c>
      <c r="S337" s="89"/>
      <c r="T337" s="90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6"/>
      <c r="AZ337" s="120">
        <f>COUNTIF(U337:AY337,"A")</f>
      </c>
      <c r="BA337" s="121">
        <f>COUNTIF(U337:AY337,"F")</f>
      </c>
      <c r="BB337" s="119">
        <f>COUNTIF(U337:AY337,"E")</f>
      </c>
    </row>
    <row r="338" spans="1:54" x14ac:dyDescent="0.2">
      <c r="A338" s="84"/>
      <c r="B338" s="85"/>
      <c r="C338" s="85"/>
      <c r="D338" s="85"/>
      <c r="E338" s="86"/>
      <c r="F338" s="16">
        <f>IF(E338="","",DATEDIF(E338,$I$7,"Y"))</f>
      </c>
      <c r="G338" s="85"/>
      <c r="H338" s="85"/>
      <c r="I338" s="87"/>
      <c r="J338" s="85"/>
      <c r="K338" s="85"/>
      <c r="L338" s="10"/>
      <c r="M338" s="10"/>
      <c r="N338" s="10"/>
      <c r="O338" s="10"/>
      <c r="P338" s="85"/>
      <c r="Q338" s="88"/>
      <c r="R338" s="3">
        <f>IFERROR(VLOOKUP(TablaJulio[[#This Row],[BARRIO]],SECTOR!$A:$B,2,0),"")</f>
      </c>
      <c r="S338" s="89"/>
      <c r="T338" s="90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6"/>
      <c r="AZ338" s="120">
        <f>COUNTIF(U338:AY338,"A")</f>
      </c>
      <c r="BA338" s="121">
        <f>COUNTIF(U338:AY338,"F")</f>
      </c>
      <c r="BB338" s="119">
        <f>COUNTIF(U338:AY338,"E")</f>
      </c>
    </row>
    <row r="339" spans="1:54" x14ac:dyDescent="0.2">
      <c r="A339" s="84"/>
      <c r="B339" s="85"/>
      <c r="C339" s="85"/>
      <c r="D339" s="85"/>
      <c r="E339" s="86"/>
      <c r="F339" s="16">
        <f>IF(E339="","",DATEDIF(E339,$I$7,"Y"))</f>
      </c>
      <c r="G339" s="85"/>
      <c r="H339" s="85"/>
      <c r="I339" s="87"/>
      <c r="J339" s="85"/>
      <c r="K339" s="85"/>
      <c r="L339" s="10"/>
      <c r="M339" s="10"/>
      <c r="N339" s="10"/>
      <c r="O339" s="10"/>
      <c r="P339" s="85"/>
      <c r="Q339" s="88"/>
      <c r="R339" s="3">
        <f>IFERROR(VLOOKUP(TablaJulio[[#This Row],[BARRIO]],SECTOR!$A:$B,2,0),"")</f>
      </c>
      <c r="S339" s="89"/>
      <c r="T339" s="90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6"/>
      <c r="AZ339" s="120">
        <f>COUNTIF(U339:AY339,"A")</f>
      </c>
      <c r="BA339" s="121">
        <f>COUNTIF(U339:AY339,"F")</f>
      </c>
      <c r="BB339" s="119">
        <f>COUNTIF(U339:AY339,"E")</f>
      </c>
    </row>
    <row r="340" spans="1:54" x14ac:dyDescent="0.2">
      <c r="A340" s="84"/>
      <c r="B340" s="85"/>
      <c r="C340" s="85"/>
      <c r="D340" s="85"/>
      <c r="E340" s="86"/>
      <c r="F340" s="16">
        <f>IF(E340="","",DATEDIF(E340,$I$7,"Y"))</f>
      </c>
      <c r="G340" s="85"/>
      <c r="H340" s="85"/>
      <c r="I340" s="87"/>
      <c r="J340" s="85"/>
      <c r="K340" s="85"/>
      <c r="L340" s="10"/>
      <c r="M340" s="10"/>
      <c r="N340" s="10"/>
      <c r="O340" s="10"/>
      <c r="P340" s="85"/>
      <c r="Q340" s="88"/>
      <c r="R340" s="3">
        <f>IFERROR(VLOOKUP(TablaJulio[[#This Row],[BARRIO]],SECTOR!$A:$B,2,0),"")</f>
      </c>
      <c r="S340" s="89"/>
      <c r="T340" s="90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6"/>
      <c r="AZ340" s="120">
        <f>COUNTIF(U340:AY340,"A")</f>
      </c>
      <c r="BA340" s="121">
        <f>COUNTIF(U340:AY340,"F")</f>
      </c>
      <c r="BB340" s="119">
        <f>COUNTIF(U340:AY340,"E")</f>
      </c>
    </row>
    <row r="341" spans="1:54" x14ac:dyDescent="0.2">
      <c r="A341" s="84"/>
      <c r="B341" s="85"/>
      <c r="C341" s="85"/>
      <c r="D341" s="85"/>
      <c r="E341" s="86"/>
      <c r="F341" s="16">
        <f>IF(E341="","",DATEDIF(E341,$I$7,"Y"))</f>
      </c>
      <c r="G341" s="85"/>
      <c r="H341" s="85"/>
      <c r="I341" s="87"/>
      <c r="J341" s="85"/>
      <c r="K341" s="85"/>
      <c r="L341" s="10"/>
      <c r="M341" s="10"/>
      <c r="N341" s="10"/>
      <c r="O341" s="10"/>
      <c r="P341" s="85"/>
      <c r="Q341" s="88"/>
      <c r="R341" s="3">
        <f>IFERROR(VLOOKUP(TablaJulio[[#This Row],[BARRIO]],SECTOR!$A:$B,2,0),"")</f>
      </c>
      <c r="S341" s="89"/>
      <c r="T341" s="90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6"/>
      <c r="AZ341" s="120">
        <f>COUNTIF(U341:AY341,"A")</f>
      </c>
      <c r="BA341" s="121">
        <f>COUNTIF(U341:AY341,"F")</f>
      </c>
      <c r="BB341" s="119">
        <f>COUNTIF(U341:AY341,"E")</f>
      </c>
    </row>
    <row r="342" spans="1:54" x14ac:dyDescent="0.2">
      <c r="A342" s="84"/>
      <c r="B342" s="85"/>
      <c r="C342" s="85"/>
      <c r="D342" s="85"/>
      <c r="E342" s="86"/>
      <c r="F342" s="16">
        <f>IF(E342="","",DATEDIF(E342,$I$7,"Y"))</f>
      </c>
      <c r="G342" s="85"/>
      <c r="H342" s="85"/>
      <c r="I342" s="87"/>
      <c r="J342" s="85"/>
      <c r="K342" s="85"/>
      <c r="L342" s="10"/>
      <c r="M342" s="10"/>
      <c r="N342" s="10"/>
      <c r="O342" s="10"/>
      <c r="P342" s="85"/>
      <c r="Q342" s="88"/>
      <c r="R342" s="3">
        <f>IFERROR(VLOOKUP(TablaJulio[[#This Row],[BARRIO]],SECTOR!$A:$B,2,0),"")</f>
      </c>
      <c r="S342" s="89"/>
      <c r="T342" s="90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6"/>
      <c r="AZ342" s="120">
        <f>COUNTIF(U342:AY342,"A")</f>
      </c>
      <c r="BA342" s="121">
        <f>COUNTIF(U342:AY342,"F")</f>
      </c>
      <c r="BB342" s="119">
        <f>COUNTIF(U342:AY342,"E")</f>
      </c>
    </row>
    <row r="343" spans="1:54" x14ac:dyDescent="0.2">
      <c r="A343" s="84"/>
      <c r="B343" s="85"/>
      <c r="C343" s="85"/>
      <c r="D343" s="85"/>
      <c r="E343" s="86"/>
      <c r="F343" s="16">
        <f>IF(E343="","",DATEDIF(E343,$I$7,"Y"))</f>
      </c>
      <c r="G343" s="85"/>
      <c r="H343" s="85"/>
      <c r="I343" s="87"/>
      <c r="J343" s="85"/>
      <c r="K343" s="85"/>
      <c r="L343" s="10"/>
      <c r="M343" s="10"/>
      <c r="N343" s="10"/>
      <c r="O343" s="10"/>
      <c r="P343" s="85"/>
      <c r="Q343" s="88"/>
      <c r="R343" s="3">
        <f>IFERROR(VLOOKUP(TablaJulio[[#This Row],[BARRIO]],SECTOR!$A:$B,2,0),"")</f>
      </c>
      <c r="S343" s="89"/>
      <c r="T343" s="90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6"/>
      <c r="AZ343" s="120">
        <f>COUNTIF(U343:AY343,"A")</f>
      </c>
      <c r="BA343" s="121">
        <f>COUNTIF(U343:AY343,"F")</f>
      </c>
      <c r="BB343" s="119">
        <f>COUNTIF(U343:AY343,"E")</f>
      </c>
    </row>
    <row r="344" spans="1:54" x14ac:dyDescent="0.2">
      <c r="A344" s="84"/>
      <c r="B344" s="85"/>
      <c r="C344" s="85"/>
      <c r="D344" s="85"/>
      <c r="E344" s="86"/>
      <c r="F344" s="16">
        <f>IF(E344="","",DATEDIF(E344,$I$7,"Y"))</f>
      </c>
      <c r="G344" s="85"/>
      <c r="H344" s="85"/>
      <c r="I344" s="87"/>
      <c r="J344" s="85"/>
      <c r="K344" s="85"/>
      <c r="L344" s="10"/>
      <c r="M344" s="10"/>
      <c r="N344" s="10"/>
      <c r="O344" s="10"/>
      <c r="P344" s="85"/>
      <c r="Q344" s="88"/>
      <c r="R344" s="3">
        <f>IFERROR(VLOOKUP(TablaJulio[[#This Row],[BARRIO]],SECTOR!$A:$B,2,0),"")</f>
      </c>
      <c r="S344" s="89"/>
      <c r="T344" s="90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6"/>
      <c r="AZ344" s="120">
        <f>COUNTIF(U344:AY344,"A")</f>
      </c>
      <c r="BA344" s="121">
        <f>COUNTIF(U344:AY344,"F")</f>
      </c>
      <c r="BB344" s="119">
        <f>COUNTIF(U344:AY344,"E")</f>
      </c>
    </row>
    <row r="345" spans="1:54" x14ac:dyDescent="0.2">
      <c r="A345" s="84"/>
      <c r="B345" s="85"/>
      <c r="C345" s="85"/>
      <c r="D345" s="85"/>
      <c r="E345" s="86"/>
      <c r="F345" s="16">
        <f>IF(E345="","",DATEDIF(E345,$I$7,"Y"))</f>
      </c>
      <c r="G345" s="85"/>
      <c r="H345" s="85"/>
      <c r="I345" s="87"/>
      <c r="J345" s="85"/>
      <c r="K345" s="85"/>
      <c r="L345" s="10"/>
      <c r="M345" s="10"/>
      <c r="N345" s="10"/>
      <c r="O345" s="10"/>
      <c r="P345" s="85"/>
      <c r="Q345" s="88"/>
      <c r="R345" s="3">
        <f>IFERROR(VLOOKUP(TablaJulio[[#This Row],[BARRIO]],SECTOR!$A:$B,2,0),"")</f>
      </c>
      <c r="S345" s="89"/>
      <c r="T345" s="90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6"/>
      <c r="AZ345" s="120">
        <f>COUNTIF(U345:AY345,"A")</f>
      </c>
      <c r="BA345" s="121">
        <f>COUNTIF(U345:AY345,"F")</f>
      </c>
      <c r="BB345" s="119">
        <f>COUNTIF(U345:AY345,"E")</f>
      </c>
    </row>
    <row r="346" spans="1:54" x14ac:dyDescent="0.2">
      <c r="A346" s="84"/>
      <c r="B346" s="85"/>
      <c r="C346" s="85"/>
      <c r="D346" s="85"/>
      <c r="E346" s="86"/>
      <c r="F346" s="16">
        <f>IF(E346="","",DATEDIF(E346,$I$7,"Y"))</f>
      </c>
      <c r="G346" s="85"/>
      <c r="H346" s="85"/>
      <c r="I346" s="87"/>
      <c r="J346" s="85"/>
      <c r="K346" s="85"/>
      <c r="L346" s="10"/>
      <c r="M346" s="10"/>
      <c r="N346" s="10"/>
      <c r="O346" s="10"/>
      <c r="P346" s="85"/>
      <c r="Q346" s="88"/>
      <c r="R346" s="3">
        <f>IFERROR(VLOOKUP(TablaJulio[[#This Row],[BARRIO]],SECTOR!$A:$B,2,0),"")</f>
      </c>
      <c r="S346" s="89"/>
      <c r="T346" s="90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6"/>
      <c r="AZ346" s="120">
        <f>COUNTIF(U346:AY346,"A")</f>
      </c>
      <c r="BA346" s="121">
        <f>COUNTIF(U346:AY346,"F")</f>
      </c>
      <c r="BB346" s="119">
        <f>COUNTIF(U346:AY346,"E")</f>
      </c>
    </row>
    <row r="347" spans="1:54" x14ac:dyDescent="0.2">
      <c r="A347" s="84"/>
      <c r="B347" s="85"/>
      <c r="C347" s="85"/>
      <c r="D347" s="85"/>
      <c r="E347" s="86"/>
      <c r="F347" s="16">
        <f>IF(E347="","",DATEDIF(E347,$I$7,"Y"))</f>
      </c>
      <c r="G347" s="85"/>
      <c r="H347" s="85"/>
      <c r="I347" s="87"/>
      <c r="J347" s="85"/>
      <c r="K347" s="85"/>
      <c r="L347" s="10"/>
      <c r="M347" s="10"/>
      <c r="N347" s="10"/>
      <c r="O347" s="10"/>
      <c r="P347" s="85"/>
      <c r="Q347" s="88"/>
      <c r="R347" s="3">
        <f>IFERROR(VLOOKUP(TablaJulio[[#This Row],[BARRIO]],SECTOR!$A:$B,2,0),"")</f>
      </c>
      <c r="S347" s="89"/>
      <c r="T347" s="90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6"/>
      <c r="AZ347" s="120">
        <f>COUNTIF(U347:AY347,"A")</f>
      </c>
      <c r="BA347" s="121">
        <f>COUNTIF(U347:AY347,"F")</f>
      </c>
      <c r="BB347" s="119">
        <f>COUNTIF(U347:AY347,"E")</f>
      </c>
    </row>
    <row r="348" spans="1:54" x14ac:dyDescent="0.2">
      <c r="A348" s="84"/>
      <c r="B348" s="85"/>
      <c r="C348" s="85"/>
      <c r="D348" s="85"/>
      <c r="E348" s="86"/>
      <c r="F348" s="16">
        <f>IF(E348="","",DATEDIF(E348,$I$7,"Y"))</f>
      </c>
      <c r="G348" s="85"/>
      <c r="H348" s="85"/>
      <c r="I348" s="87"/>
      <c r="J348" s="85"/>
      <c r="K348" s="85"/>
      <c r="L348" s="10"/>
      <c r="M348" s="10"/>
      <c r="N348" s="10"/>
      <c r="O348" s="10"/>
      <c r="P348" s="85"/>
      <c r="Q348" s="88"/>
      <c r="R348" s="3">
        <f>IFERROR(VLOOKUP(TablaJulio[[#This Row],[BARRIO]],SECTOR!$A:$B,2,0),"")</f>
      </c>
      <c r="S348" s="89"/>
      <c r="T348" s="90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6"/>
      <c r="AZ348" s="120">
        <f>COUNTIF(U348:AY348,"A")</f>
      </c>
      <c r="BA348" s="121">
        <f>COUNTIF(U348:AY348,"F")</f>
      </c>
      <c r="BB348" s="119">
        <f>COUNTIF(U348:AY348,"E")</f>
      </c>
    </row>
    <row r="349" spans="1:54" x14ac:dyDescent="0.2">
      <c r="A349" s="84"/>
      <c r="B349" s="85"/>
      <c r="C349" s="85"/>
      <c r="D349" s="85"/>
      <c r="E349" s="86"/>
      <c r="F349" s="16">
        <f>IF(E349="","",DATEDIF(E349,$I$7,"Y"))</f>
      </c>
      <c r="G349" s="85"/>
      <c r="H349" s="85"/>
      <c r="I349" s="87"/>
      <c r="J349" s="85"/>
      <c r="K349" s="85"/>
      <c r="L349" s="10"/>
      <c r="M349" s="10"/>
      <c r="N349" s="10"/>
      <c r="O349" s="10"/>
      <c r="P349" s="85"/>
      <c r="Q349" s="88"/>
      <c r="R349" s="3">
        <f>IFERROR(VLOOKUP(TablaJulio[[#This Row],[BARRIO]],SECTOR!$A:$B,2,0),"")</f>
      </c>
      <c r="S349" s="89"/>
      <c r="T349" s="90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6"/>
      <c r="AZ349" s="120">
        <f>COUNTIF(U349:AY349,"A")</f>
      </c>
      <c r="BA349" s="121">
        <f>COUNTIF(U349:AY349,"F")</f>
      </c>
      <c r="BB349" s="119">
        <f>COUNTIF(U349:AY349,"E")</f>
      </c>
    </row>
    <row r="350" spans="1:54" x14ac:dyDescent="0.2">
      <c r="A350" s="84"/>
      <c r="B350" s="85"/>
      <c r="C350" s="85"/>
      <c r="D350" s="85"/>
      <c r="E350" s="86"/>
      <c r="F350" s="16">
        <f>IF(E350="","",DATEDIF(E350,$I$7,"Y"))</f>
      </c>
      <c r="G350" s="85"/>
      <c r="H350" s="85"/>
      <c r="I350" s="87"/>
      <c r="J350" s="85"/>
      <c r="K350" s="85"/>
      <c r="L350" s="10"/>
      <c r="M350" s="10"/>
      <c r="N350" s="10"/>
      <c r="O350" s="10"/>
      <c r="P350" s="85"/>
      <c r="Q350" s="88"/>
      <c r="R350" s="3">
        <f>IFERROR(VLOOKUP(TablaJulio[[#This Row],[BARRIO]],SECTOR!$A:$B,2,0),"")</f>
      </c>
      <c r="S350" s="89"/>
      <c r="T350" s="90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6"/>
      <c r="AZ350" s="120">
        <f>COUNTIF(U350:AY350,"A")</f>
      </c>
      <c r="BA350" s="121">
        <f>COUNTIF(U350:AY350,"F")</f>
      </c>
      <c r="BB350" s="119">
        <f>COUNTIF(U350:AY350,"E")</f>
      </c>
    </row>
    <row r="351" spans="1:54" x14ac:dyDescent="0.2">
      <c r="A351" s="84"/>
      <c r="B351" s="85"/>
      <c r="C351" s="85"/>
      <c r="D351" s="85"/>
      <c r="E351" s="86"/>
      <c r="F351" s="16">
        <f>IF(E351="","",DATEDIF(E351,$I$7,"Y"))</f>
      </c>
      <c r="G351" s="85"/>
      <c r="H351" s="85"/>
      <c r="I351" s="87"/>
      <c r="J351" s="85"/>
      <c r="K351" s="85"/>
      <c r="L351" s="10"/>
      <c r="M351" s="10"/>
      <c r="N351" s="10"/>
      <c r="O351" s="10"/>
      <c r="P351" s="85"/>
      <c r="Q351" s="88"/>
      <c r="R351" s="3">
        <f>IFERROR(VLOOKUP(TablaJulio[[#This Row],[BARRIO]],SECTOR!$A:$B,2,0),"")</f>
      </c>
      <c r="S351" s="89"/>
      <c r="T351" s="90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6"/>
      <c r="AZ351" s="120">
        <f>COUNTIF(U351:AY351,"A")</f>
      </c>
      <c r="BA351" s="121">
        <f>COUNTIF(U351:AY351,"F")</f>
      </c>
      <c r="BB351" s="119">
        <f>COUNTIF(U351:AY351,"E")</f>
      </c>
    </row>
    <row r="352" spans="1:54" x14ac:dyDescent="0.2">
      <c r="A352" s="84"/>
      <c r="B352" s="85"/>
      <c r="C352" s="85"/>
      <c r="D352" s="85"/>
      <c r="E352" s="86"/>
      <c r="F352" s="16">
        <f>IF(E352="","",DATEDIF(E352,$I$7,"Y"))</f>
      </c>
      <c r="G352" s="85"/>
      <c r="H352" s="85"/>
      <c r="I352" s="87"/>
      <c r="J352" s="85"/>
      <c r="K352" s="85"/>
      <c r="L352" s="10"/>
      <c r="M352" s="10"/>
      <c r="N352" s="10"/>
      <c r="O352" s="10"/>
      <c r="P352" s="85"/>
      <c r="Q352" s="88"/>
      <c r="R352" s="3">
        <f>IFERROR(VLOOKUP(TablaJulio[[#This Row],[BARRIO]],SECTOR!$A:$B,2,0),"")</f>
      </c>
      <c r="S352" s="89"/>
      <c r="T352" s="90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6"/>
      <c r="AZ352" s="120">
        <f>COUNTIF(U352:AY352,"A")</f>
      </c>
      <c r="BA352" s="121">
        <f>COUNTIF(U352:AY352,"F")</f>
      </c>
      <c r="BB352" s="119">
        <f>COUNTIF(U352:AY352,"E")</f>
      </c>
    </row>
    <row r="353" spans="1:54" x14ac:dyDescent="0.2">
      <c r="A353" s="84"/>
      <c r="B353" s="85"/>
      <c r="C353" s="85"/>
      <c r="D353" s="85"/>
      <c r="E353" s="86"/>
      <c r="F353" s="16">
        <f>IF(E353="","",DATEDIF(E353,$I$7,"Y"))</f>
      </c>
      <c r="G353" s="85"/>
      <c r="H353" s="85"/>
      <c r="I353" s="87"/>
      <c r="J353" s="85"/>
      <c r="K353" s="85"/>
      <c r="L353" s="10"/>
      <c r="M353" s="10"/>
      <c r="N353" s="10"/>
      <c r="O353" s="10"/>
      <c r="P353" s="85"/>
      <c r="Q353" s="88"/>
      <c r="R353" s="3">
        <f>IFERROR(VLOOKUP(TablaJulio[[#This Row],[BARRIO]],SECTOR!$A:$B,2,0),"")</f>
      </c>
      <c r="S353" s="89"/>
      <c r="T353" s="90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6"/>
      <c r="AZ353" s="120">
        <f>COUNTIF(U353:AY353,"A")</f>
      </c>
      <c r="BA353" s="121">
        <f>COUNTIF(U353:AY353,"F")</f>
      </c>
      <c r="BB353" s="119">
        <f>COUNTIF(U353:AY353,"E")</f>
      </c>
    </row>
    <row r="354" spans="1:54" x14ac:dyDescent="0.2">
      <c r="A354" s="84"/>
      <c r="B354" s="85"/>
      <c r="C354" s="85"/>
      <c r="D354" s="85"/>
      <c r="E354" s="86"/>
      <c r="F354" s="16">
        <f>IF(E354="","",DATEDIF(E354,$I$7,"Y"))</f>
      </c>
      <c r="G354" s="85"/>
      <c r="H354" s="85"/>
      <c r="I354" s="87"/>
      <c r="J354" s="85"/>
      <c r="K354" s="85"/>
      <c r="L354" s="10"/>
      <c r="M354" s="10"/>
      <c r="N354" s="10"/>
      <c r="O354" s="10"/>
      <c r="P354" s="85"/>
      <c r="Q354" s="88"/>
      <c r="R354" s="3">
        <f>IFERROR(VLOOKUP(TablaJulio[[#This Row],[BARRIO]],SECTOR!$A:$B,2,0),"")</f>
      </c>
      <c r="S354" s="89"/>
      <c r="T354" s="90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6"/>
      <c r="AZ354" s="120">
        <f>COUNTIF(U354:AY354,"A")</f>
      </c>
      <c r="BA354" s="121">
        <f>COUNTIF(U354:AY354,"F")</f>
      </c>
      <c r="BB354" s="119">
        <f>COUNTIF(U354:AY354,"E")</f>
      </c>
    </row>
    <row r="355" spans="1:54" x14ac:dyDescent="0.2">
      <c r="A355" s="84"/>
      <c r="B355" s="85"/>
      <c r="C355" s="85"/>
      <c r="D355" s="85"/>
      <c r="E355" s="86"/>
      <c r="F355" s="16">
        <f>IF(E355="","",DATEDIF(E355,$I$7,"Y"))</f>
      </c>
      <c r="G355" s="85"/>
      <c r="H355" s="85"/>
      <c r="I355" s="87"/>
      <c r="J355" s="85"/>
      <c r="K355" s="85"/>
      <c r="L355" s="10"/>
      <c r="M355" s="10"/>
      <c r="N355" s="10"/>
      <c r="O355" s="10"/>
      <c r="P355" s="85"/>
      <c r="Q355" s="88"/>
      <c r="R355" s="3">
        <f>IFERROR(VLOOKUP(TablaJulio[[#This Row],[BARRIO]],SECTOR!$A:$B,2,0),"")</f>
      </c>
      <c r="S355" s="89"/>
      <c r="T355" s="90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6"/>
      <c r="AZ355" s="120">
        <f>COUNTIF(U355:AY355,"A")</f>
      </c>
      <c r="BA355" s="121">
        <f>COUNTIF(U355:AY355,"F")</f>
      </c>
      <c r="BB355" s="119">
        <f>COUNTIF(U355:AY355,"E")</f>
      </c>
    </row>
    <row r="356" spans="1:54" x14ac:dyDescent="0.2">
      <c r="A356" s="84"/>
      <c r="B356" s="85"/>
      <c r="C356" s="85"/>
      <c r="D356" s="85"/>
      <c r="E356" s="86"/>
      <c r="F356" s="16">
        <f>IF(E356="","",DATEDIF(E356,$I$7,"Y"))</f>
      </c>
      <c r="G356" s="85"/>
      <c r="H356" s="85"/>
      <c r="I356" s="87"/>
      <c r="J356" s="85"/>
      <c r="K356" s="85"/>
      <c r="L356" s="10"/>
      <c r="M356" s="10"/>
      <c r="N356" s="10"/>
      <c r="O356" s="10"/>
      <c r="P356" s="85"/>
      <c r="Q356" s="88"/>
      <c r="R356" s="3">
        <f>IFERROR(VLOOKUP(TablaJulio[[#This Row],[BARRIO]],SECTOR!$A:$B,2,0),"")</f>
      </c>
      <c r="S356" s="89"/>
      <c r="T356" s="90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6"/>
      <c r="AZ356" s="120">
        <f>COUNTIF(U356:AY356,"A")</f>
      </c>
      <c r="BA356" s="121">
        <f>COUNTIF(U356:AY356,"F")</f>
      </c>
      <c r="BB356" s="119">
        <f>COUNTIF(U356:AY356,"E")</f>
      </c>
    </row>
    <row r="357" spans="1:54" x14ac:dyDescent="0.2">
      <c r="A357" s="84"/>
      <c r="B357" s="85"/>
      <c r="C357" s="85"/>
      <c r="D357" s="85"/>
      <c r="E357" s="86"/>
      <c r="F357" s="16">
        <f>IF(E357="","",DATEDIF(E357,$I$7,"Y"))</f>
      </c>
      <c r="G357" s="85"/>
      <c r="H357" s="85"/>
      <c r="I357" s="87"/>
      <c r="J357" s="85"/>
      <c r="K357" s="85"/>
      <c r="L357" s="10"/>
      <c r="M357" s="10"/>
      <c r="N357" s="10"/>
      <c r="O357" s="10"/>
      <c r="P357" s="85"/>
      <c r="Q357" s="88"/>
      <c r="R357" s="3">
        <f>IFERROR(VLOOKUP(TablaJulio[[#This Row],[BARRIO]],SECTOR!$A:$B,2,0),"")</f>
      </c>
      <c r="S357" s="89"/>
      <c r="T357" s="90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6"/>
      <c r="AZ357" s="120">
        <f>COUNTIF(U357:AY357,"A")</f>
      </c>
      <c r="BA357" s="121">
        <f>COUNTIF(U357:AY357,"F")</f>
      </c>
      <c r="BB357" s="119">
        <f>COUNTIF(U357:AY357,"E")</f>
      </c>
    </row>
    <row r="358" spans="1:54" x14ac:dyDescent="0.2">
      <c r="A358" s="84"/>
      <c r="B358" s="85"/>
      <c r="C358" s="85"/>
      <c r="D358" s="85"/>
      <c r="E358" s="86"/>
      <c r="F358" s="16">
        <f>IF(E358="","",DATEDIF(E358,$I$7,"Y"))</f>
      </c>
      <c r="G358" s="85"/>
      <c r="H358" s="85"/>
      <c r="I358" s="87"/>
      <c r="J358" s="85"/>
      <c r="K358" s="85"/>
      <c r="L358" s="10"/>
      <c r="M358" s="10"/>
      <c r="N358" s="10"/>
      <c r="O358" s="10"/>
      <c r="P358" s="85"/>
      <c r="Q358" s="88"/>
      <c r="R358" s="3">
        <f>IFERROR(VLOOKUP(TablaJulio[[#This Row],[BARRIO]],SECTOR!$A:$B,2,0),"")</f>
      </c>
      <c r="S358" s="89"/>
      <c r="T358" s="90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6"/>
      <c r="AZ358" s="120">
        <f>COUNTIF(U358:AY358,"A")</f>
      </c>
      <c r="BA358" s="121">
        <f>COUNTIF(U358:AY358,"F")</f>
      </c>
      <c r="BB358" s="119">
        <f>COUNTIF(U358:AY358,"E")</f>
      </c>
    </row>
    <row r="359" spans="1:54" x14ac:dyDescent="0.2">
      <c r="A359" s="84"/>
      <c r="B359" s="85"/>
      <c r="C359" s="85"/>
      <c r="D359" s="85"/>
      <c r="E359" s="86"/>
      <c r="F359" s="16">
        <f>IF(E359="","",DATEDIF(E359,$I$7,"Y"))</f>
      </c>
      <c r="G359" s="85"/>
      <c r="H359" s="85"/>
      <c r="I359" s="87"/>
      <c r="J359" s="85"/>
      <c r="K359" s="85"/>
      <c r="L359" s="10"/>
      <c r="M359" s="10"/>
      <c r="N359" s="10"/>
      <c r="O359" s="10"/>
      <c r="P359" s="85"/>
      <c r="Q359" s="88"/>
      <c r="R359" s="3">
        <f>IFERROR(VLOOKUP(TablaJulio[[#This Row],[BARRIO]],SECTOR!$A:$B,2,0),"")</f>
      </c>
      <c r="S359" s="89"/>
      <c r="T359" s="90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6"/>
      <c r="AZ359" s="120">
        <f>COUNTIF(U359:AY359,"A")</f>
      </c>
      <c r="BA359" s="121">
        <f>COUNTIF(U359:AY359,"F")</f>
      </c>
      <c r="BB359" s="119">
        <f>COUNTIF(U359:AY359,"E")</f>
      </c>
    </row>
    <row r="360" spans="1:54" x14ac:dyDescent="0.2">
      <c r="A360" s="84"/>
      <c r="B360" s="85"/>
      <c r="C360" s="85"/>
      <c r="D360" s="85"/>
      <c r="E360" s="86"/>
      <c r="F360" s="16">
        <f>IF(E360="","",DATEDIF(E360,$I$7,"Y"))</f>
      </c>
      <c r="G360" s="85"/>
      <c r="H360" s="85"/>
      <c r="I360" s="87"/>
      <c r="J360" s="85"/>
      <c r="K360" s="85"/>
      <c r="L360" s="10"/>
      <c r="M360" s="10"/>
      <c r="N360" s="10"/>
      <c r="O360" s="10"/>
      <c r="P360" s="85"/>
      <c r="Q360" s="88"/>
      <c r="R360" s="3">
        <f>IFERROR(VLOOKUP(TablaJulio[[#This Row],[BARRIO]],SECTOR!$A:$B,2,0),"")</f>
      </c>
      <c r="S360" s="89"/>
      <c r="T360" s="90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6"/>
      <c r="AZ360" s="120">
        <f>COUNTIF(U360:AY360,"A")</f>
      </c>
      <c r="BA360" s="121">
        <f>COUNTIF(U360:AY360,"F")</f>
      </c>
      <c r="BB360" s="119">
        <f>COUNTIF(U360:AY360,"E")</f>
      </c>
    </row>
    <row r="361" spans="1:54" x14ac:dyDescent="0.2">
      <c r="A361" s="84"/>
      <c r="B361" s="85"/>
      <c r="C361" s="85"/>
      <c r="D361" s="85"/>
      <c r="E361" s="86"/>
      <c r="F361" s="16">
        <f>IF(E361="","",DATEDIF(E361,$I$7,"Y"))</f>
      </c>
      <c r="G361" s="85"/>
      <c r="H361" s="85"/>
      <c r="I361" s="87"/>
      <c r="J361" s="85"/>
      <c r="K361" s="85"/>
      <c r="L361" s="10"/>
      <c r="M361" s="10"/>
      <c r="N361" s="10"/>
      <c r="O361" s="10"/>
      <c r="P361" s="85"/>
      <c r="Q361" s="88"/>
      <c r="R361" s="3">
        <f>IFERROR(VLOOKUP(TablaJulio[[#This Row],[BARRIO]],SECTOR!$A:$B,2,0),"")</f>
      </c>
      <c r="S361" s="89"/>
      <c r="T361" s="90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6"/>
      <c r="AZ361" s="120">
        <f>COUNTIF(U361:AY361,"A")</f>
      </c>
      <c r="BA361" s="121">
        <f>COUNTIF(U361:AY361,"F")</f>
      </c>
      <c r="BB361" s="119">
        <f>COUNTIF(U361:AY361,"E")</f>
      </c>
    </row>
    <row r="362" spans="1:54" x14ac:dyDescent="0.2">
      <c r="A362" s="84"/>
      <c r="B362" s="85"/>
      <c r="C362" s="85"/>
      <c r="D362" s="85"/>
      <c r="E362" s="86"/>
      <c r="F362" s="16">
        <f>IF(E362="","",DATEDIF(E362,$I$7,"Y"))</f>
      </c>
      <c r="G362" s="85"/>
      <c r="H362" s="85"/>
      <c r="I362" s="87"/>
      <c r="J362" s="85"/>
      <c r="K362" s="85"/>
      <c r="L362" s="10"/>
      <c r="M362" s="10"/>
      <c r="N362" s="10"/>
      <c r="O362" s="10"/>
      <c r="P362" s="85"/>
      <c r="Q362" s="88"/>
      <c r="R362" s="3">
        <f>IFERROR(VLOOKUP(TablaJulio[[#This Row],[BARRIO]],SECTOR!$A:$B,2,0),"")</f>
      </c>
      <c r="S362" s="89"/>
      <c r="T362" s="90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6"/>
      <c r="AZ362" s="120">
        <f>COUNTIF(U362:AY362,"A")</f>
      </c>
      <c r="BA362" s="121">
        <f>COUNTIF(U362:AY362,"F")</f>
      </c>
      <c r="BB362" s="119">
        <f>COUNTIF(U362:AY362,"E")</f>
      </c>
    </row>
    <row r="363" spans="1:54" x14ac:dyDescent="0.2">
      <c r="A363" s="84"/>
      <c r="B363" s="85"/>
      <c r="C363" s="85"/>
      <c r="D363" s="85"/>
      <c r="E363" s="86"/>
      <c r="F363" s="16">
        <f>IF(E363="","",DATEDIF(E363,$I$7,"Y"))</f>
      </c>
      <c r="G363" s="85"/>
      <c r="H363" s="85"/>
      <c r="I363" s="87"/>
      <c r="J363" s="85"/>
      <c r="K363" s="85"/>
      <c r="L363" s="10"/>
      <c r="M363" s="10"/>
      <c r="N363" s="10"/>
      <c r="O363" s="10"/>
      <c r="P363" s="85"/>
      <c r="Q363" s="88"/>
      <c r="R363" s="3">
        <f>IFERROR(VLOOKUP(TablaJulio[[#This Row],[BARRIO]],SECTOR!$A:$B,2,0),"")</f>
      </c>
      <c r="S363" s="89"/>
      <c r="T363" s="90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6"/>
      <c r="AZ363" s="120">
        <f>COUNTIF(U363:AY363,"A")</f>
      </c>
      <c r="BA363" s="121">
        <f>COUNTIF(U363:AY363,"F")</f>
      </c>
      <c r="BB363" s="119">
        <f>COUNTIF(U363:AY363,"E")</f>
      </c>
    </row>
    <row r="364" spans="1:54" x14ac:dyDescent="0.2">
      <c r="A364" s="84"/>
      <c r="B364" s="85"/>
      <c r="C364" s="85"/>
      <c r="D364" s="85"/>
      <c r="E364" s="86"/>
      <c r="F364" s="16">
        <f>IF(E364="","",DATEDIF(E364,$I$7,"Y"))</f>
      </c>
      <c r="G364" s="85"/>
      <c r="H364" s="85"/>
      <c r="I364" s="87"/>
      <c r="J364" s="85"/>
      <c r="K364" s="85"/>
      <c r="L364" s="10"/>
      <c r="M364" s="10"/>
      <c r="N364" s="10"/>
      <c r="O364" s="10"/>
      <c r="P364" s="85"/>
      <c r="Q364" s="88"/>
      <c r="R364" s="3">
        <f>IFERROR(VLOOKUP(TablaJulio[[#This Row],[BARRIO]],SECTOR!$A:$B,2,0),"")</f>
      </c>
      <c r="S364" s="89"/>
      <c r="T364" s="90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6"/>
      <c r="AZ364" s="120">
        <f>COUNTIF(U364:AY364,"A")</f>
      </c>
      <c r="BA364" s="121">
        <f>COUNTIF(U364:AY364,"F")</f>
      </c>
      <c r="BB364" s="119">
        <f>COUNTIF(U364:AY364,"E")</f>
      </c>
    </row>
    <row r="365" spans="1:54" x14ac:dyDescent="0.2">
      <c r="A365" s="84"/>
      <c r="B365" s="85"/>
      <c r="C365" s="85"/>
      <c r="D365" s="85"/>
      <c r="E365" s="86"/>
      <c r="F365" s="16">
        <f>IF(E365="","",DATEDIF(E365,$I$7,"Y"))</f>
      </c>
      <c r="G365" s="85"/>
      <c r="H365" s="85"/>
      <c r="I365" s="87"/>
      <c r="J365" s="85"/>
      <c r="K365" s="85"/>
      <c r="L365" s="10"/>
      <c r="M365" s="10"/>
      <c r="N365" s="10"/>
      <c r="O365" s="10"/>
      <c r="P365" s="85"/>
      <c r="Q365" s="88"/>
      <c r="R365" s="3">
        <f>IFERROR(VLOOKUP(TablaJulio[[#This Row],[BARRIO]],SECTOR!$A:$B,2,0),"")</f>
      </c>
      <c r="S365" s="89"/>
      <c r="T365" s="90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6"/>
      <c r="AZ365" s="120">
        <f>COUNTIF(U365:AY365,"A")</f>
      </c>
      <c r="BA365" s="121">
        <f>COUNTIF(U365:AY365,"F")</f>
      </c>
      <c r="BB365" s="119">
        <f>COUNTIF(U365:AY365,"E")</f>
      </c>
    </row>
    <row r="366" spans="1:54" x14ac:dyDescent="0.2">
      <c r="A366" s="84"/>
      <c r="B366" s="85"/>
      <c r="C366" s="85"/>
      <c r="D366" s="85"/>
      <c r="E366" s="86"/>
      <c r="F366" s="16">
        <f>IF(E366="","",DATEDIF(E366,$I$7,"Y"))</f>
      </c>
      <c r="G366" s="85"/>
      <c r="H366" s="85"/>
      <c r="I366" s="87"/>
      <c r="J366" s="85"/>
      <c r="K366" s="85"/>
      <c r="L366" s="10"/>
      <c r="M366" s="10"/>
      <c r="N366" s="10"/>
      <c r="O366" s="10"/>
      <c r="P366" s="85"/>
      <c r="Q366" s="88"/>
      <c r="R366" s="3">
        <f>IFERROR(VLOOKUP(TablaJulio[[#This Row],[BARRIO]],SECTOR!$A:$B,2,0),"")</f>
      </c>
      <c r="S366" s="89"/>
      <c r="T366" s="90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6"/>
      <c r="AZ366" s="120">
        <f>COUNTIF(U366:AY366,"A")</f>
      </c>
      <c r="BA366" s="121">
        <f>COUNTIF(U366:AY366,"F")</f>
      </c>
      <c r="BB366" s="119">
        <f>COUNTIF(U366:AY366,"E")</f>
      </c>
    </row>
    <row r="367" spans="1:54" x14ac:dyDescent="0.2">
      <c r="A367" s="84"/>
      <c r="B367" s="85"/>
      <c r="C367" s="85"/>
      <c r="D367" s="85"/>
      <c r="E367" s="86"/>
      <c r="F367" s="16">
        <f>IF(E367="","",DATEDIF(E367,$I$7,"Y"))</f>
      </c>
      <c r="G367" s="85"/>
      <c r="H367" s="85"/>
      <c r="I367" s="87"/>
      <c r="J367" s="85"/>
      <c r="K367" s="85"/>
      <c r="L367" s="10"/>
      <c r="M367" s="10"/>
      <c r="N367" s="10"/>
      <c r="O367" s="10"/>
      <c r="P367" s="85"/>
      <c r="Q367" s="88"/>
      <c r="R367" s="3">
        <f>IFERROR(VLOOKUP(TablaJulio[[#This Row],[BARRIO]],SECTOR!$A:$B,2,0),"")</f>
      </c>
      <c r="S367" s="89"/>
      <c r="T367" s="90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6"/>
      <c r="AZ367" s="120">
        <f>COUNTIF(U367:AY367,"A")</f>
      </c>
      <c r="BA367" s="121">
        <f>COUNTIF(U367:AY367,"F")</f>
      </c>
      <c r="BB367" s="119">
        <f>COUNTIF(U367:AY367,"E")</f>
      </c>
    </row>
    <row r="368" spans="1:54" x14ac:dyDescent="0.2">
      <c r="A368" s="84"/>
      <c r="B368" s="85"/>
      <c r="C368" s="85"/>
      <c r="D368" s="85"/>
      <c r="E368" s="86"/>
      <c r="F368" s="16">
        <f>IF(E368="","",DATEDIF(E368,$I$7,"Y"))</f>
      </c>
      <c r="G368" s="85"/>
      <c r="H368" s="85"/>
      <c r="I368" s="87"/>
      <c r="J368" s="85"/>
      <c r="K368" s="85"/>
      <c r="L368" s="10"/>
      <c r="M368" s="10"/>
      <c r="N368" s="10"/>
      <c r="O368" s="10"/>
      <c r="P368" s="85"/>
      <c r="Q368" s="88"/>
      <c r="R368" s="3">
        <f>IFERROR(VLOOKUP(TablaJulio[[#This Row],[BARRIO]],SECTOR!$A:$B,2,0),"")</f>
      </c>
      <c r="S368" s="89"/>
      <c r="T368" s="90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6"/>
      <c r="AZ368" s="120">
        <f>COUNTIF(U368:AY368,"A")</f>
      </c>
      <c r="BA368" s="121">
        <f>COUNTIF(U368:AY368,"F")</f>
      </c>
      <c r="BB368" s="119">
        <f>COUNTIF(U368:AY368,"E")</f>
      </c>
    </row>
    <row r="369" spans="1:54" x14ac:dyDescent="0.2">
      <c r="A369" s="84"/>
      <c r="B369" s="85"/>
      <c r="C369" s="85"/>
      <c r="D369" s="85"/>
      <c r="E369" s="86"/>
      <c r="F369" s="16">
        <f>IF(E369="","",DATEDIF(E369,$I$7,"Y"))</f>
      </c>
      <c r="G369" s="85"/>
      <c r="H369" s="85"/>
      <c r="I369" s="87"/>
      <c r="J369" s="85"/>
      <c r="K369" s="85"/>
      <c r="L369" s="10"/>
      <c r="M369" s="10"/>
      <c r="N369" s="10"/>
      <c r="O369" s="10"/>
      <c r="P369" s="85"/>
      <c r="Q369" s="88"/>
      <c r="R369" s="3">
        <f>IFERROR(VLOOKUP(TablaJulio[[#This Row],[BARRIO]],SECTOR!$A:$B,2,0),"")</f>
      </c>
      <c r="S369" s="89"/>
      <c r="T369" s="90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6"/>
      <c r="AZ369" s="120">
        <f>COUNTIF(U369:AY369,"A")</f>
      </c>
      <c r="BA369" s="121">
        <f>COUNTIF(U369:AY369,"F")</f>
      </c>
      <c r="BB369" s="119">
        <f>COUNTIF(U369:AY369,"E")</f>
      </c>
    </row>
    <row r="370" spans="1:54" x14ac:dyDescent="0.2">
      <c r="A370" s="84"/>
      <c r="B370" s="85"/>
      <c r="C370" s="85"/>
      <c r="D370" s="85"/>
      <c r="E370" s="86"/>
      <c r="F370" s="16">
        <f>IF(E370="","",DATEDIF(E370,$I$7,"Y"))</f>
      </c>
      <c r="G370" s="85"/>
      <c r="H370" s="85"/>
      <c r="I370" s="87"/>
      <c r="J370" s="85"/>
      <c r="K370" s="85"/>
      <c r="L370" s="10"/>
      <c r="M370" s="10"/>
      <c r="N370" s="10"/>
      <c r="O370" s="10"/>
      <c r="P370" s="85"/>
      <c r="Q370" s="88"/>
      <c r="R370" s="3">
        <f>IFERROR(VLOOKUP(TablaJulio[[#This Row],[BARRIO]],SECTOR!$A:$B,2,0),"")</f>
      </c>
      <c r="S370" s="89"/>
      <c r="T370" s="90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6"/>
      <c r="AZ370" s="120">
        <f>COUNTIF(U370:AY370,"A")</f>
      </c>
      <c r="BA370" s="121">
        <f>COUNTIF(U370:AY370,"F")</f>
      </c>
      <c r="BB370" s="119">
        <f>COUNTIF(U370:AY370,"E")</f>
      </c>
    </row>
    <row r="371" spans="1:54" x14ac:dyDescent="0.2">
      <c r="A371" s="84"/>
      <c r="B371" s="85"/>
      <c r="C371" s="85"/>
      <c r="D371" s="85"/>
      <c r="E371" s="86"/>
      <c r="F371" s="16">
        <f>IF(E371="","",DATEDIF(E371,$I$7,"Y"))</f>
      </c>
      <c r="G371" s="85"/>
      <c r="H371" s="85"/>
      <c r="I371" s="87"/>
      <c r="J371" s="85"/>
      <c r="K371" s="85"/>
      <c r="L371" s="10"/>
      <c r="M371" s="10"/>
      <c r="N371" s="10"/>
      <c r="O371" s="10"/>
      <c r="P371" s="85"/>
      <c r="Q371" s="88"/>
      <c r="R371" s="3">
        <f>IFERROR(VLOOKUP(TablaJulio[[#This Row],[BARRIO]],SECTOR!$A:$B,2,0),"")</f>
      </c>
      <c r="S371" s="89"/>
      <c r="T371" s="90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6"/>
      <c r="AZ371" s="120">
        <f>COUNTIF(U371:AY371,"A")</f>
      </c>
      <c r="BA371" s="121">
        <f>COUNTIF(U371:AY371,"F")</f>
      </c>
      <c r="BB371" s="119">
        <f>COUNTIF(U371:AY371,"E")</f>
      </c>
    </row>
    <row r="372" spans="1:54" x14ac:dyDescent="0.2">
      <c r="A372" s="84"/>
      <c r="B372" s="85"/>
      <c r="C372" s="85"/>
      <c r="D372" s="85"/>
      <c r="E372" s="86"/>
      <c r="F372" s="16">
        <f>IF(E372="","",DATEDIF(E372,$I$7,"Y"))</f>
      </c>
      <c r="G372" s="85"/>
      <c r="H372" s="85"/>
      <c r="I372" s="87"/>
      <c r="J372" s="85"/>
      <c r="K372" s="85"/>
      <c r="L372" s="10"/>
      <c r="M372" s="10"/>
      <c r="N372" s="10"/>
      <c r="O372" s="10"/>
      <c r="P372" s="85"/>
      <c r="Q372" s="88"/>
      <c r="R372" s="3">
        <f>IFERROR(VLOOKUP(TablaJulio[[#This Row],[BARRIO]],SECTOR!$A:$B,2,0),"")</f>
      </c>
      <c r="S372" s="89"/>
      <c r="T372" s="90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6"/>
      <c r="AZ372" s="120">
        <f>COUNTIF(U372:AY372,"A")</f>
      </c>
      <c r="BA372" s="121">
        <f>COUNTIF(U372:AY372,"F")</f>
      </c>
      <c r="BB372" s="119">
        <f>COUNTIF(U372:AY372,"E")</f>
      </c>
    </row>
    <row r="373" spans="1:54" x14ac:dyDescent="0.2">
      <c r="A373" s="84"/>
      <c r="B373" s="85"/>
      <c r="C373" s="85"/>
      <c r="D373" s="85"/>
      <c r="E373" s="86"/>
      <c r="F373" s="16">
        <f>IF(E373="","",DATEDIF(E373,$I$7,"Y"))</f>
      </c>
      <c r="G373" s="85"/>
      <c r="H373" s="85"/>
      <c r="I373" s="87"/>
      <c r="J373" s="85"/>
      <c r="K373" s="85"/>
      <c r="L373" s="10"/>
      <c r="M373" s="10"/>
      <c r="N373" s="10"/>
      <c r="O373" s="10"/>
      <c r="P373" s="85"/>
      <c r="Q373" s="88"/>
      <c r="R373" s="3">
        <f>IFERROR(VLOOKUP(TablaJulio[[#This Row],[BARRIO]],SECTOR!$A:$B,2,0),"")</f>
      </c>
      <c r="S373" s="89"/>
      <c r="T373" s="90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6"/>
      <c r="AZ373" s="120">
        <f>COUNTIF(U373:AY373,"A")</f>
      </c>
      <c r="BA373" s="121">
        <f>COUNTIF(U373:AY373,"F")</f>
      </c>
      <c r="BB373" s="119">
        <f>COUNTIF(U373:AY373,"E")</f>
      </c>
    </row>
    <row r="374" spans="1:54" x14ac:dyDescent="0.2">
      <c r="A374" s="84"/>
      <c r="B374" s="85"/>
      <c r="C374" s="85"/>
      <c r="D374" s="85"/>
      <c r="E374" s="86"/>
      <c r="F374" s="16">
        <f>IF(E374="","",DATEDIF(E374,$I$7,"Y"))</f>
      </c>
      <c r="G374" s="85"/>
      <c r="H374" s="85"/>
      <c r="I374" s="87"/>
      <c r="J374" s="85"/>
      <c r="K374" s="85"/>
      <c r="L374" s="10"/>
      <c r="M374" s="10"/>
      <c r="N374" s="10"/>
      <c r="O374" s="10"/>
      <c r="P374" s="85"/>
      <c r="Q374" s="88"/>
      <c r="R374" s="3">
        <f>IFERROR(VLOOKUP(TablaJulio[[#This Row],[BARRIO]],SECTOR!$A:$B,2,0),"")</f>
      </c>
      <c r="S374" s="89"/>
      <c r="T374" s="90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6"/>
      <c r="AZ374" s="120">
        <f>COUNTIF(U374:AY374,"A")</f>
      </c>
      <c r="BA374" s="121">
        <f>COUNTIF(U374:AY374,"F")</f>
      </c>
      <c r="BB374" s="119">
        <f>COUNTIF(U374:AY374,"E")</f>
      </c>
    </row>
    <row r="375" spans="1:54" x14ac:dyDescent="0.2">
      <c r="A375" s="84"/>
      <c r="B375" s="85"/>
      <c r="C375" s="85"/>
      <c r="D375" s="85"/>
      <c r="E375" s="86"/>
      <c r="F375" s="16">
        <f>IF(E375="","",DATEDIF(E375,$I$7,"Y"))</f>
      </c>
      <c r="G375" s="85"/>
      <c r="H375" s="85"/>
      <c r="I375" s="87"/>
      <c r="J375" s="85"/>
      <c r="K375" s="85"/>
      <c r="L375" s="10"/>
      <c r="M375" s="10"/>
      <c r="N375" s="10"/>
      <c r="O375" s="10"/>
      <c r="P375" s="85"/>
      <c r="Q375" s="88"/>
      <c r="R375" s="3">
        <f>IFERROR(VLOOKUP(TablaJulio[[#This Row],[BARRIO]],SECTOR!$A:$B,2,0),"")</f>
      </c>
      <c r="S375" s="89"/>
      <c r="T375" s="90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6"/>
      <c r="AZ375" s="120">
        <f>COUNTIF(U375:AY375,"A")</f>
      </c>
      <c r="BA375" s="121">
        <f>COUNTIF(U375:AY375,"F")</f>
      </c>
      <c r="BB375" s="119">
        <f>COUNTIF(U375:AY375,"E")</f>
      </c>
    </row>
    <row r="376" spans="1:54" x14ac:dyDescent="0.2">
      <c r="A376" s="84"/>
      <c r="B376" s="85"/>
      <c r="C376" s="85"/>
      <c r="D376" s="85"/>
      <c r="E376" s="86"/>
      <c r="F376" s="16">
        <f>IF(E376="","",DATEDIF(E376,$I$7,"Y"))</f>
      </c>
      <c r="G376" s="85"/>
      <c r="H376" s="85"/>
      <c r="I376" s="87"/>
      <c r="J376" s="85"/>
      <c r="K376" s="85"/>
      <c r="L376" s="10"/>
      <c r="M376" s="10"/>
      <c r="N376" s="10"/>
      <c r="O376" s="10"/>
      <c r="P376" s="85"/>
      <c r="Q376" s="88"/>
      <c r="R376" s="3">
        <f>IFERROR(VLOOKUP(TablaJulio[[#This Row],[BARRIO]],SECTOR!$A:$B,2,0),"")</f>
      </c>
      <c r="S376" s="89"/>
      <c r="T376" s="90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6"/>
      <c r="AZ376" s="120">
        <f>COUNTIF(U376:AY376,"A")</f>
      </c>
      <c r="BA376" s="121">
        <f>COUNTIF(U376:AY376,"F")</f>
      </c>
      <c r="BB376" s="119">
        <f>COUNTIF(U376:AY376,"E")</f>
      </c>
    </row>
    <row r="377" spans="1:54" x14ac:dyDescent="0.2">
      <c r="A377" s="84"/>
      <c r="B377" s="85"/>
      <c r="C377" s="85"/>
      <c r="D377" s="85"/>
      <c r="E377" s="86"/>
      <c r="F377" s="16">
        <f>IF(E377="","",DATEDIF(E377,$I$7,"Y"))</f>
      </c>
      <c r="G377" s="85"/>
      <c r="H377" s="85"/>
      <c r="I377" s="87"/>
      <c r="J377" s="85"/>
      <c r="K377" s="85"/>
      <c r="L377" s="10"/>
      <c r="M377" s="10"/>
      <c r="N377" s="10"/>
      <c r="O377" s="10"/>
      <c r="P377" s="85"/>
      <c r="Q377" s="88"/>
      <c r="R377" s="3">
        <f>IFERROR(VLOOKUP(TablaJulio[[#This Row],[BARRIO]],SECTOR!$A:$B,2,0),"")</f>
      </c>
      <c r="S377" s="89"/>
      <c r="T377" s="90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6"/>
      <c r="AZ377" s="120">
        <f>COUNTIF(U377:AY377,"A")</f>
      </c>
      <c r="BA377" s="121">
        <f>COUNTIF(U377:AY377,"F")</f>
      </c>
      <c r="BB377" s="119">
        <f>COUNTIF(U377:AY377,"E")</f>
      </c>
    </row>
    <row r="378" spans="1:54" x14ac:dyDescent="0.2">
      <c r="A378" s="84"/>
      <c r="B378" s="85"/>
      <c r="C378" s="85"/>
      <c r="D378" s="85"/>
      <c r="E378" s="86"/>
      <c r="F378" s="16">
        <f>IF(E378="","",DATEDIF(E378,$I$7,"Y"))</f>
      </c>
      <c r="G378" s="85"/>
      <c r="H378" s="85"/>
      <c r="I378" s="87"/>
      <c r="J378" s="85"/>
      <c r="K378" s="85"/>
      <c r="L378" s="10"/>
      <c r="M378" s="10"/>
      <c r="N378" s="10"/>
      <c r="O378" s="10"/>
      <c r="P378" s="85"/>
      <c r="Q378" s="88"/>
      <c r="R378" s="3">
        <f>IFERROR(VLOOKUP(TablaJulio[[#This Row],[BARRIO]],SECTOR!$A:$B,2,0),"")</f>
      </c>
      <c r="S378" s="89"/>
      <c r="T378" s="90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6"/>
      <c r="AZ378" s="120">
        <f>COUNTIF(U378:AY378,"A")</f>
      </c>
      <c r="BA378" s="121">
        <f>COUNTIF(U378:AY378,"F")</f>
      </c>
      <c r="BB378" s="119">
        <f>COUNTIF(U378:AY378,"E")</f>
      </c>
    </row>
    <row r="379" spans="1:54" x14ac:dyDescent="0.2">
      <c r="A379" s="84"/>
      <c r="B379" s="85"/>
      <c r="C379" s="85"/>
      <c r="D379" s="85"/>
      <c r="E379" s="86"/>
      <c r="F379" s="16">
        <f>IF(E379="","",DATEDIF(E379,$I$7,"Y"))</f>
      </c>
      <c r="G379" s="85"/>
      <c r="H379" s="85"/>
      <c r="I379" s="87"/>
      <c r="J379" s="85"/>
      <c r="K379" s="85"/>
      <c r="L379" s="10"/>
      <c r="M379" s="10"/>
      <c r="N379" s="10"/>
      <c r="O379" s="10"/>
      <c r="P379" s="85"/>
      <c r="Q379" s="88"/>
      <c r="R379" s="3">
        <f>IFERROR(VLOOKUP(TablaJulio[[#This Row],[BARRIO]],SECTOR!$A:$B,2,0),"")</f>
      </c>
      <c r="S379" s="89"/>
      <c r="T379" s="90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6"/>
      <c r="AZ379" s="120">
        <f>COUNTIF(U379:AY379,"A")</f>
      </c>
      <c r="BA379" s="121">
        <f>COUNTIF(U379:AY379,"F")</f>
      </c>
      <c r="BB379" s="119">
        <f>COUNTIF(U379:AY379,"E")</f>
      </c>
    </row>
    <row r="380" spans="1:54" x14ac:dyDescent="0.2">
      <c r="A380" s="84"/>
      <c r="B380" s="85"/>
      <c r="C380" s="85"/>
      <c r="D380" s="85"/>
      <c r="E380" s="86"/>
      <c r="F380" s="16">
        <f>IF(E380="","",DATEDIF(E380,$I$7,"Y"))</f>
      </c>
      <c r="G380" s="85"/>
      <c r="H380" s="85"/>
      <c r="I380" s="87"/>
      <c r="J380" s="85"/>
      <c r="K380" s="85"/>
      <c r="L380" s="10"/>
      <c r="M380" s="10"/>
      <c r="N380" s="10"/>
      <c r="O380" s="10"/>
      <c r="P380" s="85"/>
      <c r="Q380" s="88"/>
      <c r="R380" s="3">
        <f>IFERROR(VLOOKUP(TablaJulio[[#This Row],[BARRIO]],SECTOR!$A:$B,2,0),"")</f>
      </c>
      <c r="S380" s="89"/>
      <c r="T380" s="90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6"/>
      <c r="AZ380" s="120">
        <f>COUNTIF(U380:AY380,"A")</f>
      </c>
      <c r="BA380" s="121">
        <f>COUNTIF(U380:AY380,"F")</f>
      </c>
      <c r="BB380" s="119">
        <f>COUNTIF(U380:AY380,"E")</f>
      </c>
    </row>
    <row r="381" spans="1:54" x14ac:dyDescent="0.2">
      <c r="A381" s="84"/>
      <c r="B381" s="85"/>
      <c r="C381" s="85"/>
      <c r="D381" s="85"/>
      <c r="E381" s="86"/>
      <c r="F381" s="16">
        <f>IF(E381="","",DATEDIF(E381,$I$7,"Y"))</f>
      </c>
      <c r="G381" s="85"/>
      <c r="H381" s="85"/>
      <c r="I381" s="87"/>
      <c r="J381" s="85"/>
      <c r="K381" s="85"/>
      <c r="L381" s="10"/>
      <c r="M381" s="10"/>
      <c r="N381" s="10"/>
      <c r="O381" s="10"/>
      <c r="P381" s="85"/>
      <c r="Q381" s="88"/>
      <c r="R381" s="3">
        <f>IFERROR(VLOOKUP(TablaJulio[[#This Row],[BARRIO]],SECTOR!$A:$B,2,0),"")</f>
      </c>
      <c r="S381" s="89"/>
      <c r="T381" s="90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6"/>
      <c r="AZ381" s="120">
        <f>COUNTIF(U381:AY381,"A")</f>
      </c>
      <c r="BA381" s="121">
        <f>COUNTIF(U381:AY381,"F")</f>
      </c>
      <c r="BB381" s="119">
        <f>COUNTIF(U381:AY381,"E")</f>
      </c>
    </row>
    <row r="382" spans="1:54" x14ac:dyDescent="0.2">
      <c r="A382" s="84"/>
      <c r="B382" s="85"/>
      <c r="C382" s="85"/>
      <c r="D382" s="85"/>
      <c r="E382" s="86"/>
      <c r="F382" s="16">
        <f>IF(E382="","",DATEDIF(E382,$I$7,"Y"))</f>
      </c>
      <c r="G382" s="85"/>
      <c r="H382" s="85"/>
      <c r="I382" s="87"/>
      <c r="J382" s="85"/>
      <c r="K382" s="85"/>
      <c r="L382" s="10"/>
      <c r="M382" s="10"/>
      <c r="N382" s="10"/>
      <c r="O382" s="10"/>
      <c r="P382" s="85"/>
      <c r="Q382" s="88"/>
      <c r="R382" s="3">
        <f>IFERROR(VLOOKUP(TablaJulio[[#This Row],[BARRIO]],SECTOR!$A:$B,2,0),"")</f>
      </c>
      <c r="S382" s="89"/>
      <c r="T382" s="90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6"/>
      <c r="AZ382" s="120">
        <f>COUNTIF(U382:AY382,"A")</f>
      </c>
      <c r="BA382" s="121">
        <f>COUNTIF(U382:AY382,"F")</f>
      </c>
      <c r="BB382" s="119">
        <f>COUNTIF(U382:AY382,"E")</f>
      </c>
    </row>
    <row r="383" spans="1:54" x14ac:dyDescent="0.2">
      <c r="A383" s="84"/>
      <c r="B383" s="85"/>
      <c r="C383" s="85"/>
      <c r="D383" s="85"/>
      <c r="E383" s="86"/>
      <c r="F383" s="16">
        <f>IF(E383="","",DATEDIF(E383,$I$7,"Y"))</f>
      </c>
      <c r="G383" s="85"/>
      <c r="H383" s="85"/>
      <c r="I383" s="87"/>
      <c r="J383" s="85"/>
      <c r="K383" s="85"/>
      <c r="L383" s="10"/>
      <c r="M383" s="10"/>
      <c r="N383" s="10"/>
      <c r="O383" s="10"/>
      <c r="P383" s="85"/>
      <c r="Q383" s="88"/>
      <c r="R383" s="3">
        <f>IFERROR(VLOOKUP(TablaJulio[[#This Row],[BARRIO]],SECTOR!$A:$B,2,0),"")</f>
      </c>
      <c r="S383" s="89"/>
      <c r="T383" s="90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6"/>
      <c r="AZ383" s="120">
        <f>COUNTIF(U383:AY383,"A")</f>
      </c>
      <c r="BA383" s="121">
        <f>COUNTIF(U383:AY383,"F")</f>
      </c>
      <c r="BB383" s="119">
        <f>COUNTIF(U383:AY383,"E")</f>
      </c>
    </row>
    <row r="384" spans="1:54" x14ac:dyDescent="0.2">
      <c r="A384" s="84"/>
      <c r="B384" s="85"/>
      <c r="C384" s="85"/>
      <c r="D384" s="85"/>
      <c r="E384" s="86"/>
      <c r="F384" s="16">
        <f>IF(E384="","",DATEDIF(E384,$I$7,"Y"))</f>
      </c>
      <c r="G384" s="85"/>
      <c r="H384" s="85"/>
      <c r="I384" s="87"/>
      <c r="J384" s="85"/>
      <c r="K384" s="85"/>
      <c r="L384" s="10"/>
      <c r="M384" s="10"/>
      <c r="N384" s="10"/>
      <c r="O384" s="10"/>
      <c r="P384" s="85"/>
      <c r="Q384" s="88"/>
      <c r="R384" s="3">
        <f>IFERROR(VLOOKUP(TablaJulio[[#This Row],[BARRIO]],SECTOR!$A:$B,2,0),"")</f>
      </c>
      <c r="S384" s="89"/>
      <c r="T384" s="90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6"/>
      <c r="AZ384" s="120">
        <f>COUNTIF(U384:AY384,"A")</f>
      </c>
      <c r="BA384" s="121">
        <f>COUNTIF(U384:AY384,"F")</f>
      </c>
      <c r="BB384" s="119">
        <f>COUNTIF(U384:AY384,"E")</f>
      </c>
    </row>
    <row r="385" spans="1:54" x14ac:dyDescent="0.2">
      <c r="A385" s="84"/>
      <c r="B385" s="85"/>
      <c r="C385" s="85"/>
      <c r="D385" s="85"/>
      <c r="E385" s="86"/>
      <c r="F385" s="16">
        <f>IF(E385="","",DATEDIF(E385,$I$7,"Y"))</f>
      </c>
      <c r="G385" s="85"/>
      <c r="H385" s="85"/>
      <c r="I385" s="87"/>
      <c r="J385" s="85"/>
      <c r="K385" s="85"/>
      <c r="L385" s="10"/>
      <c r="M385" s="10"/>
      <c r="N385" s="10"/>
      <c r="O385" s="10"/>
      <c r="P385" s="85"/>
      <c r="Q385" s="88"/>
      <c r="R385" s="3">
        <f>IFERROR(VLOOKUP(TablaJulio[[#This Row],[BARRIO]],SECTOR!$A:$B,2,0),"")</f>
      </c>
      <c r="S385" s="89"/>
      <c r="T385" s="90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6"/>
      <c r="AZ385" s="120">
        <f>COUNTIF(U385:AY385,"A")</f>
      </c>
      <c r="BA385" s="121">
        <f>COUNTIF(U385:AY385,"F")</f>
      </c>
      <c r="BB385" s="119">
        <f>COUNTIF(U385:AY385,"E")</f>
      </c>
    </row>
    <row r="386" spans="1:54" x14ac:dyDescent="0.2">
      <c r="A386" s="84"/>
      <c r="B386" s="85"/>
      <c r="C386" s="85"/>
      <c r="D386" s="85"/>
      <c r="E386" s="86"/>
      <c r="F386" s="16">
        <f>IF(E386="","",DATEDIF(E386,$I$7,"Y"))</f>
      </c>
      <c r="G386" s="85"/>
      <c r="H386" s="85"/>
      <c r="I386" s="87"/>
      <c r="J386" s="85"/>
      <c r="K386" s="85"/>
      <c r="L386" s="10"/>
      <c r="M386" s="10"/>
      <c r="N386" s="10"/>
      <c r="O386" s="10"/>
      <c r="P386" s="85"/>
      <c r="Q386" s="88"/>
      <c r="R386" s="3">
        <f>IFERROR(VLOOKUP(TablaJulio[[#This Row],[BARRIO]],SECTOR!$A:$B,2,0),"")</f>
      </c>
      <c r="S386" s="89"/>
      <c r="T386" s="90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6"/>
      <c r="AZ386" s="120">
        <f>COUNTIF(U386:AY386,"A")</f>
      </c>
      <c r="BA386" s="121">
        <f>COUNTIF(U386:AY386,"F")</f>
      </c>
      <c r="BB386" s="119">
        <f>COUNTIF(U386:AY386,"E")</f>
      </c>
    </row>
    <row r="387" spans="1:54" x14ac:dyDescent="0.2">
      <c r="A387" s="84"/>
      <c r="B387" s="85"/>
      <c r="C387" s="85"/>
      <c r="D387" s="85"/>
      <c r="E387" s="86"/>
      <c r="F387" s="16">
        <f>IF(E387="","",DATEDIF(E387,$I$7,"Y"))</f>
      </c>
      <c r="G387" s="85"/>
      <c r="H387" s="85"/>
      <c r="I387" s="87"/>
      <c r="J387" s="85"/>
      <c r="K387" s="85"/>
      <c r="L387" s="10"/>
      <c r="M387" s="10"/>
      <c r="N387" s="10"/>
      <c r="O387" s="10"/>
      <c r="P387" s="85"/>
      <c r="Q387" s="88"/>
      <c r="R387" s="3">
        <f>IFERROR(VLOOKUP(TablaJulio[[#This Row],[BARRIO]],SECTOR!$A:$B,2,0),"")</f>
      </c>
      <c r="S387" s="89"/>
      <c r="T387" s="90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6"/>
      <c r="AZ387" s="120">
        <f>COUNTIF(U387:AY387,"A")</f>
      </c>
      <c r="BA387" s="121">
        <f>COUNTIF(U387:AY387,"F")</f>
      </c>
      <c r="BB387" s="119">
        <f>COUNTIF(U387:AY387,"E")</f>
      </c>
    </row>
    <row r="388" spans="1:54" x14ac:dyDescent="0.2">
      <c r="A388" s="84"/>
      <c r="B388" s="85"/>
      <c r="C388" s="85"/>
      <c r="D388" s="85"/>
      <c r="E388" s="86"/>
      <c r="F388" s="16">
        <f>IF(E388="","",DATEDIF(E388,$I$7,"Y"))</f>
      </c>
      <c r="G388" s="85"/>
      <c r="H388" s="85"/>
      <c r="I388" s="87"/>
      <c r="J388" s="85"/>
      <c r="K388" s="85"/>
      <c r="L388" s="10"/>
      <c r="M388" s="10"/>
      <c r="N388" s="10"/>
      <c r="O388" s="10"/>
      <c r="P388" s="85"/>
      <c r="Q388" s="88"/>
      <c r="R388" s="3">
        <f>IFERROR(VLOOKUP(TablaJulio[[#This Row],[BARRIO]],SECTOR!$A:$B,2,0),"")</f>
      </c>
      <c r="S388" s="89"/>
      <c r="T388" s="90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6"/>
      <c r="AZ388" s="120">
        <f>COUNTIF(U388:AY388,"A")</f>
      </c>
      <c r="BA388" s="121">
        <f>COUNTIF(U388:AY388,"F")</f>
      </c>
      <c r="BB388" s="119">
        <f>COUNTIF(U388:AY388,"E")</f>
      </c>
    </row>
    <row r="389" spans="1:54" x14ac:dyDescent="0.2">
      <c r="A389" s="84"/>
      <c r="B389" s="85"/>
      <c r="C389" s="85"/>
      <c r="D389" s="85"/>
      <c r="E389" s="86"/>
      <c r="F389" s="16">
        <f>IF(E389="","",DATEDIF(E389,$I$7,"Y"))</f>
      </c>
      <c r="G389" s="85"/>
      <c r="H389" s="85"/>
      <c r="I389" s="87"/>
      <c r="J389" s="85"/>
      <c r="K389" s="85"/>
      <c r="L389" s="10"/>
      <c r="M389" s="10"/>
      <c r="N389" s="10"/>
      <c r="O389" s="10"/>
      <c r="P389" s="85"/>
      <c r="Q389" s="88"/>
      <c r="R389" s="3">
        <f>IFERROR(VLOOKUP(TablaJulio[[#This Row],[BARRIO]],SECTOR!$A:$B,2,0),"")</f>
      </c>
      <c r="S389" s="89"/>
      <c r="T389" s="90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6"/>
      <c r="AZ389" s="120">
        <f>COUNTIF(U389:AY389,"A")</f>
      </c>
      <c r="BA389" s="121">
        <f>COUNTIF(U389:AY389,"F")</f>
      </c>
      <c r="BB389" s="119">
        <f>COUNTIF(U389:AY389,"E")</f>
      </c>
    </row>
    <row r="390" spans="1:54" x14ac:dyDescent="0.2">
      <c r="A390" s="84"/>
      <c r="B390" s="85"/>
      <c r="C390" s="85"/>
      <c r="D390" s="85"/>
      <c r="E390" s="86"/>
      <c r="F390" s="16">
        <f>IF(E390="","",DATEDIF(E390,$I$7,"Y"))</f>
      </c>
      <c r="G390" s="85"/>
      <c r="H390" s="85"/>
      <c r="I390" s="87"/>
      <c r="J390" s="85"/>
      <c r="K390" s="85"/>
      <c r="L390" s="10"/>
      <c r="M390" s="10"/>
      <c r="N390" s="10"/>
      <c r="O390" s="10"/>
      <c r="P390" s="85"/>
      <c r="Q390" s="88"/>
      <c r="R390" s="3">
        <f>IFERROR(VLOOKUP(TablaJulio[[#This Row],[BARRIO]],SECTOR!$A:$B,2,0),"")</f>
      </c>
      <c r="S390" s="89"/>
      <c r="T390" s="90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6"/>
      <c r="AZ390" s="120">
        <f>COUNTIF(U390:AY390,"A")</f>
      </c>
      <c r="BA390" s="121">
        <f>COUNTIF(U390:AY390,"F")</f>
      </c>
      <c r="BB390" s="119">
        <f>COUNTIF(U390:AY390,"E")</f>
      </c>
    </row>
    <row r="391" spans="1:54" x14ac:dyDescent="0.2">
      <c r="A391" s="84"/>
      <c r="B391" s="85"/>
      <c r="C391" s="85"/>
      <c r="D391" s="85"/>
      <c r="E391" s="86"/>
      <c r="F391" s="16">
        <f>IF(E391="","",DATEDIF(E391,$I$7,"Y"))</f>
      </c>
      <c r="G391" s="85"/>
      <c r="H391" s="85"/>
      <c r="I391" s="87"/>
      <c r="J391" s="85"/>
      <c r="K391" s="85"/>
      <c r="L391" s="10"/>
      <c r="M391" s="10"/>
      <c r="N391" s="10"/>
      <c r="O391" s="10"/>
      <c r="P391" s="85"/>
      <c r="Q391" s="88"/>
      <c r="R391" s="3">
        <f>IFERROR(VLOOKUP(TablaJulio[[#This Row],[BARRIO]],SECTOR!$A:$B,2,0),"")</f>
      </c>
      <c r="S391" s="89"/>
      <c r="T391" s="90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6"/>
      <c r="AZ391" s="120">
        <f>COUNTIF(U391:AY391,"A")</f>
      </c>
      <c r="BA391" s="121">
        <f>COUNTIF(U391:AY391,"F")</f>
      </c>
      <c r="BB391" s="119">
        <f>COUNTIF(U391:AY391,"E")</f>
      </c>
    </row>
    <row r="392" spans="1:54" x14ac:dyDescent="0.2">
      <c r="A392" s="84"/>
      <c r="B392" s="85"/>
      <c r="C392" s="85"/>
      <c r="D392" s="85"/>
      <c r="E392" s="86"/>
      <c r="F392" s="16">
        <f>IF(E392="","",DATEDIF(E392,$I$7,"Y"))</f>
      </c>
      <c r="G392" s="85"/>
      <c r="H392" s="85"/>
      <c r="I392" s="87"/>
      <c r="J392" s="85"/>
      <c r="K392" s="85"/>
      <c r="L392" s="10"/>
      <c r="M392" s="10"/>
      <c r="N392" s="10"/>
      <c r="O392" s="10"/>
      <c r="P392" s="85"/>
      <c r="Q392" s="88"/>
      <c r="R392" s="3">
        <f>IFERROR(VLOOKUP(TablaJulio[[#This Row],[BARRIO]],SECTOR!$A:$B,2,0),"")</f>
      </c>
      <c r="S392" s="89"/>
      <c r="T392" s="90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6"/>
      <c r="AZ392" s="120">
        <f>COUNTIF(U392:AY392,"A")</f>
      </c>
      <c r="BA392" s="121">
        <f>COUNTIF(U392:AY392,"F")</f>
      </c>
      <c r="BB392" s="119">
        <f>COUNTIF(U392:AY392,"E")</f>
      </c>
    </row>
    <row r="393" spans="1:54" x14ac:dyDescent="0.2">
      <c r="A393" s="84"/>
      <c r="B393" s="85"/>
      <c r="C393" s="85"/>
      <c r="D393" s="85"/>
      <c r="E393" s="86"/>
      <c r="F393" s="16">
        <f>IF(E393="","",DATEDIF(E393,$I$7,"Y"))</f>
      </c>
      <c r="G393" s="85"/>
      <c r="H393" s="85"/>
      <c r="I393" s="87"/>
      <c r="J393" s="85"/>
      <c r="K393" s="85"/>
      <c r="L393" s="10"/>
      <c r="M393" s="10"/>
      <c r="N393" s="10"/>
      <c r="O393" s="10"/>
      <c r="P393" s="85"/>
      <c r="Q393" s="88"/>
      <c r="R393" s="3">
        <f>IFERROR(VLOOKUP(TablaJulio[[#This Row],[BARRIO]],SECTOR!$A:$B,2,0),"")</f>
      </c>
      <c r="S393" s="89"/>
      <c r="T393" s="90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6"/>
      <c r="AZ393" s="120">
        <f>COUNTIF(U393:AY393,"A")</f>
      </c>
      <c r="BA393" s="121">
        <f>COUNTIF(U393:AY393,"F")</f>
      </c>
      <c r="BB393" s="119">
        <f>COUNTIF(U393:AY393,"E")</f>
      </c>
    </row>
    <row r="394" spans="1:54" x14ac:dyDescent="0.2">
      <c r="A394" s="84"/>
      <c r="B394" s="85"/>
      <c r="C394" s="85"/>
      <c r="D394" s="85"/>
      <c r="E394" s="86"/>
      <c r="F394" s="16">
        <f>IF(E394="","",DATEDIF(E394,$I$7,"Y"))</f>
      </c>
      <c r="G394" s="85"/>
      <c r="H394" s="85"/>
      <c r="I394" s="87"/>
      <c r="J394" s="85"/>
      <c r="K394" s="85"/>
      <c r="L394" s="10"/>
      <c r="M394" s="10"/>
      <c r="N394" s="10"/>
      <c r="O394" s="10"/>
      <c r="P394" s="85"/>
      <c r="Q394" s="88"/>
      <c r="R394" s="3">
        <f>IFERROR(VLOOKUP(TablaJulio[[#This Row],[BARRIO]],SECTOR!$A:$B,2,0),"")</f>
      </c>
      <c r="S394" s="89"/>
      <c r="T394" s="90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6"/>
      <c r="AZ394" s="120">
        <f>COUNTIF(U394:AY394,"A")</f>
      </c>
      <c r="BA394" s="121">
        <f>COUNTIF(U394:AY394,"F")</f>
      </c>
      <c r="BB394" s="119">
        <f>COUNTIF(U394:AY394,"E")</f>
      </c>
    </row>
    <row r="395" spans="1:54" x14ac:dyDescent="0.2">
      <c r="A395" s="84"/>
      <c r="B395" s="85"/>
      <c r="C395" s="85"/>
      <c r="D395" s="85"/>
      <c r="E395" s="86"/>
      <c r="F395" s="16">
        <f>IF(E395="","",DATEDIF(E395,$I$7,"Y"))</f>
      </c>
      <c r="G395" s="85"/>
      <c r="H395" s="85"/>
      <c r="I395" s="87"/>
      <c r="J395" s="85"/>
      <c r="K395" s="85"/>
      <c r="L395" s="10"/>
      <c r="M395" s="10"/>
      <c r="N395" s="10"/>
      <c r="O395" s="10"/>
      <c r="P395" s="85"/>
      <c r="Q395" s="88"/>
      <c r="R395" s="3">
        <f>IFERROR(VLOOKUP(TablaJulio[[#This Row],[BARRIO]],SECTOR!$A:$B,2,0),"")</f>
      </c>
      <c r="S395" s="89"/>
      <c r="T395" s="90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6"/>
      <c r="AZ395" s="120">
        <f>COUNTIF(U395:AY395,"A")</f>
      </c>
      <c r="BA395" s="121">
        <f>COUNTIF(U395:AY395,"F")</f>
      </c>
      <c r="BB395" s="119">
        <f>COUNTIF(U395:AY395,"E")</f>
      </c>
    </row>
    <row r="396" spans="1:54" x14ac:dyDescent="0.2">
      <c r="A396" s="84"/>
      <c r="B396" s="85"/>
      <c r="C396" s="85"/>
      <c r="D396" s="85"/>
      <c r="E396" s="86"/>
      <c r="F396" s="16">
        <f>IF(E396="","",DATEDIF(E396,$I$7,"Y"))</f>
      </c>
      <c r="G396" s="85"/>
      <c r="H396" s="85"/>
      <c r="I396" s="87"/>
      <c r="J396" s="85"/>
      <c r="K396" s="85"/>
      <c r="L396" s="10"/>
      <c r="M396" s="10"/>
      <c r="N396" s="10"/>
      <c r="O396" s="10"/>
      <c r="P396" s="85"/>
      <c r="Q396" s="88"/>
      <c r="R396" s="3">
        <f>IFERROR(VLOOKUP(TablaJulio[[#This Row],[BARRIO]],SECTOR!$A:$B,2,0),"")</f>
      </c>
      <c r="S396" s="89"/>
      <c r="T396" s="90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6"/>
      <c r="AZ396" s="120">
        <f>COUNTIF(U396:AY396,"A")</f>
      </c>
      <c r="BA396" s="121">
        <f>COUNTIF(U396:AY396,"F")</f>
      </c>
      <c r="BB396" s="119">
        <f>COUNTIF(U396:AY396,"E")</f>
      </c>
    </row>
    <row r="397" spans="1:54" x14ac:dyDescent="0.2">
      <c r="A397" s="84"/>
      <c r="B397" s="85"/>
      <c r="C397" s="85"/>
      <c r="D397" s="85"/>
      <c r="E397" s="86"/>
      <c r="F397" s="16">
        <f>IF(E397="","",DATEDIF(E397,$I$7,"Y"))</f>
      </c>
      <c r="G397" s="85"/>
      <c r="H397" s="85"/>
      <c r="I397" s="87"/>
      <c r="J397" s="85"/>
      <c r="K397" s="85"/>
      <c r="L397" s="10"/>
      <c r="M397" s="10"/>
      <c r="N397" s="10"/>
      <c r="O397" s="10"/>
      <c r="P397" s="85"/>
      <c r="Q397" s="88"/>
      <c r="R397" s="3">
        <f>IFERROR(VLOOKUP(TablaJulio[[#This Row],[BARRIO]],SECTOR!$A:$B,2,0),"")</f>
      </c>
      <c r="S397" s="89"/>
      <c r="T397" s="90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6"/>
      <c r="AZ397" s="120">
        <f>COUNTIF(U397:AY397,"A")</f>
      </c>
      <c r="BA397" s="121">
        <f>COUNTIF(U397:AY397,"F")</f>
      </c>
      <c r="BB397" s="119">
        <f>COUNTIF(U397:AY397,"E")</f>
      </c>
    </row>
    <row r="398" spans="1:54" x14ac:dyDescent="0.2">
      <c r="A398" s="84"/>
      <c r="B398" s="85"/>
      <c r="C398" s="85"/>
      <c r="D398" s="85"/>
      <c r="E398" s="86"/>
      <c r="F398" s="16">
        <f>IF(E398="","",DATEDIF(E398,$I$7,"Y"))</f>
      </c>
      <c r="G398" s="85"/>
      <c r="H398" s="85"/>
      <c r="I398" s="87"/>
      <c r="J398" s="85"/>
      <c r="K398" s="85"/>
      <c r="L398" s="10"/>
      <c r="M398" s="10"/>
      <c r="N398" s="10"/>
      <c r="O398" s="10"/>
      <c r="P398" s="85"/>
      <c r="Q398" s="88"/>
      <c r="R398" s="3">
        <f>IFERROR(VLOOKUP(TablaJulio[[#This Row],[BARRIO]],SECTOR!$A:$B,2,0),"")</f>
      </c>
      <c r="S398" s="89"/>
      <c r="T398" s="90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6"/>
      <c r="AZ398" s="120">
        <f>COUNTIF(U398:AY398,"A")</f>
      </c>
      <c r="BA398" s="121">
        <f>COUNTIF(U398:AY398,"F")</f>
      </c>
      <c r="BB398" s="119">
        <f>COUNTIF(U398:AY398,"E")</f>
      </c>
    </row>
    <row r="399" spans="1:54" x14ac:dyDescent="0.2">
      <c r="A399" s="84"/>
      <c r="B399" s="85"/>
      <c r="C399" s="85"/>
      <c r="D399" s="85"/>
      <c r="E399" s="86"/>
      <c r="F399" s="16">
        <f>IF(E399="","",DATEDIF(E399,$I$7,"Y"))</f>
      </c>
      <c r="G399" s="85"/>
      <c r="H399" s="85"/>
      <c r="I399" s="87"/>
      <c r="J399" s="85"/>
      <c r="K399" s="85"/>
      <c r="L399" s="10"/>
      <c r="M399" s="10"/>
      <c r="N399" s="10"/>
      <c r="O399" s="10"/>
      <c r="P399" s="85"/>
      <c r="Q399" s="88"/>
      <c r="R399" s="3">
        <f>IFERROR(VLOOKUP(TablaJulio[[#This Row],[BARRIO]],SECTOR!$A:$B,2,0),"")</f>
      </c>
      <c r="S399" s="89"/>
      <c r="T399" s="90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6"/>
      <c r="AZ399" s="120">
        <f>COUNTIF(U399:AY399,"A")</f>
      </c>
      <c r="BA399" s="121">
        <f>COUNTIF(U399:AY399,"F")</f>
      </c>
      <c r="BB399" s="119">
        <f>COUNTIF(U399:AY399,"E")</f>
      </c>
    </row>
    <row r="400" spans="1:54" x14ac:dyDescent="0.2">
      <c r="A400" s="84"/>
      <c r="B400" s="85"/>
      <c r="C400" s="85"/>
      <c r="D400" s="85"/>
      <c r="E400" s="86"/>
      <c r="F400" s="16">
        <f>IF(E400="","",DATEDIF(E400,$I$7,"Y"))</f>
      </c>
      <c r="G400" s="85"/>
      <c r="H400" s="85"/>
      <c r="I400" s="87"/>
      <c r="J400" s="85"/>
      <c r="K400" s="85"/>
      <c r="L400" s="10"/>
      <c r="M400" s="10"/>
      <c r="N400" s="10"/>
      <c r="O400" s="10"/>
      <c r="P400" s="85"/>
      <c r="Q400" s="88"/>
      <c r="R400" s="3">
        <f>IFERROR(VLOOKUP(TablaJulio[[#This Row],[BARRIO]],SECTOR!$A:$B,2,0),"")</f>
      </c>
      <c r="S400" s="89"/>
      <c r="T400" s="90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6"/>
      <c r="AZ400" s="120">
        <f>COUNTIF(U400:AY400,"A")</f>
      </c>
      <c r="BA400" s="121">
        <f>COUNTIF(U400:AY400,"F")</f>
      </c>
      <c r="BB400" s="119">
        <f>COUNTIF(U400:AY400,"E")</f>
      </c>
    </row>
    <row r="401" spans="1:54" x14ac:dyDescent="0.2">
      <c r="A401" s="84"/>
      <c r="B401" s="85"/>
      <c r="C401" s="85"/>
      <c r="D401" s="85"/>
      <c r="E401" s="86"/>
      <c r="F401" s="16">
        <f>IF(E401="","",DATEDIF(E401,$I$7,"Y"))</f>
      </c>
      <c r="G401" s="85"/>
      <c r="H401" s="85"/>
      <c r="I401" s="87"/>
      <c r="J401" s="85"/>
      <c r="K401" s="85"/>
      <c r="L401" s="10"/>
      <c r="M401" s="10"/>
      <c r="N401" s="10"/>
      <c r="O401" s="10"/>
      <c r="P401" s="85"/>
      <c r="Q401" s="88"/>
      <c r="R401" s="3">
        <f>IFERROR(VLOOKUP(TablaJulio[[#This Row],[BARRIO]],SECTOR!$A:$B,2,0),"")</f>
      </c>
      <c r="S401" s="89"/>
      <c r="T401" s="90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6"/>
      <c r="AZ401" s="120">
        <f>COUNTIF(U401:AY401,"A")</f>
      </c>
      <c r="BA401" s="121">
        <f>COUNTIF(U401:AY401,"F")</f>
      </c>
      <c r="BB401" s="119">
        <f>COUNTIF(U401:AY401,"E")</f>
      </c>
    </row>
    <row r="402" spans="1:54" x14ac:dyDescent="0.2">
      <c r="A402" s="84"/>
      <c r="B402" s="85"/>
      <c r="C402" s="85"/>
      <c r="D402" s="85"/>
      <c r="E402" s="86"/>
      <c r="F402" s="16">
        <f>IF(E402="","",DATEDIF(E402,$I$7,"Y"))</f>
      </c>
      <c r="G402" s="85"/>
      <c r="H402" s="85"/>
      <c r="I402" s="87"/>
      <c r="J402" s="85"/>
      <c r="K402" s="85"/>
      <c r="L402" s="10"/>
      <c r="M402" s="10"/>
      <c r="N402" s="10"/>
      <c r="O402" s="10"/>
      <c r="P402" s="85"/>
      <c r="Q402" s="88"/>
      <c r="R402" s="3">
        <f>IFERROR(VLOOKUP(TablaJulio[[#This Row],[BARRIO]],SECTOR!$A:$B,2,0),"")</f>
      </c>
      <c r="S402" s="89"/>
      <c r="T402" s="90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6"/>
      <c r="AZ402" s="120">
        <f>COUNTIF(U402:AY402,"A")</f>
      </c>
      <c r="BA402" s="121">
        <f>COUNTIF(U402:AY402,"F")</f>
      </c>
      <c r="BB402" s="119">
        <f>COUNTIF(U402:AY402,"E")</f>
      </c>
    </row>
    <row r="403" spans="1:54" x14ac:dyDescent="0.2">
      <c r="A403" s="84"/>
      <c r="B403" s="85"/>
      <c r="C403" s="85"/>
      <c r="D403" s="85"/>
      <c r="E403" s="86"/>
      <c r="F403" s="16">
        <f>IF(E403="","",DATEDIF(E403,$I$7,"Y"))</f>
      </c>
      <c r="G403" s="85"/>
      <c r="H403" s="85"/>
      <c r="I403" s="87"/>
      <c r="J403" s="85"/>
      <c r="K403" s="85"/>
      <c r="L403" s="10"/>
      <c r="M403" s="10"/>
      <c r="N403" s="10"/>
      <c r="O403" s="10"/>
      <c r="P403" s="85"/>
      <c r="Q403" s="88"/>
      <c r="R403" s="3">
        <f>IFERROR(VLOOKUP(TablaJulio[[#This Row],[BARRIO]],SECTOR!$A:$B,2,0),"")</f>
      </c>
      <c r="S403" s="89"/>
      <c r="T403" s="90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6"/>
      <c r="AZ403" s="120">
        <f>COUNTIF(U403:AY403,"A")</f>
      </c>
      <c r="BA403" s="121">
        <f>COUNTIF(U403:AY403,"F")</f>
      </c>
      <c r="BB403" s="119">
        <f>COUNTIF(U403:AY403,"E")</f>
      </c>
    </row>
    <row r="404" spans="1:54" x14ac:dyDescent="0.2">
      <c r="A404" s="84"/>
      <c r="B404" s="85"/>
      <c r="C404" s="85"/>
      <c r="D404" s="85"/>
      <c r="E404" s="86"/>
      <c r="F404" s="16">
        <f>IF(E404="","",DATEDIF(E404,$I$7,"Y"))</f>
      </c>
      <c r="G404" s="85"/>
      <c r="H404" s="85"/>
      <c r="I404" s="87"/>
      <c r="J404" s="85"/>
      <c r="K404" s="85"/>
      <c r="L404" s="10"/>
      <c r="M404" s="10"/>
      <c r="N404" s="10"/>
      <c r="O404" s="10"/>
      <c r="P404" s="85"/>
      <c r="Q404" s="88"/>
      <c r="R404" s="3">
        <f>IFERROR(VLOOKUP(TablaJulio[[#This Row],[BARRIO]],SECTOR!$A:$B,2,0),"")</f>
      </c>
      <c r="S404" s="89"/>
      <c r="T404" s="90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6"/>
      <c r="AZ404" s="120">
        <f>COUNTIF(U404:AY404,"A")</f>
      </c>
      <c r="BA404" s="121">
        <f>COUNTIF(U404:AY404,"F")</f>
      </c>
      <c r="BB404" s="119">
        <f>COUNTIF(U404:AY404,"E")</f>
      </c>
    </row>
    <row r="405" spans="1:54" x14ac:dyDescent="0.2">
      <c r="A405" s="84"/>
      <c r="B405" s="85"/>
      <c r="C405" s="85"/>
      <c r="D405" s="85"/>
      <c r="E405" s="86"/>
      <c r="F405" s="16">
        <f>IF(E405="","",DATEDIF(E405,$I$7,"Y"))</f>
      </c>
      <c r="G405" s="85"/>
      <c r="H405" s="85"/>
      <c r="I405" s="87"/>
      <c r="J405" s="85"/>
      <c r="K405" s="85"/>
      <c r="L405" s="10"/>
      <c r="M405" s="10"/>
      <c r="N405" s="10"/>
      <c r="O405" s="10"/>
      <c r="P405" s="85"/>
      <c r="Q405" s="88"/>
      <c r="R405" s="3">
        <f>IFERROR(VLOOKUP(TablaJulio[[#This Row],[BARRIO]],SECTOR!$A:$B,2,0),"")</f>
      </c>
      <c r="S405" s="89"/>
      <c r="T405" s="90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6"/>
      <c r="AZ405" s="120">
        <f>COUNTIF(U405:AY405,"A")</f>
      </c>
      <c r="BA405" s="121">
        <f>COUNTIF(U405:AY405,"F")</f>
      </c>
      <c r="BB405" s="119">
        <f>COUNTIF(U405:AY405,"E")</f>
      </c>
    </row>
    <row r="406" spans="1:54" x14ac:dyDescent="0.2">
      <c r="A406" s="84"/>
      <c r="B406" s="85"/>
      <c r="C406" s="85"/>
      <c r="D406" s="85"/>
      <c r="E406" s="86"/>
      <c r="F406" s="16">
        <f>IF(E406="","",DATEDIF(E406,$I$7,"Y"))</f>
      </c>
      <c r="G406" s="85"/>
      <c r="H406" s="85"/>
      <c r="I406" s="87"/>
      <c r="J406" s="85"/>
      <c r="K406" s="85"/>
      <c r="L406" s="10"/>
      <c r="M406" s="10"/>
      <c r="N406" s="10"/>
      <c r="O406" s="10"/>
      <c r="P406" s="85"/>
      <c r="Q406" s="88"/>
      <c r="R406" s="3">
        <f>IFERROR(VLOOKUP(TablaJulio[[#This Row],[BARRIO]],SECTOR!$A:$B,2,0),"")</f>
      </c>
      <c r="S406" s="89"/>
      <c r="T406" s="90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6"/>
      <c r="AZ406" s="120">
        <f>COUNTIF(U406:AY406,"A")</f>
      </c>
      <c r="BA406" s="121">
        <f>COUNTIF(U406:AY406,"F")</f>
      </c>
      <c r="BB406" s="119">
        <f>COUNTIF(U406:AY406,"E")</f>
      </c>
    </row>
    <row r="407" spans="1:54" x14ac:dyDescent="0.2">
      <c r="A407" s="84"/>
      <c r="B407" s="85"/>
      <c r="C407" s="85"/>
      <c r="D407" s="85"/>
      <c r="E407" s="86"/>
      <c r="F407" s="16">
        <f>IF(E407="","",DATEDIF(E407,$I$7,"Y"))</f>
      </c>
      <c r="G407" s="85"/>
      <c r="H407" s="85"/>
      <c r="I407" s="87"/>
      <c r="J407" s="85"/>
      <c r="K407" s="85"/>
      <c r="L407" s="10"/>
      <c r="M407" s="10"/>
      <c r="N407" s="10"/>
      <c r="O407" s="10"/>
      <c r="P407" s="85"/>
      <c r="Q407" s="88"/>
      <c r="R407" s="3">
        <f>IFERROR(VLOOKUP(TablaJulio[[#This Row],[BARRIO]],SECTOR!$A:$B,2,0),"")</f>
      </c>
      <c r="S407" s="89"/>
      <c r="T407" s="90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6"/>
      <c r="AZ407" s="120">
        <f>COUNTIF(U407:AY407,"A")</f>
      </c>
      <c r="BA407" s="121">
        <f>COUNTIF(U407:AY407,"F")</f>
      </c>
      <c r="BB407" s="119">
        <f>COUNTIF(U407:AY407,"E")</f>
      </c>
    </row>
    <row r="408" spans="1:54" x14ac:dyDescent="0.2">
      <c r="A408" s="84"/>
      <c r="B408" s="85"/>
      <c r="C408" s="85"/>
      <c r="D408" s="85"/>
      <c r="E408" s="86"/>
      <c r="F408" s="16">
        <f>IF(E408="","",DATEDIF(E408,$I$7,"Y"))</f>
      </c>
      <c r="G408" s="85"/>
      <c r="H408" s="85"/>
      <c r="I408" s="87"/>
      <c r="J408" s="85"/>
      <c r="K408" s="85"/>
      <c r="L408" s="10"/>
      <c r="M408" s="10"/>
      <c r="N408" s="10"/>
      <c r="O408" s="10"/>
      <c r="P408" s="85"/>
      <c r="Q408" s="88"/>
      <c r="R408" s="3">
        <f>IFERROR(VLOOKUP(TablaJulio[[#This Row],[BARRIO]],SECTOR!$A:$B,2,0),"")</f>
      </c>
      <c r="S408" s="89"/>
      <c r="T408" s="90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6"/>
      <c r="AZ408" s="120">
        <f>COUNTIF(U408:AY408,"A")</f>
      </c>
      <c r="BA408" s="121">
        <f>COUNTIF(U408:AY408,"F")</f>
      </c>
      <c r="BB408" s="119">
        <f>COUNTIF(U408:AY408,"E")</f>
      </c>
    </row>
    <row r="409" spans="1:54" x14ac:dyDescent="0.2">
      <c r="A409" s="84"/>
      <c r="B409" s="85"/>
      <c r="C409" s="85"/>
      <c r="D409" s="85"/>
      <c r="E409" s="86"/>
      <c r="F409" s="16">
        <f>IF(E409="","",DATEDIF(E409,$I$7,"Y"))</f>
      </c>
      <c r="G409" s="85"/>
      <c r="H409" s="85"/>
      <c r="I409" s="87"/>
      <c r="J409" s="85"/>
      <c r="K409" s="85"/>
      <c r="L409" s="10"/>
      <c r="M409" s="10"/>
      <c r="N409" s="10"/>
      <c r="O409" s="10"/>
      <c r="P409" s="85"/>
      <c r="Q409" s="88"/>
      <c r="R409" s="3">
        <f>IFERROR(VLOOKUP(TablaJulio[[#This Row],[BARRIO]],SECTOR!$A:$B,2,0),"")</f>
      </c>
      <c r="S409" s="89"/>
      <c r="T409" s="90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6"/>
      <c r="AZ409" s="120">
        <f>COUNTIF(U409:AY409,"A")</f>
      </c>
      <c r="BA409" s="121">
        <f>COUNTIF(U409:AY409,"F")</f>
      </c>
      <c r="BB409" s="119">
        <f>COUNTIF(U409:AY409,"E")</f>
      </c>
    </row>
    <row r="410" spans="1:54" x14ac:dyDescent="0.2">
      <c r="A410" s="84"/>
      <c r="B410" s="85"/>
      <c r="C410" s="85"/>
      <c r="D410" s="85"/>
      <c r="E410" s="86"/>
      <c r="F410" s="16">
        <f>IF(E410="","",DATEDIF(E410,$I$7,"Y"))</f>
      </c>
      <c r="G410" s="85"/>
      <c r="H410" s="85"/>
      <c r="I410" s="87"/>
      <c r="J410" s="85"/>
      <c r="K410" s="85"/>
      <c r="L410" s="10"/>
      <c r="M410" s="10"/>
      <c r="N410" s="10"/>
      <c r="O410" s="10"/>
      <c r="P410" s="85"/>
      <c r="Q410" s="88"/>
      <c r="R410" s="3">
        <f>IFERROR(VLOOKUP(TablaJulio[[#This Row],[BARRIO]],SECTOR!$A:$B,2,0),"")</f>
      </c>
      <c r="S410" s="89"/>
      <c r="T410" s="90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6"/>
      <c r="AZ410" s="120">
        <f>COUNTIF(U410:AY410,"A")</f>
      </c>
      <c r="BA410" s="121">
        <f>COUNTIF(U410:AY410,"F")</f>
      </c>
      <c r="BB410" s="119">
        <f>COUNTIF(U410:AY410,"E")</f>
      </c>
    </row>
    <row r="411" spans="1:54" x14ac:dyDescent="0.2">
      <c r="A411" s="84"/>
      <c r="B411" s="85"/>
      <c r="C411" s="85"/>
      <c r="D411" s="85"/>
      <c r="E411" s="86"/>
      <c r="F411" s="16">
        <f>IF(E411="","",DATEDIF(E411,$I$7,"Y"))</f>
      </c>
      <c r="G411" s="85"/>
      <c r="H411" s="85"/>
      <c r="I411" s="87"/>
      <c r="J411" s="85"/>
      <c r="K411" s="85"/>
      <c r="L411" s="10"/>
      <c r="M411" s="10"/>
      <c r="N411" s="10"/>
      <c r="O411" s="10"/>
      <c r="P411" s="85"/>
      <c r="Q411" s="88"/>
      <c r="R411" s="3">
        <f>IFERROR(VLOOKUP(TablaJulio[[#This Row],[BARRIO]],SECTOR!$A:$B,2,0),"")</f>
      </c>
      <c r="S411" s="89"/>
      <c r="T411" s="90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6"/>
      <c r="AZ411" s="120">
        <f>COUNTIF(U411:AY411,"A")</f>
      </c>
      <c r="BA411" s="121">
        <f>COUNTIF(U411:AY411,"F")</f>
      </c>
      <c r="BB411" s="119">
        <f>COUNTIF(U411:AY411,"E")</f>
      </c>
    </row>
    <row r="412" spans="1:54" x14ac:dyDescent="0.2">
      <c r="A412" s="84"/>
      <c r="B412" s="85"/>
      <c r="C412" s="85"/>
      <c r="D412" s="85"/>
      <c r="E412" s="86"/>
      <c r="F412" s="16">
        <f>IF(E412="","",DATEDIF(E412,$I$7,"Y"))</f>
      </c>
      <c r="G412" s="85"/>
      <c r="H412" s="85"/>
      <c r="I412" s="87"/>
      <c r="J412" s="85"/>
      <c r="K412" s="85"/>
      <c r="L412" s="10"/>
      <c r="M412" s="10"/>
      <c r="N412" s="10"/>
      <c r="O412" s="10"/>
      <c r="P412" s="85"/>
      <c r="Q412" s="88"/>
      <c r="R412" s="3">
        <f>IFERROR(VLOOKUP(TablaJulio[[#This Row],[BARRIO]],SECTOR!$A:$B,2,0),"")</f>
      </c>
      <c r="S412" s="89"/>
      <c r="T412" s="90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6"/>
      <c r="AZ412" s="120">
        <f>COUNTIF(U412:AY412,"A")</f>
      </c>
      <c r="BA412" s="121">
        <f>COUNTIF(U412:AY412,"F")</f>
      </c>
      <c r="BB412" s="119">
        <f>COUNTIF(U412:AY412,"E")</f>
      </c>
    </row>
    <row r="413" spans="1:54" x14ac:dyDescent="0.2">
      <c r="A413" s="84"/>
      <c r="B413" s="85"/>
      <c r="C413" s="85"/>
      <c r="D413" s="85"/>
      <c r="E413" s="86"/>
      <c r="F413" s="16">
        <f>IF(E413="","",DATEDIF(E413,$I$7,"Y"))</f>
      </c>
      <c r="G413" s="85"/>
      <c r="H413" s="85"/>
      <c r="I413" s="87"/>
      <c r="J413" s="85"/>
      <c r="K413" s="85"/>
      <c r="L413" s="10"/>
      <c r="M413" s="10"/>
      <c r="N413" s="10"/>
      <c r="O413" s="10"/>
      <c r="P413" s="85"/>
      <c r="Q413" s="88"/>
      <c r="R413" s="3">
        <f>IFERROR(VLOOKUP(TablaJulio[[#This Row],[BARRIO]],SECTOR!$A:$B,2,0),"")</f>
      </c>
      <c r="S413" s="89"/>
      <c r="T413" s="90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6"/>
      <c r="AZ413" s="120">
        <f>COUNTIF(U413:AY413,"A")</f>
      </c>
      <c r="BA413" s="121">
        <f>COUNTIF(U413:AY413,"F")</f>
      </c>
      <c r="BB413" s="119">
        <f>COUNTIF(U413:AY413,"E")</f>
      </c>
    </row>
    <row r="414" spans="1:54" x14ac:dyDescent="0.2">
      <c r="A414" s="84"/>
      <c r="B414" s="85"/>
      <c r="C414" s="85"/>
      <c r="D414" s="85"/>
      <c r="E414" s="86"/>
      <c r="F414" s="16">
        <f>IF(E414="","",DATEDIF(E414,$I$7,"Y"))</f>
      </c>
      <c r="G414" s="85"/>
      <c r="H414" s="85"/>
      <c r="I414" s="87"/>
      <c r="J414" s="85"/>
      <c r="K414" s="85"/>
      <c r="L414" s="10"/>
      <c r="M414" s="10"/>
      <c r="N414" s="10"/>
      <c r="O414" s="10"/>
      <c r="P414" s="85"/>
      <c r="Q414" s="88"/>
      <c r="R414" s="3">
        <f>IFERROR(VLOOKUP(TablaJulio[[#This Row],[BARRIO]],SECTOR!$A:$B,2,0),"")</f>
      </c>
      <c r="S414" s="89"/>
      <c r="T414" s="90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6"/>
      <c r="AZ414" s="120">
        <f>COUNTIF(U414:AY414,"A")</f>
      </c>
      <c r="BA414" s="121">
        <f>COUNTIF(U414:AY414,"F")</f>
      </c>
      <c r="BB414" s="119">
        <f>COUNTIF(U414:AY414,"E")</f>
      </c>
    </row>
    <row r="415" spans="1:54" x14ac:dyDescent="0.2">
      <c r="A415" s="84"/>
      <c r="B415" s="85"/>
      <c r="C415" s="85"/>
      <c r="D415" s="85"/>
      <c r="E415" s="86"/>
      <c r="F415" s="16">
        <f>IF(E415="","",DATEDIF(E415,$I$7,"Y"))</f>
      </c>
      <c r="G415" s="85"/>
      <c r="H415" s="85"/>
      <c r="I415" s="87"/>
      <c r="J415" s="85"/>
      <c r="K415" s="85"/>
      <c r="L415" s="10"/>
      <c r="M415" s="10"/>
      <c r="N415" s="10"/>
      <c r="O415" s="10"/>
      <c r="P415" s="85"/>
      <c r="Q415" s="88"/>
      <c r="R415" s="3">
        <f>IFERROR(VLOOKUP(TablaJulio[[#This Row],[BARRIO]],SECTOR!$A:$B,2,0),"")</f>
      </c>
      <c r="S415" s="89"/>
      <c r="T415" s="90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6"/>
      <c r="AZ415" s="120">
        <f>COUNTIF(U415:AY415,"A")</f>
      </c>
      <c r="BA415" s="121">
        <f>COUNTIF(U415:AY415,"F")</f>
      </c>
      <c r="BB415" s="119">
        <f>COUNTIF(U415:AY415,"E")</f>
      </c>
    </row>
    <row r="416" spans="1:54" x14ac:dyDescent="0.2">
      <c r="A416" s="84"/>
      <c r="B416" s="85"/>
      <c r="C416" s="85"/>
      <c r="D416" s="85"/>
      <c r="E416" s="86"/>
      <c r="F416" s="16">
        <f>IF(E416="","",DATEDIF(E416,$I$7,"Y"))</f>
      </c>
      <c r="G416" s="85"/>
      <c r="H416" s="85"/>
      <c r="I416" s="87"/>
      <c r="J416" s="85"/>
      <c r="K416" s="85"/>
      <c r="L416" s="10"/>
      <c r="M416" s="10"/>
      <c r="N416" s="10"/>
      <c r="O416" s="10"/>
      <c r="P416" s="85"/>
      <c r="Q416" s="88"/>
      <c r="R416" s="3">
        <f>IFERROR(VLOOKUP(TablaJulio[[#This Row],[BARRIO]],SECTOR!$A:$B,2,0),"")</f>
      </c>
      <c r="S416" s="89"/>
      <c r="T416" s="90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6"/>
      <c r="AZ416" s="120">
        <f>COUNTIF(U416:AY416,"A")</f>
      </c>
      <c r="BA416" s="121">
        <f>COUNTIF(U416:AY416,"F")</f>
      </c>
      <c r="BB416" s="119">
        <f>COUNTIF(U416:AY416,"E")</f>
      </c>
    </row>
    <row r="417" spans="1:54" x14ac:dyDescent="0.2">
      <c r="A417" s="84"/>
      <c r="B417" s="85"/>
      <c r="C417" s="85"/>
      <c r="D417" s="85"/>
      <c r="E417" s="86"/>
      <c r="F417" s="16">
        <f>IF(E417="","",DATEDIF(E417,$I$7,"Y"))</f>
      </c>
      <c r="G417" s="85"/>
      <c r="H417" s="85"/>
      <c r="I417" s="87"/>
      <c r="J417" s="85"/>
      <c r="K417" s="85"/>
      <c r="L417" s="10"/>
      <c r="M417" s="10"/>
      <c r="N417" s="10"/>
      <c r="O417" s="10"/>
      <c r="P417" s="85"/>
      <c r="Q417" s="88"/>
      <c r="R417" s="3">
        <f>IFERROR(VLOOKUP(TablaJulio[[#This Row],[BARRIO]],SECTOR!$A:$B,2,0),"")</f>
      </c>
      <c r="S417" s="89"/>
      <c r="T417" s="90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6"/>
      <c r="AZ417" s="120">
        <f>COUNTIF(U417:AY417,"A")</f>
      </c>
      <c r="BA417" s="121">
        <f>COUNTIF(U417:AY417,"F")</f>
      </c>
      <c r="BB417" s="119">
        <f>COUNTIF(U417:AY417,"E")</f>
      </c>
    </row>
    <row r="418" spans="1:54" x14ac:dyDescent="0.2">
      <c r="A418" s="84"/>
      <c r="B418" s="85"/>
      <c r="C418" s="85"/>
      <c r="D418" s="85"/>
      <c r="E418" s="86"/>
      <c r="F418" s="16">
        <f>IF(E418="","",DATEDIF(E418,$I$7,"Y"))</f>
      </c>
      <c r="G418" s="85"/>
      <c r="H418" s="85"/>
      <c r="I418" s="87"/>
      <c r="J418" s="85"/>
      <c r="K418" s="85"/>
      <c r="L418" s="10"/>
      <c r="M418" s="10"/>
      <c r="N418" s="10"/>
      <c r="O418" s="10"/>
      <c r="P418" s="85"/>
      <c r="Q418" s="88"/>
      <c r="R418" s="3">
        <f>IFERROR(VLOOKUP(TablaJulio[[#This Row],[BARRIO]],SECTOR!$A:$B,2,0),"")</f>
      </c>
      <c r="S418" s="89"/>
      <c r="T418" s="90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6"/>
      <c r="AZ418" s="120">
        <f>COUNTIF(U418:AY418,"A")</f>
      </c>
      <c r="BA418" s="121">
        <f>COUNTIF(U418:AY418,"F")</f>
      </c>
      <c r="BB418" s="119">
        <f>COUNTIF(U418:AY418,"E")</f>
      </c>
    </row>
    <row r="419" spans="1:54" x14ac:dyDescent="0.2">
      <c r="A419" s="84"/>
      <c r="B419" s="85"/>
      <c r="C419" s="85"/>
      <c r="D419" s="85"/>
      <c r="E419" s="86"/>
      <c r="F419" s="16">
        <f>IF(E419="","",DATEDIF(E419,$I$7,"Y"))</f>
      </c>
      <c r="G419" s="85"/>
      <c r="H419" s="85"/>
      <c r="I419" s="87"/>
      <c r="J419" s="85"/>
      <c r="K419" s="85"/>
      <c r="L419" s="10"/>
      <c r="M419" s="10"/>
      <c r="N419" s="10"/>
      <c r="O419" s="10"/>
      <c r="P419" s="85"/>
      <c r="Q419" s="88"/>
      <c r="R419" s="3">
        <f>IFERROR(VLOOKUP(TablaJulio[[#This Row],[BARRIO]],SECTOR!$A:$B,2,0),"")</f>
      </c>
      <c r="S419" s="89"/>
      <c r="T419" s="90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6"/>
      <c r="AZ419" s="120">
        <f>COUNTIF(U419:AY419,"A")</f>
      </c>
      <c r="BA419" s="121">
        <f>COUNTIF(U419:AY419,"F")</f>
      </c>
      <c r="BB419" s="119">
        <f>COUNTIF(U419:AY419,"E")</f>
      </c>
    </row>
    <row r="420" spans="1:54" x14ac:dyDescent="0.2">
      <c r="A420" s="84"/>
      <c r="B420" s="85"/>
      <c r="C420" s="85"/>
      <c r="D420" s="85"/>
      <c r="E420" s="86"/>
      <c r="F420" s="16">
        <f>IF(E420="","",DATEDIF(E420,$I$7,"Y"))</f>
      </c>
      <c r="G420" s="85"/>
      <c r="H420" s="85"/>
      <c r="I420" s="87"/>
      <c r="J420" s="85"/>
      <c r="K420" s="85"/>
      <c r="L420" s="10"/>
      <c r="M420" s="10"/>
      <c r="N420" s="10"/>
      <c r="O420" s="10"/>
      <c r="P420" s="85"/>
      <c r="Q420" s="88"/>
      <c r="R420" s="3">
        <f>IFERROR(VLOOKUP(TablaJulio[[#This Row],[BARRIO]],SECTOR!$A:$B,2,0),"")</f>
      </c>
      <c r="S420" s="89"/>
      <c r="T420" s="90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6"/>
      <c r="AZ420" s="120">
        <f>COUNTIF(U420:AY420,"A")</f>
      </c>
      <c r="BA420" s="121">
        <f>COUNTIF(U420:AY420,"F")</f>
      </c>
      <c r="BB420" s="119">
        <f>COUNTIF(U420:AY420,"E")</f>
      </c>
    </row>
    <row r="421" spans="1:54" x14ac:dyDescent="0.2">
      <c r="A421" s="84"/>
      <c r="B421" s="85"/>
      <c r="C421" s="85"/>
      <c r="D421" s="85"/>
      <c r="E421" s="86"/>
      <c r="F421" s="16">
        <f>IF(E421="","",DATEDIF(E421,$I$7,"Y"))</f>
      </c>
      <c r="G421" s="85"/>
      <c r="H421" s="85"/>
      <c r="I421" s="87"/>
      <c r="J421" s="85"/>
      <c r="K421" s="85"/>
      <c r="L421" s="10"/>
      <c r="M421" s="10"/>
      <c r="N421" s="10"/>
      <c r="O421" s="10"/>
      <c r="P421" s="85"/>
      <c r="Q421" s="88"/>
      <c r="R421" s="3">
        <f>IFERROR(VLOOKUP(TablaJulio[[#This Row],[BARRIO]],SECTOR!$A:$B,2,0),"")</f>
      </c>
      <c r="S421" s="89"/>
      <c r="T421" s="90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6"/>
      <c r="AZ421" s="120">
        <f>COUNTIF(U421:AY421,"A")</f>
      </c>
      <c r="BA421" s="121">
        <f>COUNTIF(U421:AY421,"F")</f>
      </c>
      <c r="BB421" s="119">
        <f>COUNTIF(U421:AY421,"E")</f>
      </c>
    </row>
    <row r="422" spans="1:54" x14ac:dyDescent="0.2">
      <c r="A422" s="84"/>
      <c r="B422" s="85"/>
      <c r="C422" s="85"/>
      <c r="D422" s="85"/>
      <c r="E422" s="86"/>
      <c r="F422" s="16">
        <f>IF(E422="","",DATEDIF(E422,$I$7,"Y"))</f>
      </c>
      <c r="G422" s="85"/>
      <c r="H422" s="85"/>
      <c r="I422" s="87"/>
      <c r="J422" s="85"/>
      <c r="K422" s="85"/>
      <c r="L422" s="10"/>
      <c r="M422" s="10"/>
      <c r="N422" s="10"/>
      <c r="O422" s="10"/>
      <c r="P422" s="85"/>
      <c r="Q422" s="88"/>
      <c r="R422" s="3">
        <f>IFERROR(VLOOKUP(TablaJulio[[#This Row],[BARRIO]],SECTOR!$A:$B,2,0),"")</f>
      </c>
      <c r="S422" s="89"/>
      <c r="T422" s="90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6"/>
      <c r="AZ422" s="120">
        <f>COUNTIF(U422:AY422,"A")</f>
      </c>
      <c r="BA422" s="121">
        <f>COUNTIF(U422:AY422,"F")</f>
      </c>
      <c r="BB422" s="119">
        <f>COUNTIF(U422:AY422,"E")</f>
      </c>
    </row>
    <row r="423" spans="1:54" x14ac:dyDescent="0.2">
      <c r="A423" s="84"/>
      <c r="B423" s="85"/>
      <c r="C423" s="85"/>
      <c r="D423" s="85"/>
      <c r="E423" s="86"/>
      <c r="F423" s="16">
        <f>IF(E423="","",DATEDIF(E423,$I$7,"Y"))</f>
      </c>
      <c r="G423" s="85"/>
      <c r="H423" s="85"/>
      <c r="I423" s="87"/>
      <c r="J423" s="85"/>
      <c r="K423" s="85"/>
      <c r="L423" s="10"/>
      <c r="M423" s="10"/>
      <c r="N423" s="10"/>
      <c r="O423" s="10"/>
      <c r="P423" s="85"/>
      <c r="Q423" s="88"/>
      <c r="R423" s="3">
        <f>IFERROR(VLOOKUP(TablaJulio[[#This Row],[BARRIO]],SECTOR!$A:$B,2,0),"")</f>
      </c>
      <c r="S423" s="89"/>
      <c r="T423" s="90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6"/>
      <c r="AZ423" s="120">
        <f>COUNTIF(U423:AY423,"A")</f>
      </c>
      <c r="BA423" s="121">
        <f>COUNTIF(U423:AY423,"F")</f>
      </c>
      <c r="BB423" s="119">
        <f>COUNTIF(U423:AY423,"E")</f>
      </c>
    </row>
    <row r="424" spans="1:54" x14ac:dyDescent="0.2">
      <c r="A424" s="84"/>
      <c r="B424" s="85"/>
      <c r="C424" s="85"/>
      <c r="D424" s="85"/>
      <c r="E424" s="86"/>
      <c r="F424" s="16">
        <f>IF(E424="","",DATEDIF(E424,$I$7,"Y"))</f>
      </c>
      <c r="G424" s="85"/>
      <c r="H424" s="85"/>
      <c r="I424" s="87"/>
      <c r="J424" s="85"/>
      <c r="K424" s="85"/>
      <c r="L424" s="10"/>
      <c r="M424" s="10"/>
      <c r="N424" s="10"/>
      <c r="O424" s="10"/>
      <c r="P424" s="85"/>
      <c r="Q424" s="88"/>
      <c r="R424" s="3">
        <f>IFERROR(VLOOKUP(TablaJulio[[#This Row],[BARRIO]],SECTOR!$A:$B,2,0),"")</f>
      </c>
      <c r="S424" s="89"/>
      <c r="T424" s="90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6"/>
      <c r="AZ424" s="120">
        <f>COUNTIF(U424:AY424,"A")</f>
      </c>
      <c r="BA424" s="121">
        <f>COUNTIF(U424:AY424,"F")</f>
      </c>
      <c r="BB424" s="119">
        <f>COUNTIF(U424:AY424,"E")</f>
      </c>
    </row>
    <row r="425" spans="1:54" x14ac:dyDescent="0.2">
      <c r="A425" s="84"/>
      <c r="B425" s="85"/>
      <c r="C425" s="85"/>
      <c r="D425" s="85"/>
      <c r="E425" s="86"/>
      <c r="F425" s="16">
        <f>IF(E425="","",DATEDIF(E425,$I$7,"Y"))</f>
      </c>
      <c r="G425" s="85"/>
      <c r="H425" s="85"/>
      <c r="I425" s="87"/>
      <c r="J425" s="85"/>
      <c r="K425" s="85"/>
      <c r="L425" s="10"/>
      <c r="M425" s="10"/>
      <c r="N425" s="10"/>
      <c r="O425" s="10"/>
      <c r="P425" s="85"/>
      <c r="Q425" s="88"/>
      <c r="R425" s="3">
        <f>IFERROR(VLOOKUP(TablaJulio[[#This Row],[BARRIO]],SECTOR!$A:$B,2,0),"")</f>
      </c>
      <c r="S425" s="89"/>
      <c r="T425" s="90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6"/>
      <c r="AZ425" s="120">
        <f>COUNTIF(U425:AY425,"A")</f>
      </c>
      <c r="BA425" s="121">
        <f>COUNTIF(U425:AY425,"F")</f>
      </c>
      <c r="BB425" s="119">
        <f>COUNTIF(U425:AY425,"E")</f>
      </c>
    </row>
    <row r="426" spans="1:54" x14ac:dyDescent="0.2">
      <c r="A426" s="84"/>
      <c r="B426" s="85"/>
      <c r="C426" s="85"/>
      <c r="D426" s="85"/>
      <c r="E426" s="86"/>
      <c r="F426" s="16">
        <f>IF(E426="","",DATEDIF(E426,$I$7,"Y"))</f>
      </c>
      <c r="G426" s="85"/>
      <c r="H426" s="85"/>
      <c r="I426" s="87"/>
      <c r="J426" s="85"/>
      <c r="K426" s="85"/>
      <c r="L426" s="10"/>
      <c r="M426" s="10"/>
      <c r="N426" s="10"/>
      <c r="O426" s="10"/>
      <c r="P426" s="85"/>
      <c r="Q426" s="88"/>
      <c r="R426" s="3">
        <f>IFERROR(VLOOKUP(TablaJulio[[#This Row],[BARRIO]],SECTOR!$A:$B,2,0),"")</f>
      </c>
      <c r="S426" s="89"/>
      <c r="T426" s="90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6"/>
      <c r="AZ426" s="120">
        <f>COUNTIF(U426:AY426,"A")</f>
      </c>
      <c r="BA426" s="121">
        <f>COUNTIF(U426:AY426,"F")</f>
      </c>
      <c r="BB426" s="119">
        <f>COUNTIF(U426:AY426,"E")</f>
      </c>
    </row>
    <row r="427" spans="1:54" x14ac:dyDescent="0.2">
      <c r="A427" s="84"/>
      <c r="B427" s="85"/>
      <c r="C427" s="85"/>
      <c r="D427" s="85"/>
      <c r="E427" s="86"/>
      <c r="F427" s="16">
        <f>IF(E427="","",DATEDIF(E427,$I$7,"Y"))</f>
      </c>
      <c r="G427" s="85"/>
      <c r="H427" s="85"/>
      <c r="I427" s="87"/>
      <c r="J427" s="85"/>
      <c r="K427" s="85"/>
      <c r="L427" s="10"/>
      <c r="M427" s="10"/>
      <c r="N427" s="10"/>
      <c r="O427" s="10"/>
      <c r="P427" s="85"/>
      <c r="Q427" s="88"/>
      <c r="R427" s="3">
        <f>IFERROR(VLOOKUP(TablaJulio[[#This Row],[BARRIO]],SECTOR!$A:$B,2,0),"")</f>
      </c>
      <c r="S427" s="89"/>
      <c r="T427" s="90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6"/>
      <c r="AZ427" s="120">
        <f>COUNTIF(U427:AY427,"A")</f>
      </c>
      <c r="BA427" s="121">
        <f>COUNTIF(U427:AY427,"F")</f>
      </c>
      <c r="BB427" s="119">
        <f>COUNTIF(U427:AY427,"E")</f>
      </c>
    </row>
    <row r="428" spans="1:54" x14ac:dyDescent="0.2">
      <c r="A428" s="84"/>
      <c r="B428" s="85"/>
      <c r="C428" s="85"/>
      <c r="D428" s="85"/>
      <c r="E428" s="86"/>
      <c r="F428" s="16">
        <f>IF(E428="","",DATEDIF(E428,$I$7,"Y"))</f>
      </c>
      <c r="G428" s="85"/>
      <c r="H428" s="85"/>
      <c r="I428" s="87"/>
      <c r="J428" s="85"/>
      <c r="K428" s="85"/>
      <c r="L428" s="10"/>
      <c r="M428" s="10"/>
      <c r="N428" s="10"/>
      <c r="O428" s="10"/>
      <c r="P428" s="85"/>
      <c r="Q428" s="88"/>
      <c r="R428" s="3">
        <f>IFERROR(VLOOKUP(TablaJulio[[#This Row],[BARRIO]],SECTOR!$A:$B,2,0),"")</f>
      </c>
      <c r="S428" s="89"/>
      <c r="T428" s="90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6"/>
      <c r="AZ428" s="120">
        <f>COUNTIF(U428:AY428,"A")</f>
      </c>
      <c r="BA428" s="121">
        <f>COUNTIF(U428:AY428,"F")</f>
      </c>
      <c r="BB428" s="119">
        <f>COUNTIF(U428:AY428,"E")</f>
      </c>
    </row>
    <row r="429" spans="1:54" x14ac:dyDescent="0.2">
      <c r="A429" s="84"/>
      <c r="B429" s="85"/>
      <c r="C429" s="85"/>
      <c r="D429" s="85"/>
      <c r="E429" s="86"/>
      <c r="F429" s="16">
        <f>IF(E429="","",DATEDIF(E429,$I$7,"Y"))</f>
      </c>
      <c r="G429" s="85"/>
      <c r="H429" s="85"/>
      <c r="I429" s="87"/>
      <c r="J429" s="85"/>
      <c r="K429" s="85"/>
      <c r="L429" s="10"/>
      <c r="M429" s="10"/>
      <c r="N429" s="10"/>
      <c r="O429" s="10"/>
      <c r="P429" s="85"/>
      <c r="Q429" s="88"/>
      <c r="R429" s="3">
        <f>IFERROR(VLOOKUP(TablaJulio[[#This Row],[BARRIO]],SECTOR!$A:$B,2,0),"")</f>
      </c>
      <c r="S429" s="89"/>
      <c r="T429" s="90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6"/>
      <c r="AZ429" s="120">
        <f>COUNTIF(U429:AY429,"A")</f>
      </c>
      <c r="BA429" s="121">
        <f>COUNTIF(U429:AY429,"F")</f>
      </c>
      <c r="BB429" s="119">
        <f>COUNTIF(U429:AY429,"E")</f>
      </c>
    </row>
    <row r="430" spans="1:54" x14ac:dyDescent="0.2">
      <c r="A430" s="84"/>
      <c r="B430" s="85"/>
      <c r="C430" s="85"/>
      <c r="D430" s="85"/>
      <c r="E430" s="86"/>
      <c r="F430" s="16">
        <f>IF(E430="","",DATEDIF(E430,$I$7,"Y"))</f>
      </c>
      <c r="G430" s="85"/>
      <c r="H430" s="85"/>
      <c r="I430" s="87"/>
      <c r="J430" s="85"/>
      <c r="K430" s="85"/>
      <c r="L430" s="10"/>
      <c r="M430" s="10"/>
      <c r="N430" s="10"/>
      <c r="O430" s="10"/>
      <c r="P430" s="85"/>
      <c r="Q430" s="88"/>
      <c r="R430" s="3">
        <f>IFERROR(VLOOKUP(TablaJulio[[#This Row],[BARRIO]],SECTOR!$A:$B,2,0),"")</f>
      </c>
      <c r="S430" s="89"/>
      <c r="T430" s="90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6"/>
      <c r="AZ430" s="120">
        <f>COUNTIF(U430:AY430,"A")</f>
      </c>
      <c r="BA430" s="121">
        <f>COUNTIF(U430:AY430,"F")</f>
      </c>
      <c r="BB430" s="119">
        <f>COUNTIF(U430:AY430,"E")</f>
      </c>
    </row>
    <row r="431" spans="1:54" x14ac:dyDescent="0.2">
      <c r="A431" s="84"/>
      <c r="B431" s="85"/>
      <c r="C431" s="85"/>
      <c r="D431" s="85"/>
      <c r="E431" s="86"/>
      <c r="F431" s="16">
        <f>IF(E431="","",DATEDIF(E431,$I$7,"Y"))</f>
      </c>
      <c r="G431" s="85"/>
      <c r="H431" s="85"/>
      <c r="I431" s="87"/>
      <c r="J431" s="85"/>
      <c r="K431" s="85"/>
      <c r="L431" s="10"/>
      <c r="M431" s="10"/>
      <c r="N431" s="10"/>
      <c r="O431" s="10"/>
      <c r="P431" s="85"/>
      <c r="Q431" s="88"/>
      <c r="R431" s="3">
        <f>IFERROR(VLOOKUP(TablaJulio[[#This Row],[BARRIO]],SECTOR!$A:$B,2,0),"")</f>
      </c>
      <c r="S431" s="89"/>
      <c r="T431" s="90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6"/>
      <c r="AZ431" s="120">
        <f>COUNTIF(U431:AY431,"A")</f>
      </c>
      <c r="BA431" s="121">
        <f>COUNTIF(U431:AY431,"F")</f>
      </c>
      <c r="BB431" s="119">
        <f>COUNTIF(U431:AY431,"E")</f>
      </c>
    </row>
    <row r="432" spans="1:54" x14ac:dyDescent="0.2">
      <c r="A432" s="84"/>
      <c r="B432" s="85"/>
      <c r="C432" s="85"/>
      <c r="D432" s="85"/>
      <c r="E432" s="86"/>
      <c r="F432" s="16">
        <f>IF(E432="","",DATEDIF(E432,$I$7,"Y"))</f>
      </c>
      <c r="G432" s="85"/>
      <c r="H432" s="85"/>
      <c r="I432" s="87"/>
      <c r="J432" s="85"/>
      <c r="K432" s="85"/>
      <c r="L432" s="10"/>
      <c r="M432" s="10"/>
      <c r="N432" s="10"/>
      <c r="O432" s="10"/>
      <c r="P432" s="85"/>
      <c r="Q432" s="88"/>
      <c r="R432" s="3">
        <f>IFERROR(VLOOKUP(TablaJulio[[#This Row],[BARRIO]],SECTOR!$A:$B,2,0),"")</f>
      </c>
      <c r="S432" s="89"/>
      <c r="T432" s="90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6"/>
      <c r="AZ432" s="120">
        <f>COUNTIF(U432:AY432,"A")</f>
      </c>
      <c r="BA432" s="121">
        <f>COUNTIF(U432:AY432,"F")</f>
      </c>
      <c r="BB432" s="119">
        <f>COUNTIF(U432:AY432,"E")</f>
      </c>
    </row>
    <row r="433" spans="1:54" x14ac:dyDescent="0.2">
      <c r="A433" s="84"/>
      <c r="B433" s="85"/>
      <c r="C433" s="85"/>
      <c r="D433" s="85"/>
      <c r="E433" s="86"/>
      <c r="F433" s="16">
        <f>IF(E433="","",DATEDIF(E433,$I$7,"Y"))</f>
      </c>
      <c r="G433" s="85"/>
      <c r="H433" s="85"/>
      <c r="I433" s="87"/>
      <c r="J433" s="85"/>
      <c r="K433" s="85"/>
      <c r="L433" s="10"/>
      <c r="M433" s="10"/>
      <c r="N433" s="10"/>
      <c r="O433" s="10"/>
      <c r="P433" s="85"/>
      <c r="Q433" s="88"/>
      <c r="R433" s="3">
        <f>IFERROR(VLOOKUP(TablaJulio[[#This Row],[BARRIO]],SECTOR!$A:$B,2,0),"")</f>
      </c>
      <c r="S433" s="89"/>
      <c r="T433" s="90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6"/>
      <c r="AZ433" s="120">
        <f>COUNTIF(U433:AY433,"A")</f>
      </c>
      <c r="BA433" s="121">
        <f>COUNTIF(U433:AY433,"F")</f>
      </c>
      <c r="BB433" s="119">
        <f>COUNTIF(U433:AY433,"E")</f>
      </c>
    </row>
    <row r="434" spans="1:54" x14ac:dyDescent="0.2">
      <c r="A434" s="84"/>
      <c r="B434" s="85"/>
      <c r="C434" s="85"/>
      <c r="D434" s="85"/>
      <c r="E434" s="86"/>
      <c r="F434" s="16">
        <f>IF(E434="","",DATEDIF(E434,$I$7,"Y"))</f>
      </c>
      <c r="G434" s="85"/>
      <c r="H434" s="85"/>
      <c r="I434" s="87"/>
      <c r="J434" s="85"/>
      <c r="K434" s="85"/>
      <c r="L434" s="10"/>
      <c r="M434" s="10"/>
      <c r="N434" s="10"/>
      <c r="O434" s="10"/>
      <c r="P434" s="85"/>
      <c r="Q434" s="88"/>
      <c r="R434" s="3">
        <f>IFERROR(VLOOKUP(TablaJulio[[#This Row],[BARRIO]],SECTOR!$A:$B,2,0),"")</f>
      </c>
      <c r="S434" s="89"/>
      <c r="T434" s="90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6"/>
      <c r="AZ434" s="120">
        <f>COUNTIF(U434:AY434,"A")</f>
      </c>
      <c r="BA434" s="121">
        <f>COUNTIF(U434:AY434,"F")</f>
      </c>
      <c r="BB434" s="119">
        <f>COUNTIF(U434:AY434,"E")</f>
      </c>
    </row>
    <row r="435" spans="1:54" x14ac:dyDescent="0.2">
      <c r="A435" s="84"/>
      <c r="B435" s="85"/>
      <c r="C435" s="85"/>
      <c r="D435" s="85"/>
      <c r="E435" s="86"/>
      <c r="F435" s="16">
        <f>IF(E435="","",DATEDIF(E435,$I$7,"Y"))</f>
      </c>
      <c r="G435" s="85"/>
      <c r="H435" s="85"/>
      <c r="I435" s="87"/>
      <c r="J435" s="85"/>
      <c r="K435" s="85"/>
      <c r="L435" s="10"/>
      <c r="M435" s="10"/>
      <c r="N435" s="10"/>
      <c r="O435" s="10"/>
      <c r="P435" s="85"/>
      <c r="Q435" s="88"/>
      <c r="R435" s="3">
        <f>IFERROR(VLOOKUP(TablaJulio[[#This Row],[BARRIO]],SECTOR!$A:$B,2,0),"")</f>
      </c>
      <c r="S435" s="89"/>
      <c r="T435" s="90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6"/>
      <c r="AZ435" s="120">
        <f>COUNTIF(U435:AY435,"A")</f>
      </c>
      <c r="BA435" s="121">
        <f>COUNTIF(U435:AY435,"F")</f>
      </c>
      <c r="BB435" s="119">
        <f>COUNTIF(U435:AY435,"E")</f>
      </c>
    </row>
    <row r="436" spans="1:54" x14ac:dyDescent="0.2">
      <c r="A436" s="84"/>
      <c r="B436" s="85"/>
      <c r="C436" s="85"/>
      <c r="D436" s="85"/>
      <c r="E436" s="86"/>
      <c r="F436" s="16">
        <f>IF(E436="","",DATEDIF(E436,$I$7,"Y"))</f>
      </c>
      <c r="G436" s="85"/>
      <c r="H436" s="85"/>
      <c r="I436" s="87"/>
      <c r="J436" s="85"/>
      <c r="K436" s="85"/>
      <c r="L436" s="10"/>
      <c r="M436" s="10"/>
      <c r="N436" s="10"/>
      <c r="O436" s="10"/>
      <c r="P436" s="85"/>
      <c r="Q436" s="88"/>
      <c r="R436" s="3">
        <f>IFERROR(VLOOKUP(TablaJulio[[#This Row],[BARRIO]],SECTOR!$A:$B,2,0),"")</f>
      </c>
      <c r="S436" s="89"/>
      <c r="T436" s="90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6"/>
      <c r="AZ436" s="120">
        <f>COUNTIF(U436:AY436,"A")</f>
      </c>
      <c r="BA436" s="121">
        <f>COUNTIF(U436:AY436,"F")</f>
      </c>
      <c r="BB436" s="119">
        <f>COUNTIF(U436:AY436,"E")</f>
      </c>
    </row>
    <row r="437" spans="1:54" x14ac:dyDescent="0.2">
      <c r="A437" s="84"/>
      <c r="B437" s="85"/>
      <c r="C437" s="85"/>
      <c r="D437" s="85"/>
      <c r="E437" s="86"/>
      <c r="F437" s="16">
        <f>IF(E437="","",DATEDIF(E437,$I$7,"Y"))</f>
      </c>
      <c r="G437" s="85"/>
      <c r="H437" s="85"/>
      <c r="I437" s="87"/>
      <c r="J437" s="85"/>
      <c r="K437" s="85"/>
      <c r="L437" s="10"/>
      <c r="M437" s="10"/>
      <c r="N437" s="10"/>
      <c r="O437" s="10"/>
      <c r="P437" s="85"/>
      <c r="Q437" s="88"/>
      <c r="R437" s="3">
        <f>IFERROR(VLOOKUP(TablaJulio[[#This Row],[BARRIO]],SECTOR!$A:$B,2,0),"")</f>
      </c>
      <c r="S437" s="89"/>
      <c r="T437" s="90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6"/>
      <c r="AZ437" s="120">
        <f>COUNTIF(U437:AY437,"A")</f>
      </c>
      <c r="BA437" s="121">
        <f>COUNTIF(U437:AY437,"F")</f>
      </c>
      <c r="BB437" s="119">
        <f>COUNTIF(U437:AY437,"E")</f>
      </c>
    </row>
    <row r="438" spans="1:54" x14ac:dyDescent="0.2">
      <c r="A438" s="84"/>
      <c r="B438" s="85"/>
      <c r="C438" s="85"/>
      <c r="D438" s="85"/>
      <c r="E438" s="86"/>
      <c r="F438" s="16">
        <f>IF(E438="","",DATEDIF(E438,$I$7,"Y"))</f>
      </c>
      <c r="G438" s="85"/>
      <c r="H438" s="85"/>
      <c r="I438" s="87"/>
      <c r="J438" s="85"/>
      <c r="K438" s="85"/>
      <c r="L438" s="10"/>
      <c r="M438" s="10"/>
      <c r="N438" s="10"/>
      <c r="O438" s="10"/>
      <c r="P438" s="85"/>
      <c r="Q438" s="88"/>
      <c r="R438" s="3">
        <f>IFERROR(VLOOKUP(TablaJulio[[#This Row],[BARRIO]],SECTOR!$A:$B,2,0),"")</f>
      </c>
      <c r="S438" s="89"/>
      <c r="T438" s="90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6"/>
      <c r="AZ438" s="120">
        <f>COUNTIF(U438:AY438,"A")</f>
      </c>
      <c r="BA438" s="121">
        <f>COUNTIF(U438:AY438,"F")</f>
      </c>
      <c r="BB438" s="119">
        <f>COUNTIF(U438:AY438,"E")</f>
      </c>
    </row>
    <row r="439" spans="1:54" x14ac:dyDescent="0.2">
      <c r="A439" s="84"/>
      <c r="B439" s="85"/>
      <c r="C439" s="85"/>
      <c r="D439" s="85"/>
      <c r="E439" s="86"/>
      <c r="F439" s="16">
        <f>IF(E439="","",DATEDIF(E439,$I$7,"Y"))</f>
      </c>
      <c r="G439" s="85"/>
      <c r="H439" s="85"/>
      <c r="I439" s="87"/>
      <c r="J439" s="85"/>
      <c r="K439" s="85"/>
      <c r="L439" s="10"/>
      <c r="M439" s="10"/>
      <c r="N439" s="10"/>
      <c r="O439" s="10"/>
      <c r="P439" s="85"/>
      <c r="Q439" s="88"/>
      <c r="R439" s="3">
        <f>IFERROR(VLOOKUP(TablaJulio[[#This Row],[BARRIO]],SECTOR!$A:$B,2,0),"")</f>
      </c>
      <c r="S439" s="89"/>
      <c r="T439" s="90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6"/>
      <c r="AZ439" s="120">
        <f>COUNTIF(U439:AY439,"A")</f>
      </c>
      <c r="BA439" s="121">
        <f>COUNTIF(U439:AY439,"F")</f>
      </c>
      <c r="BB439" s="119">
        <f>COUNTIF(U439:AY439,"E")</f>
      </c>
    </row>
    <row r="440" spans="1:54" x14ac:dyDescent="0.2">
      <c r="A440" s="84"/>
      <c r="B440" s="85"/>
      <c r="C440" s="85"/>
      <c r="D440" s="85"/>
      <c r="E440" s="86"/>
      <c r="F440" s="16">
        <f>IF(E440="","",DATEDIF(E440,$I$7,"Y"))</f>
      </c>
      <c r="G440" s="85"/>
      <c r="H440" s="85"/>
      <c r="I440" s="87"/>
      <c r="J440" s="85"/>
      <c r="K440" s="85"/>
      <c r="L440" s="10"/>
      <c r="M440" s="10"/>
      <c r="N440" s="10"/>
      <c r="O440" s="10"/>
      <c r="P440" s="85"/>
      <c r="Q440" s="88"/>
      <c r="R440" s="3">
        <f>IFERROR(VLOOKUP(TablaJulio[[#This Row],[BARRIO]],SECTOR!$A:$B,2,0),"")</f>
      </c>
      <c r="S440" s="89"/>
      <c r="T440" s="90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6"/>
      <c r="AZ440" s="120">
        <f>COUNTIF(U440:AY440,"A")</f>
      </c>
      <c r="BA440" s="121">
        <f>COUNTIF(U440:AY440,"F")</f>
      </c>
      <c r="BB440" s="119">
        <f>COUNTIF(U440:AY440,"E")</f>
      </c>
    </row>
    <row r="441" spans="1:54" x14ac:dyDescent="0.2">
      <c r="A441" s="84"/>
      <c r="B441" s="85"/>
      <c r="C441" s="85"/>
      <c r="D441" s="85"/>
      <c r="E441" s="86"/>
      <c r="F441" s="16">
        <f>IF(E441="","",DATEDIF(E441,$I$7,"Y"))</f>
      </c>
      <c r="G441" s="85"/>
      <c r="H441" s="85"/>
      <c r="I441" s="87"/>
      <c r="J441" s="85"/>
      <c r="K441" s="85"/>
      <c r="L441" s="10"/>
      <c r="M441" s="10"/>
      <c r="N441" s="10"/>
      <c r="O441" s="10"/>
      <c r="P441" s="85"/>
      <c r="Q441" s="88"/>
      <c r="R441" s="3">
        <f>IFERROR(VLOOKUP(TablaJulio[[#This Row],[BARRIO]],SECTOR!$A:$B,2,0),"")</f>
      </c>
      <c r="S441" s="89"/>
      <c r="T441" s="90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6"/>
      <c r="AZ441" s="120">
        <f>COUNTIF(U441:AY441,"A")</f>
      </c>
      <c r="BA441" s="121">
        <f>COUNTIF(U441:AY441,"F")</f>
      </c>
      <c r="BB441" s="119">
        <f>COUNTIF(U441:AY441,"E")</f>
      </c>
    </row>
    <row r="442" spans="1:54" x14ac:dyDescent="0.2">
      <c r="A442" s="84"/>
      <c r="B442" s="85"/>
      <c r="C442" s="85"/>
      <c r="D442" s="85"/>
      <c r="E442" s="86"/>
      <c r="F442" s="16">
        <f>IF(E442="","",DATEDIF(E442,$I$7,"Y"))</f>
      </c>
      <c r="G442" s="85"/>
      <c r="H442" s="85"/>
      <c r="I442" s="87"/>
      <c r="J442" s="85"/>
      <c r="K442" s="85"/>
      <c r="L442" s="10"/>
      <c r="M442" s="10"/>
      <c r="N442" s="10"/>
      <c r="O442" s="10"/>
      <c r="P442" s="85"/>
      <c r="Q442" s="88"/>
      <c r="R442" s="3">
        <f>IFERROR(VLOOKUP(TablaJulio[[#This Row],[BARRIO]],SECTOR!$A:$B,2,0),"")</f>
      </c>
      <c r="S442" s="89"/>
      <c r="T442" s="90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6"/>
      <c r="AZ442" s="120">
        <f>COUNTIF(U442:AY442,"A")</f>
      </c>
      <c r="BA442" s="121">
        <f>COUNTIF(U442:AY442,"F")</f>
      </c>
      <c r="BB442" s="119">
        <f>COUNTIF(U442:AY442,"E")</f>
      </c>
    </row>
    <row r="443" spans="1:54" x14ac:dyDescent="0.2">
      <c r="A443" s="84"/>
      <c r="B443" s="85"/>
      <c r="C443" s="85"/>
      <c r="D443" s="85"/>
      <c r="E443" s="86"/>
      <c r="F443" s="16">
        <f>IF(E443="","",DATEDIF(E443,$I$7,"Y"))</f>
      </c>
      <c r="G443" s="85"/>
      <c r="H443" s="85"/>
      <c r="I443" s="87"/>
      <c r="J443" s="85"/>
      <c r="K443" s="85"/>
      <c r="L443" s="10"/>
      <c r="M443" s="10"/>
      <c r="N443" s="10"/>
      <c r="O443" s="10"/>
      <c r="P443" s="85"/>
      <c r="Q443" s="88"/>
      <c r="R443" s="3">
        <f>IFERROR(VLOOKUP(TablaJulio[[#This Row],[BARRIO]],SECTOR!$A:$B,2,0),"")</f>
      </c>
      <c r="S443" s="89"/>
      <c r="T443" s="90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6"/>
      <c r="AZ443" s="120">
        <f>COUNTIF(U443:AY443,"A")</f>
      </c>
      <c r="BA443" s="121">
        <f>COUNTIF(U443:AY443,"F")</f>
      </c>
      <c r="BB443" s="119">
        <f>COUNTIF(U443:AY443,"E")</f>
      </c>
    </row>
    <row r="444" spans="1:54" x14ac:dyDescent="0.2">
      <c r="A444" s="84"/>
      <c r="B444" s="85"/>
      <c r="C444" s="85"/>
      <c r="D444" s="85"/>
      <c r="E444" s="86"/>
      <c r="F444" s="16">
        <f>IF(E444="","",DATEDIF(E444,$I$7,"Y"))</f>
      </c>
      <c r="G444" s="85"/>
      <c r="H444" s="85"/>
      <c r="I444" s="87"/>
      <c r="J444" s="85"/>
      <c r="K444" s="85"/>
      <c r="L444" s="10"/>
      <c r="M444" s="10"/>
      <c r="N444" s="10"/>
      <c r="O444" s="10"/>
      <c r="P444" s="85"/>
      <c r="Q444" s="88"/>
      <c r="R444" s="3">
        <f>IFERROR(VLOOKUP(TablaJulio[[#This Row],[BARRIO]],SECTOR!$A:$B,2,0),"")</f>
      </c>
      <c r="S444" s="89"/>
      <c r="T444" s="90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6"/>
      <c r="AZ444" s="120">
        <f>COUNTIF(U444:AY444,"A")</f>
      </c>
      <c r="BA444" s="121">
        <f>COUNTIF(U444:AY444,"F")</f>
      </c>
      <c r="BB444" s="119">
        <f>COUNTIF(U444:AY444,"E")</f>
      </c>
    </row>
    <row r="445" spans="1:54" x14ac:dyDescent="0.2">
      <c r="A445" s="84"/>
      <c r="B445" s="85"/>
      <c r="C445" s="85"/>
      <c r="D445" s="85"/>
      <c r="E445" s="86"/>
      <c r="F445" s="16">
        <f>IF(E445="","",DATEDIF(E445,$I$7,"Y"))</f>
      </c>
      <c r="G445" s="85"/>
      <c r="H445" s="85"/>
      <c r="I445" s="87"/>
      <c r="J445" s="85"/>
      <c r="K445" s="85"/>
      <c r="L445" s="10"/>
      <c r="M445" s="10"/>
      <c r="N445" s="10"/>
      <c r="O445" s="10"/>
      <c r="P445" s="85"/>
      <c r="Q445" s="88"/>
      <c r="R445" s="3">
        <f>IFERROR(VLOOKUP(TablaJulio[[#This Row],[BARRIO]],SECTOR!$A:$B,2,0),"")</f>
      </c>
      <c r="S445" s="89"/>
      <c r="T445" s="90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6"/>
      <c r="AZ445" s="120">
        <f>COUNTIF(U445:AY445,"A")</f>
      </c>
      <c r="BA445" s="121">
        <f>COUNTIF(U445:AY445,"F")</f>
      </c>
      <c r="BB445" s="119">
        <f>COUNTIF(U445:AY445,"E")</f>
      </c>
    </row>
    <row r="446" spans="1:54" x14ac:dyDescent="0.2">
      <c r="A446" s="84"/>
      <c r="B446" s="85"/>
      <c r="C446" s="85"/>
      <c r="D446" s="85"/>
      <c r="E446" s="86"/>
      <c r="F446" s="16">
        <f>IF(E446="","",DATEDIF(E446,$I$7,"Y"))</f>
      </c>
      <c r="G446" s="85"/>
      <c r="H446" s="85"/>
      <c r="I446" s="87"/>
      <c r="J446" s="85"/>
      <c r="K446" s="85"/>
      <c r="L446" s="10"/>
      <c r="M446" s="10"/>
      <c r="N446" s="10"/>
      <c r="O446" s="10"/>
      <c r="P446" s="85"/>
      <c r="Q446" s="88"/>
      <c r="R446" s="3">
        <f>IFERROR(VLOOKUP(TablaJulio[[#This Row],[BARRIO]],SECTOR!$A:$B,2,0),"")</f>
      </c>
      <c r="S446" s="89"/>
      <c r="T446" s="90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6"/>
      <c r="AZ446" s="120">
        <f>COUNTIF(U446:AY446,"A")</f>
      </c>
      <c r="BA446" s="121">
        <f>COUNTIF(U446:AY446,"F")</f>
      </c>
      <c r="BB446" s="119">
        <f>COUNTIF(U446:AY446,"E")</f>
      </c>
    </row>
    <row r="447" spans="1:54" x14ac:dyDescent="0.2">
      <c r="A447" s="84"/>
      <c r="B447" s="85"/>
      <c r="C447" s="85"/>
      <c r="D447" s="85"/>
      <c r="E447" s="86"/>
      <c r="F447" s="16">
        <f>IF(E447="","",DATEDIF(E447,$I$7,"Y"))</f>
      </c>
      <c r="G447" s="85"/>
      <c r="H447" s="85"/>
      <c r="I447" s="87"/>
      <c r="J447" s="85"/>
      <c r="K447" s="85"/>
      <c r="L447" s="10"/>
      <c r="M447" s="10"/>
      <c r="N447" s="10"/>
      <c r="O447" s="10"/>
      <c r="P447" s="85"/>
      <c r="Q447" s="88"/>
      <c r="R447" s="3">
        <f>IFERROR(VLOOKUP(TablaJulio[[#This Row],[BARRIO]],SECTOR!$A:$B,2,0),"")</f>
      </c>
      <c r="S447" s="89"/>
      <c r="T447" s="90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6"/>
      <c r="AZ447" s="120">
        <f>COUNTIF(U447:AY447,"A")</f>
      </c>
      <c r="BA447" s="121">
        <f>COUNTIF(U447:AY447,"F")</f>
      </c>
      <c r="BB447" s="119">
        <f>COUNTIF(U447:AY447,"E")</f>
      </c>
    </row>
    <row r="448" spans="1:54" x14ac:dyDescent="0.2">
      <c r="A448" s="84"/>
      <c r="B448" s="85"/>
      <c r="C448" s="85"/>
      <c r="D448" s="85"/>
      <c r="E448" s="86"/>
      <c r="F448" s="16">
        <f>IF(E448="","",DATEDIF(E448,$I$7,"Y"))</f>
      </c>
      <c r="G448" s="85"/>
      <c r="H448" s="85"/>
      <c r="I448" s="87"/>
      <c r="J448" s="85"/>
      <c r="K448" s="85"/>
      <c r="L448" s="10"/>
      <c r="M448" s="10"/>
      <c r="N448" s="10"/>
      <c r="O448" s="10"/>
      <c r="P448" s="85"/>
      <c r="Q448" s="88"/>
      <c r="R448" s="3">
        <f>IFERROR(VLOOKUP(TablaJulio[[#This Row],[BARRIO]],SECTOR!$A:$B,2,0),"")</f>
      </c>
      <c r="S448" s="89"/>
      <c r="T448" s="90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6"/>
      <c r="AZ448" s="120">
        <f>COUNTIF(U448:AY448,"A")</f>
      </c>
      <c r="BA448" s="121">
        <f>COUNTIF(U448:AY448,"F")</f>
      </c>
      <c r="BB448" s="119">
        <f>COUNTIF(U448:AY448,"E")</f>
      </c>
    </row>
    <row r="449" spans="1:54" x14ac:dyDescent="0.2">
      <c r="A449" s="84"/>
      <c r="B449" s="85"/>
      <c r="C449" s="85"/>
      <c r="D449" s="85"/>
      <c r="E449" s="86"/>
      <c r="F449" s="16">
        <f>IF(E449="","",DATEDIF(E449,$I$7,"Y"))</f>
      </c>
      <c r="G449" s="85"/>
      <c r="H449" s="85"/>
      <c r="I449" s="87"/>
      <c r="J449" s="85"/>
      <c r="K449" s="85"/>
      <c r="L449" s="10"/>
      <c r="M449" s="10"/>
      <c r="N449" s="10"/>
      <c r="O449" s="10"/>
      <c r="P449" s="85"/>
      <c r="Q449" s="88"/>
      <c r="R449" s="3">
        <f>IFERROR(VLOOKUP(TablaJulio[[#This Row],[BARRIO]],SECTOR!$A:$B,2,0),"")</f>
      </c>
      <c r="S449" s="89"/>
      <c r="T449" s="90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6"/>
      <c r="AZ449" s="120">
        <f>COUNTIF(U449:AY449,"A")</f>
      </c>
      <c r="BA449" s="121">
        <f>COUNTIF(U449:AY449,"F")</f>
      </c>
      <c r="BB449" s="119">
        <f>COUNTIF(U449:AY449,"E")</f>
      </c>
    </row>
    <row r="450" spans="1:54" x14ac:dyDescent="0.2">
      <c r="A450" s="84"/>
      <c r="B450" s="85"/>
      <c r="C450" s="85"/>
      <c r="D450" s="85"/>
      <c r="E450" s="86"/>
      <c r="F450" s="16">
        <f>IF(E450="","",DATEDIF(E450,$I$7,"Y"))</f>
      </c>
      <c r="G450" s="85"/>
      <c r="H450" s="85"/>
      <c r="I450" s="87"/>
      <c r="J450" s="85"/>
      <c r="K450" s="85"/>
      <c r="L450" s="10"/>
      <c r="M450" s="10"/>
      <c r="N450" s="10"/>
      <c r="O450" s="10"/>
      <c r="P450" s="85"/>
      <c r="Q450" s="88"/>
      <c r="R450" s="3">
        <f>IFERROR(VLOOKUP(TablaJulio[[#This Row],[BARRIO]],SECTOR!$A:$B,2,0),"")</f>
      </c>
      <c r="S450" s="89"/>
      <c r="T450" s="90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6"/>
      <c r="AZ450" s="120">
        <f>COUNTIF(U450:AY450,"A")</f>
      </c>
      <c r="BA450" s="121">
        <f>COUNTIF(U450:AY450,"F")</f>
      </c>
      <c r="BB450" s="119">
        <f>COUNTIF(U450:AY450,"E")</f>
      </c>
    </row>
    <row r="451" spans="1:54" x14ac:dyDescent="0.2">
      <c r="A451" s="84"/>
      <c r="B451" s="85"/>
      <c r="C451" s="85"/>
      <c r="D451" s="85"/>
      <c r="E451" s="86"/>
      <c r="F451" s="16">
        <f>IF(E451="","",DATEDIF(E451,$I$7,"Y"))</f>
      </c>
      <c r="G451" s="85"/>
      <c r="H451" s="85"/>
      <c r="I451" s="87"/>
      <c r="J451" s="85"/>
      <c r="K451" s="85"/>
      <c r="L451" s="10"/>
      <c r="M451" s="10"/>
      <c r="N451" s="10"/>
      <c r="O451" s="10"/>
      <c r="P451" s="85"/>
      <c r="Q451" s="88"/>
      <c r="R451" s="3">
        <f>IFERROR(VLOOKUP(TablaJulio[[#This Row],[BARRIO]],SECTOR!$A:$B,2,0),"")</f>
      </c>
      <c r="S451" s="89"/>
      <c r="T451" s="90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6"/>
      <c r="AZ451" s="120">
        <f>COUNTIF(U451:AY451,"A")</f>
      </c>
      <c r="BA451" s="121">
        <f>COUNTIF(U451:AY451,"F")</f>
      </c>
      <c r="BB451" s="119">
        <f>COUNTIF(U451:AY451,"E")</f>
      </c>
    </row>
    <row r="452" spans="1:54" x14ac:dyDescent="0.2">
      <c r="A452" s="84"/>
      <c r="B452" s="85"/>
      <c r="C452" s="85"/>
      <c r="D452" s="85"/>
      <c r="E452" s="86"/>
      <c r="F452" s="16">
        <f>IF(E452="","",DATEDIF(E452,$I$7,"Y"))</f>
      </c>
      <c r="G452" s="85"/>
      <c r="H452" s="85"/>
      <c r="I452" s="87"/>
      <c r="J452" s="85"/>
      <c r="K452" s="85"/>
      <c r="L452" s="10"/>
      <c r="M452" s="10"/>
      <c r="N452" s="10"/>
      <c r="O452" s="10"/>
      <c r="P452" s="85"/>
      <c r="Q452" s="88"/>
      <c r="R452" s="3">
        <f>IFERROR(VLOOKUP(TablaJulio[[#This Row],[BARRIO]],SECTOR!$A:$B,2,0),"")</f>
      </c>
      <c r="S452" s="89"/>
      <c r="T452" s="90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6"/>
      <c r="AZ452" s="120">
        <f>COUNTIF(U452:AY452,"A")</f>
      </c>
      <c r="BA452" s="121">
        <f>COUNTIF(U452:AY452,"F")</f>
      </c>
      <c r="BB452" s="119">
        <f>COUNTIF(U452:AY452,"E")</f>
      </c>
    </row>
    <row r="453" spans="1:54" x14ac:dyDescent="0.2">
      <c r="A453" s="84"/>
      <c r="B453" s="85"/>
      <c r="C453" s="85"/>
      <c r="D453" s="85"/>
      <c r="E453" s="86"/>
      <c r="F453" s="16">
        <f>IF(E453="","",DATEDIF(E453,$I$7,"Y"))</f>
      </c>
      <c r="G453" s="85"/>
      <c r="H453" s="85"/>
      <c r="I453" s="87"/>
      <c r="J453" s="85"/>
      <c r="K453" s="85"/>
      <c r="L453" s="10"/>
      <c r="M453" s="10"/>
      <c r="N453" s="10"/>
      <c r="O453" s="10"/>
      <c r="P453" s="85"/>
      <c r="Q453" s="88"/>
      <c r="R453" s="3">
        <f>IFERROR(VLOOKUP(TablaJulio[[#This Row],[BARRIO]],SECTOR!$A:$B,2,0),"")</f>
      </c>
      <c r="S453" s="89"/>
      <c r="T453" s="90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6"/>
      <c r="AZ453" s="120">
        <f>COUNTIF(U453:AY453,"A")</f>
      </c>
      <c r="BA453" s="121">
        <f>COUNTIF(U453:AY453,"F")</f>
      </c>
      <c r="BB453" s="119">
        <f>COUNTIF(U453:AY453,"E")</f>
      </c>
    </row>
    <row r="454" spans="1:54" x14ac:dyDescent="0.2">
      <c r="A454" s="84"/>
      <c r="B454" s="85"/>
      <c r="C454" s="85"/>
      <c r="D454" s="85"/>
      <c r="E454" s="86"/>
      <c r="F454" s="16">
        <f>IF(E454="","",DATEDIF(E454,$I$7,"Y"))</f>
      </c>
      <c r="G454" s="85"/>
      <c r="H454" s="85"/>
      <c r="I454" s="87"/>
      <c r="J454" s="85"/>
      <c r="K454" s="85"/>
      <c r="L454" s="10"/>
      <c r="M454" s="10"/>
      <c r="N454" s="10"/>
      <c r="O454" s="10"/>
      <c r="P454" s="85"/>
      <c r="Q454" s="88"/>
      <c r="R454" s="3">
        <f>IFERROR(VLOOKUP(TablaJulio[[#This Row],[BARRIO]],SECTOR!$A:$B,2,0),"")</f>
      </c>
      <c r="S454" s="89"/>
      <c r="T454" s="90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6"/>
      <c r="AZ454" s="120">
        <f>COUNTIF(U454:AY454,"A")</f>
      </c>
      <c r="BA454" s="121">
        <f>COUNTIF(U454:AY454,"F")</f>
      </c>
      <c r="BB454" s="119">
        <f>COUNTIF(U454:AY454,"E")</f>
      </c>
    </row>
    <row r="455" spans="1:54" x14ac:dyDescent="0.2">
      <c r="A455" s="84"/>
      <c r="B455" s="85"/>
      <c r="C455" s="85"/>
      <c r="D455" s="85"/>
      <c r="E455" s="86"/>
      <c r="F455" s="16">
        <f>IF(E455="","",DATEDIF(E455,$I$7,"Y"))</f>
      </c>
      <c r="G455" s="85"/>
      <c r="H455" s="85"/>
      <c r="I455" s="87"/>
      <c r="J455" s="85"/>
      <c r="K455" s="85"/>
      <c r="L455" s="10"/>
      <c r="M455" s="10"/>
      <c r="N455" s="10"/>
      <c r="O455" s="10"/>
      <c r="P455" s="85"/>
      <c r="Q455" s="88"/>
      <c r="R455" s="3">
        <f>IFERROR(VLOOKUP(TablaJulio[[#This Row],[BARRIO]],SECTOR!$A:$B,2,0),"")</f>
      </c>
      <c r="S455" s="89"/>
      <c r="T455" s="90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6"/>
      <c r="AZ455" s="120">
        <f>COUNTIF(U455:AY455,"A")</f>
      </c>
      <c r="BA455" s="121">
        <f>COUNTIF(U455:AY455,"F")</f>
      </c>
      <c r="BB455" s="119">
        <f>COUNTIF(U455:AY455,"E")</f>
      </c>
    </row>
    <row r="456" spans="1:54" x14ac:dyDescent="0.2">
      <c r="A456" s="84"/>
      <c r="B456" s="85"/>
      <c r="C456" s="85"/>
      <c r="D456" s="85"/>
      <c r="E456" s="86"/>
      <c r="F456" s="16">
        <f>IF(E456="","",DATEDIF(E456,$I$7,"Y"))</f>
      </c>
      <c r="G456" s="85"/>
      <c r="H456" s="85"/>
      <c r="I456" s="87"/>
      <c r="J456" s="85"/>
      <c r="K456" s="85"/>
      <c r="L456" s="10"/>
      <c r="M456" s="10"/>
      <c r="N456" s="10"/>
      <c r="O456" s="10"/>
      <c r="P456" s="85"/>
      <c r="Q456" s="88"/>
      <c r="R456" s="3">
        <f>IFERROR(VLOOKUP(TablaJulio[[#This Row],[BARRIO]],SECTOR!$A:$B,2,0),"")</f>
      </c>
      <c r="S456" s="89"/>
      <c r="T456" s="90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6"/>
      <c r="AZ456" s="120">
        <f>COUNTIF(U456:AY456,"A")</f>
      </c>
      <c r="BA456" s="121">
        <f>COUNTIF(U456:AY456,"F")</f>
      </c>
      <c r="BB456" s="119">
        <f>COUNTIF(U456:AY456,"E")</f>
      </c>
    </row>
    <row r="457" spans="1:54" x14ac:dyDescent="0.2">
      <c r="A457" s="84"/>
      <c r="B457" s="85"/>
      <c r="C457" s="85"/>
      <c r="D457" s="85"/>
      <c r="E457" s="86"/>
      <c r="F457" s="16">
        <f>IF(E457="","",DATEDIF(E457,$I$7,"Y"))</f>
      </c>
      <c r="G457" s="85"/>
      <c r="H457" s="85"/>
      <c r="I457" s="87"/>
      <c r="J457" s="85"/>
      <c r="K457" s="85"/>
      <c r="L457" s="10"/>
      <c r="M457" s="10"/>
      <c r="N457" s="10"/>
      <c r="O457" s="10"/>
      <c r="P457" s="85"/>
      <c r="Q457" s="88"/>
      <c r="R457" s="3">
        <f>IFERROR(VLOOKUP(TablaJulio[[#This Row],[BARRIO]],SECTOR!$A:$B,2,0),"")</f>
      </c>
      <c r="S457" s="89"/>
      <c r="T457" s="90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6"/>
      <c r="AZ457" s="120">
        <f>COUNTIF(U457:AY457,"A")</f>
      </c>
      <c r="BA457" s="121">
        <f>COUNTIF(U457:AY457,"F")</f>
      </c>
      <c r="BB457" s="119">
        <f>COUNTIF(U457:AY457,"E")</f>
      </c>
    </row>
    <row r="458" spans="1:54" x14ac:dyDescent="0.2">
      <c r="A458" s="84"/>
      <c r="B458" s="85"/>
      <c r="C458" s="85"/>
      <c r="D458" s="85"/>
      <c r="E458" s="86"/>
      <c r="F458" s="16">
        <f>IF(E458="","",DATEDIF(E458,$I$7,"Y"))</f>
      </c>
      <c r="G458" s="85"/>
      <c r="H458" s="85"/>
      <c r="I458" s="87"/>
      <c r="J458" s="85"/>
      <c r="K458" s="85"/>
      <c r="L458" s="10"/>
      <c r="M458" s="10"/>
      <c r="N458" s="10"/>
      <c r="O458" s="10"/>
      <c r="P458" s="85"/>
      <c r="Q458" s="88"/>
      <c r="R458" s="3">
        <f>IFERROR(VLOOKUP(TablaJulio[[#This Row],[BARRIO]],SECTOR!$A:$B,2,0),"")</f>
      </c>
      <c r="S458" s="89"/>
      <c r="T458" s="90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6"/>
      <c r="AZ458" s="120">
        <f>COUNTIF(U458:AY458,"A")</f>
      </c>
      <c r="BA458" s="121">
        <f>COUNTIF(U458:AY458,"F")</f>
      </c>
      <c r="BB458" s="119">
        <f>COUNTIF(U458:AY458,"E")</f>
      </c>
    </row>
    <row r="459" spans="1:54" x14ac:dyDescent="0.2">
      <c r="A459" s="84"/>
      <c r="B459" s="85"/>
      <c r="C459" s="85"/>
      <c r="D459" s="85"/>
      <c r="E459" s="86"/>
      <c r="F459" s="16">
        <f>IF(E459="","",DATEDIF(E459,$I$7,"Y"))</f>
      </c>
      <c r="G459" s="85"/>
      <c r="H459" s="85"/>
      <c r="I459" s="87"/>
      <c r="J459" s="85"/>
      <c r="K459" s="85"/>
      <c r="L459" s="10"/>
      <c r="M459" s="10"/>
      <c r="N459" s="10"/>
      <c r="O459" s="10"/>
      <c r="P459" s="85"/>
      <c r="Q459" s="88"/>
      <c r="R459" s="3">
        <f>IFERROR(VLOOKUP(TablaJulio[[#This Row],[BARRIO]],SECTOR!$A:$B,2,0),"")</f>
      </c>
      <c r="S459" s="89"/>
      <c r="T459" s="90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6"/>
      <c r="AZ459" s="120">
        <f>COUNTIF(U459:AY459,"A")</f>
      </c>
      <c r="BA459" s="121">
        <f>COUNTIF(U459:AY459,"F")</f>
      </c>
      <c r="BB459" s="119">
        <f>COUNTIF(U459:AY459,"E")</f>
      </c>
    </row>
    <row r="460" spans="1:54" x14ac:dyDescent="0.2">
      <c r="A460" s="84"/>
      <c r="B460" s="85"/>
      <c r="C460" s="85"/>
      <c r="D460" s="85"/>
      <c r="E460" s="86"/>
      <c r="F460" s="16">
        <f>IF(E460="","",DATEDIF(E460,$I$7,"Y"))</f>
      </c>
      <c r="G460" s="85"/>
      <c r="H460" s="85"/>
      <c r="I460" s="87"/>
      <c r="J460" s="85"/>
      <c r="K460" s="85"/>
      <c r="L460" s="10"/>
      <c r="M460" s="10"/>
      <c r="N460" s="10"/>
      <c r="O460" s="10"/>
      <c r="P460" s="85"/>
      <c r="Q460" s="88"/>
      <c r="R460" s="3">
        <f>IFERROR(VLOOKUP(TablaJulio[[#This Row],[BARRIO]],SECTOR!$A:$B,2,0),"")</f>
      </c>
      <c r="S460" s="89"/>
      <c r="T460" s="90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6"/>
      <c r="AZ460" s="120">
        <f>COUNTIF(U460:AY460,"A")</f>
      </c>
      <c r="BA460" s="121">
        <f>COUNTIF(U460:AY460,"F")</f>
      </c>
      <c r="BB460" s="119">
        <f>COUNTIF(U460:AY460,"E")</f>
      </c>
    </row>
    <row r="461" spans="1:54" x14ac:dyDescent="0.2">
      <c r="A461" s="84"/>
      <c r="B461" s="85"/>
      <c r="C461" s="85"/>
      <c r="D461" s="85"/>
      <c r="E461" s="86"/>
      <c r="F461" s="16">
        <f>IF(E461="","",DATEDIF(E461,$I$7,"Y"))</f>
      </c>
      <c r="G461" s="85"/>
      <c r="H461" s="85"/>
      <c r="I461" s="87"/>
      <c r="J461" s="85"/>
      <c r="K461" s="85"/>
      <c r="L461" s="10"/>
      <c r="M461" s="10"/>
      <c r="N461" s="10"/>
      <c r="O461" s="10"/>
      <c r="P461" s="85"/>
      <c r="Q461" s="88"/>
      <c r="R461" s="3">
        <f>IFERROR(VLOOKUP(TablaJulio[[#This Row],[BARRIO]],SECTOR!$A:$B,2,0),"")</f>
      </c>
      <c r="S461" s="89"/>
      <c r="T461" s="90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6"/>
      <c r="AZ461" s="120">
        <f>COUNTIF(U461:AY461,"A")</f>
      </c>
      <c r="BA461" s="121">
        <f>COUNTIF(U461:AY461,"F")</f>
      </c>
      <c r="BB461" s="119">
        <f>COUNTIF(U461:AY461,"E")</f>
      </c>
    </row>
    <row r="462" spans="1:54" x14ac:dyDescent="0.2">
      <c r="A462" s="84"/>
      <c r="B462" s="85"/>
      <c r="C462" s="85"/>
      <c r="D462" s="85"/>
      <c r="E462" s="86"/>
      <c r="F462" s="16">
        <f>IF(E462="","",DATEDIF(E462,$I$7,"Y"))</f>
      </c>
      <c r="G462" s="85"/>
      <c r="H462" s="85"/>
      <c r="I462" s="87"/>
      <c r="J462" s="85"/>
      <c r="K462" s="85"/>
      <c r="L462" s="10"/>
      <c r="M462" s="10"/>
      <c r="N462" s="10"/>
      <c r="O462" s="10"/>
      <c r="P462" s="85"/>
      <c r="Q462" s="88"/>
      <c r="R462" s="3">
        <f>IFERROR(VLOOKUP(TablaJulio[[#This Row],[BARRIO]],SECTOR!$A:$B,2,0),"")</f>
      </c>
      <c r="S462" s="89"/>
      <c r="T462" s="90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6"/>
      <c r="AZ462" s="120">
        <f>COUNTIF(U462:AY462,"A")</f>
      </c>
      <c r="BA462" s="121">
        <f>COUNTIF(U462:AY462,"F")</f>
      </c>
      <c r="BB462" s="119">
        <f>COUNTIF(U462:AY462,"E")</f>
      </c>
    </row>
    <row r="463" spans="1:54" x14ac:dyDescent="0.2">
      <c r="A463" s="84"/>
      <c r="B463" s="85"/>
      <c r="C463" s="85"/>
      <c r="D463" s="85"/>
      <c r="E463" s="86"/>
      <c r="F463" s="16">
        <f>IF(E463="","",DATEDIF(E463,$I$7,"Y"))</f>
      </c>
      <c r="G463" s="85"/>
      <c r="H463" s="85"/>
      <c r="I463" s="87"/>
      <c r="J463" s="85"/>
      <c r="K463" s="85"/>
      <c r="L463" s="10"/>
      <c r="M463" s="10"/>
      <c r="N463" s="10"/>
      <c r="O463" s="10"/>
      <c r="P463" s="85"/>
      <c r="Q463" s="88"/>
      <c r="R463" s="3">
        <f>IFERROR(VLOOKUP(TablaJulio[[#This Row],[BARRIO]],SECTOR!$A:$B,2,0),"")</f>
      </c>
      <c r="S463" s="89"/>
      <c r="T463" s="90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6"/>
      <c r="AZ463" s="120">
        <f>COUNTIF(U463:AY463,"A")</f>
      </c>
      <c r="BA463" s="121">
        <f>COUNTIF(U463:AY463,"F")</f>
      </c>
      <c r="BB463" s="119">
        <f>COUNTIF(U463:AY463,"E")</f>
      </c>
    </row>
    <row r="464" spans="1:54" x14ac:dyDescent="0.2">
      <c r="A464" s="84"/>
      <c r="B464" s="85"/>
      <c r="C464" s="85"/>
      <c r="D464" s="85"/>
      <c r="E464" s="86"/>
      <c r="F464" s="16">
        <f>IF(E464="","",DATEDIF(E464,$I$7,"Y"))</f>
      </c>
      <c r="G464" s="85"/>
      <c r="H464" s="85"/>
      <c r="I464" s="87"/>
      <c r="J464" s="85"/>
      <c r="K464" s="85"/>
      <c r="L464" s="10"/>
      <c r="M464" s="10"/>
      <c r="N464" s="10"/>
      <c r="O464" s="10"/>
      <c r="P464" s="85"/>
      <c r="Q464" s="88"/>
      <c r="R464" s="3">
        <f>IFERROR(VLOOKUP(TablaJulio[[#This Row],[BARRIO]],SECTOR!$A:$B,2,0),"")</f>
      </c>
      <c r="S464" s="89"/>
      <c r="T464" s="90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6"/>
      <c r="AZ464" s="120">
        <f>COUNTIF(U464:AY464,"A")</f>
      </c>
      <c r="BA464" s="121">
        <f>COUNTIF(U464:AY464,"F")</f>
      </c>
      <c r="BB464" s="119">
        <f>COUNTIF(U464:AY464,"E")</f>
      </c>
    </row>
    <row r="465" spans="1:54" x14ac:dyDescent="0.2">
      <c r="A465" s="84"/>
      <c r="B465" s="85"/>
      <c r="C465" s="85"/>
      <c r="D465" s="85"/>
      <c r="E465" s="86"/>
      <c r="F465" s="16">
        <f>IF(E465="","",DATEDIF(E465,$I$7,"Y"))</f>
      </c>
      <c r="G465" s="85"/>
      <c r="H465" s="85"/>
      <c r="I465" s="87"/>
      <c r="J465" s="85"/>
      <c r="K465" s="85"/>
      <c r="L465" s="10"/>
      <c r="M465" s="10"/>
      <c r="N465" s="10"/>
      <c r="O465" s="10"/>
      <c r="P465" s="85"/>
      <c r="Q465" s="88"/>
      <c r="R465" s="3">
        <f>IFERROR(VLOOKUP(TablaJulio[[#This Row],[BARRIO]],SECTOR!$A:$B,2,0),"")</f>
      </c>
      <c r="S465" s="89"/>
      <c r="T465" s="90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6"/>
      <c r="AZ465" s="120">
        <f>COUNTIF(U465:AY465,"A")</f>
      </c>
      <c r="BA465" s="121">
        <f>COUNTIF(U465:AY465,"F")</f>
      </c>
      <c r="BB465" s="119">
        <f>COUNTIF(U465:AY465,"E")</f>
      </c>
    </row>
    <row r="466" spans="1:54" x14ac:dyDescent="0.2">
      <c r="A466" s="84"/>
      <c r="B466" s="85"/>
      <c r="C466" s="85"/>
      <c r="D466" s="85"/>
      <c r="E466" s="86"/>
      <c r="F466" s="16">
        <f>IF(E466="","",DATEDIF(E466,$I$7,"Y"))</f>
      </c>
      <c r="G466" s="85"/>
      <c r="H466" s="85"/>
      <c r="I466" s="87"/>
      <c r="J466" s="85"/>
      <c r="K466" s="85"/>
      <c r="L466" s="10"/>
      <c r="M466" s="10"/>
      <c r="N466" s="10"/>
      <c r="O466" s="10"/>
      <c r="P466" s="85"/>
      <c r="Q466" s="88"/>
      <c r="R466" s="3">
        <f>IFERROR(VLOOKUP(TablaJulio[[#This Row],[BARRIO]],SECTOR!$A:$B,2,0),"")</f>
      </c>
      <c r="S466" s="89"/>
      <c r="T466" s="90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6"/>
      <c r="AZ466" s="120">
        <f>COUNTIF(U466:AY466,"A")</f>
      </c>
      <c r="BA466" s="121">
        <f>COUNTIF(U466:AY466,"F")</f>
      </c>
      <c r="BB466" s="119">
        <f>COUNTIF(U466:AY466,"E")</f>
      </c>
    </row>
    <row r="467" spans="1:54" x14ac:dyDescent="0.2">
      <c r="A467" s="84"/>
      <c r="B467" s="85"/>
      <c r="C467" s="85"/>
      <c r="D467" s="85"/>
      <c r="E467" s="86"/>
      <c r="F467" s="16">
        <f>IF(E467="","",DATEDIF(E467,$I$7,"Y"))</f>
      </c>
      <c r="G467" s="85"/>
      <c r="H467" s="85"/>
      <c r="I467" s="87"/>
      <c r="J467" s="85"/>
      <c r="K467" s="85"/>
      <c r="L467" s="10"/>
      <c r="M467" s="10"/>
      <c r="N467" s="10"/>
      <c r="O467" s="10"/>
      <c r="P467" s="85"/>
      <c r="Q467" s="88"/>
      <c r="R467" s="3">
        <f>IFERROR(VLOOKUP(TablaJulio[[#This Row],[BARRIO]],SECTOR!$A:$B,2,0),"")</f>
      </c>
      <c r="S467" s="89"/>
      <c r="T467" s="90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6"/>
      <c r="AZ467" s="120">
        <f>COUNTIF(U467:AY467,"A")</f>
      </c>
      <c r="BA467" s="121">
        <f>COUNTIF(U467:AY467,"F")</f>
      </c>
      <c r="BB467" s="119">
        <f>COUNTIF(U467:AY467,"E")</f>
      </c>
    </row>
    <row r="468" spans="1:54" x14ac:dyDescent="0.2">
      <c r="A468" s="84"/>
      <c r="B468" s="85"/>
      <c r="C468" s="85"/>
      <c r="D468" s="85"/>
      <c r="E468" s="86"/>
      <c r="F468" s="16">
        <f>IF(E468="","",DATEDIF(E468,$I$7,"Y"))</f>
      </c>
      <c r="G468" s="85"/>
      <c r="H468" s="85"/>
      <c r="I468" s="87"/>
      <c r="J468" s="85"/>
      <c r="K468" s="85"/>
      <c r="L468" s="10"/>
      <c r="M468" s="10"/>
      <c r="N468" s="10"/>
      <c r="O468" s="10"/>
      <c r="P468" s="85"/>
      <c r="Q468" s="88"/>
      <c r="R468" s="3">
        <f>IFERROR(VLOOKUP(TablaJulio[[#This Row],[BARRIO]],SECTOR!$A:$B,2,0),"")</f>
      </c>
      <c r="S468" s="89"/>
      <c r="T468" s="90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6"/>
      <c r="AZ468" s="120">
        <f>COUNTIF(U468:AY468,"A")</f>
      </c>
      <c r="BA468" s="121">
        <f>COUNTIF(U468:AY468,"F")</f>
      </c>
      <c r="BB468" s="119">
        <f>COUNTIF(U468:AY468,"E")</f>
      </c>
    </row>
    <row r="469" spans="1:54" x14ac:dyDescent="0.2">
      <c r="A469" s="84"/>
      <c r="B469" s="85"/>
      <c r="C469" s="85"/>
      <c r="D469" s="85"/>
      <c r="E469" s="86"/>
      <c r="F469" s="16">
        <f>IF(E469="","",DATEDIF(E469,$I$7,"Y"))</f>
      </c>
      <c r="G469" s="85"/>
      <c r="H469" s="85"/>
      <c r="I469" s="87"/>
      <c r="J469" s="85"/>
      <c r="K469" s="85"/>
      <c r="L469" s="10"/>
      <c r="M469" s="10"/>
      <c r="N469" s="10"/>
      <c r="O469" s="10"/>
      <c r="P469" s="85"/>
      <c r="Q469" s="88"/>
      <c r="R469" s="3">
        <f>IFERROR(VLOOKUP(TablaJulio[[#This Row],[BARRIO]],SECTOR!$A:$B,2,0),"")</f>
      </c>
      <c r="S469" s="89"/>
      <c r="T469" s="90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6"/>
      <c r="AZ469" s="120">
        <f>COUNTIF(U469:AY469,"A")</f>
      </c>
      <c r="BA469" s="121">
        <f>COUNTIF(U469:AY469,"F")</f>
      </c>
      <c r="BB469" s="119">
        <f>COUNTIF(U469:AY469,"E")</f>
      </c>
    </row>
    <row r="470" spans="1:54" x14ac:dyDescent="0.2">
      <c r="A470" s="84"/>
      <c r="B470" s="85"/>
      <c r="C470" s="85"/>
      <c r="D470" s="85"/>
      <c r="E470" s="86"/>
      <c r="F470" s="16">
        <f>IF(E470="","",DATEDIF(E470,$I$7,"Y"))</f>
      </c>
      <c r="G470" s="85"/>
      <c r="H470" s="85"/>
      <c r="I470" s="87"/>
      <c r="J470" s="85"/>
      <c r="K470" s="85"/>
      <c r="L470" s="10"/>
      <c r="M470" s="10"/>
      <c r="N470" s="10"/>
      <c r="O470" s="10"/>
      <c r="P470" s="85"/>
      <c r="Q470" s="88"/>
      <c r="R470" s="3">
        <f>IFERROR(VLOOKUP(TablaJulio[[#This Row],[BARRIO]],SECTOR!$A:$B,2,0),"")</f>
      </c>
      <c r="S470" s="89"/>
      <c r="T470" s="90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6"/>
      <c r="AZ470" s="120">
        <f>COUNTIF(U470:AY470,"A")</f>
      </c>
      <c r="BA470" s="121">
        <f>COUNTIF(U470:AY470,"F")</f>
      </c>
      <c r="BB470" s="119">
        <f>COUNTIF(U470:AY470,"E")</f>
      </c>
    </row>
    <row r="471" spans="1:54" x14ac:dyDescent="0.2">
      <c r="A471" s="84"/>
      <c r="B471" s="85"/>
      <c r="C471" s="85"/>
      <c r="D471" s="85"/>
      <c r="E471" s="86"/>
      <c r="F471" s="16">
        <f>IF(E471="","",DATEDIF(E471,$I$7,"Y"))</f>
      </c>
      <c r="G471" s="85"/>
      <c r="H471" s="85"/>
      <c r="I471" s="87"/>
      <c r="J471" s="85"/>
      <c r="K471" s="85"/>
      <c r="L471" s="10"/>
      <c r="M471" s="10"/>
      <c r="N471" s="10"/>
      <c r="O471" s="10"/>
      <c r="P471" s="85"/>
      <c r="Q471" s="88"/>
      <c r="R471" s="3">
        <f>IFERROR(VLOOKUP(TablaJulio[[#This Row],[BARRIO]],SECTOR!$A:$B,2,0),"")</f>
      </c>
      <c r="S471" s="89"/>
      <c r="T471" s="90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6"/>
      <c r="AZ471" s="120">
        <f>COUNTIF(U471:AY471,"A")</f>
      </c>
      <c r="BA471" s="121">
        <f>COUNTIF(U471:AY471,"F")</f>
      </c>
      <c r="BB471" s="119">
        <f>COUNTIF(U471:AY471,"E")</f>
      </c>
    </row>
    <row r="472" spans="1:54" x14ac:dyDescent="0.2">
      <c r="A472" s="84"/>
      <c r="B472" s="85"/>
      <c r="C472" s="85"/>
      <c r="D472" s="85"/>
      <c r="E472" s="86"/>
      <c r="F472" s="16">
        <f>IF(E472="","",DATEDIF(E472,$I$7,"Y"))</f>
      </c>
      <c r="G472" s="85"/>
      <c r="H472" s="85"/>
      <c r="I472" s="87"/>
      <c r="J472" s="85"/>
      <c r="K472" s="85"/>
      <c r="L472" s="10"/>
      <c r="M472" s="10"/>
      <c r="N472" s="10"/>
      <c r="O472" s="10"/>
      <c r="P472" s="85"/>
      <c r="Q472" s="88"/>
      <c r="R472" s="3">
        <f>IFERROR(VLOOKUP(TablaJulio[[#This Row],[BARRIO]],SECTOR!$A:$B,2,0),"")</f>
      </c>
      <c r="S472" s="89"/>
      <c r="T472" s="90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6"/>
      <c r="AZ472" s="120">
        <f>COUNTIF(U472:AY472,"A")</f>
      </c>
      <c r="BA472" s="121">
        <f>COUNTIF(U472:AY472,"F")</f>
      </c>
      <c r="BB472" s="119">
        <f>COUNTIF(U472:AY472,"E")</f>
      </c>
    </row>
    <row r="473" spans="1:54" x14ac:dyDescent="0.2">
      <c r="A473" s="84"/>
      <c r="B473" s="85"/>
      <c r="C473" s="85"/>
      <c r="D473" s="85"/>
      <c r="E473" s="86"/>
      <c r="F473" s="16">
        <f>IF(E473="","",DATEDIF(E473,$I$7,"Y"))</f>
      </c>
      <c r="G473" s="85"/>
      <c r="H473" s="85"/>
      <c r="I473" s="87"/>
      <c r="J473" s="85"/>
      <c r="K473" s="85"/>
      <c r="L473" s="10"/>
      <c r="M473" s="10"/>
      <c r="N473" s="10"/>
      <c r="O473" s="10"/>
      <c r="P473" s="85"/>
      <c r="Q473" s="88"/>
      <c r="R473" s="3">
        <f>IFERROR(VLOOKUP(TablaJulio[[#This Row],[BARRIO]],SECTOR!$A:$B,2,0),"")</f>
      </c>
      <c r="S473" s="89"/>
      <c r="T473" s="90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6"/>
      <c r="AZ473" s="120">
        <f>COUNTIF(U473:AY473,"A")</f>
      </c>
      <c r="BA473" s="121">
        <f>COUNTIF(U473:AY473,"F")</f>
      </c>
      <c r="BB473" s="119">
        <f>COUNTIF(U473:AY473,"E")</f>
      </c>
    </row>
    <row r="474" spans="1:54" x14ac:dyDescent="0.2">
      <c r="A474" s="84"/>
      <c r="B474" s="85"/>
      <c r="C474" s="85"/>
      <c r="D474" s="85"/>
      <c r="E474" s="86"/>
      <c r="F474" s="16">
        <f>IF(E474="","",DATEDIF(E474,$I$7,"Y"))</f>
      </c>
      <c r="G474" s="85"/>
      <c r="H474" s="85"/>
      <c r="I474" s="87"/>
      <c r="J474" s="85"/>
      <c r="K474" s="85"/>
      <c r="L474" s="10"/>
      <c r="M474" s="10"/>
      <c r="N474" s="10"/>
      <c r="O474" s="10"/>
      <c r="P474" s="85"/>
      <c r="Q474" s="88"/>
      <c r="R474" s="3">
        <f>IFERROR(VLOOKUP(TablaJulio[[#This Row],[BARRIO]],SECTOR!$A:$B,2,0),"")</f>
      </c>
      <c r="S474" s="89"/>
      <c r="T474" s="90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6"/>
      <c r="AZ474" s="120">
        <f>COUNTIF(U474:AY474,"A")</f>
      </c>
      <c r="BA474" s="121">
        <f>COUNTIF(U474:AY474,"F")</f>
      </c>
      <c r="BB474" s="119">
        <f>COUNTIF(U474:AY474,"E")</f>
      </c>
    </row>
    <row r="475" spans="1:54" x14ac:dyDescent="0.2">
      <c r="A475" s="84"/>
      <c r="B475" s="85"/>
      <c r="C475" s="85"/>
      <c r="D475" s="85"/>
      <c r="E475" s="86"/>
      <c r="F475" s="16">
        <f>IF(E475="","",DATEDIF(E475,$I$7,"Y"))</f>
      </c>
      <c r="G475" s="85"/>
      <c r="H475" s="85"/>
      <c r="I475" s="87"/>
      <c r="J475" s="85"/>
      <c r="K475" s="85"/>
      <c r="L475" s="10"/>
      <c r="M475" s="10"/>
      <c r="N475" s="10"/>
      <c r="O475" s="10"/>
      <c r="P475" s="85"/>
      <c r="Q475" s="88"/>
      <c r="R475" s="3">
        <f>IFERROR(VLOOKUP(TablaJulio[[#This Row],[BARRIO]],SECTOR!$A:$B,2,0),"")</f>
      </c>
      <c r="S475" s="89"/>
      <c r="T475" s="90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6"/>
      <c r="AZ475" s="120">
        <f>COUNTIF(U475:AY475,"A")</f>
      </c>
      <c r="BA475" s="121">
        <f>COUNTIF(U475:AY475,"F")</f>
      </c>
      <c r="BB475" s="119">
        <f>COUNTIF(U475:AY475,"E")</f>
      </c>
    </row>
    <row r="476" spans="1:54" x14ac:dyDescent="0.2">
      <c r="A476" s="84"/>
      <c r="B476" s="85"/>
      <c r="C476" s="85"/>
      <c r="D476" s="85"/>
      <c r="E476" s="86"/>
      <c r="F476" s="16">
        <f>IF(E476="","",DATEDIF(E476,$I$7,"Y"))</f>
      </c>
      <c r="G476" s="85"/>
      <c r="H476" s="85"/>
      <c r="I476" s="87"/>
      <c r="J476" s="85"/>
      <c r="K476" s="85"/>
      <c r="L476" s="10"/>
      <c r="M476" s="10"/>
      <c r="N476" s="10"/>
      <c r="O476" s="10"/>
      <c r="P476" s="85"/>
      <c r="Q476" s="88"/>
      <c r="R476" s="3">
        <f>IFERROR(VLOOKUP(TablaJulio[[#This Row],[BARRIO]],SECTOR!$A:$B,2,0),"")</f>
      </c>
      <c r="S476" s="89"/>
      <c r="T476" s="90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6"/>
      <c r="AZ476" s="120">
        <f>COUNTIF(U476:AY476,"A")</f>
      </c>
      <c r="BA476" s="121">
        <f>COUNTIF(U476:AY476,"F")</f>
      </c>
      <c r="BB476" s="119">
        <f>COUNTIF(U476:AY476,"E")</f>
      </c>
    </row>
    <row r="477" spans="1:54" x14ac:dyDescent="0.2">
      <c r="A477" s="84"/>
      <c r="B477" s="85"/>
      <c r="C477" s="85"/>
      <c r="D477" s="85"/>
      <c r="E477" s="86"/>
      <c r="F477" s="16">
        <f>IF(E477="","",DATEDIF(E477,$I$7,"Y"))</f>
      </c>
      <c r="G477" s="85"/>
      <c r="H477" s="85"/>
      <c r="I477" s="87"/>
      <c r="J477" s="85"/>
      <c r="K477" s="85"/>
      <c r="L477" s="10"/>
      <c r="M477" s="10"/>
      <c r="N477" s="10"/>
      <c r="O477" s="10"/>
      <c r="P477" s="85"/>
      <c r="Q477" s="88"/>
      <c r="R477" s="3">
        <f>IFERROR(VLOOKUP(TablaJulio[[#This Row],[BARRIO]],SECTOR!$A:$B,2,0),"")</f>
      </c>
      <c r="S477" s="89"/>
      <c r="T477" s="90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6"/>
      <c r="AZ477" s="120">
        <f>COUNTIF(U477:AY477,"A")</f>
      </c>
      <c r="BA477" s="121">
        <f>COUNTIF(U477:AY477,"F")</f>
      </c>
      <c r="BB477" s="119">
        <f>COUNTIF(U477:AY477,"E")</f>
      </c>
    </row>
    <row r="478" spans="1:54" x14ac:dyDescent="0.2">
      <c r="A478" s="84"/>
      <c r="B478" s="85"/>
      <c r="C478" s="85"/>
      <c r="D478" s="85"/>
      <c r="E478" s="86"/>
      <c r="F478" s="16">
        <f>IF(E478="","",DATEDIF(E478,$I$7,"Y"))</f>
      </c>
      <c r="G478" s="85"/>
      <c r="H478" s="85"/>
      <c r="I478" s="87"/>
      <c r="J478" s="85"/>
      <c r="K478" s="85"/>
      <c r="L478" s="10"/>
      <c r="M478" s="10"/>
      <c r="N478" s="10"/>
      <c r="O478" s="10"/>
      <c r="P478" s="85"/>
      <c r="Q478" s="88"/>
      <c r="R478" s="3">
        <f>IFERROR(VLOOKUP(TablaJulio[[#This Row],[BARRIO]],SECTOR!$A:$B,2,0),"")</f>
      </c>
      <c r="S478" s="89"/>
      <c r="T478" s="90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6"/>
      <c r="AZ478" s="120">
        <f>COUNTIF(U478:AY478,"A")</f>
      </c>
      <c r="BA478" s="121">
        <f>COUNTIF(U478:AY478,"F")</f>
      </c>
      <c r="BB478" s="119">
        <f>COUNTIF(U478:AY478,"E")</f>
      </c>
    </row>
    <row r="479" spans="1:54" x14ac:dyDescent="0.2">
      <c r="A479" s="84"/>
      <c r="B479" s="85"/>
      <c r="C479" s="85"/>
      <c r="D479" s="85"/>
      <c r="E479" s="86"/>
      <c r="F479" s="16">
        <f>IF(E479="","",DATEDIF(E479,$I$7,"Y"))</f>
      </c>
      <c r="G479" s="85"/>
      <c r="H479" s="85"/>
      <c r="I479" s="87"/>
      <c r="J479" s="85"/>
      <c r="K479" s="85"/>
      <c r="L479" s="10"/>
      <c r="M479" s="10"/>
      <c r="N479" s="10"/>
      <c r="O479" s="10"/>
      <c r="P479" s="85"/>
      <c r="Q479" s="88"/>
      <c r="R479" s="3">
        <f>IFERROR(VLOOKUP(TablaJulio[[#This Row],[BARRIO]],SECTOR!$A:$B,2,0),"")</f>
      </c>
      <c r="S479" s="89"/>
      <c r="T479" s="90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6"/>
      <c r="AZ479" s="120">
        <f>COUNTIF(U479:AY479,"A")</f>
      </c>
      <c r="BA479" s="121">
        <f>COUNTIF(U479:AY479,"F")</f>
      </c>
      <c r="BB479" s="119">
        <f>COUNTIF(U479:AY479,"E")</f>
      </c>
    </row>
    <row r="480" spans="1:54" x14ac:dyDescent="0.2">
      <c r="A480" s="84"/>
      <c r="B480" s="85"/>
      <c r="C480" s="85"/>
      <c r="D480" s="85"/>
      <c r="E480" s="86"/>
      <c r="F480" s="16">
        <f>IF(E480="","",DATEDIF(E480,$I$7,"Y"))</f>
      </c>
      <c r="G480" s="85"/>
      <c r="H480" s="85"/>
      <c r="I480" s="87"/>
      <c r="J480" s="85"/>
      <c r="K480" s="85"/>
      <c r="L480" s="10"/>
      <c r="M480" s="10"/>
      <c r="N480" s="10"/>
      <c r="O480" s="10"/>
      <c r="P480" s="85"/>
      <c r="Q480" s="88"/>
      <c r="R480" s="3">
        <f>IFERROR(VLOOKUP(TablaJulio[[#This Row],[BARRIO]],SECTOR!$A:$B,2,0),"")</f>
      </c>
      <c r="S480" s="89"/>
      <c r="T480" s="90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6"/>
      <c r="AZ480" s="120">
        <f>COUNTIF(U480:AY480,"A")</f>
      </c>
      <c r="BA480" s="121">
        <f>COUNTIF(U480:AY480,"F")</f>
      </c>
      <c r="BB480" s="119">
        <f>COUNTIF(U480:AY480,"E")</f>
      </c>
    </row>
    <row r="481" spans="1:54" x14ac:dyDescent="0.2">
      <c r="A481" s="84"/>
      <c r="B481" s="85"/>
      <c r="C481" s="85"/>
      <c r="D481" s="85"/>
      <c r="E481" s="86"/>
      <c r="F481" s="16">
        <f>IF(E481="","",DATEDIF(E481,$I$7,"Y"))</f>
      </c>
      <c r="G481" s="85"/>
      <c r="H481" s="85"/>
      <c r="I481" s="87"/>
      <c r="J481" s="85"/>
      <c r="K481" s="85"/>
      <c r="L481" s="10"/>
      <c r="M481" s="10"/>
      <c r="N481" s="10"/>
      <c r="O481" s="10"/>
      <c r="P481" s="85"/>
      <c r="Q481" s="88"/>
      <c r="R481" s="3">
        <f>IFERROR(VLOOKUP(TablaJulio[[#This Row],[BARRIO]],SECTOR!$A:$B,2,0),"")</f>
      </c>
      <c r="S481" s="89"/>
      <c r="T481" s="90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6"/>
      <c r="AZ481" s="120">
        <f>COUNTIF(U481:AY481,"A")</f>
      </c>
      <c r="BA481" s="121">
        <f>COUNTIF(U481:AY481,"F")</f>
      </c>
      <c r="BB481" s="119">
        <f>COUNTIF(U481:AY481,"E")</f>
      </c>
    </row>
    <row r="482" spans="1:54" x14ac:dyDescent="0.2">
      <c r="A482" s="84"/>
      <c r="B482" s="85"/>
      <c r="C482" s="85"/>
      <c r="D482" s="85"/>
      <c r="E482" s="86"/>
      <c r="F482" s="16">
        <f>IF(E482="","",DATEDIF(E482,$I$7,"Y"))</f>
      </c>
      <c r="G482" s="85"/>
      <c r="H482" s="85"/>
      <c r="I482" s="87"/>
      <c r="J482" s="85"/>
      <c r="K482" s="85"/>
      <c r="L482" s="10"/>
      <c r="M482" s="10"/>
      <c r="N482" s="10"/>
      <c r="O482" s="10"/>
      <c r="P482" s="85"/>
      <c r="Q482" s="88"/>
      <c r="R482" s="3">
        <f>IFERROR(VLOOKUP(TablaJulio[[#This Row],[BARRIO]],SECTOR!$A:$B,2,0),"")</f>
      </c>
      <c r="S482" s="89"/>
      <c r="T482" s="90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6"/>
      <c r="AZ482" s="120">
        <f>COUNTIF(U482:AY482,"A")</f>
      </c>
      <c r="BA482" s="121">
        <f>COUNTIF(U482:AY482,"F")</f>
      </c>
      <c r="BB482" s="119">
        <f>COUNTIF(U482:AY482,"E")</f>
      </c>
    </row>
    <row r="483" spans="1:54" x14ac:dyDescent="0.2">
      <c r="A483" s="84"/>
      <c r="B483" s="85"/>
      <c r="C483" s="85"/>
      <c r="D483" s="85"/>
      <c r="E483" s="86"/>
      <c r="F483" s="16">
        <f>IF(E483="","",DATEDIF(E483,$I$7,"Y"))</f>
      </c>
      <c r="G483" s="85"/>
      <c r="H483" s="85"/>
      <c r="I483" s="87"/>
      <c r="J483" s="85"/>
      <c r="K483" s="85"/>
      <c r="L483" s="10"/>
      <c r="M483" s="10"/>
      <c r="N483" s="10"/>
      <c r="O483" s="10"/>
      <c r="P483" s="85"/>
      <c r="Q483" s="88"/>
      <c r="R483" s="3">
        <f>IFERROR(VLOOKUP(TablaJulio[[#This Row],[BARRIO]],SECTOR!$A:$B,2,0),"")</f>
      </c>
      <c r="S483" s="89"/>
      <c r="T483" s="90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6"/>
      <c r="AZ483" s="120">
        <f>COUNTIF(U483:AY483,"A")</f>
      </c>
      <c r="BA483" s="121">
        <f>COUNTIF(U483:AY483,"F")</f>
      </c>
      <c r="BB483" s="119">
        <f>COUNTIF(U483:AY483,"E")</f>
      </c>
    </row>
    <row r="484" spans="1:54" x14ac:dyDescent="0.2">
      <c r="A484" s="84"/>
      <c r="B484" s="85"/>
      <c r="C484" s="85"/>
      <c r="D484" s="85"/>
      <c r="E484" s="86"/>
      <c r="F484" s="16">
        <f>IF(E484="","",DATEDIF(E484,$I$7,"Y"))</f>
      </c>
      <c r="G484" s="85"/>
      <c r="H484" s="85"/>
      <c r="I484" s="87"/>
      <c r="J484" s="85"/>
      <c r="K484" s="85"/>
      <c r="L484" s="10"/>
      <c r="M484" s="10"/>
      <c r="N484" s="10"/>
      <c r="O484" s="10"/>
      <c r="P484" s="85"/>
      <c r="Q484" s="88"/>
      <c r="R484" s="3">
        <f>IFERROR(VLOOKUP(TablaJulio[[#This Row],[BARRIO]],SECTOR!$A:$B,2,0),"")</f>
      </c>
      <c r="S484" s="89"/>
      <c r="T484" s="90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6"/>
      <c r="AZ484" s="120">
        <f>COUNTIF(U484:AY484,"A")</f>
      </c>
      <c r="BA484" s="121">
        <f>COUNTIF(U484:AY484,"F")</f>
      </c>
      <c r="BB484" s="119">
        <f>COUNTIF(U484:AY484,"E")</f>
      </c>
    </row>
    <row r="485" spans="1:54" x14ac:dyDescent="0.2">
      <c r="A485" s="84"/>
      <c r="B485" s="85"/>
      <c r="C485" s="85"/>
      <c r="D485" s="85"/>
      <c r="E485" s="86"/>
      <c r="F485" s="16">
        <f>IF(E485="","",DATEDIF(E485,$I$7,"Y"))</f>
      </c>
      <c r="G485" s="85"/>
      <c r="H485" s="85"/>
      <c r="I485" s="87"/>
      <c r="J485" s="85"/>
      <c r="K485" s="85"/>
      <c r="L485" s="10"/>
      <c r="M485" s="10"/>
      <c r="N485" s="10"/>
      <c r="O485" s="10"/>
      <c r="P485" s="85"/>
      <c r="Q485" s="88"/>
      <c r="R485" s="3">
        <f>IFERROR(VLOOKUP(TablaJulio[[#This Row],[BARRIO]],SECTOR!$A:$B,2,0),"")</f>
      </c>
      <c r="S485" s="89"/>
      <c r="T485" s="90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6"/>
      <c r="AZ485" s="120">
        <f>COUNTIF(U485:AY485,"A")</f>
      </c>
      <c r="BA485" s="121">
        <f>COUNTIF(U485:AY485,"F")</f>
      </c>
      <c r="BB485" s="119">
        <f>COUNTIF(U485:AY485,"E")</f>
      </c>
    </row>
    <row r="486" spans="1:54" x14ac:dyDescent="0.2">
      <c r="A486" s="84"/>
      <c r="B486" s="85"/>
      <c r="C486" s="85"/>
      <c r="D486" s="85"/>
      <c r="E486" s="86"/>
      <c r="F486" s="16">
        <f>IF(E486="","",DATEDIF(E486,$I$7,"Y"))</f>
      </c>
      <c r="G486" s="85"/>
      <c r="H486" s="85"/>
      <c r="I486" s="87"/>
      <c r="J486" s="85"/>
      <c r="K486" s="85"/>
      <c r="L486" s="10"/>
      <c r="M486" s="10"/>
      <c r="N486" s="10"/>
      <c r="O486" s="10"/>
      <c r="P486" s="85"/>
      <c r="Q486" s="88"/>
      <c r="R486" s="3">
        <f>IFERROR(VLOOKUP(TablaJulio[[#This Row],[BARRIO]],SECTOR!$A:$B,2,0),"")</f>
      </c>
      <c r="S486" s="89"/>
      <c r="T486" s="90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6"/>
      <c r="AZ486" s="120">
        <f>COUNTIF(U486:AY486,"A")</f>
      </c>
      <c r="BA486" s="121">
        <f>COUNTIF(U486:AY486,"F")</f>
      </c>
      <c r="BB486" s="119">
        <f>COUNTIF(U486:AY486,"E")</f>
      </c>
    </row>
    <row r="487" spans="1:54" x14ac:dyDescent="0.2">
      <c r="A487" s="84"/>
      <c r="B487" s="85"/>
      <c r="C487" s="85"/>
      <c r="D487" s="85"/>
      <c r="E487" s="86"/>
      <c r="F487" s="16">
        <f>IF(E487="","",DATEDIF(E487,$I$7,"Y"))</f>
      </c>
      <c r="G487" s="85"/>
      <c r="H487" s="85"/>
      <c r="I487" s="87"/>
      <c r="J487" s="85"/>
      <c r="K487" s="85"/>
      <c r="L487" s="10"/>
      <c r="M487" s="10"/>
      <c r="N487" s="10"/>
      <c r="O487" s="10"/>
      <c r="P487" s="85"/>
      <c r="Q487" s="88"/>
      <c r="R487" s="3">
        <f>IFERROR(VLOOKUP(TablaJulio[[#This Row],[BARRIO]],SECTOR!$A:$B,2,0),"")</f>
      </c>
      <c r="S487" s="89"/>
      <c r="T487" s="90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6"/>
      <c r="AZ487" s="120">
        <f>COUNTIF(U487:AY487,"A")</f>
      </c>
      <c r="BA487" s="121">
        <f>COUNTIF(U487:AY487,"F")</f>
      </c>
      <c r="BB487" s="119">
        <f>COUNTIF(U487:AY487,"E")</f>
      </c>
    </row>
    <row r="488" spans="1:54" x14ac:dyDescent="0.2">
      <c r="A488" s="84"/>
      <c r="B488" s="85"/>
      <c r="C488" s="85"/>
      <c r="D488" s="85"/>
      <c r="E488" s="86"/>
      <c r="F488" s="16">
        <f>IF(E488="","",DATEDIF(E488,$I$7,"Y"))</f>
      </c>
      <c r="G488" s="85"/>
      <c r="H488" s="85"/>
      <c r="I488" s="87"/>
      <c r="J488" s="85"/>
      <c r="K488" s="85"/>
      <c r="L488" s="10"/>
      <c r="M488" s="10"/>
      <c r="N488" s="10"/>
      <c r="O488" s="10"/>
      <c r="P488" s="85"/>
      <c r="Q488" s="88"/>
      <c r="R488" s="3">
        <f>IFERROR(VLOOKUP(TablaJulio[[#This Row],[BARRIO]],SECTOR!$A:$B,2,0),"")</f>
      </c>
      <c r="S488" s="89"/>
      <c r="T488" s="90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6"/>
      <c r="AZ488" s="120">
        <f>COUNTIF(U488:AY488,"A")</f>
      </c>
      <c r="BA488" s="121">
        <f>COUNTIF(U488:AY488,"F")</f>
      </c>
      <c r="BB488" s="119">
        <f>COUNTIF(U488:AY488,"E")</f>
      </c>
    </row>
    <row r="489" spans="1:54" x14ac:dyDescent="0.2">
      <c r="A489" s="84"/>
      <c r="B489" s="85"/>
      <c r="C489" s="85"/>
      <c r="D489" s="85"/>
      <c r="E489" s="86"/>
      <c r="F489" s="16">
        <f>IF(E489="","",DATEDIF(E489,$I$7,"Y"))</f>
      </c>
      <c r="G489" s="85"/>
      <c r="H489" s="85"/>
      <c r="I489" s="87"/>
      <c r="J489" s="85"/>
      <c r="K489" s="85"/>
      <c r="L489" s="10"/>
      <c r="M489" s="10"/>
      <c r="N489" s="10"/>
      <c r="O489" s="10"/>
      <c r="P489" s="85"/>
      <c r="Q489" s="88"/>
      <c r="R489" s="3">
        <f>IFERROR(VLOOKUP(TablaJulio[[#This Row],[BARRIO]],SECTOR!$A:$B,2,0),"")</f>
      </c>
      <c r="S489" s="89"/>
      <c r="T489" s="90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6"/>
      <c r="AZ489" s="120">
        <f>COUNTIF(U489:AY489,"A")</f>
      </c>
      <c r="BA489" s="121">
        <f>COUNTIF(U489:AY489,"F")</f>
      </c>
      <c r="BB489" s="119">
        <f>COUNTIF(U489:AY489,"E")</f>
      </c>
    </row>
    <row r="490" spans="1:54" x14ac:dyDescent="0.2">
      <c r="A490" s="84"/>
      <c r="B490" s="85"/>
      <c r="C490" s="85"/>
      <c r="D490" s="85"/>
      <c r="E490" s="86"/>
      <c r="F490" s="16">
        <f>IF(E490="","",DATEDIF(E490,$I$7,"Y"))</f>
      </c>
      <c r="G490" s="85"/>
      <c r="H490" s="85"/>
      <c r="I490" s="87"/>
      <c r="J490" s="85"/>
      <c r="K490" s="85"/>
      <c r="L490" s="10"/>
      <c r="M490" s="10"/>
      <c r="N490" s="10"/>
      <c r="O490" s="10"/>
      <c r="P490" s="85"/>
      <c r="Q490" s="88"/>
      <c r="R490" s="3">
        <f>IFERROR(VLOOKUP(TablaJulio[[#This Row],[BARRIO]],SECTOR!$A:$B,2,0),"")</f>
      </c>
      <c r="S490" s="89"/>
      <c r="T490" s="90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6"/>
      <c r="AZ490" s="120">
        <f>COUNTIF(U490:AY490,"A")</f>
      </c>
      <c r="BA490" s="121">
        <f>COUNTIF(U490:AY490,"F")</f>
      </c>
      <c r="BB490" s="119">
        <f>COUNTIF(U490:AY490,"E")</f>
      </c>
    </row>
    <row r="491" spans="1:54" x14ac:dyDescent="0.2">
      <c r="A491" s="84"/>
      <c r="B491" s="85"/>
      <c r="C491" s="85"/>
      <c r="D491" s="85"/>
      <c r="E491" s="86"/>
      <c r="F491" s="16">
        <f>IF(E491="","",DATEDIF(E491,$I$7,"Y"))</f>
      </c>
      <c r="G491" s="85"/>
      <c r="H491" s="85"/>
      <c r="I491" s="87"/>
      <c r="J491" s="85"/>
      <c r="K491" s="85"/>
      <c r="L491" s="10"/>
      <c r="M491" s="10"/>
      <c r="N491" s="10"/>
      <c r="O491" s="10"/>
      <c r="P491" s="85"/>
      <c r="Q491" s="88"/>
      <c r="R491" s="3">
        <f>IFERROR(VLOOKUP(TablaJulio[[#This Row],[BARRIO]],SECTOR!$A:$B,2,0),"")</f>
      </c>
      <c r="S491" s="89"/>
      <c r="T491" s="90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6"/>
      <c r="AZ491" s="120">
        <f>COUNTIF(U491:AY491,"A")</f>
      </c>
      <c r="BA491" s="121">
        <f>COUNTIF(U491:AY491,"F")</f>
      </c>
      <c r="BB491" s="119">
        <f>COUNTIF(U491:AY491,"E")</f>
      </c>
    </row>
    <row r="492" spans="1:54" x14ac:dyDescent="0.2">
      <c r="A492" s="84"/>
      <c r="B492" s="85"/>
      <c r="C492" s="85"/>
      <c r="D492" s="85"/>
      <c r="E492" s="86"/>
      <c r="F492" s="16">
        <f>IF(E492="","",DATEDIF(E492,$I$7,"Y"))</f>
      </c>
      <c r="G492" s="85"/>
      <c r="H492" s="85"/>
      <c r="I492" s="87"/>
      <c r="J492" s="85"/>
      <c r="K492" s="85"/>
      <c r="L492" s="10"/>
      <c r="M492" s="10"/>
      <c r="N492" s="10"/>
      <c r="O492" s="10"/>
      <c r="P492" s="85"/>
      <c r="Q492" s="88"/>
      <c r="R492" s="3">
        <f>IFERROR(VLOOKUP(TablaJulio[[#This Row],[BARRIO]],SECTOR!$A:$B,2,0),"")</f>
      </c>
      <c r="S492" s="89"/>
      <c r="T492" s="90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6"/>
      <c r="AZ492" s="120">
        <f>COUNTIF(U492:AY492,"A")</f>
      </c>
      <c r="BA492" s="121">
        <f>COUNTIF(U492:AY492,"F")</f>
      </c>
      <c r="BB492" s="119">
        <f>COUNTIF(U492:AY492,"E")</f>
      </c>
    </row>
    <row r="493" spans="1:54" x14ac:dyDescent="0.2">
      <c r="A493" s="84"/>
      <c r="B493" s="85"/>
      <c r="C493" s="85"/>
      <c r="D493" s="85"/>
      <c r="E493" s="86"/>
      <c r="F493" s="16">
        <f>IF(E493="","",DATEDIF(E493,$I$7,"Y"))</f>
      </c>
      <c r="G493" s="85"/>
      <c r="H493" s="85"/>
      <c r="I493" s="87"/>
      <c r="J493" s="85"/>
      <c r="K493" s="85"/>
      <c r="L493" s="10"/>
      <c r="M493" s="10"/>
      <c r="N493" s="10"/>
      <c r="O493" s="10"/>
      <c r="P493" s="85"/>
      <c r="Q493" s="88"/>
      <c r="R493" s="3">
        <f>IFERROR(VLOOKUP(TablaJulio[[#This Row],[BARRIO]],SECTOR!$A:$B,2,0),"")</f>
      </c>
      <c r="S493" s="89"/>
      <c r="T493" s="90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6"/>
      <c r="AZ493" s="120">
        <f>COUNTIF(U493:AY493,"A")</f>
      </c>
      <c r="BA493" s="121">
        <f>COUNTIF(U493:AY493,"F")</f>
      </c>
      <c r="BB493" s="119">
        <f>COUNTIF(U493:AY493,"E")</f>
      </c>
    </row>
    <row r="494" spans="1:54" x14ac:dyDescent="0.2">
      <c r="A494" s="84"/>
      <c r="B494" s="85"/>
      <c r="C494" s="85"/>
      <c r="D494" s="85"/>
      <c r="E494" s="86"/>
      <c r="F494" s="16">
        <f>IF(E494="","",DATEDIF(E494,$I$7,"Y"))</f>
      </c>
      <c r="G494" s="85"/>
      <c r="H494" s="85"/>
      <c r="I494" s="87"/>
      <c r="J494" s="85"/>
      <c r="K494" s="85"/>
      <c r="L494" s="10"/>
      <c r="M494" s="10"/>
      <c r="N494" s="10"/>
      <c r="O494" s="10"/>
      <c r="P494" s="85"/>
      <c r="Q494" s="88"/>
      <c r="R494" s="3">
        <f>IFERROR(VLOOKUP(TablaJulio[[#This Row],[BARRIO]],SECTOR!$A:$B,2,0),"")</f>
      </c>
      <c r="S494" s="89"/>
      <c r="T494" s="90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6"/>
      <c r="AZ494" s="120">
        <f>COUNTIF(U494:AY494,"A")</f>
      </c>
      <c r="BA494" s="121">
        <f>COUNTIF(U494:AY494,"F")</f>
      </c>
      <c r="BB494" s="119">
        <f>COUNTIF(U494:AY494,"E")</f>
      </c>
    </row>
    <row r="495" spans="1:54" x14ac:dyDescent="0.2">
      <c r="A495" s="84"/>
      <c r="B495" s="85"/>
      <c r="C495" s="85"/>
      <c r="D495" s="85"/>
      <c r="E495" s="86"/>
      <c r="F495" s="16">
        <f>IF(E495="","",DATEDIF(E495,$I$7,"Y"))</f>
      </c>
      <c r="G495" s="85"/>
      <c r="H495" s="85"/>
      <c r="I495" s="87"/>
      <c r="J495" s="85"/>
      <c r="K495" s="85"/>
      <c r="L495" s="10"/>
      <c r="M495" s="10"/>
      <c r="N495" s="10"/>
      <c r="O495" s="10"/>
      <c r="P495" s="85"/>
      <c r="Q495" s="88"/>
      <c r="R495" s="3">
        <f>IFERROR(VLOOKUP(TablaJulio[[#This Row],[BARRIO]],SECTOR!$A:$B,2,0),"")</f>
      </c>
      <c r="S495" s="89"/>
      <c r="T495" s="90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6"/>
      <c r="AZ495" s="120">
        <f>COUNTIF(U495:AY495,"A")</f>
      </c>
      <c r="BA495" s="121">
        <f>COUNTIF(U495:AY495,"F")</f>
      </c>
      <c r="BB495" s="119">
        <f>COUNTIF(U495:AY495,"E")</f>
      </c>
    </row>
    <row r="496" spans="1:54" x14ac:dyDescent="0.2">
      <c r="A496" s="84"/>
      <c r="B496" s="85"/>
      <c r="C496" s="85"/>
      <c r="D496" s="85"/>
      <c r="E496" s="86"/>
      <c r="F496" s="16">
        <f>IF(E496="","",DATEDIF(E496,$I$7,"Y"))</f>
      </c>
      <c r="G496" s="85"/>
      <c r="H496" s="85"/>
      <c r="I496" s="87"/>
      <c r="J496" s="85"/>
      <c r="K496" s="85"/>
      <c r="L496" s="10"/>
      <c r="M496" s="10"/>
      <c r="N496" s="10"/>
      <c r="O496" s="10"/>
      <c r="P496" s="85"/>
      <c r="Q496" s="88"/>
      <c r="R496" s="3">
        <f>IFERROR(VLOOKUP(TablaJulio[[#This Row],[BARRIO]],SECTOR!$A:$B,2,0),"")</f>
      </c>
      <c r="S496" s="89"/>
      <c r="T496" s="90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6"/>
      <c r="AZ496" s="120">
        <f>COUNTIF(U496:AY496,"A")</f>
      </c>
      <c r="BA496" s="121">
        <f>COUNTIF(U496:AY496,"F")</f>
      </c>
      <c r="BB496" s="119">
        <f>COUNTIF(U496:AY496,"E")</f>
      </c>
    </row>
    <row r="497" spans="1:54" x14ac:dyDescent="0.2">
      <c r="A497" s="84"/>
      <c r="B497" s="85"/>
      <c r="C497" s="85"/>
      <c r="D497" s="85"/>
      <c r="E497" s="86"/>
      <c r="F497" s="16">
        <f>IF(E497="","",DATEDIF(E497,$I$7,"Y"))</f>
      </c>
      <c r="G497" s="85"/>
      <c r="H497" s="85"/>
      <c r="I497" s="87"/>
      <c r="J497" s="85"/>
      <c r="K497" s="85"/>
      <c r="L497" s="10"/>
      <c r="M497" s="10"/>
      <c r="N497" s="10"/>
      <c r="O497" s="10"/>
      <c r="P497" s="85"/>
      <c r="Q497" s="88"/>
      <c r="R497" s="3">
        <f>IFERROR(VLOOKUP(TablaJulio[[#This Row],[BARRIO]],SECTOR!$A:$B,2,0),"")</f>
      </c>
      <c r="S497" s="89"/>
      <c r="T497" s="90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6"/>
      <c r="AZ497" s="120">
        <f>COUNTIF(U497:AY497,"A")</f>
      </c>
      <c r="BA497" s="121">
        <f>COUNTIF(U497:AY497,"F")</f>
      </c>
      <c r="BB497" s="119">
        <f>COUNTIF(U497:AY497,"E")</f>
      </c>
    </row>
    <row r="498" spans="1:54" x14ac:dyDescent="0.2">
      <c r="A498" s="84"/>
      <c r="B498" s="85"/>
      <c r="C498" s="85"/>
      <c r="D498" s="85"/>
      <c r="E498" s="86"/>
      <c r="F498" s="16">
        <f>IF(E498="","",DATEDIF(E498,$I$7,"Y"))</f>
      </c>
      <c r="G498" s="85"/>
      <c r="H498" s="85"/>
      <c r="I498" s="87"/>
      <c r="J498" s="85"/>
      <c r="K498" s="85"/>
      <c r="L498" s="10"/>
      <c r="M498" s="10"/>
      <c r="N498" s="10"/>
      <c r="O498" s="10"/>
      <c r="P498" s="85"/>
      <c r="Q498" s="88"/>
      <c r="R498" s="3">
        <f>IFERROR(VLOOKUP(TablaJulio[[#This Row],[BARRIO]],SECTOR!$A:$B,2,0),"")</f>
      </c>
      <c r="S498" s="89"/>
      <c r="T498" s="90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6"/>
      <c r="AZ498" s="120">
        <f>COUNTIF(U498:AY498,"A")</f>
      </c>
      <c r="BA498" s="121">
        <f>COUNTIF(U498:AY498,"F")</f>
      </c>
      <c r="BB498" s="119">
        <f>COUNTIF(U498:AY498,"E")</f>
      </c>
    </row>
    <row r="499" spans="1:54" x14ac:dyDescent="0.2">
      <c r="A499" s="84"/>
      <c r="B499" s="85"/>
      <c r="C499" s="85"/>
      <c r="D499" s="85"/>
      <c r="E499" s="86"/>
      <c r="F499" s="16">
        <f>IF(E499="","",DATEDIF(E499,$I$7,"Y"))</f>
      </c>
      <c r="G499" s="85"/>
      <c r="H499" s="85"/>
      <c r="I499" s="87"/>
      <c r="J499" s="85"/>
      <c r="K499" s="85"/>
      <c r="L499" s="10"/>
      <c r="M499" s="10"/>
      <c r="N499" s="10"/>
      <c r="O499" s="10"/>
      <c r="P499" s="85"/>
      <c r="Q499" s="88"/>
      <c r="R499" s="3">
        <f>IFERROR(VLOOKUP(TablaJulio[[#This Row],[BARRIO]],SECTOR!$A:$B,2,0),"")</f>
      </c>
      <c r="S499" s="89"/>
      <c r="T499" s="90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6"/>
      <c r="AZ499" s="120">
        <f>COUNTIF(U499:AY499,"A")</f>
      </c>
      <c r="BA499" s="121">
        <f>COUNTIF(U499:AY499,"F")</f>
      </c>
      <c r="BB499" s="119">
        <f>COUNTIF(U499:AY499,"E")</f>
      </c>
    </row>
    <row r="500" spans="1:54" x14ac:dyDescent="0.2">
      <c r="A500" s="84"/>
      <c r="B500" s="85"/>
      <c r="C500" s="85"/>
      <c r="D500" s="85"/>
      <c r="E500" s="86"/>
      <c r="F500" s="16">
        <f>IF(E500="","",DATEDIF(E500,$I$7,"Y"))</f>
      </c>
      <c r="G500" s="85"/>
      <c r="H500" s="85"/>
      <c r="I500" s="87"/>
      <c r="J500" s="85"/>
      <c r="K500" s="85"/>
      <c r="L500" s="10"/>
      <c r="M500" s="10"/>
      <c r="N500" s="10"/>
      <c r="O500" s="10"/>
      <c r="P500" s="85"/>
      <c r="Q500" s="88"/>
      <c r="R500" s="3">
        <f>IFERROR(VLOOKUP(TablaJulio[[#This Row],[BARRIO]],SECTOR!$A:$B,2,0),"")</f>
      </c>
      <c r="S500" s="89"/>
      <c r="T500" s="90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6"/>
      <c r="AZ500" s="120">
        <f>COUNTIF(U500:AY500,"A")</f>
      </c>
      <c r="BA500" s="121">
        <f>COUNTIF(U500:AY500,"F")</f>
      </c>
      <c r="BB500" s="119">
        <f>COUNTIF(U500:AY500,"E")</f>
      </c>
    </row>
    <row r="501" spans="1:54" x14ac:dyDescent="0.2">
      <c r="A501" s="84"/>
      <c r="B501" s="85"/>
      <c r="C501" s="85"/>
      <c r="D501" s="85"/>
      <c r="E501" s="86"/>
      <c r="F501" s="16">
        <f>IF(E501="","",DATEDIF(E501,$I$7,"Y"))</f>
      </c>
      <c r="G501" s="85"/>
      <c r="H501" s="85"/>
      <c r="I501" s="87"/>
      <c r="J501" s="85"/>
      <c r="K501" s="85"/>
      <c r="L501" s="10"/>
      <c r="M501" s="10"/>
      <c r="N501" s="10"/>
      <c r="O501" s="10"/>
      <c r="P501" s="85"/>
      <c r="Q501" s="88"/>
      <c r="R501" s="3">
        <f>IFERROR(VLOOKUP(TablaJulio[[#This Row],[BARRIO]],SECTOR!$A:$B,2,0),"")</f>
      </c>
      <c r="S501" s="89"/>
      <c r="T501" s="90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6"/>
      <c r="AZ501" s="120">
        <f>COUNTIF(U501:AY501,"A")</f>
      </c>
      <c r="BA501" s="121">
        <f>COUNTIF(U501:AY501,"F")</f>
      </c>
      <c r="BB501" s="119">
        <f>COUNTIF(U501:AY501,"E")</f>
      </c>
    </row>
    <row r="502" spans="1:54" x14ac:dyDescent="0.2">
      <c r="A502" s="84"/>
      <c r="B502" s="85"/>
      <c r="C502" s="85"/>
      <c r="D502" s="85"/>
      <c r="E502" s="86"/>
      <c r="F502" s="16">
        <f>IF(E502="","",DATEDIF(E502,$I$7,"Y"))</f>
      </c>
      <c r="G502" s="85"/>
      <c r="H502" s="85"/>
      <c r="I502" s="87"/>
      <c r="J502" s="85"/>
      <c r="K502" s="85"/>
      <c r="L502" s="10"/>
      <c r="M502" s="10"/>
      <c r="N502" s="10"/>
      <c r="O502" s="10"/>
      <c r="P502" s="85"/>
      <c r="Q502" s="88"/>
      <c r="R502" s="3">
        <f>IFERROR(VLOOKUP(TablaJulio[[#This Row],[BARRIO]],SECTOR!$A:$B,2,0),"")</f>
      </c>
      <c r="S502" s="89"/>
      <c r="T502" s="90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6"/>
      <c r="AZ502" s="120">
        <f>COUNTIF(U502:AY502,"A")</f>
      </c>
      <c r="BA502" s="121">
        <f>COUNTIF(U502:AY502,"F")</f>
      </c>
      <c r="BB502" s="119">
        <f>COUNTIF(U502:AY502,"E")</f>
      </c>
    </row>
    <row r="503" spans="1:54" x14ac:dyDescent="0.2">
      <c r="A503" s="84"/>
      <c r="B503" s="85"/>
      <c r="C503" s="85"/>
      <c r="D503" s="85"/>
      <c r="E503" s="86"/>
      <c r="F503" s="16">
        <f>IF(E503="","",DATEDIF(E503,$I$7,"Y"))</f>
      </c>
      <c r="G503" s="85"/>
      <c r="H503" s="85"/>
      <c r="I503" s="87"/>
      <c r="J503" s="85"/>
      <c r="K503" s="85"/>
      <c r="L503" s="10"/>
      <c r="M503" s="10"/>
      <c r="N503" s="10"/>
      <c r="O503" s="10"/>
      <c r="P503" s="85"/>
      <c r="Q503" s="88"/>
      <c r="R503" s="3">
        <f>IFERROR(VLOOKUP(TablaJulio[[#This Row],[BARRIO]],SECTOR!$A:$B,2,0),"")</f>
      </c>
      <c r="S503" s="89"/>
      <c r="T503" s="90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6"/>
      <c r="AZ503" s="120">
        <f>COUNTIF(U503:AY503,"A")</f>
      </c>
      <c r="BA503" s="121">
        <f>COUNTIF(U503:AY503,"F")</f>
      </c>
      <c r="BB503" s="119">
        <f>COUNTIF(U503:AY503,"E")</f>
      </c>
    </row>
    <row r="504" spans="1:54" x14ac:dyDescent="0.2">
      <c r="A504" s="100"/>
      <c r="B504" s="101"/>
      <c r="C504" s="101"/>
      <c r="D504" s="101"/>
      <c r="E504" s="102"/>
      <c r="F504" s="31">
        <f>IF(E504="","",DATEDIF(E504,$I$7,"Y"))</f>
      </c>
      <c r="G504" s="101"/>
      <c r="H504" s="101"/>
      <c r="I504" s="103"/>
      <c r="J504" s="101"/>
      <c r="K504" s="101"/>
      <c r="L504" s="10"/>
      <c r="M504" s="10"/>
      <c r="N504" s="10"/>
      <c r="O504" s="10"/>
      <c r="P504" s="101"/>
      <c r="Q504" s="91"/>
      <c r="R504" s="14">
        <f>IFERROR(VLOOKUP(TablaJulio[[#This Row],[BARRIO]],SECTOR!$A:$B,2,0),"")</f>
      </c>
      <c r="S504" s="104"/>
      <c r="T504" s="10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7"/>
      <c r="AZ504" s="120">
        <f>COUNTIF(U504:AY504,"A")</f>
      </c>
      <c r="BA504" s="121">
        <f>COUNTIF(U504:AY504,"F")</f>
      </c>
      <c r="BB504" s="118">
        <f>COUNTIF(U504:AY504,"E")</f>
      </c>
    </row>
  </sheetData>
  <sheetProtection sheet="1" objects="1" scenarios="1" autoFilter="0"/>
  <mergeCells count="137">
    <mergeCell ref="B2:B5"/>
    <mergeCell ref="C2:I2"/>
    <mergeCell ref="C3:G3"/>
    <mergeCell ref="C4:G4"/>
    <mergeCell ref="C5:G5"/>
    <mergeCell ref="B7:C7"/>
    <mergeCell ref="D7:G7"/>
    <mergeCell ref="W7:AE7"/>
    <mergeCell ref="AG7:AH7"/>
    <mergeCell ref="AI7:AM7"/>
    <mergeCell ref="AO7:AQ7"/>
    <mergeCell ref="B8:C8"/>
    <mergeCell ref="D8:G8"/>
    <mergeCell ref="S8:T8"/>
    <mergeCell ref="W8:AA8"/>
    <mergeCell ref="AB8:AC8"/>
    <mergeCell ref="AD8:AH8"/>
    <mergeCell ref="AK8:AR8"/>
    <mergeCell ref="AS8:BB8"/>
    <mergeCell ref="B9:C9"/>
    <mergeCell ref="D9:G9"/>
    <mergeCell ref="W9:Y9"/>
    <mergeCell ref="Z9:AA9"/>
    <mergeCell ref="AD9:AF9"/>
    <mergeCell ref="AG9:AH9"/>
    <mergeCell ref="AK9:AL9"/>
    <mergeCell ref="AM9:AN9"/>
    <mergeCell ref="AO9:AP9"/>
    <mergeCell ref="AQ9:AR9"/>
    <mergeCell ref="AS9:BB9"/>
    <mergeCell ref="B10:C10"/>
    <mergeCell ref="D10:G10"/>
    <mergeCell ref="W10:Y10"/>
    <mergeCell ref="Z10:AA10"/>
    <mergeCell ref="AD10:AF10"/>
    <mergeCell ref="AG10:AH10"/>
    <mergeCell ref="AK10:AL10"/>
    <mergeCell ref="AM10:AN10"/>
    <mergeCell ref="AO10:AP10"/>
    <mergeCell ref="AQ10:AR10"/>
    <mergeCell ref="AS10:BB10"/>
    <mergeCell ref="W11:Y11"/>
    <mergeCell ref="Z11:AA11"/>
    <mergeCell ref="AD11:AF11"/>
    <mergeCell ref="AG11:AH11"/>
    <mergeCell ref="AK11:AL11"/>
    <mergeCell ref="AM11:AN11"/>
    <mergeCell ref="AO11:AP11"/>
    <mergeCell ref="AQ11:AR11"/>
    <mergeCell ref="AS11:BB13"/>
    <mergeCell ref="AQ12:AR12"/>
    <mergeCell ref="AQ13:AR13"/>
    <mergeCell ref="B12:B18"/>
    <mergeCell ref="C12:I12"/>
    <mergeCell ref="W12:Y12"/>
    <mergeCell ref="Z12:AA12"/>
    <mergeCell ref="AD12:AF12"/>
    <mergeCell ref="AG12:AH12"/>
    <mergeCell ref="AK12:AL12"/>
    <mergeCell ref="AM12:AN12"/>
    <mergeCell ref="AO12:AP12"/>
    <mergeCell ref="F13:G13"/>
    <mergeCell ref="O13:Q13"/>
    <mergeCell ref="W13:Y13"/>
    <mergeCell ref="Z13:AA13"/>
    <mergeCell ref="AD13:AF13"/>
    <mergeCell ref="AG13:AH13"/>
    <mergeCell ref="AK13:AL13"/>
    <mergeCell ref="AM13:AN13"/>
    <mergeCell ref="AO13:AP13"/>
    <mergeCell ref="C14:C15"/>
    <mergeCell ref="D14:D15"/>
    <mergeCell ref="F14:G15"/>
    <mergeCell ref="H14:H15"/>
    <mergeCell ref="I14:I15"/>
    <mergeCell ref="K14:K15"/>
    <mergeCell ref="L14:L15"/>
    <mergeCell ref="AX15:BA16"/>
    <mergeCell ref="C16:I16"/>
    <mergeCell ref="K16:K17"/>
    <mergeCell ref="L16:L17"/>
    <mergeCell ref="O16:P16"/>
    <mergeCell ref="W16:Y16"/>
    <mergeCell ref="AM14:AN14"/>
    <mergeCell ref="AO14:AP14"/>
    <mergeCell ref="AQ14:AR14"/>
    <mergeCell ref="AV14:AW14"/>
    <mergeCell ref="O15:P15"/>
    <mergeCell ref="W15:Y15"/>
    <mergeCell ref="Z15:AA15"/>
    <mergeCell ref="AD15:AF15"/>
    <mergeCell ref="AG15:AH15"/>
    <mergeCell ref="AK15:AL15"/>
    <mergeCell ref="O14:P14"/>
    <mergeCell ref="W14:Y14"/>
    <mergeCell ref="Z14:AA14"/>
    <mergeCell ref="AD14:AF14"/>
    <mergeCell ref="AG14:AH14"/>
    <mergeCell ref="AK14:AL14"/>
    <mergeCell ref="Z16:AA16"/>
    <mergeCell ref="AD16:AF16"/>
    <mergeCell ref="AG16:AH16"/>
    <mergeCell ref="AK16:AL16"/>
    <mergeCell ref="AM16:AN16"/>
    <mergeCell ref="AV16:AW16"/>
    <mergeCell ref="AM15:AN15"/>
    <mergeCell ref="AO15:AP15"/>
    <mergeCell ref="AQ15:AR15"/>
    <mergeCell ref="AV15:AW15"/>
    <mergeCell ref="AD17:AF17"/>
    <mergeCell ref="AG17:AH17"/>
    <mergeCell ref="AN17:AP17"/>
    <mergeCell ref="AV17:AW17"/>
    <mergeCell ref="AX17:AZ17"/>
    <mergeCell ref="C18:D18"/>
    <mergeCell ref="E18:G18"/>
    <mergeCell ref="H18:I18"/>
    <mergeCell ref="O18:P18"/>
    <mergeCell ref="W18:Y18"/>
    <mergeCell ref="C17:D17"/>
    <mergeCell ref="E17:G17"/>
    <mergeCell ref="H17:I17"/>
    <mergeCell ref="O17:P17"/>
    <mergeCell ref="W17:Y17"/>
    <mergeCell ref="Z17:AA17"/>
    <mergeCell ref="U21:AY22"/>
    <mergeCell ref="AZ21:BB22"/>
    <mergeCell ref="Z18:AA18"/>
    <mergeCell ref="AN18:AP18"/>
    <mergeCell ref="AV18:AW18"/>
    <mergeCell ref="AX18:AZ18"/>
    <mergeCell ref="K19:L19"/>
    <mergeCell ref="O19:P19"/>
    <mergeCell ref="W19:Y19"/>
    <mergeCell ref="Z19:AA19"/>
    <mergeCell ref="AV19:AW19"/>
    <mergeCell ref="AX19:AZ19"/>
  </mergeCells>
  <dataValidations count="12">
    <dataValidation type="custom" allowBlank="1" showInputMessage="1" showErrorMessage="1" errorTitle="SÓLO MAYÚSCULA" sqref="S24:S504">
      <formula1>EXACT(S24, UPPER(S24))</formula1>
    </dataValidation>
    <dataValidation type="custom" allowBlank="1" showInputMessage="1" showErrorMessage="1" errorTitle="SÓLO MAÚSCULA" sqref="P24:P504">
      <formula1>EXACT(P24, UPPER(P24))</formula1>
    </dataValidation>
    <dataValidation type="custom" allowBlank="1" showInputMessage="1" showErrorMessage="1" errorTitle="ERROR" error="SÓLO MAYÚSCULAS" sqref="B24:D504 J24:J504">
      <formula1>EXACT(B24, UPPER(B24))</formula1>
    </dataValidation>
    <dataValidation type="list" allowBlank="1" showInputMessage="1" showErrorMessage="1" sqref="N24:N504">
      <formula1>"SI, NO"</formula1>
    </dataValidation>
    <dataValidation type="list" allowBlank="1" showInputMessage="1" showErrorMessage="1" sqref="G24:G504">
      <formula1>"R.C, T.I, C.C, C.E, PPT, PEP, NES"</formula1>
    </dataValidation>
    <dataValidation type="list" allowBlank="1" showInputMessage="1" showErrorMessage="1" sqref="I24:I504">
      <formula1>"HOMBRE, MUJER"</formula1>
    </dataValidation>
    <dataValidation type="list" allowBlank="1" showInputMessage="1" showErrorMessage="1" sqref="L24:L504">
      <formula1>"OLFATIVA Y TACTO, MENTAL, MOVILIDAD, MULTIPLE, ORAL, PSICOSOCIAL, VISUAL, VOZ Y HABLA, NO SABE NOMBRARLA, N/A"</formula1>
    </dataValidation>
    <dataValidation type="list" allowBlank="1" showInputMessage="1" showErrorMessage="1" sqref="M24:M504">
      <formula1>"HETEROSEXUAL, LESBIANA, ASEXUAL, BISEXUAL, GAY, INTERSEXUAL, NO BINARIO, PANSEXUAL, QUEER, TRANSEXUAL O TRANSGÉNERO, OTRO"</formula1>
    </dataValidation>
    <dataValidation type="list" allowBlank="1" showInputMessage="1" showErrorMessage="1" sqref="O24:O504">
      <formula1>"AFROCOLOMBIANO, INDÍGENA, MESTIZO, MULATO, NO SABE NO RESPONDE, OTRO, PALENQUERO, RAIZAL, ROM GITANO"</formula1>
    </dataValidation>
    <dataValidation type="list" allowBlank="1" showInputMessage="1" showErrorMessage="1" sqref="O23">
      <formula1>"AFRO, INDIGENA, MESTIZA"</formula1>
    </dataValidation>
    <dataValidation type="list" allowBlank="1" showErrorMessage="1" sqref="AI7">
      <formula1>$BH$11:$BH$23</formula1>
    </dataValidation>
    <dataValidation type="list" allowBlank="1" showInputMessage="1" showErrorMessage="1" sqref="Q24:Q504">
      <formula1>SECTOR!$A$2:$A$83</formula1>
    </dataValidation>
  </dataValidations>
  <pageMargins left="0.7" right="0.7" top="0.75" bottom="0.75" header="0.3" footer="0.3"/>
  <pageSetup orientation="portrait"/>
  <ignoredErrors>
    <ignoredError sqref="O23" listDataValidation="1"/>
  </ignoredErrors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2:BB504"/>
  <sheetViews>
    <sheetView showGridLines="0" zoomScaleNormal="100" workbookViewId="0">
      <selection activeCell="A24" sqref="A24"/>
    </sheetView>
  </sheetViews>
  <sheetFormatPr defaultColWidth="9.14453125" defaultRowHeight="15" x14ac:dyDescent="0.2"/>
  <cols>
    <col min="1" max="1" width="6.1875" style="34" customWidth="1"/>
    <col min="2" max="2" width="21.7890625" style="34" customWidth="1"/>
    <col min="3" max="3" width="21.65625" style="34" customWidth="1"/>
    <col min="4" max="4" width="21.7890625" style="34" customWidth="1"/>
    <col min="5" max="5" width="19.50390625" style="34" customWidth="1"/>
    <col min="6" max="6" width="11.1640625" style="34" customWidth="1"/>
    <col min="7" max="7" width="11.56640625" style="34" customWidth="1"/>
    <col min="8" max="8" width="18.4296875" style="34" customWidth="1"/>
    <col min="9" max="9" width="22.59765625" style="34" customWidth="1"/>
    <col min="10" max="10" width="35.109375" style="34" customWidth="1"/>
    <col min="11" max="11" width="11.43359375" style="34" customWidth="1"/>
    <col min="12" max="12" width="16.8125" style="34" customWidth="1"/>
    <col min="13" max="14" width="10.22265625" style="34" customWidth="1"/>
    <col min="15" max="15" width="23.9453125" style="34" bestFit="1" customWidth="1"/>
    <col min="16" max="16" width="23.40625" style="34" customWidth="1"/>
    <col min="17" max="17" width="18.0234375" style="34" customWidth="1"/>
    <col min="18" max="18" width="16.6796875" style="34" customWidth="1"/>
    <col min="19" max="19" width="18.6953125" style="34" bestFit="1" customWidth="1"/>
    <col min="20" max="20" width="17.62109375" style="34" customWidth="1"/>
    <col min="21" max="35" width="5.91796875" style="34" customWidth="1"/>
    <col min="36" max="36" width="6.05078125" style="34" customWidth="1"/>
    <col min="37" max="54" width="5.91796875" style="34" customWidth="1"/>
    <col min="55" max="55" width="9.14453125" style="34"/>
    <col min="56" max="56" width="13.5859375" style="34" bestFit="1" customWidth="1"/>
    <col min="57" max="59" width="10.76171875" style="34" bestFit="1" customWidth="1"/>
    <col min="60" max="16384" width="9.14453125" style="34"/>
  </cols>
  <sheetData>
    <row r="2" spans="1:54" x14ac:dyDescent="0.2">
      <c r="B2" s="244"/>
      <c r="C2" s="247" t="s">
        <v>0</v>
      </c>
      <c r="D2" s="248"/>
      <c r="E2" s="248"/>
      <c r="F2" s="248"/>
      <c r="G2" s="248"/>
      <c r="H2" s="248"/>
      <c r="I2" s="249"/>
    </row>
    <row r="3" spans="1:54" x14ac:dyDescent="0.2">
      <c r="B3" s="245"/>
      <c r="C3" s="250" t="s">
        <v>1</v>
      </c>
      <c r="D3" s="251"/>
      <c r="E3" s="251"/>
      <c r="F3" s="251"/>
      <c r="G3" s="252"/>
      <c r="H3" s="35" t="s">
        <v>2</v>
      </c>
      <c r="I3" s="35" t="s">
        <v>3</v>
      </c>
    </row>
    <row r="4" spans="1:54" x14ac:dyDescent="0.2">
      <c r="B4" s="245"/>
      <c r="C4" s="250" t="s">
        <v>4</v>
      </c>
      <c r="D4" s="251"/>
      <c r="E4" s="251"/>
      <c r="F4" s="251"/>
      <c r="G4" s="252"/>
      <c r="H4" s="35" t="s">
        <v>5</v>
      </c>
      <c r="I4" s="36" t="s">
        <v>6</v>
      </c>
    </row>
    <row r="5" spans="1:54" ht="60" customHeight="1" x14ac:dyDescent="0.2">
      <c r="B5" s="246"/>
      <c r="C5" s="253" t="s">
        <v>7</v>
      </c>
      <c r="D5" s="254"/>
      <c r="E5" s="254"/>
      <c r="F5" s="254"/>
      <c r="G5" s="255"/>
      <c r="H5" s="35" t="s">
        <v>8</v>
      </c>
      <c r="I5" s="37">
        <v>46073</v>
      </c>
    </row>
    <row r="7" spans="1:54" ht="22.5" customHeight="1" x14ac:dyDescent="0.2">
      <c r="A7" s="13"/>
      <c r="B7" s="256" t="s">
        <v>9</v>
      </c>
      <c r="C7" s="257"/>
      <c r="D7" s="230"/>
      <c r="E7" s="231"/>
      <c r="F7" s="231"/>
      <c r="G7" s="232"/>
      <c r="H7" s="38"/>
      <c r="I7" s="39"/>
      <c r="J7" s="40"/>
      <c r="K7" s="40"/>
      <c r="L7" s="12"/>
      <c r="M7" s="12"/>
      <c r="N7" s="12"/>
      <c r="O7" s="12"/>
      <c r="P7" s="12"/>
      <c r="Q7" s="12"/>
      <c r="R7" s="12"/>
      <c r="S7" s="12"/>
      <c r="T7" s="41"/>
      <c r="U7" s="42"/>
      <c r="V7" s="42"/>
      <c r="W7" s="258"/>
      <c r="X7" s="258"/>
      <c r="Y7" s="258"/>
      <c r="Z7" s="258"/>
      <c r="AA7" s="258"/>
      <c r="AB7" s="258"/>
      <c r="AC7" s="258"/>
      <c r="AD7" s="258"/>
      <c r="AE7" s="258"/>
      <c r="AF7" s="13"/>
      <c r="AG7" s="234"/>
      <c r="AH7" s="152"/>
      <c r="AI7" s="233"/>
      <c r="AJ7" s="152"/>
      <c r="AK7" s="152"/>
      <c r="AL7" s="152"/>
      <c r="AM7" s="152"/>
      <c r="AN7" s="13"/>
      <c r="AO7" s="234"/>
      <c r="AP7" s="152"/>
      <c r="AQ7" s="152"/>
      <c r="AR7" s="44"/>
      <c r="AS7" s="45"/>
      <c r="AT7" s="45"/>
      <c r="AU7" s="45"/>
      <c r="AV7" s="45"/>
      <c r="AW7" s="45"/>
      <c r="AX7" s="45"/>
      <c r="AY7" s="12"/>
      <c r="AZ7" s="13"/>
      <c r="BA7" s="13"/>
      <c r="BB7" s="13"/>
    </row>
    <row r="8" spans="1:54" ht="21.75" customHeight="1" x14ac:dyDescent="0.2">
      <c r="A8" s="13"/>
      <c r="B8" s="235" t="s">
        <v>10</v>
      </c>
      <c r="C8" s="236"/>
      <c r="D8" s="223"/>
      <c r="E8" s="224"/>
      <c r="F8" s="224"/>
      <c r="G8" s="225"/>
      <c r="H8" s="11"/>
      <c r="I8" s="11"/>
      <c r="J8" s="11"/>
      <c r="K8" s="11"/>
      <c r="L8" s="12"/>
      <c r="M8" s="12"/>
      <c r="N8" s="12"/>
      <c r="O8" s="12"/>
      <c r="P8" s="12"/>
      <c r="Q8" s="12"/>
      <c r="R8" s="12"/>
      <c r="S8" s="237" t="s">
        <v>11</v>
      </c>
      <c r="T8" s="238"/>
      <c r="U8" s="13"/>
      <c r="V8" s="13"/>
      <c r="W8" s="239" t="s">
        <v>12</v>
      </c>
      <c r="X8" s="239"/>
      <c r="Y8" s="239"/>
      <c r="Z8" s="239"/>
      <c r="AA8" s="239"/>
      <c r="AB8" s="240"/>
      <c r="AC8" s="152"/>
      <c r="AD8" s="241" t="s">
        <v>13</v>
      </c>
      <c r="AE8" s="241"/>
      <c r="AF8" s="241"/>
      <c r="AG8" s="241"/>
      <c r="AH8" s="241"/>
      <c r="AI8" s="12"/>
      <c r="AJ8" s="12"/>
      <c r="AK8" s="242" t="s">
        <v>14</v>
      </c>
      <c r="AL8" s="243"/>
      <c r="AM8" s="243"/>
      <c r="AN8" s="243"/>
      <c r="AO8" s="243"/>
      <c r="AP8" s="243"/>
      <c r="AQ8" s="243"/>
      <c r="AR8" s="243"/>
      <c r="AS8" s="183"/>
      <c r="AT8" s="183"/>
      <c r="AU8" s="183"/>
      <c r="AV8" s="183"/>
      <c r="AW8" s="183"/>
      <c r="AX8" s="183"/>
      <c r="AY8" s="183"/>
      <c r="AZ8" s="183"/>
      <c r="BA8" s="183"/>
      <c r="BB8" s="183"/>
    </row>
    <row r="9" spans="1:54" ht="20.25" customHeight="1" x14ac:dyDescent="0.2">
      <c r="A9" s="13"/>
      <c r="B9" s="228" t="s">
        <v>15</v>
      </c>
      <c r="C9" s="229"/>
      <c r="D9" s="230"/>
      <c r="E9" s="231"/>
      <c r="F9" s="231"/>
      <c r="G9" s="232"/>
      <c r="H9" s="13"/>
      <c r="I9" s="13"/>
      <c r="J9" s="12"/>
      <c r="K9" s="12"/>
      <c r="L9" s="12"/>
      <c r="M9" s="12"/>
      <c r="N9" s="12"/>
      <c r="O9" s="12"/>
      <c r="P9" s="12"/>
      <c r="Q9" s="12"/>
      <c r="R9" s="12"/>
      <c r="S9" s="46" t="s">
        <v>16</v>
      </c>
      <c r="T9" s="114">
        <f>COUNTIFS(TablaAgosto[TIPO DISCAPACIDAD], S9)</f>
      </c>
      <c r="U9" s="13"/>
      <c r="V9" s="13"/>
      <c r="W9" s="164" t="s">
        <v>17</v>
      </c>
      <c r="X9" s="164"/>
      <c r="Y9" s="164"/>
      <c r="Z9" s="147">
        <f>COUNTIFS(TablaAgosto[ORI. SEXUAL], W9)</f>
      </c>
      <c r="AA9" s="148"/>
      <c r="AB9" s="13"/>
      <c r="AC9" s="13"/>
      <c r="AD9" s="164" t="s">
        <v>18</v>
      </c>
      <c r="AE9" s="164"/>
      <c r="AF9" s="164"/>
      <c r="AG9" s="165">
        <f>COUNTIFS(TablaAgosto[[ETNIA ]], AD9)</f>
      </c>
      <c r="AH9" s="165"/>
      <c r="AI9" s="12"/>
      <c r="AJ9" s="12"/>
      <c r="AK9" s="226">
        <v>1</v>
      </c>
      <c r="AL9" s="226"/>
      <c r="AM9" s="202">
        <f>COUNTIFS(TablaAgosto[[ COMUNA]], AK9)</f>
      </c>
      <c r="AN9" s="202"/>
      <c r="AO9" s="227">
        <v>3</v>
      </c>
      <c r="AP9" s="227"/>
      <c r="AQ9" s="218">
        <f>COUNTIFS(TablaAgosto[[ COMUNA]], AO9)</f>
      </c>
      <c r="AR9" s="218"/>
      <c r="AS9" s="183"/>
      <c r="AT9" s="183"/>
      <c r="AU9" s="183"/>
      <c r="AV9" s="183"/>
      <c r="AW9" s="183"/>
      <c r="AX9" s="183"/>
      <c r="AY9" s="183"/>
      <c r="AZ9" s="183"/>
      <c r="BA9" s="183"/>
      <c r="BB9" s="183"/>
    </row>
    <row r="10" spans="1:54" ht="21.75" customHeight="1" x14ac:dyDescent="0.2">
      <c r="A10" s="13"/>
      <c r="B10" s="221" t="s">
        <v>19</v>
      </c>
      <c r="C10" s="222"/>
      <c r="D10" s="223"/>
      <c r="E10" s="224"/>
      <c r="F10" s="224"/>
      <c r="G10" s="225"/>
      <c r="H10" s="13"/>
      <c r="I10" s="13"/>
      <c r="J10" s="12"/>
      <c r="K10" s="12"/>
      <c r="L10" s="12"/>
      <c r="M10" s="12"/>
      <c r="N10" s="12"/>
      <c r="O10" s="12"/>
      <c r="P10" s="12"/>
      <c r="Q10" s="12"/>
      <c r="R10" s="12"/>
      <c r="S10" s="47" t="s">
        <v>20</v>
      </c>
      <c r="T10" s="115">
        <f>COUNTIFS(TablaAgosto[TIPO DISCAPACIDAD], S10)</f>
      </c>
      <c r="U10" s="13"/>
      <c r="V10" s="13"/>
      <c r="W10" s="164" t="s">
        <v>21</v>
      </c>
      <c r="X10" s="164"/>
      <c r="Y10" s="164"/>
      <c r="Z10" s="147">
        <f>COUNTIFS(TablaAgosto[ORI. SEXUAL], W10)</f>
      </c>
      <c r="AA10" s="148"/>
      <c r="AB10" s="13"/>
      <c r="AC10" s="13"/>
      <c r="AD10" s="164" t="s">
        <v>22</v>
      </c>
      <c r="AE10" s="164"/>
      <c r="AF10" s="164"/>
      <c r="AG10" s="165">
        <f>COUNTIFS(TablaAgosto[[ETNIA ]], AD10)</f>
      </c>
      <c r="AH10" s="165"/>
      <c r="AI10" s="12"/>
      <c r="AJ10" s="12"/>
      <c r="AK10" s="226">
        <v>2</v>
      </c>
      <c r="AL10" s="226"/>
      <c r="AM10" s="202">
        <f>COUNTIFS(TablaAgosto[[ COMUNA]], AK10)</f>
      </c>
      <c r="AN10" s="202"/>
      <c r="AO10" s="227">
        <v>4</v>
      </c>
      <c r="AP10" s="227"/>
      <c r="AQ10" s="218">
        <f>COUNTIFS(TablaAgosto[[ COMUNA]], AO10)</f>
      </c>
      <c r="AR10" s="218"/>
      <c r="AS10" s="183"/>
      <c r="AT10" s="183"/>
      <c r="AU10" s="183"/>
      <c r="AV10" s="183"/>
      <c r="AW10" s="183"/>
      <c r="AX10" s="183"/>
      <c r="AY10" s="183"/>
      <c r="AZ10" s="183"/>
      <c r="BA10" s="183"/>
      <c r="BB10" s="183"/>
    </row>
    <row r="11" spans="1:54" ht="26.25" customHeight="1" x14ac:dyDescent="0.2">
      <c r="A11" s="13"/>
      <c r="B11" s="13"/>
      <c r="C11" s="33"/>
      <c r="D11" s="33"/>
      <c r="E11" s="33"/>
      <c r="F11" s="33"/>
      <c r="G11" s="33"/>
      <c r="H11" s="33"/>
      <c r="I11" s="33"/>
      <c r="J11" s="33"/>
      <c r="K11" s="33"/>
      <c r="L11" s="12"/>
      <c r="M11" s="12"/>
      <c r="N11" s="12"/>
      <c r="O11" s="12"/>
      <c r="P11" s="12"/>
      <c r="Q11" s="12"/>
      <c r="R11" s="12"/>
      <c r="S11" s="47" t="s">
        <v>23</v>
      </c>
      <c r="T11" s="115">
        <f>COUNTIFS(TablaAgosto[TIPO DISCAPACIDAD], S11)</f>
      </c>
      <c r="U11" s="13"/>
      <c r="V11" s="13"/>
      <c r="W11" s="164" t="s">
        <v>24</v>
      </c>
      <c r="X11" s="164"/>
      <c r="Y11" s="164"/>
      <c r="Z11" s="147">
        <f>COUNTIFS(TablaAgosto[ORI. SEXUAL], W11)</f>
      </c>
      <c r="AA11" s="148"/>
      <c r="AB11" s="13"/>
      <c r="AC11" s="13"/>
      <c r="AD11" s="164" t="s">
        <v>25</v>
      </c>
      <c r="AE11" s="164"/>
      <c r="AF11" s="164"/>
      <c r="AG11" s="165">
        <f>COUNTIFS(TablaAgosto[[ETNIA ]], AD11)</f>
      </c>
      <c r="AH11" s="165"/>
      <c r="AI11" s="13"/>
      <c r="AJ11" s="13"/>
      <c r="AK11" s="201" t="s">
        <v>26</v>
      </c>
      <c r="AL11" s="201"/>
      <c r="AM11" s="202">
        <f>COUNTIFS(TablaAgosto[[ COMUNA]], AK11)</f>
      </c>
      <c r="AN11" s="202"/>
      <c r="AO11" s="219" t="s">
        <v>27</v>
      </c>
      <c r="AP11" s="219"/>
      <c r="AQ11" s="218">
        <f>COUNTIFS(TablaAgosto[[ COMUNA]], AO11)</f>
      </c>
      <c r="AR11" s="218"/>
      <c r="AS11" s="220"/>
      <c r="AT11" s="220"/>
      <c r="AU11" s="220"/>
      <c r="AV11" s="220"/>
      <c r="AW11" s="220"/>
      <c r="AX11" s="220"/>
      <c r="AY11" s="220"/>
      <c r="AZ11" s="220"/>
      <c r="BA11" s="220"/>
      <c r="BB11" s="220"/>
    </row>
    <row r="12" spans="1:54" ht="26.25" customHeight="1" thickBot="1" x14ac:dyDescent="0.25">
      <c r="A12" s="13"/>
      <c r="B12" s="195" t="s">
        <v>28</v>
      </c>
      <c r="C12" s="198" t="s">
        <v>29</v>
      </c>
      <c r="D12" s="199"/>
      <c r="E12" s="199"/>
      <c r="F12" s="199"/>
      <c r="G12" s="199"/>
      <c r="H12" s="199"/>
      <c r="I12" s="200"/>
      <c r="L12" s="12"/>
      <c r="M12" s="12"/>
      <c r="N12" s="12"/>
      <c r="O12" s="12"/>
      <c r="P12" s="12"/>
      <c r="Q12" s="12"/>
      <c r="R12" s="12"/>
      <c r="S12" s="48" t="s">
        <v>30</v>
      </c>
      <c r="T12" s="115">
        <f>COUNTIFS(TablaAgosto[TIPO DISCAPACIDAD], S12)</f>
      </c>
      <c r="U12" s="13"/>
      <c r="V12" s="13"/>
      <c r="W12" s="164" t="s">
        <v>31</v>
      </c>
      <c r="X12" s="164"/>
      <c r="Y12" s="164"/>
      <c r="Z12" s="147">
        <f>COUNTIFS(TablaAgosto[ORI. SEXUAL], W12)</f>
      </c>
      <c r="AA12" s="148"/>
      <c r="AB12" s="13"/>
      <c r="AC12" s="13"/>
      <c r="AD12" s="164" t="s">
        <v>32</v>
      </c>
      <c r="AE12" s="164"/>
      <c r="AF12" s="164"/>
      <c r="AG12" s="165">
        <f>COUNTIFS(TablaAgosto[[ETNIA ]], AD12)</f>
      </c>
      <c r="AH12" s="165"/>
      <c r="AI12" s="49"/>
      <c r="AJ12" s="49"/>
      <c r="AK12" s="201" t="s">
        <v>33</v>
      </c>
      <c r="AL12" s="201"/>
      <c r="AM12" s="202">
        <f>COUNTIFS(TablaAgosto[[ COMUNA]], AK12)</f>
      </c>
      <c r="AN12" s="202"/>
      <c r="AO12" s="180"/>
      <c r="AP12" s="180"/>
      <c r="AQ12" s="183"/>
      <c r="AR12" s="183"/>
      <c r="AS12" s="220"/>
      <c r="AT12" s="220"/>
      <c r="AU12" s="220"/>
      <c r="AV12" s="220"/>
      <c r="AW12" s="220"/>
      <c r="AX12" s="220"/>
      <c r="AY12" s="220"/>
      <c r="AZ12" s="220"/>
      <c r="BA12" s="220"/>
      <c r="BB12" s="220"/>
    </row>
    <row r="13" spans="1:54" ht="29.25" customHeight="1" thickBot="1" x14ac:dyDescent="0.25">
      <c r="B13" s="196"/>
      <c r="C13" s="50" t="s">
        <v>34</v>
      </c>
      <c r="D13" s="51" t="s">
        <v>35</v>
      </c>
      <c r="E13" s="51" t="s">
        <v>36</v>
      </c>
      <c r="F13" s="203" t="s">
        <v>37</v>
      </c>
      <c r="G13" s="204"/>
      <c r="H13" s="52" t="s">
        <v>38</v>
      </c>
      <c r="I13" s="53" t="s">
        <v>39</v>
      </c>
      <c r="K13" s="54"/>
      <c r="L13" s="55"/>
      <c r="M13" s="12"/>
      <c r="N13" s="12"/>
      <c r="O13" s="205" t="s">
        <v>40</v>
      </c>
      <c r="P13" s="206"/>
      <c r="Q13" s="207"/>
      <c r="R13" s="56"/>
      <c r="S13" s="57" t="s">
        <v>41</v>
      </c>
      <c r="T13" s="115">
        <f>COUNTIFS(TablaAgosto[TIPO DISCAPACIDAD], S13)</f>
      </c>
      <c r="U13" s="56"/>
      <c r="V13" s="56"/>
      <c r="W13" s="160" t="s">
        <v>42</v>
      </c>
      <c r="X13" s="160"/>
      <c r="Y13" s="160"/>
      <c r="Z13" s="147">
        <f>COUNTIFS(TablaAgosto[ORI. SEXUAL], W13)</f>
      </c>
      <c r="AA13" s="148"/>
      <c r="AB13" s="58"/>
      <c r="AC13" s="59"/>
      <c r="AD13" s="208" t="s">
        <v>43</v>
      </c>
      <c r="AE13" s="208"/>
      <c r="AF13" s="208"/>
      <c r="AG13" s="165">
        <f>COUNTIFS(TablaAgosto[[ETNIA ]], AD13)</f>
      </c>
      <c r="AH13" s="165"/>
      <c r="AI13" s="56"/>
      <c r="AJ13" s="56"/>
      <c r="AK13" s="209"/>
      <c r="AL13" s="209"/>
      <c r="AM13" s="182"/>
      <c r="AN13" s="182"/>
      <c r="AO13" s="180"/>
      <c r="AP13" s="180"/>
      <c r="AQ13" s="183"/>
      <c r="AR13" s="183"/>
      <c r="AS13" s="220"/>
      <c r="AT13" s="220"/>
      <c r="AU13" s="220"/>
      <c r="AV13" s="220"/>
      <c r="AW13" s="220"/>
      <c r="AX13" s="220"/>
      <c r="AY13" s="220"/>
      <c r="AZ13" s="220"/>
      <c r="BA13" s="220"/>
      <c r="BB13" s="220"/>
    </row>
    <row r="14" spans="1:54" ht="19.5" customHeight="1" thickBot="1" x14ac:dyDescent="0.25">
      <c r="A14" s="13"/>
      <c r="B14" s="196"/>
      <c r="C14" s="210"/>
      <c r="D14" s="210"/>
      <c r="E14" s="8"/>
      <c r="F14" s="212"/>
      <c r="G14" s="213"/>
      <c r="H14" s="210"/>
      <c r="I14" s="210"/>
      <c r="K14" s="216" t="s">
        <v>44</v>
      </c>
      <c r="L14" s="184">
        <f>COUNTIFS(TablaAgosto[SEXO], K14)</f>
      </c>
      <c r="M14" s="12"/>
      <c r="N14" s="12"/>
      <c r="O14" s="158" t="s">
        <v>45</v>
      </c>
      <c r="P14" s="159"/>
      <c r="Q14" s="116">
        <f>COUNTIFS(TablaAgosto[EDAD], "&lt;6")</f>
      </c>
      <c r="R14" s="56"/>
      <c r="S14" s="47" t="s">
        <v>46</v>
      </c>
      <c r="T14" s="115">
        <f>COUNTIFS(TablaAgosto[TIPO DISCAPACIDAD], S14)</f>
      </c>
      <c r="U14" s="60"/>
      <c r="V14" s="56"/>
      <c r="W14" s="160" t="s">
        <v>47</v>
      </c>
      <c r="X14" s="160"/>
      <c r="Y14" s="160"/>
      <c r="Z14" s="147">
        <f>COUNTIFS(TablaAgosto[ORI. SEXUAL], W14)</f>
      </c>
      <c r="AA14" s="148"/>
      <c r="AB14" s="13"/>
      <c r="AC14" s="13"/>
      <c r="AD14" s="164" t="s">
        <v>48</v>
      </c>
      <c r="AE14" s="164"/>
      <c r="AF14" s="164"/>
      <c r="AG14" s="165">
        <f>COUNTIFS(TablaAgosto[[ETNIA ]], AD14)</f>
      </c>
      <c r="AH14" s="165"/>
      <c r="AI14" s="56"/>
      <c r="AJ14" s="56"/>
      <c r="AK14" s="194"/>
      <c r="AL14" s="194"/>
      <c r="AM14" s="182"/>
      <c r="AN14" s="182"/>
      <c r="AO14" s="180"/>
      <c r="AP14" s="180"/>
      <c r="AQ14" s="183"/>
      <c r="AR14" s="183"/>
      <c r="AV14" s="151"/>
      <c r="AW14" s="152"/>
      <c r="BB14" s="13"/>
    </row>
    <row r="15" spans="1:54" ht="19.5" customHeight="1" thickBot="1" x14ac:dyDescent="0.25">
      <c r="A15" s="13"/>
      <c r="B15" s="196"/>
      <c r="C15" s="211"/>
      <c r="D15" s="211"/>
      <c r="E15" s="9"/>
      <c r="F15" s="214"/>
      <c r="G15" s="215"/>
      <c r="H15" s="211"/>
      <c r="I15" s="211"/>
      <c r="K15" s="217"/>
      <c r="L15" s="185"/>
      <c r="M15" s="12"/>
      <c r="N15" s="12"/>
      <c r="O15" s="192" t="s">
        <v>49</v>
      </c>
      <c r="P15" s="193"/>
      <c r="Q15" s="116">
        <f>COUNTIFS(TablaAgosto[EDAD], "&gt;5", TablaAgosto[EDAD], "&lt;11")</f>
      </c>
      <c r="R15" s="56"/>
      <c r="S15" s="57" t="s">
        <v>50</v>
      </c>
      <c r="T15" s="115">
        <f>COUNTIFS(TablaAgosto[TIPO DISCAPACIDAD], S15)</f>
      </c>
      <c r="U15" s="60"/>
      <c r="V15" s="56"/>
      <c r="W15" s="160" t="s">
        <v>51</v>
      </c>
      <c r="X15" s="160"/>
      <c r="Y15" s="160"/>
      <c r="Z15" s="147">
        <f>COUNTIFS(TablaAgosto[ORI. SEXUAL], W15)</f>
      </c>
      <c r="AA15" s="148"/>
      <c r="AB15" s="58"/>
      <c r="AC15" s="59"/>
      <c r="AD15" s="179" t="s">
        <v>52</v>
      </c>
      <c r="AE15" s="179"/>
      <c r="AF15" s="179"/>
      <c r="AG15" s="165">
        <f>COUNTIFS(TablaAgosto[[ETNIA ]], AD15)</f>
      </c>
      <c r="AH15" s="165"/>
      <c r="AI15" s="56"/>
      <c r="AJ15" s="56"/>
      <c r="AK15" s="180"/>
      <c r="AL15" s="181"/>
      <c r="AM15" s="182"/>
      <c r="AN15" s="182"/>
      <c r="AO15" s="180"/>
      <c r="AP15" s="180"/>
      <c r="AQ15" s="183"/>
      <c r="AR15" s="183"/>
      <c r="AV15" s="151"/>
      <c r="AW15" s="152"/>
      <c r="AX15" s="186" t="s">
        <v>53</v>
      </c>
      <c r="AY15" s="186"/>
      <c r="AZ15" s="186"/>
      <c r="BA15" s="186"/>
      <c r="BB15" s="13"/>
    </row>
    <row r="16" spans="1:54" ht="19.5" customHeight="1" thickBot="1" x14ac:dyDescent="0.25">
      <c r="A16" s="13"/>
      <c r="B16" s="196"/>
      <c r="C16" s="187" t="s">
        <v>54</v>
      </c>
      <c r="D16" s="188"/>
      <c r="E16" s="188"/>
      <c r="F16" s="188"/>
      <c r="G16" s="188"/>
      <c r="H16" s="188"/>
      <c r="I16" s="189"/>
      <c r="K16" s="190" t="s">
        <v>55</v>
      </c>
      <c r="L16" s="184">
        <f>COUNTIFS(TablaAgosto[SEXO], K16)</f>
      </c>
      <c r="M16" s="12"/>
      <c r="N16" s="12"/>
      <c r="O16" s="158" t="s">
        <v>56</v>
      </c>
      <c r="P16" s="159"/>
      <c r="Q16" s="116">
        <f>COUNTIFS(TablaAgosto[EDAD], "&gt;10", TablaAgosto[EDAD], "&lt;15")</f>
      </c>
      <c r="R16" s="56"/>
      <c r="S16" s="47" t="s">
        <v>57</v>
      </c>
      <c r="T16" s="115">
        <f>COUNTIFS(TablaAgosto[TIPO DISCAPACIDAD], S16)</f>
      </c>
      <c r="U16" s="60"/>
      <c r="V16" s="56"/>
      <c r="W16" s="160" t="s">
        <v>58</v>
      </c>
      <c r="X16" s="160"/>
      <c r="Y16" s="160"/>
      <c r="Z16" s="147">
        <f>COUNTIFS(TablaAgosto[ORI. SEXUAL], W16)</f>
      </c>
      <c r="AA16" s="148"/>
      <c r="AB16" s="58"/>
      <c r="AC16" s="59"/>
      <c r="AD16" s="179" t="s">
        <v>59</v>
      </c>
      <c r="AE16" s="179"/>
      <c r="AF16" s="179"/>
      <c r="AG16" s="165">
        <f>COUNTIFS(TablaAgosto[[ETNIA ]], AD16)</f>
      </c>
      <c r="AH16" s="165"/>
      <c r="AI16" s="56"/>
      <c r="AJ16" s="56"/>
      <c r="AK16" s="180"/>
      <c r="AL16" s="180"/>
      <c r="AM16" s="181"/>
      <c r="AN16" s="181"/>
      <c r="AO16" s="56"/>
      <c r="AP16" s="56"/>
      <c r="AQ16" s="33"/>
      <c r="AV16" s="151"/>
      <c r="AW16" s="152"/>
      <c r="AX16" s="186"/>
      <c r="AY16" s="186"/>
      <c r="AZ16" s="186"/>
      <c r="BA16" s="186"/>
      <c r="BB16" s="13"/>
    </row>
    <row r="17" spans="1:54" ht="19.5" customHeight="1" thickBot="1" x14ac:dyDescent="0.25">
      <c r="A17" s="13"/>
      <c r="B17" s="196"/>
      <c r="C17" s="175" t="s">
        <v>60</v>
      </c>
      <c r="D17" s="176"/>
      <c r="E17" s="175" t="s">
        <v>61</v>
      </c>
      <c r="F17" s="177"/>
      <c r="G17" s="176"/>
      <c r="H17" s="175" t="s">
        <v>62</v>
      </c>
      <c r="I17" s="176"/>
      <c r="K17" s="191"/>
      <c r="L17" s="185"/>
      <c r="M17" s="12"/>
      <c r="N17" s="12"/>
      <c r="O17" s="158" t="s">
        <v>63</v>
      </c>
      <c r="P17" s="159"/>
      <c r="Q17" s="116">
        <f>COUNTIFS(TablaAgosto[EDAD], "&gt;14", TablaAgosto[EDAD], "&lt;20")</f>
      </c>
      <c r="R17" s="56"/>
      <c r="S17" s="57" t="s">
        <v>64</v>
      </c>
      <c r="T17" s="115">
        <f>COUNTIFS(TablaAgosto[TIPO DISCAPACIDAD], S17)</f>
      </c>
      <c r="U17" s="61"/>
      <c r="V17" s="60"/>
      <c r="W17" s="178" t="s">
        <v>65</v>
      </c>
      <c r="X17" s="178"/>
      <c r="Y17" s="178"/>
      <c r="Z17" s="147">
        <f>COUNTIFS(TablaAgosto[ORI. SEXUAL], W17)</f>
      </c>
      <c r="AA17" s="148"/>
      <c r="AB17" s="13"/>
      <c r="AC17" s="13"/>
      <c r="AD17" s="164" t="s">
        <v>66</v>
      </c>
      <c r="AE17" s="164"/>
      <c r="AF17" s="164"/>
      <c r="AG17" s="165">
        <f>COUNTIFS(TablaAgosto[[ETNIA ]], AD17)</f>
      </c>
      <c r="AH17" s="165"/>
      <c r="AI17" s="56"/>
      <c r="AJ17" s="56"/>
      <c r="AK17" s="56"/>
      <c r="AL17" s="56"/>
      <c r="AM17" s="56"/>
      <c r="AN17" s="149"/>
      <c r="AO17" s="150"/>
      <c r="AP17" s="150"/>
      <c r="AQ17" s="33"/>
      <c r="AV17" s="151"/>
      <c r="AW17" s="152"/>
      <c r="AX17" s="166" t="s">
        <v>67</v>
      </c>
      <c r="AY17" s="167"/>
      <c r="AZ17" s="168"/>
      <c r="BA17" s="62" t="s">
        <v>68</v>
      </c>
      <c r="BB17" s="13"/>
    </row>
    <row r="18" spans="1:54" ht="19.5" customHeight="1" thickBot="1" x14ac:dyDescent="0.25">
      <c r="A18" s="13"/>
      <c r="B18" s="197"/>
      <c r="C18" s="169"/>
      <c r="D18" s="170"/>
      <c r="E18" s="169"/>
      <c r="F18" s="171"/>
      <c r="G18" s="170"/>
      <c r="H18" s="169"/>
      <c r="I18" s="170"/>
      <c r="L18" s="12"/>
      <c r="M18" s="12"/>
      <c r="N18" s="12"/>
      <c r="O18" s="158" t="s">
        <v>69</v>
      </c>
      <c r="P18" s="159"/>
      <c r="Q18" s="116">
        <f>COUNTIFS(TablaAgosto[EDAD], "&gt;19", TablaAgosto[EDAD], "&lt;60")</f>
      </c>
      <c r="R18" s="56"/>
      <c r="S18" s="47" t="s">
        <v>70</v>
      </c>
      <c r="T18" s="115">
        <f>COUNTIFS(TablaAgosto[TIPO DISCAPACIDAD], S18)</f>
      </c>
      <c r="U18" s="60"/>
      <c r="V18" s="56"/>
      <c r="W18" s="172" t="s">
        <v>71</v>
      </c>
      <c r="X18" s="173"/>
      <c r="Y18" s="174"/>
      <c r="Z18" s="147">
        <f>COUNTIFS(TablaAgosto[ORI. SEXUAL], W18)</f>
      </c>
      <c r="AA18" s="148"/>
      <c r="AB18" s="13"/>
      <c r="AC18" s="13"/>
      <c r="AD18" s="13"/>
      <c r="AE18" s="13"/>
      <c r="AF18" s="13"/>
      <c r="AG18" s="13"/>
      <c r="AH18" s="60"/>
      <c r="AI18" s="56"/>
      <c r="AJ18" s="56"/>
      <c r="AK18" s="56"/>
      <c r="AL18" s="56"/>
      <c r="AM18" s="56"/>
      <c r="AN18" s="149"/>
      <c r="AO18" s="150"/>
      <c r="AP18" s="150"/>
      <c r="AQ18" s="33"/>
      <c r="AV18" s="151"/>
      <c r="AW18" s="152"/>
      <c r="AX18" s="153" t="s">
        <v>72</v>
      </c>
      <c r="AY18" s="154"/>
      <c r="AZ18" s="155"/>
      <c r="BA18" s="63" t="s">
        <v>73</v>
      </c>
      <c r="BB18" s="13"/>
    </row>
    <row r="19" spans="1:54" ht="19.5" customHeight="1" thickBot="1" x14ac:dyDescent="0.25">
      <c r="A19" s="13"/>
      <c r="B19" s="64"/>
      <c r="C19" s="43"/>
      <c r="D19" s="43"/>
      <c r="E19" s="43"/>
      <c r="F19" s="65"/>
      <c r="G19" s="66"/>
      <c r="H19" s="66"/>
      <c r="I19" s="66"/>
      <c r="J19" s="66"/>
      <c r="K19" s="156" t="s">
        <v>74</v>
      </c>
      <c r="L19" s="157"/>
      <c r="M19" s="12"/>
      <c r="N19" s="12"/>
      <c r="O19" s="158" t="s">
        <v>75</v>
      </c>
      <c r="P19" s="159"/>
      <c r="Q19" s="116">
        <f>COUNTIFS(TablaAgosto[EDAD], "&gt;59")</f>
      </c>
      <c r="R19" s="56"/>
      <c r="U19" s="60"/>
      <c r="V19" s="56"/>
      <c r="W19" s="160" t="s">
        <v>66</v>
      </c>
      <c r="X19" s="160"/>
      <c r="Y19" s="160"/>
      <c r="Z19" s="147">
        <f>COUNTIFS(TablaAgosto[ORI. SEXUAL], W19)</f>
      </c>
      <c r="AA19" s="148"/>
      <c r="AB19" s="13"/>
      <c r="AC19" s="13"/>
      <c r="AD19" s="13"/>
      <c r="AE19" s="13"/>
      <c r="AF19" s="13"/>
      <c r="AG19" s="13"/>
      <c r="AH19" s="67"/>
      <c r="AI19" s="68"/>
      <c r="AJ19" s="68" t="s">
        <v>76</v>
      </c>
      <c r="AK19" s="68"/>
      <c r="AL19" s="68"/>
      <c r="AM19" s="68"/>
      <c r="AN19" s="68"/>
      <c r="AO19" s="68"/>
      <c r="AP19" s="68"/>
      <c r="AQ19" s="33"/>
      <c r="AV19" s="151"/>
      <c r="AW19" s="152"/>
      <c r="AX19" s="161" t="s">
        <v>77</v>
      </c>
      <c r="AY19" s="162"/>
      <c r="AZ19" s="163"/>
      <c r="BA19" s="69" t="s">
        <v>78</v>
      </c>
      <c r="BB19" s="13"/>
    </row>
    <row r="20" spans="1:54" ht="20.25" customHeight="1" thickBot="1" x14ac:dyDescent="0.25">
      <c r="A20" s="13"/>
      <c r="B20" s="33"/>
      <c r="C20" s="33"/>
      <c r="D20" s="33"/>
      <c r="E20" s="33"/>
      <c r="F20" s="65"/>
      <c r="G20" s="66"/>
      <c r="H20" s="66"/>
      <c r="I20" s="66"/>
      <c r="J20" s="66"/>
      <c r="K20" s="70" t="s">
        <v>79</v>
      </c>
      <c r="L20" s="117">
        <f>COUNTIF(TablaAgosto[VICTIMA CONF. ARMADO], K20)</f>
      </c>
      <c r="M20" s="12"/>
      <c r="N20" s="12"/>
      <c r="O20" s="12"/>
      <c r="P20" s="12"/>
      <c r="Q20" s="12"/>
      <c r="R20" s="12"/>
      <c r="S20" s="12"/>
      <c r="T20" s="3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68"/>
      <c r="AI20" s="68"/>
      <c r="AJ20" s="68"/>
      <c r="AK20" s="68"/>
      <c r="AL20" s="68"/>
      <c r="AM20" s="68"/>
      <c r="AN20" s="68"/>
      <c r="AO20" s="68"/>
      <c r="AP20" s="68"/>
      <c r="AQ20" s="33"/>
      <c r="AR20" s="33"/>
      <c r="AS20" s="33"/>
      <c r="AT20" s="33"/>
      <c r="AU20" s="33"/>
      <c r="AV20" s="33"/>
      <c r="AW20" s="33"/>
      <c r="AX20" s="33"/>
      <c r="AY20" s="33"/>
      <c r="AZ20" s="13"/>
      <c r="BA20" s="13"/>
      <c r="BB20" s="13"/>
    </row>
    <row r="21" spans="1:54" ht="18.75" customHeight="1" thickBot="1" x14ac:dyDescent="0.25">
      <c r="A21" s="13"/>
      <c r="B21" s="13"/>
      <c r="C21" s="33"/>
      <c r="D21" s="33"/>
      <c r="E21" s="33"/>
      <c r="F21" s="33"/>
      <c r="G21" s="33"/>
      <c r="H21" s="33"/>
      <c r="I21" s="33"/>
      <c r="J21" s="33"/>
      <c r="K21" s="71" t="s">
        <v>80</v>
      </c>
      <c r="L21" s="117">
        <f>COUNTIF(TablaAgosto[VICTIMA CONF. ARMADO], K21)</f>
      </c>
      <c r="M21" s="12"/>
      <c r="N21" s="12"/>
      <c r="O21" s="12"/>
      <c r="P21" s="12"/>
      <c r="Q21" s="12"/>
      <c r="R21" s="12"/>
      <c r="S21" s="12"/>
      <c r="T21" s="33"/>
      <c r="U21" s="135" t="s">
        <v>140</v>
      </c>
      <c r="V21" s="136"/>
      <c r="W21" s="136"/>
      <c r="X21" s="136"/>
      <c r="Y21" s="136"/>
      <c r="Z21" s="136"/>
      <c r="AA21" s="136"/>
      <c r="AB21" s="136"/>
      <c r="AC21" s="136"/>
      <c r="AD21" s="136"/>
      <c r="AE21" s="136"/>
      <c r="AF21" s="136"/>
      <c r="AG21" s="136"/>
      <c r="AH21" s="136"/>
      <c r="AI21" s="136"/>
      <c r="AJ21" s="136"/>
      <c r="AK21" s="136"/>
      <c r="AL21" s="136"/>
      <c r="AM21" s="136"/>
      <c r="AN21" s="136"/>
      <c r="AO21" s="136"/>
      <c r="AP21" s="136"/>
      <c r="AQ21" s="136"/>
      <c r="AR21" s="136"/>
      <c r="AS21" s="136"/>
      <c r="AT21" s="136"/>
      <c r="AU21" s="136"/>
      <c r="AV21" s="136"/>
      <c r="AW21" s="136"/>
      <c r="AX21" s="136"/>
      <c r="AY21" s="137"/>
      <c r="AZ21" s="141" t="s">
        <v>81</v>
      </c>
      <c r="BA21" s="142"/>
      <c r="BB21" s="143"/>
    </row>
    <row r="22" spans="1:54" ht="15" customHeight="1" thickBot="1" x14ac:dyDescent="0.25">
      <c r="A22" s="13"/>
      <c r="B22" s="13"/>
      <c r="C22" s="33"/>
      <c r="D22" s="33"/>
      <c r="E22" s="33"/>
      <c r="F22" s="33"/>
      <c r="G22" s="33"/>
      <c r="H22" s="33"/>
      <c r="I22" s="33"/>
      <c r="J22" s="33"/>
      <c r="K22" s="33"/>
      <c r="L22" s="72"/>
      <c r="M22" s="72"/>
      <c r="N22" s="72"/>
      <c r="O22" s="72"/>
      <c r="P22" s="72"/>
      <c r="Q22" s="12"/>
      <c r="R22" s="12"/>
      <c r="S22" s="12"/>
      <c r="T22" s="73"/>
      <c r="U22" s="138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  <c r="AF22" s="139"/>
      <c r="AG22" s="139"/>
      <c r="AH22" s="139"/>
      <c r="AI22" s="139"/>
      <c r="AJ22" s="139"/>
      <c r="AK22" s="139"/>
      <c r="AL22" s="139"/>
      <c r="AM22" s="139"/>
      <c r="AN22" s="139"/>
      <c r="AO22" s="139"/>
      <c r="AP22" s="139"/>
      <c r="AQ22" s="139"/>
      <c r="AR22" s="139"/>
      <c r="AS22" s="139"/>
      <c r="AT22" s="139"/>
      <c r="AU22" s="139"/>
      <c r="AV22" s="139"/>
      <c r="AW22" s="139"/>
      <c r="AX22" s="139"/>
      <c r="AY22" s="140"/>
      <c r="AZ22" s="144"/>
      <c r="BA22" s="145"/>
      <c r="BB22" s="146"/>
    </row>
    <row r="23" spans="1:54" ht="42" customHeight="1" x14ac:dyDescent="0.2">
      <c r="A23" s="74" t="s">
        <v>82</v>
      </c>
      <c r="B23" s="108" t="s">
        <v>83</v>
      </c>
      <c r="C23" s="108" t="s">
        <v>84</v>
      </c>
      <c r="D23" s="108" t="s">
        <v>85</v>
      </c>
      <c r="E23" s="108" t="s">
        <v>86</v>
      </c>
      <c r="F23" s="109" t="s">
        <v>87</v>
      </c>
      <c r="G23" s="110" t="s">
        <v>88</v>
      </c>
      <c r="H23" s="109" t="s">
        <v>89</v>
      </c>
      <c r="I23" s="111" t="s">
        <v>90</v>
      </c>
      <c r="J23" s="112" t="s">
        <v>91</v>
      </c>
      <c r="K23" s="75" t="s">
        <v>92</v>
      </c>
      <c r="L23" s="76" t="s">
        <v>93</v>
      </c>
      <c r="M23" s="77" t="s">
        <v>94</v>
      </c>
      <c r="N23" s="78" t="s">
        <v>95</v>
      </c>
      <c r="O23" s="79" t="s">
        <v>96</v>
      </c>
      <c r="P23" s="113" t="s">
        <v>97</v>
      </c>
      <c r="Q23" s="80" t="s">
        <v>98</v>
      </c>
      <c r="R23" s="80" t="s">
        <v>99</v>
      </c>
      <c r="S23" s="80" t="s">
        <v>100</v>
      </c>
      <c r="T23" s="81" t="s">
        <v>101</v>
      </c>
      <c r="U23" s="28" t="s">
        <v>102</v>
      </c>
      <c r="V23" s="28" t="s">
        <v>103</v>
      </c>
      <c r="W23" s="27" t="s">
        <v>104</v>
      </c>
      <c r="X23" s="122" t="s">
        <v>105</v>
      </c>
      <c r="Y23" s="26" t="s">
        <v>106</v>
      </c>
      <c r="Z23" s="26" t="s">
        <v>107</v>
      </c>
      <c r="AA23" s="28" t="s">
        <v>108</v>
      </c>
      <c r="AB23" s="28" t="s">
        <v>109</v>
      </c>
      <c r="AC23" s="28" t="s">
        <v>110</v>
      </c>
      <c r="AD23" s="26" t="s">
        <v>111</v>
      </c>
      <c r="AE23" s="122" t="s">
        <v>112</v>
      </c>
      <c r="AF23" s="26" t="s">
        <v>113</v>
      </c>
      <c r="AG23" s="122" t="s">
        <v>114</v>
      </c>
      <c r="AH23" s="26" t="s">
        <v>115</v>
      </c>
      <c r="AI23" s="28" t="s">
        <v>116</v>
      </c>
      <c r="AJ23" s="28" t="s">
        <v>117</v>
      </c>
      <c r="AK23" s="28" t="s">
        <v>118</v>
      </c>
      <c r="AL23" s="122" t="s">
        <v>119</v>
      </c>
      <c r="AM23" s="26" t="s">
        <v>120</v>
      </c>
      <c r="AN23" s="122" t="s">
        <v>121</v>
      </c>
      <c r="AO23" s="122" t="s">
        <v>122</v>
      </c>
      <c r="AP23" s="28" t="s">
        <v>123</v>
      </c>
      <c r="AQ23" s="125" t="s">
        <v>124</v>
      </c>
      <c r="AR23" s="29" t="s">
        <v>125</v>
      </c>
      <c r="AS23" s="123" t="s">
        <v>126</v>
      </c>
      <c r="AT23" s="26" t="s">
        <v>127</v>
      </c>
      <c r="AU23" s="122" t="s">
        <v>128</v>
      </c>
      <c r="AV23" s="122" t="s">
        <v>129</v>
      </c>
      <c r="AW23" s="28" t="s">
        <v>130</v>
      </c>
      <c r="AX23" s="124" t="s">
        <v>131</v>
      </c>
      <c r="AY23" s="122" t="s">
        <v>132</v>
      </c>
      <c r="AZ23" s="82" t="s">
        <v>68</v>
      </c>
      <c r="BA23" s="82" t="s">
        <v>73</v>
      </c>
      <c r="BB23" s="83" t="s">
        <v>78</v>
      </c>
    </row>
    <row r="24" spans="1:54" ht="15.75" customHeight="1" x14ac:dyDescent="0.2">
      <c r="A24" s="84"/>
      <c r="B24" s="85"/>
      <c r="C24" s="85"/>
      <c r="D24" s="85"/>
      <c r="E24" s="86"/>
      <c r="F24" s="16">
        <f>IF(E24="","",DATEDIF(E24,$I$7,"Y"))</f>
      </c>
      <c r="G24" s="85"/>
      <c r="H24" s="85"/>
      <c r="I24" s="87"/>
      <c r="J24" s="85"/>
      <c r="K24" s="85"/>
      <c r="L24" s="2"/>
      <c r="M24" s="2"/>
      <c r="N24" s="2"/>
      <c r="O24" s="2"/>
      <c r="P24" s="85"/>
      <c r="Q24" s="88"/>
      <c r="R24" s="3">
        <f>IFERROR(VLOOKUP(TablaAgosto[[#This Row],[BARRIO]],SECTOR!$A:$B,2,0),"")</f>
      </c>
      <c r="S24" s="89"/>
      <c r="T24" s="90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17">
        <f>COUNTIF(U24:AY24,"A")</f>
      </c>
      <c r="BA24" s="17">
        <f>COUNTIF(U24:AY24,"F")</f>
      </c>
      <c r="BB24" s="17">
        <f>COUNTIF(U24:AY24,"E")</f>
      </c>
    </row>
    <row r="25" spans="1:54" ht="15.75" customHeight="1" x14ac:dyDescent="0.2">
      <c r="A25" s="84"/>
      <c r="B25" s="85"/>
      <c r="C25" s="85"/>
      <c r="D25" s="85"/>
      <c r="E25" s="86"/>
      <c r="F25" s="16">
        <f>IF(E25="","",DATEDIF(E25,$I$7,"Y"))</f>
      </c>
      <c r="G25" s="85"/>
      <c r="H25" s="85"/>
      <c r="I25" s="87"/>
      <c r="J25" s="85"/>
      <c r="K25" s="85"/>
      <c r="L25" s="2"/>
      <c r="M25" s="2"/>
      <c r="N25" s="1"/>
      <c r="O25" s="1"/>
      <c r="P25" s="85"/>
      <c r="Q25" s="88"/>
      <c r="R25" s="3">
        <f>IFERROR(VLOOKUP(TablaAgosto[[#This Row],[BARRIO]],SECTOR!$A:$B,2,0),"")</f>
      </c>
      <c r="S25" s="89"/>
      <c r="T25" s="90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17">
        <f>COUNTIF(U25:AY25,"A")</f>
      </c>
      <c r="BA25" s="17">
        <f>COUNTIF(U25:AY25,"F")</f>
      </c>
      <c r="BB25" s="17">
        <f>COUNTIF(U25:AY25,"E")</f>
      </c>
    </row>
    <row r="26" spans="1:54" ht="15.75" customHeight="1" x14ac:dyDescent="0.2">
      <c r="A26" s="84"/>
      <c r="B26" s="85"/>
      <c r="C26" s="85"/>
      <c r="D26" s="85"/>
      <c r="E26" s="86"/>
      <c r="F26" s="16">
        <f>IF(E26="","",DATEDIF(E26,$I$7,"Y"))</f>
      </c>
      <c r="G26" s="85"/>
      <c r="H26" s="85"/>
      <c r="I26" s="87"/>
      <c r="J26" s="85"/>
      <c r="K26" s="85"/>
      <c r="L26" s="2"/>
      <c r="M26" s="2"/>
      <c r="N26" s="1"/>
      <c r="O26" s="1"/>
      <c r="P26" s="85"/>
      <c r="Q26" s="88"/>
      <c r="R26" s="3">
        <f>IFERROR(VLOOKUP(TablaAgosto[[#This Row],[BARRIO]],SECTOR!$A:$B,2,0),"")</f>
      </c>
      <c r="S26" s="89"/>
      <c r="T26" s="90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17">
        <f>COUNTIF(U26:AY26,"A")</f>
      </c>
      <c r="BA26" s="17">
        <f>COUNTIF(U26:AY26,"F")</f>
      </c>
      <c r="BB26" s="17">
        <f>COUNTIF(U26:AY26,"E")</f>
      </c>
    </row>
    <row r="27" spans="1:54" ht="15.75" customHeight="1" x14ac:dyDescent="0.2">
      <c r="A27" s="84"/>
      <c r="B27" s="85"/>
      <c r="C27" s="85"/>
      <c r="D27" s="85"/>
      <c r="E27" s="86"/>
      <c r="F27" s="16">
        <f>IF(E27="","",DATEDIF(E27,$I$7,"Y"))</f>
      </c>
      <c r="G27" s="85"/>
      <c r="H27" s="85"/>
      <c r="I27" s="87"/>
      <c r="J27" s="85"/>
      <c r="K27" s="85"/>
      <c r="L27" s="2"/>
      <c r="M27" s="2"/>
      <c r="N27" s="1"/>
      <c r="O27" s="1"/>
      <c r="P27" s="85"/>
      <c r="Q27" s="88"/>
      <c r="R27" s="3">
        <f>IFERROR(VLOOKUP(TablaAgosto[[#This Row],[BARRIO]],SECTOR!$A:$B,2,0),"")</f>
      </c>
      <c r="S27" s="89"/>
      <c r="T27" s="90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17">
        <f>COUNTIF(U27:AY27,"A")</f>
      </c>
      <c r="BA27" s="17">
        <f>COUNTIF(U27:AY27,"F")</f>
      </c>
      <c r="BB27" s="17">
        <f>COUNTIF(U27:AY27,"E")</f>
      </c>
    </row>
    <row r="28" spans="1:54" ht="15.75" customHeight="1" x14ac:dyDescent="0.2">
      <c r="A28" s="84"/>
      <c r="B28" s="85"/>
      <c r="C28" s="85"/>
      <c r="D28" s="85"/>
      <c r="E28" s="86"/>
      <c r="F28" s="16">
        <f>IF(E28="","",DATEDIF(E28,$I$7,"Y"))</f>
      </c>
      <c r="G28" s="85"/>
      <c r="H28" s="85"/>
      <c r="I28" s="87"/>
      <c r="J28" s="85"/>
      <c r="K28" s="85"/>
      <c r="L28" s="2"/>
      <c r="M28" s="2"/>
      <c r="N28" s="1"/>
      <c r="O28" s="1"/>
      <c r="P28" s="85"/>
      <c r="Q28" s="88"/>
      <c r="R28" s="3">
        <f>IFERROR(VLOOKUP(TablaAgosto[[#This Row],[BARRIO]],SECTOR!$A:$B,2,0),"")</f>
      </c>
      <c r="S28" s="89"/>
      <c r="T28" s="90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17">
        <f>COUNTIF(U28:AY28,"A")</f>
      </c>
      <c r="BA28" s="17">
        <f>COUNTIF(U28:AY28,"F")</f>
      </c>
      <c r="BB28" s="17">
        <f>COUNTIF(U28:AY28,"E")</f>
      </c>
    </row>
    <row r="29" spans="1:54" ht="15.75" customHeight="1" x14ac:dyDescent="0.2">
      <c r="A29" s="84"/>
      <c r="B29" s="85"/>
      <c r="C29" s="85"/>
      <c r="D29" s="85"/>
      <c r="E29" s="86"/>
      <c r="F29" s="16">
        <f>IF(E29="","",DATEDIF(E29,$I$7,"Y"))</f>
      </c>
      <c r="G29" s="85"/>
      <c r="H29" s="85"/>
      <c r="I29" s="87"/>
      <c r="J29" s="85"/>
      <c r="K29" s="85"/>
      <c r="L29" s="2"/>
      <c r="M29" s="2"/>
      <c r="N29" s="1"/>
      <c r="O29" s="1"/>
      <c r="P29" s="85"/>
      <c r="Q29" s="88"/>
      <c r="R29" s="3">
        <f>IFERROR(VLOOKUP(TablaAgosto[[#This Row],[BARRIO]],SECTOR!$A:$B,2,0),"")</f>
      </c>
      <c r="S29" s="89"/>
      <c r="T29" s="90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17">
        <f>COUNTIF(U29:AY29,"A")</f>
      </c>
      <c r="BA29" s="17">
        <f>COUNTIF(U29:AY29,"F")</f>
      </c>
      <c r="BB29" s="17">
        <f>COUNTIF(U29:AY29,"E")</f>
      </c>
    </row>
    <row r="30" spans="1:54" ht="15.75" customHeight="1" x14ac:dyDescent="0.2">
      <c r="A30" s="84"/>
      <c r="B30" s="85"/>
      <c r="C30" s="85"/>
      <c r="D30" s="85"/>
      <c r="E30" s="86"/>
      <c r="F30" s="16">
        <f>IF(E30="","",DATEDIF(E30,$I$7,"Y"))</f>
      </c>
      <c r="G30" s="85"/>
      <c r="H30" s="85"/>
      <c r="I30" s="87"/>
      <c r="J30" s="85"/>
      <c r="K30" s="85"/>
      <c r="L30" s="2"/>
      <c r="M30" s="2"/>
      <c r="N30" s="1"/>
      <c r="O30" s="1"/>
      <c r="P30" s="85"/>
      <c r="Q30" s="88"/>
      <c r="R30" s="3">
        <f>IFERROR(VLOOKUP(TablaAgosto[[#This Row],[BARRIO]],SECTOR!$A:$B,2,0),"")</f>
      </c>
      <c r="S30" s="89"/>
      <c r="T30" s="90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17">
        <f>COUNTIF(U30:AY30,"A")</f>
      </c>
      <c r="BA30" s="17">
        <f>COUNTIF(U30:AY30,"F")</f>
      </c>
      <c r="BB30" s="17">
        <f>COUNTIF(U30:AY30,"E")</f>
      </c>
    </row>
    <row r="31" spans="1:54" ht="15.75" customHeight="1" x14ac:dyDescent="0.2">
      <c r="A31" s="84"/>
      <c r="B31" s="85"/>
      <c r="C31" s="85"/>
      <c r="D31" s="85"/>
      <c r="E31" s="86"/>
      <c r="F31" s="16">
        <f>IF(E31="","",DATEDIF(E31,$I$7,"Y"))</f>
      </c>
      <c r="G31" s="85"/>
      <c r="H31" s="85"/>
      <c r="I31" s="87"/>
      <c r="J31" s="85"/>
      <c r="K31" s="85"/>
      <c r="L31" s="2"/>
      <c r="M31" s="2"/>
      <c r="N31" s="1"/>
      <c r="O31" s="1"/>
      <c r="P31" s="85"/>
      <c r="Q31" s="88"/>
      <c r="R31" s="3">
        <f>IFERROR(VLOOKUP(TablaAgosto[[#This Row],[BARRIO]],SECTOR!$A:$B,2,0),"")</f>
      </c>
      <c r="S31" s="89"/>
      <c r="T31" s="90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17">
        <f>COUNTIF(U31:AY31,"A")</f>
      </c>
      <c r="BA31" s="17">
        <f>COUNTIF(U31:AY31,"F")</f>
      </c>
      <c r="BB31" s="17">
        <f>COUNTIF(U31:AY31,"E")</f>
      </c>
    </row>
    <row r="32" spans="1:54" ht="15.75" customHeight="1" x14ac:dyDescent="0.2">
      <c r="A32" s="84"/>
      <c r="B32" s="85"/>
      <c r="C32" s="85"/>
      <c r="D32" s="85"/>
      <c r="E32" s="86"/>
      <c r="F32" s="16">
        <f>IF(E32="","",DATEDIF(E32,$I$7,"Y"))</f>
      </c>
      <c r="G32" s="85"/>
      <c r="H32" s="85"/>
      <c r="I32" s="87"/>
      <c r="J32" s="85"/>
      <c r="K32" s="85"/>
      <c r="L32" s="2"/>
      <c r="M32" s="2"/>
      <c r="N32" s="1"/>
      <c r="O32" s="1"/>
      <c r="P32" s="85"/>
      <c r="Q32" s="88"/>
      <c r="R32" s="3">
        <f>IFERROR(VLOOKUP(TablaAgosto[[#This Row],[BARRIO]],SECTOR!$A:$B,2,0),"")</f>
      </c>
      <c r="S32" s="89"/>
      <c r="T32" s="90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17">
        <f>COUNTIF(U32:AY32,"A")</f>
      </c>
      <c r="BA32" s="17">
        <f>COUNTIF(U32:AY32,"F")</f>
      </c>
      <c r="BB32" s="17">
        <f>COUNTIF(U32:AY32,"E")</f>
      </c>
    </row>
    <row r="33" spans="1:54" ht="15.75" customHeight="1" x14ac:dyDescent="0.2">
      <c r="A33" s="84"/>
      <c r="B33" s="85"/>
      <c r="C33" s="85"/>
      <c r="D33" s="85"/>
      <c r="E33" s="86"/>
      <c r="F33" s="16">
        <f>IF(E33="","",DATEDIF(E33,$I$7,"Y"))</f>
      </c>
      <c r="G33" s="85"/>
      <c r="H33" s="85"/>
      <c r="I33" s="87"/>
      <c r="J33" s="85"/>
      <c r="K33" s="85"/>
      <c r="L33" s="2"/>
      <c r="M33" s="2"/>
      <c r="N33" s="1"/>
      <c r="O33" s="1"/>
      <c r="P33" s="85"/>
      <c r="Q33" s="88"/>
      <c r="R33" s="3">
        <f>IFERROR(VLOOKUP(TablaAgosto[[#This Row],[BARRIO]],SECTOR!$A:$B,2,0),"")</f>
      </c>
      <c r="S33" s="89"/>
      <c r="T33" s="90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17">
        <f>COUNTIF(U33:AY33,"A")</f>
      </c>
      <c r="BA33" s="17">
        <f>COUNTIF(U33:AY33,"F")</f>
      </c>
      <c r="BB33" s="17">
        <f>COUNTIF(U33:AY33,"E")</f>
      </c>
    </row>
    <row r="34" spans="1:54" ht="15.75" customHeight="1" x14ac:dyDescent="0.2">
      <c r="A34" s="84"/>
      <c r="B34" s="85"/>
      <c r="C34" s="85"/>
      <c r="D34" s="85"/>
      <c r="E34" s="86"/>
      <c r="F34" s="16">
        <f>IF(E34="","",DATEDIF(E34,$I$7,"Y"))</f>
      </c>
      <c r="G34" s="85"/>
      <c r="H34" s="85"/>
      <c r="I34" s="87"/>
      <c r="J34" s="85"/>
      <c r="K34" s="85"/>
      <c r="L34" s="2"/>
      <c r="M34" s="2"/>
      <c r="N34" s="1"/>
      <c r="O34" s="1"/>
      <c r="P34" s="85"/>
      <c r="Q34" s="88"/>
      <c r="R34" s="3">
        <f>IFERROR(VLOOKUP(TablaAgosto[[#This Row],[BARRIO]],SECTOR!$A:$B,2,0),"")</f>
      </c>
      <c r="S34" s="89"/>
      <c r="T34" s="90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17">
        <f>COUNTIF(U34:AY34,"A")</f>
      </c>
      <c r="BA34" s="17">
        <f>COUNTIF(U34:AY34,"F")</f>
      </c>
      <c r="BB34" s="17">
        <f>COUNTIF(U34:AY34,"E")</f>
      </c>
    </row>
    <row r="35" spans="1:54" ht="15.75" customHeight="1" x14ac:dyDescent="0.2">
      <c r="A35" s="84"/>
      <c r="B35" s="85"/>
      <c r="C35" s="85"/>
      <c r="D35" s="85"/>
      <c r="E35" s="86"/>
      <c r="F35" s="16">
        <f>IF(E35="","",DATEDIF(E35,$I$7,"Y"))</f>
      </c>
      <c r="G35" s="85"/>
      <c r="H35" s="85"/>
      <c r="I35" s="87"/>
      <c r="J35" s="85"/>
      <c r="K35" s="85"/>
      <c r="L35" s="2"/>
      <c r="M35" s="2"/>
      <c r="N35" s="1"/>
      <c r="O35" s="1"/>
      <c r="P35" s="85"/>
      <c r="Q35" s="88"/>
      <c r="R35" s="3">
        <f>IFERROR(VLOOKUP(TablaAgosto[[#This Row],[BARRIO]],SECTOR!$A:$B,2,0),"")</f>
      </c>
      <c r="S35" s="89"/>
      <c r="T35" s="90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17">
        <f>COUNTIF(U35:AY35,"A")</f>
      </c>
      <c r="BA35" s="17">
        <f>COUNTIF(U35:AY35,"F")</f>
      </c>
      <c r="BB35" s="17">
        <f>COUNTIF(U35:AY35,"E")</f>
      </c>
    </row>
    <row r="36" spans="1:54" ht="15.75" customHeight="1" x14ac:dyDescent="0.2">
      <c r="A36" s="84"/>
      <c r="B36" s="85"/>
      <c r="C36" s="85"/>
      <c r="D36" s="85"/>
      <c r="E36" s="86"/>
      <c r="F36" s="16">
        <f>IF(E36="","",DATEDIF(E36,$I$7,"Y"))</f>
      </c>
      <c r="G36" s="85"/>
      <c r="H36" s="85"/>
      <c r="I36" s="87"/>
      <c r="J36" s="85"/>
      <c r="K36" s="85"/>
      <c r="L36" s="2"/>
      <c r="M36" s="2"/>
      <c r="N36" s="1"/>
      <c r="O36" s="1"/>
      <c r="P36" s="85"/>
      <c r="Q36" s="88"/>
      <c r="R36" s="3">
        <f>IFERROR(VLOOKUP(TablaAgosto[[#This Row],[BARRIO]],SECTOR!$A:$B,2,0),"")</f>
      </c>
      <c r="S36" s="89"/>
      <c r="T36" s="90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17">
        <f>COUNTIF(U36:AY36,"A")</f>
      </c>
      <c r="BA36" s="17">
        <f>COUNTIF(U36:AY36,"F")</f>
      </c>
      <c r="BB36" s="17">
        <f>COUNTIF(U36:AY36,"E")</f>
      </c>
    </row>
    <row r="37" spans="1:54" ht="15.75" customHeight="1" x14ac:dyDescent="0.2">
      <c r="A37" s="84"/>
      <c r="B37" s="85"/>
      <c r="C37" s="85"/>
      <c r="D37" s="85"/>
      <c r="E37" s="86"/>
      <c r="F37" s="16">
        <f>IF(E37="","",DATEDIF(E37,$I$7,"Y"))</f>
      </c>
      <c r="G37" s="85"/>
      <c r="H37" s="85"/>
      <c r="I37" s="87"/>
      <c r="J37" s="85"/>
      <c r="K37" s="85"/>
      <c r="L37" s="2"/>
      <c r="M37" s="2"/>
      <c r="N37" s="1"/>
      <c r="O37" s="1"/>
      <c r="P37" s="85"/>
      <c r="Q37" s="88"/>
      <c r="R37" s="3">
        <f>IFERROR(VLOOKUP(TablaAgosto[[#This Row],[BARRIO]],SECTOR!$A:$B,2,0),"")</f>
      </c>
      <c r="S37" s="89"/>
      <c r="T37" s="90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17">
        <f>COUNTIF(U37:AY37,"A")</f>
      </c>
      <c r="BA37" s="17">
        <f>COUNTIF(U37:AY37,"F")</f>
      </c>
      <c r="BB37" s="17">
        <f>COUNTIF(U37:AY37,"E")</f>
      </c>
    </row>
    <row r="38" spans="1:54" ht="15.75" customHeight="1" x14ac:dyDescent="0.2">
      <c r="A38" s="84"/>
      <c r="B38" s="85"/>
      <c r="C38" s="85"/>
      <c r="D38" s="85"/>
      <c r="E38" s="86"/>
      <c r="F38" s="16">
        <f>IF(E38="","",DATEDIF(E38,$I$7,"Y"))</f>
      </c>
      <c r="G38" s="85"/>
      <c r="H38" s="85"/>
      <c r="I38" s="87"/>
      <c r="J38" s="85"/>
      <c r="K38" s="85"/>
      <c r="L38" s="2"/>
      <c r="M38" s="2"/>
      <c r="N38" s="1"/>
      <c r="O38" s="1"/>
      <c r="P38" s="85"/>
      <c r="Q38" s="88"/>
      <c r="R38" s="3">
        <f>IFERROR(VLOOKUP(TablaAgosto[[#This Row],[BARRIO]],SECTOR!$A:$B,2,0),"")</f>
      </c>
      <c r="S38" s="89"/>
      <c r="T38" s="90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17">
        <f>COUNTIF(U38:AY38,"A")</f>
      </c>
      <c r="BA38" s="17">
        <f>COUNTIF(U38:AY38,"F")</f>
      </c>
      <c r="BB38" s="17">
        <f>COUNTIF(U38:AY38,"E")</f>
      </c>
    </row>
    <row r="39" spans="1:54" ht="15.75" customHeight="1" x14ac:dyDescent="0.2">
      <c r="A39" s="84"/>
      <c r="B39" s="85"/>
      <c r="C39" s="85"/>
      <c r="D39" s="85"/>
      <c r="E39" s="86"/>
      <c r="F39" s="16">
        <f>IF(E39="","",DATEDIF(E39,$I$7,"Y"))</f>
      </c>
      <c r="G39" s="85"/>
      <c r="H39" s="85"/>
      <c r="I39" s="87"/>
      <c r="J39" s="85"/>
      <c r="K39" s="85"/>
      <c r="L39" s="2"/>
      <c r="M39" s="2"/>
      <c r="N39" s="1"/>
      <c r="O39" s="1"/>
      <c r="P39" s="85"/>
      <c r="Q39" s="88"/>
      <c r="R39" s="3">
        <f>IFERROR(VLOOKUP(TablaAgosto[[#This Row],[BARRIO]],SECTOR!$A:$B,2,0),"")</f>
      </c>
      <c r="S39" s="89"/>
      <c r="T39" s="90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17">
        <f>COUNTIF(U39:AY39,"A")</f>
      </c>
      <c r="BA39" s="17">
        <f>COUNTIF(U39:AY39,"F")</f>
      </c>
      <c r="BB39" s="17">
        <f>COUNTIF(U39:AY39,"E")</f>
      </c>
    </row>
    <row r="40" spans="1:54" ht="15.75" customHeight="1" x14ac:dyDescent="0.2">
      <c r="A40" s="84"/>
      <c r="B40" s="85"/>
      <c r="C40" s="85"/>
      <c r="D40" s="85"/>
      <c r="E40" s="86"/>
      <c r="F40" s="16">
        <f>IF(E40="","",DATEDIF(E40,$I$7,"Y"))</f>
      </c>
      <c r="G40" s="85"/>
      <c r="H40" s="85"/>
      <c r="I40" s="87"/>
      <c r="J40" s="85"/>
      <c r="K40" s="85"/>
      <c r="L40" s="2"/>
      <c r="M40" s="2"/>
      <c r="N40" s="1"/>
      <c r="O40" s="1"/>
      <c r="P40" s="85"/>
      <c r="Q40" s="88"/>
      <c r="R40" s="3">
        <f>IFERROR(VLOOKUP(TablaAgosto[[#This Row],[BARRIO]],SECTOR!$A:$B,2,0),"")</f>
      </c>
      <c r="S40" s="89"/>
      <c r="T40" s="90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17">
        <f>COUNTIF(U40:AY40,"A")</f>
      </c>
      <c r="BA40" s="17">
        <f>COUNTIF(U40:AY40,"F")</f>
      </c>
      <c r="BB40" s="17">
        <f>COUNTIF(U40:AY40,"E")</f>
      </c>
    </row>
    <row r="41" spans="1:54" ht="15.75" customHeight="1" x14ac:dyDescent="0.2">
      <c r="A41" s="84"/>
      <c r="B41" s="85"/>
      <c r="C41" s="85"/>
      <c r="D41" s="85"/>
      <c r="E41" s="86"/>
      <c r="F41" s="16">
        <f>IF(E41="","",DATEDIF(E41,$I$7,"Y"))</f>
      </c>
      <c r="G41" s="85"/>
      <c r="H41" s="85"/>
      <c r="I41" s="87"/>
      <c r="J41" s="85"/>
      <c r="K41" s="85"/>
      <c r="L41" s="2"/>
      <c r="M41" s="2"/>
      <c r="N41" s="1"/>
      <c r="O41" s="1"/>
      <c r="P41" s="85"/>
      <c r="Q41" s="88"/>
      <c r="R41" s="3">
        <f>IFERROR(VLOOKUP(TablaAgosto[[#This Row],[BARRIO]],SECTOR!$A:$B,2,0),"")</f>
      </c>
      <c r="S41" s="89"/>
      <c r="T41" s="90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17">
        <f>COUNTIF(U41:AY41,"A")</f>
      </c>
      <c r="BA41" s="17">
        <f>COUNTIF(U41:AY41,"F")</f>
      </c>
      <c r="BB41" s="17">
        <f>COUNTIF(U41:AY41,"E")</f>
      </c>
    </row>
    <row r="42" spans="1:54" ht="15.75" customHeight="1" x14ac:dyDescent="0.2">
      <c r="A42" s="84"/>
      <c r="B42" s="85"/>
      <c r="C42" s="85"/>
      <c r="D42" s="85"/>
      <c r="E42" s="86"/>
      <c r="F42" s="16">
        <f>IF(E42="","",DATEDIF(E42,$I$7,"Y"))</f>
      </c>
      <c r="G42" s="85"/>
      <c r="H42" s="85"/>
      <c r="I42" s="87"/>
      <c r="J42" s="85"/>
      <c r="K42" s="85"/>
      <c r="L42" s="2"/>
      <c r="M42" s="2"/>
      <c r="N42" s="1"/>
      <c r="O42" s="1"/>
      <c r="P42" s="85"/>
      <c r="Q42" s="88"/>
      <c r="R42" s="3">
        <f>IFERROR(VLOOKUP(TablaAgosto[[#This Row],[BARRIO]],SECTOR!$A:$B,2,0),"")</f>
      </c>
      <c r="S42" s="89"/>
      <c r="T42" s="90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17">
        <f>COUNTIF(U42:AY42,"A")</f>
      </c>
      <c r="BA42" s="17">
        <f>COUNTIF(U42:AY42,"F")</f>
      </c>
      <c r="BB42" s="17">
        <f>COUNTIF(U42:AY42,"E")</f>
      </c>
    </row>
    <row r="43" spans="1:54" ht="15.75" customHeight="1" x14ac:dyDescent="0.2">
      <c r="A43" s="84"/>
      <c r="B43" s="85"/>
      <c r="C43" s="85"/>
      <c r="D43" s="85"/>
      <c r="E43" s="86"/>
      <c r="F43" s="16">
        <f>IF(E43="","",DATEDIF(E43,$I$7,"Y"))</f>
      </c>
      <c r="G43" s="85"/>
      <c r="H43" s="85"/>
      <c r="I43" s="87"/>
      <c r="J43" s="85"/>
      <c r="K43" s="85"/>
      <c r="L43" s="2"/>
      <c r="M43" s="2"/>
      <c r="N43" s="1"/>
      <c r="O43" s="1"/>
      <c r="P43" s="85"/>
      <c r="Q43" s="88"/>
      <c r="R43" s="3">
        <f>IFERROR(VLOOKUP(TablaAgosto[[#This Row],[BARRIO]],SECTOR!$A:$B,2,0),"")</f>
      </c>
      <c r="S43" s="89"/>
      <c r="T43" s="90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17">
        <f>COUNTIF(U43:AY43,"A")</f>
      </c>
      <c r="BA43" s="17">
        <f>COUNTIF(U43:AY43,"F")</f>
      </c>
      <c r="BB43" s="17">
        <f>COUNTIF(U43:AY43,"E")</f>
      </c>
    </row>
    <row r="44" spans="1:54" ht="15.75" customHeight="1" x14ac:dyDescent="0.2">
      <c r="A44" s="84"/>
      <c r="B44" s="85"/>
      <c r="C44" s="85"/>
      <c r="D44" s="85"/>
      <c r="E44" s="86"/>
      <c r="F44" s="16">
        <f>IF(E44="","",DATEDIF(E44,$I$7,"Y"))</f>
      </c>
      <c r="G44" s="85"/>
      <c r="H44" s="85"/>
      <c r="I44" s="87"/>
      <c r="J44" s="85"/>
      <c r="K44" s="85"/>
      <c r="L44" s="2"/>
      <c r="M44" s="2"/>
      <c r="N44" s="1"/>
      <c r="O44" s="1"/>
      <c r="P44" s="85"/>
      <c r="Q44" s="88"/>
      <c r="R44" s="3">
        <f>IFERROR(VLOOKUP(TablaAgosto[[#This Row],[BARRIO]],SECTOR!$A:$B,2,0),"")</f>
      </c>
      <c r="S44" s="89"/>
      <c r="T44" s="90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17">
        <f>COUNTIF(U44:AY44,"A")</f>
      </c>
      <c r="BA44" s="17">
        <f>COUNTIF(U44:AY44,"F")</f>
      </c>
      <c r="BB44" s="17">
        <f>COUNTIF(U44:AY44,"E")</f>
      </c>
    </row>
    <row r="45" spans="1:54" ht="15.75" customHeight="1" x14ac:dyDescent="0.2">
      <c r="A45" s="84"/>
      <c r="B45" s="85"/>
      <c r="C45" s="85"/>
      <c r="D45" s="85"/>
      <c r="E45" s="86"/>
      <c r="F45" s="16">
        <f>IF(E45="","",DATEDIF(E45,$I$7,"Y"))</f>
      </c>
      <c r="G45" s="85"/>
      <c r="H45" s="85"/>
      <c r="I45" s="87"/>
      <c r="J45" s="85"/>
      <c r="K45" s="85"/>
      <c r="L45" s="2"/>
      <c r="M45" s="2"/>
      <c r="N45" s="1"/>
      <c r="O45" s="1"/>
      <c r="P45" s="85"/>
      <c r="Q45" s="88"/>
      <c r="R45" s="3">
        <f>IFERROR(VLOOKUP(TablaAgosto[[#This Row],[BARRIO]],SECTOR!$A:$B,2,0),"")</f>
      </c>
      <c r="S45" s="89"/>
      <c r="T45" s="90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17">
        <f>COUNTIF(U45:AY45,"A")</f>
      </c>
      <c r="BA45" s="17">
        <f>COUNTIF(U45:AY45,"F")</f>
      </c>
      <c r="BB45" s="17">
        <f>COUNTIF(U45:AY45,"E")</f>
      </c>
    </row>
    <row r="46" spans="1:54" ht="15.75" customHeight="1" x14ac:dyDescent="0.2">
      <c r="A46" s="84"/>
      <c r="B46" s="85"/>
      <c r="C46" s="85"/>
      <c r="D46" s="85"/>
      <c r="E46" s="86"/>
      <c r="F46" s="16">
        <f>IF(E46="","",DATEDIF(E46,$I$7,"Y"))</f>
      </c>
      <c r="G46" s="85"/>
      <c r="H46" s="85"/>
      <c r="I46" s="87"/>
      <c r="J46" s="85"/>
      <c r="K46" s="85"/>
      <c r="L46" s="2"/>
      <c r="M46" s="2"/>
      <c r="N46" s="1"/>
      <c r="O46" s="1"/>
      <c r="P46" s="85"/>
      <c r="Q46" s="88"/>
      <c r="R46" s="3">
        <f>IFERROR(VLOOKUP(TablaAgosto[[#This Row],[BARRIO]],SECTOR!$A:$B,2,0),"")</f>
      </c>
      <c r="S46" s="89"/>
      <c r="T46" s="90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17">
        <f>COUNTIF(U46:AY46,"A")</f>
      </c>
      <c r="BA46" s="17">
        <f>COUNTIF(U46:AY46,"F")</f>
      </c>
      <c r="BB46" s="17">
        <f>COUNTIF(U46:AY46,"E")</f>
      </c>
    </row>
    <row r="47" spans="1:54" ht="15.75" customHeight="1" x14ac:dyDescent="0.2">
      <c r="A47" s="84"/>
      <c r="B47" s="85"/>
      <c r="C47" s="85"/>
      <c r="D47" s="85"/>
      <c r="E47" s="86"/>
      <c r="F47" s="16">
        <f>IF(E47="","",DATEDIF(E47,$I$7,"Y"))</f>
      </c>
      <c r="G47" s="85"/>
      <c r="H47" s="85"/>
      <c r="I47" s="87"/>
      <c r="J47" s="85"/>
      <c r="K47" s="85"/>
      <c r="L47" s="2"/>
      <c r="M47" s="2"/>
      <c r="N47" s="1"/>
      <c r="O47" s="1"/>
      <c r="P47" s="85"/>
      <c r="Q47" s="88"/>
      <c r="R47" s="3">
        <f>IFERROR(VLOOKUP(TablaAgosto[[#This Row],[BARRIO]],SECTOR!$A:$B,2,0),"")</f>
      </c>
      <c r="S47" s="89"/>
      <c r="T47" s="90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17">
        <f>COUNTIF(U47:AY47,"A")</f>
      </c>
      <c r="BA47" s="17">
        <f>COUNTIF(U47:AY47,"F")</f>
      </c>
      <c r="BB47" s="17">
        <f>COUNTIF(U47:AY47,"E")</f>
      </c>
    </row>
    <row r="48" spans="1:54" ht="15.75" customHeight="1" x14ac:dyDescent="0.2">
      <c r="A48" s="84"/>
      <c r="B48" s="85"/>
      <c r="C48" s="85"/>
      <c r="D48" s="85"/>
      <c r="E48" s="86"/>
      <c r="F48" s="16">
        <f>IF(E48="","",DATEDIF(E48,$I$7,"Y"))</f>
      </c>
      <c r="G48" s="85"/>
      <c r="H48" s="85"/>
      <c r="I48" s="87"/>
      <c r="J48" s="85"/>
      <c r="K48" s="85"/>
      <c r="L48" s="2"/>
      <c r="M48" s="2"/>
      <c r="N48" s="1"/>
      <c r="O48" s="1"/>
      <c r="P48" s="85"/>
      <c r="Q48" s="88"/>
      <c r="R48" s="3">
        <f>IFERROR(VLOOKUP(TablaAgosto[[#This Row],[BARRIO]],SECTOR!$A:$B,2,0),"")</f>
      </c>
      <c r="S48" s="89"/>
      <c r="T48" s="90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17">
        <f>COUNTIF(U48:AY48,"A")</f>
      </c>
      <c r="BA48" s="17">
        <f>COUNTIF(U48:AY48,"F")</f>
      </c>
      <c r="BB48" s="17">
        <f>COUNTIF(U48:AY48,"E")</f>
      </c>
    </row>
    <row r="49" spans="1:54" ht="15.75" customHeight="1" x14ac:dyDescent="0.2">
      <c r="A49" s="84"/>
      <c r="B49" s="85"/>
      <c r="C49" s="85"/>
      <c r="D49" s="85"/>
      <c r="E49" s="86"/>
      <c r="F49" s="16">
        <f>IF(E49="","",DATEDIF(E49,$I$7,"Y"))</f>
      </c>
      <c r="G49" s="85"/>
      <c r="H49" s="85"/>
      <c r="I49" s="87"/>
      <c r="J49" s="85"/>
      <c r="K49" s="85"/>
      <c r="L49" s="2"/>
      <c r="M49" s="2"/>
      <c r="N49" s="1"/>
      <c r="O49" s="1"/>
      <c r="P49" s="85"/>
      <c r="Q49" s="88"/>
      <c r="R49" s="3">
        <f>IFERROR(VLOOKUP(TablaAgosto[[#This Row],[BARRIO]],SECTOR!$A:$B,2,0),"")</f>
      </c>
      <c r="S49" s="89"/>
      <c r="T49" s="90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17">
        <f>COUNTIF(U49:AY49,"A")</f>
      </c>
      <c r="BA49" s="17">
        <f>COUNTIF(U49:AY49,"F")</f>
      </c>
      <c r="BB49" s="17">
        <f>COUNTIF(U49:AY49,"E")</f>
      </c>
    </row>
    <row r="50" spans="1:54" ht="15.75" customHeight="1" x14ac:dyDescent="0.2">
      <c r="A50" s="84"/>
      <c r="B50" s="85"/>
      <c r="C50" s="85"/>
      <c r="D50" s="85"/>
      <c r="E50" s="86"/>
      <c r="F50" s="16">
        <f>IF(E50="","",DATEDIF(E50,$I$7,"Y"))</f>
      </c>
      <c r="G50" s="85"/>
      <c r="H50" s="85"/>
      <c r="I50" s="87"/>
      <c r="J50" s="85"/>
      <c r="K50" s="85"/>
      <c r="L50" s="2"/>
      <c r="M50" s="2"/>
      <c r="N50" s="1"/>
      <c r="O50" s="1"/>
      <c r="P50" s="85"/>
      <c r="Q50" s="88"/>
      <c r="R50" s="3">
        <f>IFERROR(VLOOKUP(TablaAgosto[[#This Row],[BARRIO]],SECTOR!$A:$B,2,0),"")</f>
      </c>
      <c r="S50" s="89"/>
      <c r="T50" s="90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17">
        <f>COUNTIF(U50:AY50,"A")</f>
      </c>
      <c r="BA50" s="17">
        <f>COUNTIF(U50:AY50,"F")</f>
      </c>
      <c r="BB50" s="17">
        <f>COUNTIF(U50:AY50,"E")</f>
      </c>
    </row>
    <row r="51" spans="1:54" ht="15.75" customHeight="1" x14ac:dyDescent="0.2">
      <c r="A51" s="84"/>
      <c r="B51" s="85"/>
      <c r="C51" s="85"/>
      <c r="D51" s="85"/>
      <c r="E51" s="86"/>
      <c r="F51" s="16">
        <f>IF(E51="","",DATEDIF(E51,$I$7,"Y"))</f>
      </c>
      <c r="G51" s="85"/>
      <c r="H51" s="85"/>
      <c r="I51" s="87"/>
      <c r="J51" s="85"/>
      <c r="K51" s="85"/>
      <c r="L51" s="2"/>
      <c r="M51" s="2"/>
      <c r="N51" s="1"/>
      <c r="O51" s="1"/>
      <c r="P51" s="85"/>
      <c r="Q51" s="88"/>
      <c r="R51" s="3">
        <f>IFERROR(VLOOKUP(TablaAgosto[[#This Row],[BARRIO]],SECTOR!$A:$B,2,0),"")</f>
      </c>
      <c r="S51" s="89"/>
      <c r="T51" s="90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17">
        <f>COUNTIF(U51:AY51,"A")</f>
      </c>
      <c r="BA51" s="17">
        <f>COUNTIF(U51:AY51,"F")</f>
      </c>
      <c r="BB51" s="17">
        <f>COUNTIF(U51:AY51,"E")</f>
      </c>
    </row>
    <row r="52" spans="1:54" ht="15.75" customHeight="1" x14ac:dyDescent="0.2">
      <c r="A52" s="84"/>
      <c r="B52" s="85"/>
      <c r="C52" s="85"/>
      <c r="D52" s="85"/>
      <c r="E52" s="86"/>
      <c r="F52" s="16">
        <f>IF(E52="","",DATEDIF(E52,$I$7,"Y"))</f>
      </c>
      <c r="G52" s="85"/>
      <c r="H52" s="85"/>
      <c r="I52" s="87"/>
      <c r="J52" s="85"/>
      <c r="K52" s="85"/>
      <c r="L52" s="2"/>
      <c r="M52" s="2"/>
      <c r="N52" s="1"/>
      <c r="O52" s="1"/>
      <c r="P52" s="85"/>
      <c r="Q52" s="88"/>
      <c r="R52" s="3">
        <f>IFERROR(VLOOKUP(TablaAgosto[[#This Row],[BARRIO]],SECTOR!$A:$B,2,0),"")</f>
      </c>
      <c r="S52" s="89"/>
      <c r="T52" s="90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17">
        <f>COUNTIF(U52:AY52,"A")</f>
      </c>
      <c r="BA52" s="17">
        <f>COUNTIF(U52:AY52,"F")</f>
      </c>
      <c r="BB52" s="17">
        <f>COUNTIF(U52:AY52,"E")</f>
      </c>
    </row>
    <row r="53" spans="1:54" ht="15.75" customHeight="1" x14ac:dyDescent="0.2">
      <c r="A53" s="84"/>
      <c r="B53" s="85"/>
      <c r="C53" s="85"/>
      <c r="D53" s="85"/>
      <c r="E53" s="86"/>
      <c r="F53" s="16">
        <f>IF(E53="","",DATEDIF(E53,$I$7,"Y"))</f>
      </c>
      <c r="G53" s="85"/>
      <c r="H53" s="85"/>
      <c r="I53" s="87"/>
      <c r="J53" s="85"/>
      <c r="K53" s="85"/>
      <c r="L53" s="2"/>
      <c r="M53" s="2"/>
      <c r="N53" s="1"/>
      <c r="O53" s="1"/>
      <c r="P53" s="85"/>
      <c r="Q53" s="88"/>
      <c r="R53" s="3">
        <f>IFERROR(VLOOKUP(TablaAgosto[[#This Row],[BARRIO]],SECTOR!$A:$B,2,0),"")</f>
      </c>
      <c r="S53" s="89"/>
      <c r="T53" s="90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17">
        <f>COUNTIF(U53:AY53,"A")</f>
      </c>
      <c r="BA53" s="17">
        <f>COUNTIF(U53:AY53,"F")</f>
      </c>
      <c r="BB53" s="17">
        <f>COUNTIF(U53:AY53,"E")</f>
      </c>
    </row>
    <row r="54" spans="1:54" ht="15.75" customHeight="1" x14ac:dyDescent="0.2">
      <c r="A54" s="84"/>
      <c r="B54" s="85"/>
      <c r="C54" s="85"/>
      <c r="D54" s="85"/>
      <c r="E54" s="86"/>
      <c r="F54" s="16">
        <f>IF(E54="","",DATEDIF(E54,$I$7,"Y"))</f>
      </c>
      <c r="G54" s="85"/>
      <c r="H54" s="85"/>
      <c r="I54" s="87"/>
      <c r="J54" s="85"/>
      <c r="K54" s="85"/>
      <c r="L54" s="2"/>
      <c r="M54" s="2"/>
      <c r="N54" s="1"/>
      <c r="O54" s="1"/>
      <c r="P54" s="85"/>
      <c r="Q54" s="88"/>
      <c r="R54" s="3">
        <f>IFERROR(VLOOKUP(TablaAgosto[[#This Row],[BARRIO]],SECTOR!$A:$B,2,0),"")</f>
      </c>
      <c r="S54" s="89"/>
      <c r="T54" s="90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17">
        <f>COUNTIF(U54:AY54,"A")</f>
      </c>
      <c r="BA54" s="17">
        <f>COUNTIF(U54:AY54,"F")</f>
      </c>
      <c r="BB54" s="17">
        <f>COUNTIF(U54:AY54,"E")</f>
      </c>
    </row>
    <row r="55" spans="1:54" ht="15.75" customHeight="1" x14ac:dyDescent="0.2">
      <c r="A55" s="84"/>
      <c r="B55" s="85"/>
      <c r="C55" s="85"/>
      <c r="D55" s="85"/>
      <c r="E55" s="86"/>
      <c r="F55" s="16">
        <f>IF(E55="","",DATEDIF(E55,$I$7,"Y"))</f>
      </c>
      <c r="G55" s="85"/>
      <c r="H55" s="85"/>
      <c r="I55" s="87"/>
      <c r="J55" s="85"/>
      <c r="K55" s="85"/>
      <c r="L55" s="2"/>
      <c r="M55" s="2"/>
      <c r="N55" s="1"/>
      <c r="O55" s="1"/>
      <c r="P55" s="85"/>
      <c r="Q55" s="88"/>
      <c r="R55" s="3">
        <f>IFERROR(VLOOKUP(TablaAgosto[[#This Row],[BARRIO]],SECTOR!$A:$B,2,0),"")</f>
      </c>
      <c r="S55" s="89"/>
      <c r="T55" s="90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17">
        <f>COUNTIF(U55:AY55,"A")</f>
      </c>
      <c r="BA55" s="17">
        <f>COUNTIF(U55:AY55,"F")</f>
      </c>
      <c r="BB55" s="17">
        <f>COUNTIF(U55:AY55,"E")</f>
      </c>
    </row>
    <row r="56" spans="1:54" ht="15.75" customHeight="1" x14ac:dyDescent="0.2">
      <c r="A56" s="84"/>
      <c r="B56" s="85"/>
      <c r="C56" s="85"/>
      <c r="D56" s="85"/>
      <c r="E56" s="86"/>
      <c r="F56" s="16">
        <f>IF(E56="","",DATEDIF(E56,$I$7,"Y"))</f>
      </c>
      <c r="G56" s="85"/>
      <c r="H56" s="85"/>
      <c r="I56" s="87"/>
      <c r="J56" s="85"/>
      <c r="K56" s="85"/>
      <c r="L56" s="2"/>
      <c r="M56" s="2"/>
      <c r="N56" s="1"/>
      <c r="O56" s="1"/>
      <c r="P56" s="85"/>
      <c r="Q56" s="88"/>
      <c r="R56" s="3">
        <f>IFERROR(VLOOKUP(TablaAgosto[[#This Row],[BARRIO]],SECTOR!$A:$B,2,0),"")</f>
      </c>
      <c r="S56" s="89"/>
      <c r="T56" s="90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17">
        <f>COUNTIF(U56:AY56,"A")</f>
      </c>
      <c r="BA56" s="17">
        <f>COUNTIF(U56:AY56,"F")</f>
      </c>
      <c r="BB56" s="17">
        <f>COUNTIF(U56:AY56,"E")</f>
      </c>
    </row>
    <row r="57" spans="1:54" ht="15.75" customHeight="1" x14ac:dyDescent="0.2">
      <c r="A57" s="84"/>
      <c r="B57" s="85"/>
      <c r="C57" s="85"/>
      <c r="D57" s="85"/>
      <c r="E57" s="86"/>
      <c r="F57" s="16">
        <f>IF(E57="","",DATEDIF(E57,$I$7,"Y"))</f>
      </c>
      <c r="G57" s="85"/>
      <c r="H57" s="85"/>
      <c r="I57" s="87"/>
      <c r="J57" s="85"/>
      <c r="K57" s="85"/>
      <c r="L57" s="2"/>
      <c r="M57" s="2"/>
      <c r="N57" s="1"/>
      <c r="O57" s="1"/>
      <c r="P57" s="85"/>
      <c r="Q57" s="88"/>
      <c r="R57" s="3">
        <f>IFERROR(VLOOKUP(TablaAgosto[[#This Row],[BARRIO]],SECTOR!$A:$B,2,0),"")</f>
      </c>
      <c r="S57" s="89"/>
      <c r="T57" s="90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17">
        <f>COUNTIF(U57:AY57,"A")</f>
      </c>
      <c r="BA57" s="17">
        <f>COUNTIF(U57:AY57,"F")</f>
      </c>
      <c r="BB57" s="17">
        <f>COUNTIF(U57:AY57,"E")</f>
      </c>
    </row>
    <row r="58" spans="1:54" ht="15.75" customHeight="1" x14ac:dyDescent="0.2">
      <c r="A58" s="84"/>
      <c r="B58" s="85"/>
      <c r="C58" s="85"/>
      <c r="D58" s="85"/>
      <c r="E58" s="86"/>
      <c r="F58" s="16">
        <f>IF(E58="","",DATEDIF(E58,$I$7,"Y"))</f>
      </c>
      <c r="G58" s="85"/>
      <c r="H58" s="85"/>
      <c r="I58" s="87"/>
      <c r="J58" s="85"/>
      <c r="K58" s="85"/>
      <c r="L58" s="2"/>
      <c r="M58" s="2"/>
      <c r="N58" s="1"/>
      <c r="O58" s="1"/>
      <c r="P58" s="85"/>
      <c r="Q58" s="88"/>
      <c r="R58" s="3">
        <f>IFERROR(VLOOKUP(TablaAgosto[[#This Row],[BARRIO]],SECTOR!$A:$B,2,0),"")</f>
      </c>
      <c r="S58" s="89"/>
      <c r="T58" s="90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17">
        <f>COUNTIF(U58:AY58,"A")</f>
      </c>
      <c r="BA58" s="17">
        <f>COUNTIF(U58:AY58,"F")</f>
      </c>
      <c r="BB58" s="17">
        <f>COUNTIF(U58:AY58,"E")</f>
      </c>
    </row>
    <row r="59" spans="1:54" ht="15.75" customHeight="1" x14ac:dyDescent="0.2">
      <c r="A59" s="84"/>
      <c r="B59" s="85"/>
      <c r="C59" s="85"/>
      <c r="D59" s="85"/>
      <c r="E59" s="86"/>
      <c r="F59" s="16">
        <f>IF(E59="","",DATEDIF(E59,$I$7,"Y"))</f>
      </c>
      <c r="G59" s="85"/>
      <c r="H59" s="85"/>
      <c r="I59" s="87"/>
      <c r="J59" s="85"/>
      <c r="K59" s="85"/>
      <c r="L59" s="2"/>
      <c r="M59" s="2"/>
      <c r="N59" s="1"/>
      <c r="O59" s="1"/>
      <c r="P59" s="85"/>
      <c r="Q59" s="88"/>
      <c r="R59" s="3">
        <f>IFERROR(VLOOKUP(TablaAgosto[[#This Row],[BARRIO]],SECTOR!$A:$B,2,0),"")</f>
      </c>
      <c r="S59" s="89"/>
      <c r="T59" s="90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17">
        <f>COUNTIF(U59:AY59,"A")</f>
      </c>
      <c r="BA59" s="17">
        <f>COUNTIF(U59:AY59,"F")</f>
      </c>
      <c r="BB59" s="17">
        <f>COUNTIF(U59:AY59,"E")</f>
      </c>
    </row>
    <row r="60" spans="1:54" ht="15.75" customHeight="1" x14ac:dyDescent="0.2">
      <c r="A60" s="84"/>
      <c r="B60" s="85"/>
      <c r="C60" s="85"/>
      <c r="D60" s="85"/>
      <c r="E60" s="86"/>
      <c r="F60" s="16">
        <f>IF(E60="","",DATEDIF(E60,$I$7,"Y"))</f>
      </c>
      <c r="G60" s="85"/>
      <c r="H60" s="85"/>
      <c r="I60" s="87"/>
      <c r="J60" s="85"/>
      <c r="K60" s="85"/>
      <c r="L60" s="2"/>
      <c r="M60" s="2"/>
      <c r="N60" s="1"/>
      <c r="O60" s="1"/>
      <c r="P60" s="85"/>
      <c r="Q60" s="88"/>
      <c r="R60" s="3">
        <f>IFERROR(VLOOKUP(TablaAgosto[[#This Row],[BARRIO]],SECTOR!$A:$B,2,0),"")</f>
      </c>
      <c r="S60" s="89"/>
      <c r="T60" s="90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17">
        <f>COUNTIF(U60:AY60,"A")</f>
      </c>
      <c r="BA60" s="17">
        <f>COUNTIF(U60:AY60,"F")</f>
      </c>
      <c r="BB60" s="17">
        <f>COUNTIF(U60:AY60,"E")</f>
      </c>
    </row>
    <row r="61" spans="1:54" ht="15.75" customHeight="1" x14ac:dyDescent="0.2">
      <c r="A61" s="84"/>
      <c r="B61" s="85"/>
      <c r="C61" s="85"/>
      <c r="D61" s="85"/>
      <c r="E61" s="86"/>
      <c r="F61" s="16">
        <f>IF(E61="","",DATEDIF(E61,$I$7,"Y"))</f>
      </c>
      <c r="G61" s="85"/>
      <c r="H61" s="85"/>
      <c r="I61" s="87"/>
      <c r="J61" s="85"/>
      <c r="K61" s="85"/>
      <c r="L61" s="2"/>
      <c r="M61" s="2"/>
      <c r="N61" s="1"/>
      <c r="O61" s="1"/>
      <c r="P61" s="85"/>
      <c r="Q61" s="88"/>
      <c r="R61" s="3">
        <f>IFERROR(VLOOKUP(TablaAgosto[[#This Row],[BARRIO]],SECTOR!$A:$B,2,0),"")</f>
      </c>
      <c r="S61" s="89"/>
      <c r="T61" s="90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17">
        <f>COUNTIF(U61:AY61,"A")</f>
      </c>
      <c r="BA61" s="17">
        <f>COUNTIF(U61:AY61,"F")</f>
      </c>
      <c r="BB61" s="17">
        <f>COUNTIF(U61:AY61,"E")</f>
      </c>
    </row>
    <row r="62" spans="1:54" ht="15.75" customHeight="1" x14ac:dyDescent="0.2">
      <c r="A62" s="84"/>
      <c r="B62" s="85"/>
      <c r="C62" s="85"/>
      <c r="D62" s="85"/>
      <c r="E62" s="86"/>
      <c r="F62" s="16">
        <f>IF(E62="","",DATEDIF(E62,$I$7,"Y"))</f>
      </c>
      <c r="G62" s="85"/>
      <c r="H62" s="85"/>
      <c r="I62" s="87"/>
      <c r="J62" s="85"/>
      <c r="K62" s="85"/>
      <c r="L62" s="2"/>
      <c r="M62" s="2"/>
      <c r="N62" s="1"/>
      <c r="O62" s="1"/>
      <c r="P62" s="85"/>
      <c r="Q62" s="88"/>
      <c r="R62" s="3">
        <f>IFERROR(VLOOKUP(TablaAgosto[[#This Row],[BARRIO]],SECTOR!$A:$B,2,0),"")</f>
      </c>
      <c r="S62" s="89"/>
      <c r="T62" s="90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17">
        <f>COUNTIF(U62:AY62,"A")</f>
      </c>
      <c r="BA62" s="17">
        <f>COUNTIF(U62:AY62,"F")</f>
      </c>
      <c r="BB62" s="17">
        <f>COUNTIF(U62:AY62,"E")</f>
      </c>
    </row>
    <row r="63" spans="1:54" ht="15.75" customHeight="1" x14ac:dyDescent="0.2">
      <c r="A63" s="84"/>
      <c r="B63" s="85"/>
      <c r="C63" s="85"/>
      <c r="D63" s="85"/>
      <c r="E63" s="86"/>
      <c r="F63" s="16">
        <f>IF(E63="","",DATEDIF(E63,$I$7,"Y"))</f>
      </c>
      <c r="G63" s="85"/>
      <c r="H63" s="85"/>
      <c r="I63" s="87"/>
      <c r="J63" s="85"/>
      <c r="K63" s="85"/>
      <c r="L63" s="2"/>
      <c r="M63" s="2"/>
      <c r="N63" s="1"/>
      <c r="O63" s="1"/>
      <c r="P63" s="85"/>
      <c r="Q63" s="88"/>
      <c r="R63" s="3">
        <f>IFERROR(VLOOKUP(TablaAgosto[[#This Row],[BARRIO]],SECTOR!$A:$B,2,0),"")</f>
      </c>
      <c r="S63" s="89"/>
      <c r="T63" s="90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17">
        <f>COUNTIF(U63:AY63,"A")</f>
      </c>
      <c r="BA63" s="17">
        <f>COUNTIF(U63:AY63,"F")</f>
      </c>
      <c r="BB63" s="17">
        <f>COUNTIF(U63:AY63,"E")</f>
      </c>
    </row>
    <row r="64" spans="1:54" ht="15.75" customHeight="1" x14ac:dyDescent="0.2">
      <c r="A64" s="84"/>
      <c r="B64" s="85"/>
      <c r="C64" s="85"/>
      <c r="D64" s="85"/>
      <c r="E64" s="86"/>
      <c r="F64" s="16">
        <f>IF(E64="","",DATEDIF(E64,$I$7,"Y"))</f>
      </c>
      <c r="G64" s="85"/>
      <c r="H64" s="85"/>
      <c r="I64" s="87"/>
      <c r="J64" s="85"/>
      <c r="K64" s="85"/>
      <c r="L64" s="2"/>
      <c r="M64" s="2"/>
      <c r="N64" s="1"/>
      <c r="O64" s="1"/>
      <c r="P64" s="85"/>
      <c r="Q64" s="88"/>
      <c r="R64" s="3">
        <f>IFERROR(VLOOKUP(TablaAgosto[[#This Row],[BARRIO]],SECTOR!$A:$B,2,0),"")</f>
      </c>
      <c r="S64" s="89"/>
      <c r="T64" s="90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17">
        <f>COUNTIF(U64:AY64,"A")</f>
      </c>
      <c r="BA64" s="17">
        <f>COUNTIF(U64:AY64,"F")</f>
      </c>
      <c r="BB64" s="17">
        <f>COUNTIF(U64:AY64,"E")</f>
      </c>
    </row>
    <row r="65" spans="1:54" ht="15.75" customHeight="1" x14ac:dyDescent="0.2">
      <c r="A65" s="84"/>
      <c r="B65" s="85"/>
      <c r="C65" s="85"/>
      <c r="D65" s="85"/>
      <c r="E65" s="86"/>
      <c r="F65" s="16">
        <f>IF(E65="","",DATEDIF(E65,$I$7,"Y"))</f>
      </c>
      <c r="G65" s="85"/>
      <c r="H65" s="85"/>
      <c r="I65" s="87"/>
      <c r="J65" s="85"/>
      <c r="K65" s="85"/>
      <c r="L65" s="2"/>
      <c r="M65" s="2"/>
      <c r="N65" s="1"/>
      <c r="O65" s="1"/>
      <c r="P65" s="85"/>
      <c r="Q65" s="88"/>
      <c r="R65" s="3">
        <f>IFERROR(VLOOKUP(TablaAgosto[[#This Row],[BARRIO]],SECTOR!$A:$B,2,0),"")</f>
      </c>
      <c r="S65" s="89"/>
      <c r="T65" s="90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17">
        <f>COUNTIF(U65:AY65,"A")</f>
      </c>
      <c r="BA65" s="17">
        <f>COUNTIF(U65:AY65,"F")</f>
      </c>
      <c r="BB65" s="17">
        <f>COUNTIF(U65:AY65,"E")</f>
      </c>
    </row>
    <row r="66" spans="1:54" ht="15.75" customHeight="1" x14ac:dyDescent="0.2">
      <c r="A66" s="84"/>
      <c r="B66" s="85"/>
      <c r="C66" s="85"/>
      <c r="D66" s="85"/>
      <c r="E66" s="86"/>
      <c r="F66" s="16">
        <f>IF(E66="","",DATEDIF(E66,$I$7,"Y"))</f>
      </c>
      <c r="G66" s="85"/>
      <c r="H66" s="85"/>
      <c r="I66" s="87"/>
      <c r="J66" s="85"/>
      <c r="K66" s="85"/>
      <c r="L66" s="2"/>
      <c r="M66" s="2"/>
      <c r="N66" s="1"/>
      <c r="O66" s="1"/>
      <c r="P66" s="85"/>
      <c r="Q66" s="88"/>
      <c r="R66" s="3">
        <f>IFERROR(VLOOKUP(TablaAgosto[[#This Row],[BARRIO]],SECTOR!$A:$B,2,0),"")</f>
      </c>
      <c r="S66" s="89"/>
      <c r="T66" s="90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17">
        <f>COUNTIF(U66:AY66,"A")</f>
      </c>
      <c r="BA66" s="17">
        <f>COUNTIF(U66:AY66,"F")</f>
      </c>
      <c r="BB66" s="17">
        <f>COUNTIF(U66:AY66,"E")</f>
      </c>
    </row>
    <row r="67" spans="1:54" ht="15.75" customHeight="1" x14ac:dyDescent="0.2">
      <c r="A67" s="84"/>
      <c r="B67" s="91"/>
      <c r="C67" s="91"/>
      <c r="D67" s="91"/>
      <c r="E67" s="92"/>
      <c r="F67" s="16">
        <f>IF(E67="","",DATEDIF(E67,$I$7,"Y"))</f>
      </c>
      <c r="G67" s="91"/>
      <c r="H67" s="91"/>
      <c r="I67" s="93"/>
      <c r="J67" s="91"/>
      <c r="K67" s="91"/>
      <c r="L67" s="2"/>
      <c r="M67" s="2"/>
      <c r="N67" s="1"/>
      <c r="O67" s="1"/>
      <c r="P67" s="85"/>
      <c r="Q67" s="88"/>
      <c r="R67" s="3">
        <f>IFERROR(VLOOKUP(TablaAgosto[[#This Row],[BARRIO]],SECTOR!$A:$B,2,0),"")</f>
      </c>
      <c r="S67" s="89"/>
      <c r="T67" s="90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17">
        <f>COUNTIF(U67:AY67,"A")</f>
      </c>
      <c r="BA67" s="17">
        <f>COUNTIF(U67:AY67,"F")</f>
      </c>
      <c r="BB67" s="17">
        <f>COUNTIF(U67:AY67,"E")</f>
      </c>
    </row>
    <row r="68" spans="1:54" ht="15.75" customHeight="1" x14ac:dyDescent="0.2">
      <c r="A68" s="84"/>
      <c r="B68" s="94"/>
      <c r="C68" s="94"/>
      <c r="D68" s="94"/>
      <c r="E68" s="95"/>
      <c r="F68" s="16">
        <f>IF(E68="","",DATEDIF(E68,$I$7,"Y"))</f>
      </c>
      <c r="G68" s="94"/>
      <c r="H68" s="94"/>
      <c r="I68" s="96"/>
      <c r="J68" s="94"/>
      <c r="K68" s="94"/>
      <c r="L68" s="2"/>
      <c r="M68" s="2"/>
      <c r="N68" s="1"/>
      <c r="O68" s="1"/>
      <c r="P68" s="85"/>
      <c r="Q68" s="88"/>
      <c r="R68" s="3">
        <f>IFERROR(VLOOKUP(TablaAgosto[[#This Row],[BARRIO]],SECTOR!$A:$B,2,0),"")</f>
      </c>
      <c r="S68" s="89"/>
      <c r="T68" s="90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17">
        <f>COUNTIF(U68:AY68,"A")</f>
      </c>
      <c r="BA68" s="17">
        <f>COUNTIF(U68:AY68,"F")</f>
      </c>
      <c r="BB68" s="17">
        <f>COUNTIF(U68:AY68,"E")</f>
      </c>
    </row>
    <row r="69" spans="1:54" ht="15.75" customHeight="1" x14ac:dyDescent="0.2">
      <c r="A69" s="84"/>
      <c r="B69" s="97"/>
      <c r="C69" s="97"/>
      <c r="D69" s="97"/>
      <c r="E69" s="98"/>
      <c r="F69" s="16">
        <f>IF(E69="","",DATEDIF(E69,$I$7,"Y"))</f>
      </c>
      <c r="G69" s="97"/>
      <c r="H69" s="97"/>
      <c r="I69" s="99"/>
      <c r="J69" s="97"/>
      <c r="K69" s="97"/>
      <c r="L69" s="2"/>
      <c r="M69" s="2"/>
      <c r="N69" s="1"/>
      <c r="O69" s="1"/>
      <c r="P69" s="85"/>
      <c r="Q69" s="88"/>
      <c r="R69" s="3">
        <f>IFERROR(VLOOKUP(TablaAgosto[[#This Row],[BARRIO]],SECTOR!$A:$B,2,0),"")</f>
      </c>
      <c r="S69" s="89"/>
      <c r="T69" s="90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5"/>
      <c r="AZ69" s="18">
        <f>COUNTIF(U69:AY69,"A")</f>
      </c>
      <c r="BA69" s="17">
        <f>COUNTIF(U69:AY69,"F")</f>
      </c>
      <c r="BB69" s="17">
        <f>COUNTIF(U69:AY69,"E")</f>
      </c>
    </row>
    <row r="70" spans="1:54" ht="15.75" customHeight="1" x14ac:dyDescent="0.2">
      <c r="A70" s="84"/>
      <c r="B70" s="97"/>
      <c r="C70" s="97"/>
      <c r="D70" s="97"/>
      <c r="E70" s="98"/>
      <c r="F70" s="16">
        <f>IF(E70="","",DATEDIF(E70,$I$7,"Y"))</f>
      </c>
      <c r="G70" s="97"/>
      <c r="H70" s="97"/>
      <c r="I70" s="99"/>
      <c r="J70" s="97"/>
      <c r="K70" s="97"/>
      <c r="L70" s="2"/>
      <c r="M70" s="2"/>
      <c r="N70" s="1"/>
      <c r="O70" s="1"/>
      <c r="P70" s="85"/>
      <c r="Q70" s="88"/>
      <c r="R70" s="3">
        <f>IFERROR(VLOOKUP(TablaAgosto[[#This Row],[BARRIO]],SECTOR!$A:$B,2,0),"")</f>
      </c>
      <c r="S70" s="89"/>
      <c r="T70" s="90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6"/>
      <c r="AZ70" s="19">
        <f>COUNTIF(U70:AY70,"A")</f>
      </c>
      <c r="BA70" s="17">
        <f>COUNTIF(U70:AY70,"F")</f>
      </c>
      <c r="BB70" s="17">
        <f>COUNTIF(U70:AY70,"E")</f>
      </c>
    </row>
    <row r="71" spans="1:54" ht="15.75" customHeight="1" x14ac:dyDescent="0.2">
      <c r="A71" s="84"/>
      <c r="B71" s="97"/>
      <c r="C71" s="97"/>
      <c r="D71" s="97"/>
      <c r="E71" s="98"/>
      <c r="F71" s="16">
        <f>IF(E71="","",DATEDIF(E71,$I$7,"Y"))</f>
      </c>
      <c r="G71" s="97"/>
      <c r="H71" s="97"/>
      <c r="I71" s="99"/>
      <c r="J71" s="97"/>
      <c r="K71" s="97"/>
      <c r="L71" s="2"/>
      <c r="M71" s="2"/>
      <c r="N71" s="1"/>
      <c r="O71" s="1"/>
      <c r="P71" s="85"/>
      <c r="Q71" s="88"/>
      <c r="R71" s="3">
        <f>IFERROR(VLOOKUP(TablaAgosto[[#This Row],[BARRIO]],SECTOR!$A:$B,2,0),"")</f>
      </c>
      <c r="S71" s="89"/>
      <c r="T71" s="90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6"/>
      <c r="AZ71" s="19">
        <f>COUNTIF(U71:AY71,"A")</f>
      </c>
      <c r="BA71" s="17">
        <f>COUNTIF(U71:AY71,"F")</f>
      </c>
      <c r="BB71" s="17">
        <f>COUNTIF(U71:AY71,"E")</f>
      </c>
    </row>
    <row r="72" spans="1:54" ht="15.75" customHeight="1" x14ac:dyDescent="0.2">
      <c r="A72" s="84"/>
      <c r="B72" s="97"/>
      <c r="C72" s="97"/>
      <c r="D72" s="97"/>
      <c r="E72" s="98"/>
      <c r="F72" s="16">
        <f>IF(E72="","",DATEDIF(E72,$I$7,"Y"))</f>
      </c>
      <c r="G72" s="97"/>
      <c r="H72" s="97"/>
      <c r="I72" s="99"/>
      <c r="J72" s="97"/>
      <c r="K72" s="97"/>
      <c r="L72" s="2"/>
      <c r="M72" s="2"/>
      <c r="N72" s="1"/>
      <c r="O72" s="1"/>
      <c r="P72" s="85"/>
      <c r="Q72" s="88"/>
      <c r="R72" s="3">
        <f>IFERROR(VLOOKUP(TablaAgosto[[#This Row],[BARRIO]],SECTOR!$A:$B,2,0),"")</f>
      </c>
      <c r="S72" s="89"/>
      <c r="T72" s="90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6"/>
      <c r="AZ72" s="19">
        <f>COUNTIF(U72:AY72,"A")</f>
      </c>
      <c r="BA72" s="17">
        <f>COUNTIF(U72:AY72,"F")</f>
      </c>
      <c r="BB72" s="17">
        <f>COUNTIF(U72:AY72,"E")</f>
      </c>
    </row>
    <row r="73" spans="1:54" ht="15.75" customHeight="1" x14ac:dyDescent="0.2">
      <c r="A73" s="84"/>
      <c r="B73" s="97"/>
      <c r="C73" s="97"/>
      <c r="D73" s="97"/>
      <c r="E73" s="98"/>
      <c r="F73" s="16">
        <f>IF(E73="","",DATEDIF(E73,$I$7,"Y"))</f>
      </c>
      <c r="G73" s="97"/>
      <c r="H73" s="97"/>
      <c r="I73" s="99"/>
      <c r="J73" s="97"/>
      <c r="K73" s="97"/>
      <c r="L73" s="2"/>
      <c r="M73" s="2"/>
      <c r="N73" s="1"/>
      <c r="O73" s="1"/>
      <c r="P73" s="85"/>
      <c r="Q73" s="88"/>
      <c r="R73" s="3">
        <f>IFERROR(VLOOKUP(TablaAgosto[[#This Row],[BARRIO]],SECTOR!$A:$B,2,0),"")</f>
      </c>
      <c r="S73" s="89"/>
      <c r="T73" s="90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6"/>
      <c r="AZ73" s="19">
        <f>COUNTIF(U73:AY73,"A")</f>
      </c>
      <c r="BA73" s="17">
        <f>COUNTIF(U73:AY73,"F")</f>
      </c>
      <c r="BB73" s="17">
        <f>COUNTIF(U73:AY73,"E")</f>
      </c>
    </row>
    <row r="74" spans="1:54" ht="15.75" customHeight="1" x14ac:dyDescent="0.2">
      <c r="A74" s="84"/>
      <c r="B74" s="97"/>
      <c r="C74" s="97"/>
      <c r="D74" s="97"/>
      <c r="E74" s="98"/>
      <c r="F74" s="16">
        <f>IF(E74="","",DATEDIF(E74,$I$7,"Y"))</f>
      </c>
      <c r="G74" s="97"/>
      <c r="H74" s="97"/>
      <c r="I74" s="99"/>
      <c r="J74" s="97"/>
      <c r="K74" s="97"/>
      <c r="L74" s="2"/>
      <c r="M74" s="2"/>
      <c r="N74" s="1"/>
      <c r="O74" s="1"/>
      <c r="P74" s="85"/>
      <c r="Q74" s="88"/>
      <c r="R74" s="3">
        <f>IFERROR(VLOOKUP(TablaAgosto[[#This Row],[BARRIO]],SECTOR!$A:$B,2,0),"")</f>
      </c>
      <c r="S74" s="89"/>
      <c r="T74" s="90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6"/>
      <c r="AZ74" s="19">
        <f>COUNTIF(U74:AY74,"A")</f>
      </c>
      <c r="BA74" s="17">
        <f>COUNTIF(U74:AY74,"F")</f>
      </c>
      <c r="BB74" s="17">
        <f>COUNTIF(U74:AY74,"E")</f>
      </c>
    </row>
    <row r="75" spans="1:54" ht="15.75" customHeight="1" x14ac:dyDescent="0.2">
      <c r="A75" s="84"/>
      <c r="B75" s="97"/>
      <c r="C75" s="97"/>
      <c r="D75" s="97"/>
      <c r="E75" s="98"/>
      <c r="F75" s="16">
        <f>IF(E75="","",DATEDIF(E75,$I$7,"Y"))</f>
      </c>
      <c r="G75" s="97"/>
      <c r="H75" s="97"/>
      <c r="I75" s="99"/>
      <c r="J75" s="97"/>
      <c r="K75" s="97"/>
      <c r="L75" s="2"/>
      <c r="M75" s="2"/>
      <c r="N75" s="1"/>
      <c r="O75" s="1"/>
      <c r="P75" s="85"/>
      <c r="Q75" s="88"/>
      <c r="R75" s="3">
        <f>IFERROR(VLOOKUP(TablaAgosto[[#This Row],[BARRIO]],SECTOR!$A:$B,2,0),"")</f>
      </c>
      <c r="S75" s="89"/>
      <c r="T75" s="90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6"/>
      <c r="AZ75" s="19">
        <f>COUNTIF(U75:AY75,"A")</f>
      </c>
      <c r="BA75" s="17">
        <f>COUNTIF(U75:AY75,"F")</f>
      </c>
      <c r="BB75" s="17">
        <f>COUNTIF(U75:AY75,"E")</f>
      </c>
    </row>
    <row r="76" spans="1:54" ht="15.75" customHeight="1" x14ac:dyDescent="0.2">
      <c r="A76" s="84"/>
      <c r="B76" s="97"/>
      <c r="C76" s="97"/>
      <c r="D76" s="97"/>
      <c r="E76" s="98"/>
      <c r="F76" s="16">
        <f>IF(E76="","",DATEDIF(E76,$I$7,"Y"))</f>
      </c>
      <c r="G76" s="97"/>
      <c r="H76" s="97"/>
      <c r="I76" s="99"/>
      <c r="J76" s="97"/>
      <c r="K76" s="97"/>
      <c r="L76" s="2"/>
      <c r="M76" s="2"/>
      <c r="N76" s="1"/>
      <c r="O76" s="1"/>
      <c r="P76" s="85"/>
      <c r="Q76" s="88"/>
      <c r="R76" s="3">
        <f>IFERROR(VLOOKUP(TablaAgosto[[#This Row],[BARRIO]],SECTOR!$A:$B,2,0),"")</f>
      </c>
      <c r="S76" s="89"/>
      <c r="T76" s="90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6"/>
      <c r="AZ76" s="19">
        <f>COUNTIF(U76:AY76,"A")</f>
      </c>
      <c r="BA76" s="17">
        <f>COUNTIF(U76:AY76,"F")</f>
      </c>
      <c r="BB76" s="17">
        <f>COUNTIF(U76:AY76,"E")</f>
      </c>
    </row>
    <row r="77" spans="1:54" ht="15.75" customHeight="1" x14ac:dyDescent="0.2">
      <c r="A77" s="84"/>
      <c r="B77" s="97"/>
      <c r="C77" s="97"/>
      <c r="D77" s="97"/>
      <c r="E77" s="98"/>
      <c r="F77" s="16">
        <f>IF(E77="","",DATEDIF(E77,$I$7,"Y"))</f>
      </c>
      <c r="G77" s="97"/>
      <c r="H77" s="97"/>
      <c r="I77" s="99"/>
      <c r="J77" s="97"/>
      <c r="K77" s="97"/>
      <c r="L77" s="2"/>
      <c r="M77" s="2"/>
      <c r="N77" s="1"/>
      <c r="O77" s="1"/>
      <c r="P77" s="85"/>
      <c r="Q77" s="88"/>
      <c r="R77" s="3">
        <f>IFERROR(VLOOKUP(TablaAgosto[[#This Row],[BARRIO]],SECTOR!$A:$B,2,0),"")</f>
      </c>
      <c r="S77" s="89"/>
      <c r="T77" s="90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6"/>
      <c r="AZ77" s="19">
        <f>COUNTIF(U77:AY77,"A")</f>
      </c>
      <c r="BA77" s="17">
        <f>COUNTIF(U77:AY77,"F")</f>
      </c>
      <c r="BB77" s="17">
        <f>COUNTIF(U77:AY77,"E")</f>
      </c>
    </row>
    <row r="78" spans="1:54" ht="15.75" customHeight="1" x14ac:dyDescent="0.2">
      <c r="A78" s="84"/>
      <c r="B78" s="97"/>
      <c r="C78" s="97"/>
      <c r="D78" s="97"/>
      <c r="E78" s="98"/>
      <c r="F78" s="16">
        <f>IF(E78="","",DATEDIF(E78,$I$7,"Y"))</f>
      </c>
      <c r="G78" s="97"/>
      <c r="H78" s="97"/>
      <c r="I78" s="99"/>
      <c r="J78" s="97"/>
      <c r="K78" s="97"/>
      <c r="L78" s="2"/>
      <c r="M78" s="2"/>
      <c r="N78" s="1"/>
      <c r="O78" s="1"/>
      <c r="P78" s="85"/>
      <c r="Q78" s="88"/>
      <c r="R78" s="3">
        <f>IFERROR(VLOOKUP(TablaAgosto[[#This Row],[BARRIO]],SECTOR!$A:$B,2,0),"")</f>
      </c>
      <c r="S78" s="89"/>
      <c r="T78" s="90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6"/>
      <c r="AZ78" s="19">
        <f>COUNTIF(U78:AY78,"A")</f>
      </c>
      <c r="BA78" s="17">
        <f>COUNTIF(U78:AY78,"F")</f>
      </c>
      <c r="BB78" s="17">
        <f>COUNTIF(U78:AY78,"E")</f>
      </c>
    </row>
    <row r="79" spans="1:54" ht="15.75" customHeight="1" x14ac:dyDescent="0.2">
      <c r="A79" s="84"/>
      <c r="B79" s="85"/>
      <c r="C79" s="85"/>
      <c r="D79" s="85"/>
      <c r="E79" s="86"/>
      <c r="F79" s="16">
        <f>IF(E79="","",DATEDIF(E79,$I$7,"Y"))</f>
      </c>
      <c r="G79" s="85"/>
      <c r="H79" s="85"/>
      <c r="I79" s="87"/>
      <c r="J79" s="85"/>
      <c r="K79" s="85"/>
      <c r="L79" s="2"/>
      <c r="M79" s="2"/>
      <c r="N79" s="1"/>
      <c r="O79" s="1"/>
      <c r="P79" s="85"/>
      <c r="Q79" s="88"/>
      <c r="R79" s="3">
        <f>IFERROR(VLOOKUP(TablaAgosto[[#This Row],[BARRIO]],SECTOR!$A:$B,2,0),"")</f>
      </c>
      <c r="S79" s="89"/>
      <c r="T79" s="90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6"/>
      <c r="AZ79" s="19">
        <f>COUNTIF(U79:AY79,"A")</f>
      </c>
      <c r="BA79" s="17">
        <f>COUNTIF(U79:AY79,"F")</f>
      </c>
      <c r="BB79" s="17">
        <f>COUNTIF(U79:AY79,"E")</f>
      </c>
    </row>
    <row r="80" spans="1:54" ht="15.75" customHeight="1" x14ac:dyDescent="0.2">
      <c r="A80" s="84"/>
      <c r="B80" s="85"/>
      <c r="C80" s="85"/>
      <c r="D80" s="85"/>
      <c r="E80" s="86"/>
      <c r="F80" s="16">
        <f>IF(E80="","",DATEDIF(E80,$I$7,"Y"))</f>
      </c>
      <c r="G80" s="85"/>
      <c r="H80" s="85"/>
      <c r="I80" s="87"/>
      <c r="J80" s="85"/>
      <c r="K80" s="85"/>
      <c r="L80" s="2"/>
      <c r="M80" s="2"/>
      <c r="N80" s="1"/>
      <c r="O80" s="1"/>
      <c r="P80" s="85"/>
      <c r="Q80" s="88"/>
      <c r="R80" s="3">
        <f>IFERROR(VLOOKUP(TablaAgosto[[#This Row],[BARRIO]],SECTOR!$A:$B,2,0),"")</f>
      </c>
      <c r="S80" s="89"/>
      <c r="T80" s="90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6"/>
      <c r="AZ80" s="19">
        <f>COUNTIF(U80:AY80,"A")</f>
      </c>
      <c r="BA80" s="17">
        <f>COUNTIF(U80:AY80,"F")</f>
      </c>
      <c r="BB80" s="17">
        <f>COUNTIF(U80:AY80,"E")</f>
      </c>
    </row>
    <row r="81" spans="1:54" ht="15.75" customHeight="1" x14ac:dyDescent="0.2">
      <c r="A81" s="84"/>
      <c r="B81" s="85"/>
      <c r="C81" s="85"/>
      <c r="D81" s="85"/>
      <c r="E81" s="86"/>
      <c r="F81" s="16">
        <f>IF(E81="","",DATEDIF(E81,$I$7,"Y"))</f>
      </c>
      <c r="G81" s="85"/>
      <c r="H81" s="85"/>
      <c r="I81" s="87"/>
      <c r="J81" s="85"/>
      <c r="K81" s="85"/>
      <c r="L81" s="2"/>
      <c r="M81" s="2"/>
      <c r="N81" s="1"/>
      <c r="O81" s="1"/>
      <c r="P81" s="85"/>
      <c r="Q81" s="88"/>
      <c r="R81" s="3">
        <f>IFERROR(VLOOKUP(TablaAgosto[[#This Row],[BARRIO]],SECTOR!$A:$B,2,0),"")</f>
      </c>
      <c r="S81" s="89"/>
      <c r="T81" s="90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6"/>
      <c r="AZ81" s="19">
        <f>COUNTIF(U81:AY81,"A")</f>
      </c>
      <c r="BA81" s="17">
        <f>COUNTIF(U81:AY81,"F")</f>
      </c>
      <c r="BB81" s="17">
        <f>COUNTIF(U81:AY81,"E")</f>
      </c>
    </row>
    <row r="82" spans="1:54" ht="15.75" customHeight="1" x14ac:dyDescent="0.2">
      <c r="A82" s="84"/>
      <c r="B82" s="85"/>
      <c r="C82" s="85"/>
      <c r="D82" s="85"/>
      <c r="E82" s="86"/>
      <c r="F82" s="16">
        <f>IF(E82="","",DATEDIF(E82,$I$7,"Y"))</f>
      </c>
      <c r="G82" s="85"/>
      <c r="H82" s="85"/>
      <c r="I82" s="87"/>
      <c r="J82" s="85"/>
      <c r="K82" s="85"/>
      <c r="L82" s="2"/>
      <c r="M82" s="2"/>
      <c r="N82" s="1"/>
      <c r="O82" s="1"/>
      <c r="P82" s="85"/>
      <c r="Q82" s="88"/>
      <c r="R82" s="3">
        <f>IFERROR(VLOOKUP(TablaAgosto[[#This Row],[BARRIO]],SECTOR!$A:$B,2,0),"")</f>
      </c>
      <c r="S82" s="89"/>
      <c r="T82" s="90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6"/>
      <c r="AZ82" s="19">
        <f>COUNTIF(U82:AY82,"A")</f>
      </c>
      <c r="BA82" s="17">
        <f>COUNTIF(U82:AY82,"F")</f>
      </c>
      <c r="BB82" s="17">
        <f>COUNTIF(U82:AY82,"E")</f>
      </c>
    </row>
    <row r="83" spans="1:54" ht="15.75" customHeight="1" x14ac:dyDescent="0.2">
      <c r="A83" s="84"/>
      <c r="B83" s="85"/>
      <c r="C83" s="85"/>
      <c r="D83" s="85"/>
      <c r="E83" s="86"/>
      <c r="F83" s="16">
        <f>IF(E83="","",DATEDIF(E83,$I$7,"Y"))</f>
      </c>
      <c r="G83" s="85"/>
      <c r="H83" s="85"/>
      <c r="I83" s="87"/>
      <c r="J83" s="85"/>
      <c r="K83" s="85"/>
      <c r="L83" s="2"/>
      <c r="M83" s="2"/>
      <c r="N83" s="1"/>
      <c r="O83" s="1"/>
      <c r="P83" s="85"/>
      <c r="Q83" s="88"/>
      <c r="R83" s="3">
        <f>IFERROR(VLOOKUP(TablaAgosto[[#This Row],[BARRIO]],SECTOR!$A:$B,2,0),"")</f>
      </c>
      <c r="S83" s="89"/>
      <c r="T83" s="90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6"/>
      <c r="AZ83" s="19">
        <f>COUNTIF(U83:AY83,"A")</f>
      </c>
      <c r="BA83" s="17">
        <f>COUNTIF(U83:AY83,"F")</f>
      </c>
      <c r="BB83" s="17">
        <f>COUNTIF(U83:AY83,"E")</f>
      </c>
    </row>
    <row r="84" spans="1:54" ht="15.75" customHeight="1" x14ac:dyDescent="0.2">
      <c r="A84" s="84"/>
      <c r="B84" s="85"/>
      <c r="C84" s="85"/>
      <c r="D84" s="85"/>
      <c r="E84" s="86"/>
      <c r="F84" s="16">
        <f>IF(E84="","",DATEDIF(E84,$I$7,"Y"))</f>
      </c>
      <c r="G84" s="85"/>
      <c r="H84" s="85"/>
      <c r="I84" s="87"/>
      <c r="J84" s="85"/>
      <c r="K84" s="85"/>
      <c r="L84" s="2"/>
      <c r="M84" s="2"/>
      <c r="N84" s="1"/>
      <c r="O84" s="1"/>
      <c r="P84" s="85"/>
      <c r="Q84" s="88"/>
      <c r="R84" s="3">
        <f>IFERROR(VLOOKUP(TablaAgosto[[#This Row],[BARRIO]],SECTOR!$A:$B,2,0),"")</f>
      </c>
      <c r="S84" s="89"/>
      <c r="T84" s="90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6"/>
      <c r="AZ84" s="19">
        <f>COUNTIF(U84:AY84,"A")</f>
      </c>
      <c r="BA84" s="17">
        <f>COUNTIF(U84:AY84,"F")</f>
      </c>
      <c r="BB84" s="17">
        <f>COUNTIF(U84:AY84,"E")</f>
      </c>
    </row>
    <row r="85" spans="1:54" ht="15.75" customHeight="1" x14ac:dyDescent="0.2">
      <c r="A85" s="84"/>
      <c r="B85" s="85"/>
      <c r="C85" s="85"/>
      <c r="D85" s="85"/>
      <c r="E85" s="86"/>
      <c r="F85" s="16">
        <f>IF(E85="","",DATEDIF(E85,$I$7,"Y"))</f>
      </c>
      <c r="G85" s="85"/>
      <c r="H85" s="85"/>
      <c r="I85" s="87"/>
      <c r="J85" s="85"/>
      <c r="K85" s="85"/>
      <c r="L85" s="2"/>
      <c r="M85" s="2"/>
      <c r="N85" s="1"/>
      <c r="O85" s="1"/>
      <c r="P85" s="85"/>
      <c r="Q85" s="88"/>
      <c r="R85" s="3">
        <f>IFERROR(VLOOKUP(TablaAgosto[[#This Row],[BARRIO]],SECTOR!$A:$B,2,0),"")</f>
      </c>
      <c r="S85" s="89"/>
      <c r="T85" s="90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6"/>
      <c r="AZ85" s="19">
        <f>COUNTIF(U85:AY85,"A")</f>
      </c>
      <c r="BA85" s="17">
        <f>COUNTIF(U85:AY85,"F")</f>
      </c>
      <c r="BB85" s="17">
        <f>COUNTIF(U85:AY85,"E")</f>
      </c>
    </row>
    <row r="86" spans="1:54" ht="15.75" customHeight="1" x14ac:dyDescent="0.2">
      <c r="A86" s="84"/>
      <c r="B86" s="85"/>
      <c r="C86" s="85"/>
      <c r="D86" s="85"/>
      <c r="E86" s="86"/>
      <c r="F86" s="16">
        <f>IF(E86="","",DATEDIF(E86,$I$7,"Y"))</f>
      </c>
      <c r="G86" s="85"/>
      <c r="H86" s="85"/>
      <c r="I86" s="87"/>
      <c r="J86" s="85"/>
      <c r="K86" s="85"/>
      <c r="L86" s="2"/>
      <c r="M86" s="2"/>
      <c r="N86" s="1"/>
      <c r="O86" s="1"/>
      <c r="P86" s="85"/>
      <c r="Q86" s="88"/>
      <c r="R86" s="3">
        <f>IFERROR(VLOOKUP(TablaAgosto[[#This Row],[BARRIO]],SECTOR!$A:$B,2,0),"")</f>
      </c>
      <c r="S86" s="89"/>
      <c r="T86" s="90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6"/>
      <c r="AZ86" s="19">
        <f>COUNTIF(U86:AY86,"A")</f>
      </c>
      <c r="BA86" s="17">
        <f>COUNTIF(U86:AY86,"F")</f>
      </c>
      <c r="BB86" s="17">
        <f>COUNTIF(U86:AY86,"E")</f>
      </c>
    </row>
    <row r="87" spans="1:54" ht="15.75" customHeight="1" x14ac:dyDescent="0.2">
      <c r="A87" s="84"/>
      <c r="B87" s="85"/>
      <c r="C87" s="85"/>
      <c r="D87" s="85"/>
      <c r="E87" s="86"/>
      <c r="F87" s="16">
        <f>IF(E87="","",DATEDIF(E87,$I$7,"Y"))</f>
      </c>
      <c r="G87" s="85"/>
      <c r="H87" s="85"/>
      <c r="I87" s="87"/>
      <c r="J87" s="85"/>
      <c r="K87" s="85"/>
      <c r="L87" s="2"/>
      <c r="M87" s="2"/>
      <c r="N87" s="1"/>
      <c r="O87" s="1"/>
      <c r="P87" s="85"/>
      <c r="Q87" s="88"/>
      <c r="R87" s="3">
        <f>IFERROR(VLOOKUP(TablaAgosto[[#This Row],[BARRIO]],SECTOR!$A:$B,2,0),"")</f>
      </c>
      <c r="S87" s="89"/>
      <c r="T87" s="90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6"/>
      <c r="AZ87" s="19">
        <f>COUNTIF(U87:AY87,"A")</f>
      </c>
      <c r="BA87" s="17">
        <f>COUNTIF(U87:AY87,"F")</f>
      </c>
      <c r="BB87" s="17">
        <f>COUNTIF(U87:AY87,"E")</f>
      </c>
    </row>
    <row r="88" spans="1:54" ht="15.75" customHeight="1" x14ac:dyDescent="0.2">
      <c r="A88" s="84"/>
      <c r="B88" s="85"/>
      <c r="C88" s="85"/>
      <c r="D88" s="85"/>
      <c r="E88" s="86"/>
      <c r="F88" s="16">
        <f>IF(E88="","",DATEDIF(E88,$I$7,"Y"))</f>
      </c>
      <c r="G88" s="85"/>
      <c r="H88" s="85"/>
      <c r="I88" s="87"/>
      <c r="J88" s="85"/>
      <c r="K88" s="85"/>
      <c r="L88" s="2"/>
      <c r="M88" s="2"/>
      <c r="N88" s="1"/>
      <c r="O88" s="1"/>
      <c r="P88" s="85"/>
      <c r="Q88" s="88"/>
      <c r="R88" s="3">
        <f>IFERROR(VLOOKUP(TablaAgosto[[#This Row],[BARRIO]],SECTOR!$A:$B,2,0),"")</f>
      </c>
      <c r="S88" s="89"/>
      <c r="T88" s="90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6"/>
      <c r="AZ88" s="19">
        <f>COUNTIF(U88:AY88,"A")</f>
      </c>
      <c r="BA88" s="17">
        <f>COUNTIF(U88:AY88,"F")</f>
      </c>
      <c r="BB88" s="17">
        <f>COUNTIF(U88:AY88,"E")</f>
      </c>
    </row>
    <row r="89" spans="1:54" ht="15.75" customHeight="1" x14ac:dyDescent="0.2">
      <c r="A89" s="84"/>
      <c r="B89" s="85"/>
      <c r="C89" s="85"/>
      <c r="D89" s="85"/>
      <c r="E89" s="86"/>
      <c r="F89" s="16">
        <f>IF(E89="","",DATEDIF(E89,$I$7,"Y"))</f>
      </c>
      <c r="G89" s="85"/>
      <c r="H89" s="85"/>
      <c r="I89" s="87"/>
      <c r="J89" s="85"/>
      <c r="K89" s="85"/>
      <c r="L89" s="2"/>
      <c r="M89" s="2"/>
      <c r="N89" s="1"/>
      <c r="O89" s="1"/>
      <c r="P89" s="85"/>
      <c r="Q89" s="88"/>
      <c r="R89" s="3">
        <f>IFERROR(VLOOKUP(TablaAgosto[[#This Row],[BARRIO]],SECTOR!$A:$B,2,0),"")</f>
      </c>
      <c r="S89" s="89"/>
      <c r="T89" s="90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6"/>
      <c r="AZ89" s="19">
        <f>COUNTIF(U89:AY89,"A")</f>
      </c>
      <c r="BA89" s="17">
        <f>COUNTIF(U89:AY89,"F")</f>
      </c>
      <c r="BB89" s="17">
        <f>COUNTIF(U89:AY89,"E")</f>
      </c>
    </row>
    <row r="90" spans="1:54" ht="15.75" customHeight="1" x14ac:dyDescent="0.2">
      <c r="A90" s="84"/>
      <c r="B90" s="85"/>
      <c r="C90" s="85"/>
      <c r="D90" s="85"/>
      <c r="E90" s="86"/>
      <c r="F90" s="16">
        <f>IF(E90="","",DATEDIF(E90,$I$7,"Y"))</f>
      </c>
      <c r="G90" s="85"/>
      <c r="H90" s="85"/>
      <c r="I90" s="87"/>
      <c r="J90" s="85"/>
      <c r="K90" s="85"/>
      <c r="L90" s="2"/>
      <c r="M90" s="2"/>
      <c r="N90" s="1"/>
      <c r="O90" s="1"/>
      <c r="P90" s="85"/>
      <c r="Q90" s="88"/>
      <c r="R90" s="3">
        <f>IFERROR(VLOOKUP(TablaAgosto[[#This Row],[BARRIO]],SECTOR!$A:$B,2,0),"")</f>
      </c>
      <c r="S90" s="89"/>
      <c r="T90" s="90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6"/>
      <c r="AZ90" s="19">
        <f>COUNTIF(U90:AY90,"A")</f>
      </c>
      <c r="BA90" s="17">
        <f>COUNTIF(U90:AY90,"F")</f>
      </c>
      <c r="BB90" s="17">
        <f>COUNTIF(U90:AY90,"E")</f>
      </c>
    </row>
    <row r="91" spans="1:54" ht="15.75" customHeight="1" x14ac:dyDescent="0.2">
      <c r="A91" s="84"/>
      <c r="B91" s="85"/>
      <c r="C91" s="85"/>
      <c r="D91" s="85"/>
      <c r="E91" s="86"/>
      <c r="F91" s="16">
        <f>IF(E91="","",DATEDIF(E91,$I$7,"Y"))</f>
      </c>
      <c r="G91" s="85"/>
      <c r="H91" s="85"/>
      <c r="I91" s="87"/>
      <c r="J91" s="85"/>
      <c r="K91" s="85"/>
      <c r="L91" s="2"/>
      <c r="M91" s="2"/>
      <c r="N91" s="1"/>
      <c r="O91" s="1"/>
      <c r="P91" s="85"/>
      <c r="Q91" s="88"/>
      <c r="R91" s="3">
        <f>IFERROR(VLOOKUP(TablaAgosto[[#This Row],[BARRIO]],SECTOR!$A:$B,2,0),"")</f>
      </c>
      <c r="S91" s="89"/>
      <c r="T91" s="90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6"/>
      <c r="AZ91" s="19">
        <f>COUNTIF(U91:AY91,"A")</f>
      </c>
      <c r="BA91" s="17">
        <f>COUNTIF(U91:AY91,"F")</f>
      </c>
      <c r="BB91" s="17">
        <f>COUNTIF(U91:AY91,"E")</f>
      </c>
    </row>
    <row r="92" spans="1:54" ht="15.75" customHeight="1" x14ac:dyDescent="0.2">
      <c r="A92" s="84"/>
      <c r="B92" s="85"/>
      <c r="C92" s="85"/>
      <c r="D92" s="85"/>
      <c r="E92" s="86"/>
      <c r="F92" s="16">
        <f>IF(E92="","",DATEDIF(E92,$I$7,"Y"))</f>
      </c>
      <c r="G92" s="85"/>
      <c r="H92" s="85"/>
      <c r="I92" s="87"/>
      <c r="J92" s="85"/>
      <c r="K92" s="85"/>
      <c r="L92" s="2"/>
      <c r="M92" s="2"/>
      <c r="N92" s="1"/>
      <c r="O92" s="1"/>
      <c r="P92" s="85"/>
      <c r="Q92" s="88"/>
      <c r="R92" s="3">
        <f>IFERROR(VLOOKUP(TablaAgosto[[#This Row],[BARRIO]],SECTOR!$A:$B,2,0),"")</f>
      </c>
      <c r="S92" s="89"/>
      <c r="T92" s="90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6"/>
      <c r="AZ92" s="19">
        <f>COUNTIF(U92:AY92,"A")</f>
      </c>
      <c r="BA92" s="17">
        <f>COUNTIF(U92:AY92,"F")</f>
      </c>
      <c r="BB92" s="17">
        <f>COUNTIF(U92:AY92,"E")</f>
      </c>
    </row>
    <row r="93" spans="1:54" ht="15.75" customHeight="1" x14ac:dyDescent="0.2">
      <c r="A93" s="84"/>
      <c r="B93" s="85"/>
      <c r="C93" s="85"/>
      <c r="D93" s="85"/>
      <c r="E93" s="86"/>
      <c r="F93" s="16">
        <f>IF(E93="","",DATEDIF(E93,$I$7,"Y"))</f>
      </c>
      <c r="G93" s="85"/>
      <c r="H93" s="85"/>
      <c r="I93" s="87"/>
      <c r="J93" s="85"/>
      <c r="K93" s="85"/>
      <c r="L93" s="2"/>
      <c r="M93" s="2"/>
      <c r="N93" s="1"/>
      <c r="O93" s="1"/>
      <c r="P93" s="85"/>
      <c r="Q93" s="88"/>
      <c r="R93" s="3">
        <f>IFERROR(VLOOKUP(TablaAgosto[[#This Row],[BARRIO]],SECTOR!$A:$B,2,0),"")</f>
      </c>
      <c r="S93" s="89"/>
      <c r="T93" s="90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6"/>
      <c r="AZ93" s="19">
        <f>COUNTIF(U93:AY93,"A")</f>
      </c>
      <c r="BA93" s="17">
        <f>COUNTIF(U93:AY93,"F")</f>
      </c>
      <c r="BB93" s="17">
        <f>COUNTIF(U93:AY93,"E")</f>
      </c>
    </row>
    <row r="94" spans="1:54" ht="15.75" customHeight="1" x14ac:dyDescent="0.2">
      <c r="A94" s="84"/>
      <c r="B94" s="85"/>
      <c r="C94" s="85"/>
      <c r="D94" s="85"/>
      <c r="E94" s="86"/>
      <c r="F94" s="16">
        <f>IF(E94="","",DATEDIF(E94,$I$7,"Y"))</f>
      </c>
      <c r="G94" s="85"/>
      <c r="H94" s="85"/>
      <c r="I94" s="87"/>
      <c r="J94" s="85"/>
      <c r="K94" s="85"/>
      <c r="L94" s="2"/>
      <c r="M94" s="2"/>
      <c r="N94" s="1"/>
      <c r="O94" s="1"/>
      <c r="P94" s="85"/>
      <c r="Q94" s="88"/>
      <c r="R94" s="3">
        <f>IFERROR(VLOOKUP(TablaAgosto[[#This Row],[BARRIO]],SECTOR!$A:$B,2,0),"")</f>
      </c>
      <c r="S94" s="89"/>
      <c r="T94" s="90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6"/>
      <c r="AZ94" s="19">
        <f>COUNTIF(U94:AY94,"A")</f>
      </c>
      <c r="BA94" s="17">
        <f>COUNTIF(U94:AY94,"F")</f>
      </c>
      <c r="BB94" s="17">
        <f>COUNTIF(U94:AY94,"E")</f>
      </c>
    </row>
    <row r="95" spans="1:54" ht="15.75" customHeight="1" x14ac:dyDescent="0.2">
      <c r="A95" s="84"/>
      <c r="B95" s="85"/>
      <c r="C95" s="85"/>
      <c r="D95" s="85"/>
      <c r="E95" s="86"/>
      <c r="F95" s="16">
        <f>IF(E95="","",DATEDIF(E95,$I$7,"Y"))</f>
      </c>
      <c r="G95" s="85"/>
      <c r="H95" s="85"/>
      <c r="I95" s="87"/>
      <c r="J95" s="85"/>
      <c r="K95" s="85"/>
      <c r="L95" s="2"/>
      <c r="M95" s="2"/>
      <c r="N95" s="1"/>
      <c r="O95" s="1"/>
      <c r="P95" s="85"/>
      <c r="Q95" s="88"/>
      <c r="R95" s="3">
        <f>IFERROR(VLOOKUP(TablaAgosto[[#This Row],[BARRIO]],SECTOR!$A:$B,2,0),"")</f>
      </c>
      <c r="S95" s="89"/>
      <c r="T95" s="90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6"/>
      <c r="AZ95" s="19">
        <f>COUNTIF(U95:AY95,"A")</f>
      </c>
      <c r="BA95" s="17">
        <f>COUNTIF(U95:AY95,"F")</f>
      </c>
      <c r="BB95" s="17">
        <f>COUNTIF(U95:AY95,"E")</f>
      </c>
    </row>
    <row r="96" spans="1:54" ht="15.75" customHeight="1" x14ac:dyDescent="0.2">
      <c r="A96" s="84"/>
      <c r="B96" s="85"/>
      <c r="C96" s="85"/>
      <c r="D96" s="85"/>
      <c r="E96" s="86"/>
      <c r="F96" s="16">
        <f>IF(E96="","",DATEDIF(E96,$I$7,"Y"))</f>
      </c>
      <c r="G96" s="85"/>
      <c r="H96" s="85"/>
      <c r="I96" s="87"/>
      <c r="J96" s="85"/>
      <c r="K96" s="85"/>
      <c r="L96" s="2"/>
      <c r="M96" s="2"/>
      <c r="N96" s="1"/>
      <c r="O96" s="1"/>
      <c r="P96" s="85"/>
      <c r="Q96" s="88"/>
      <c r="R96" s="3">
        <f>IFERROR(VLOOKUP(TablaAgosto[[#This Row],[BARRIO]],SECTOR!$A:$B,2,0),"")</f>
      </c>
      <c r="S96" s="89"/>
      <c r="T96" s="90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7"/>
      <c r="AZ96" s="30">
        <f>COUNTIF(U96:AY96,"A")</f>
      </c>
      <c r="BA96" s="17">
        <f>COUNTIF(U96:AY96,"F")</f>
      </c>
      <c r="BB96" s="17">
        <f>COUNTIF(U96:AY96,"E")</f>
      </c>
    </row>
    <row r="97" spans="1:54" ht="15.75" customHeight="1" x14ac:dyDescent="0.2">
      <c r="A97" s="84"/>
      <c r="B97" s="85"/>
      <c r="C97" s="85"/>
      <c r="D97" s="85"/>
      <c r="E97" s="86"/>
      <c r="F97" s="16">
        <f>IF(E97="","",DATEDIF(E97,$I$7,"Y"))</f>
      </c>
      <c r="G97" s="85"/>
      <c r="H97" s="85"/>
      <c r="I97" s="87"/>
      <c r="J97" s="85"/>
      <c r="K97" s="85"/>
      <c r="L97" s="2"/>
      <c r="M97" s="2"/>
      <c r="N97" s="1"/>
      <c r="O97" s="1"/>
      <c r="P97" s="85"/>
      <c r="Q97" s="88"/>
      <c r="R97" s="3">
        <f>IFERROR(VLOOKUP(TablaAgosto[[#This Row],[BARRIO]],SECTOR!$A:$B,2,0),"")</f>
      </c>
      <c r="S97" s="89"/>
      <c r="T97" s="90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6"/>
      <c r="AZ97" s="30">
        <f>COUNTIF(U97:AY97,"A")</f>
      </c>
      <c r="BA97" s="17">
        <f>COUNTIF(U97:AY97,"F")</f>
      </c>
      <c r="BB97" s="17">
        <f>COUNTIF(U97:AY97,"E")</f>
      </c>
    </row>
    <row r="98" spans="1:54" ht="15.75" customHeight="1" x14ac:dyDescent="0.2">
      <c r="A98" s="84"/>
      <c r="B98" s="85"/>
      <c r="C98" s="85"/>
      <c r="D98" s="85"/>
      <c r="E98" s="86"/>
      <c r="F98" s="16">
        <f>IF(E98="","",DATEDIF(E98,$I$7,"Y"))</f>
      </c>
      <c r="G98" s="85"/>
      <c r="H98" s="85"/>
      <c r="I98" s="87"/>
      <c r="J98" s="85"/>
      <c r="K98" s="85"/>
      <c r="L98" s="2"/>
      <c r="M98" s="2"/>
      <c r="N98" s="1"/>
      <c r="O98" s="1"/>
      <c r="P98" s="85"/>
      <c r="Q98" s="88"/>
      <c r="R98" s="3">
        <f>IFERROR(VLOOKUP(TablaAgosto[[#This Row],[BARRIO]],SECTOR!$A:$B,2,0),"")</f>
      </c>
      <c r="S98" s="89"/>
      <c r="T98" s="90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6"/>
      <c r="AZ98" s="30">
        <f>COUNTIF(U98:AY98,"A")</f>
      </c>
      <c r="BA98" s="17">
        <f>COUNTIF(U98:AY98,"F")</f>
      </c>
      <c r="BB98" s="17">
        <f>COUNTIF(U98:AY98,"E")</f>
      </c>
    </row>
    <row r="99" spans="1:54" ht="15.75" customHeight="1" x14ac:dyDescent="0.2">
      <c r="A99" s="84"/>
      <c r="B99" s="85"/>
      <c r="C99" s="85"/>
      <c r="D99" s="85"/>
      <c r="E99" s="86"/>
      <c r="F99" s="16">
        <f>IF(E99="","",DATEDIF(E99,$I$7,"Y"))</f>
      </c>
      <c r="G99" s="85"/>
      <c r="H99" s="85"/>
      <c r="I99" s="87"/>
      <c r="J99" s="85"/>
      <c r="K99" s="85"/>
      <c r="L99" s="2"/>
      <c r="M99" s="2"/>
      <c r="N99" s="1"/>
      <c r="O99" s="1"/>
      <c r="P99" s="85"/>
      <c r="Q99" s="88"/>
      <c r="R99" s="3">
        <f>IFERROR(VLOOKUP(TablaAgosto[[#This Row],[BARRIO]],SECTOR!$A:$B,2,0),"")</f>
      </c>
      <c r="S99" s="89"/>
      <c r="T99" s="90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6"/>
      <c r="AZ99" s="30">
        <f>COUNTIF(U99:AY99,"A")</f>
      </c>
      <c r="BA99" s="17">
        <f>COUNTIF(U99:AY99,"F")</f>
      </c>
      <c r="BB99" s="17">
        <f>COUNTIF(U99:AY99,"E")</f>
      </c>
    </row>
    <row r="100" spans="1:54" ht="15.75" customHeight="1" x14ac:dyDescent="0.2">
      <c r="A100" s="84"/>
      <c r="B100" s="85"/>
      <c r="C100" s="85"/>
      <c r="D100" s="85"/>
      <c r="E100" s="86"/>
      <c r="F100" s="16">
        <f>IF(E100="","",DATEDIF(E100,$I$7,"Y"))</f>
      </c>
      <c r="G100" s="85"/>
      <c r="H100" s="85"/>
      <c r="I100" s="87"/>
      <c r="J100" s="85"/>
      <c r="K100" s="85"/>
      <c r="L100" s="2"/>
      <c r="M100" s="2"/>
      <c r="N100" s="1"/>
      <c r="O100" s="1"/>
      <c r="P100" s="85"/>
      <c r="Q100" s="88"/>
      <c r="R100" s="3">
        <f>IFERROR(VLOOKUP(TablaAgosto[[#This Row],[BARRIO]],SECTOR!$A:$B,2,0),"")</f>
      </c>
      <c r="S100" s="89"/>
      <c r="T100" s="90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6"/>
      <c r="AZ100" s="30">
        <f>COUNTIF(U100:AY100,"A")</f>
      </c>
      <c r="BA100" s="17">
        <f>COUNTIF(U100:AY100,"F")</f>
      </c>
      <c r="BB100" s="17">
        <f>COUNTIF(U100:AY100,"E")</f>
      </c>
    </row>
    <row r="101" spans="1:54" ht="15.75" customHeight="1" x14ac:dyDescent="0.2">
      <c r="A101" s="84"/>
      <c r="B101" s="85"/>
      <c r="C101" s="85"/>
      <c r="D101" s="85"/>
      <c r="E101" s="86"/>
      <c r="F101" s="16">
        <f>IF(E101="","",DATEDIF(E101,$I$7,"Y"))</f>
      </c>
      <c r="G101" s="85"/>
      <c r="H101" s="85"/>
      <c r="I101" s="87"/>
      <c r="J101" s="85"/>
      <c r="K101" s="85"/>
      <c r="L101" s="2"/>
      <c r="M101" s="2"/>
      <c r="N101" s="1"/>
      <c r="O101" s="1"/>
      <c r="P101" s="85"/>
      <c r="Q101" s="88"/>
      <c r="R101" s="3">
        <f>IFERROR(VLOOKUP(TablaAgosto[[#This Row],[BARRIO]],SECTOR!$A:$B,2,0),"")</f>
      </c>
      <c r="S101" s="89"/>
      <c r="T101" s="90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6"/>
      <c r="AZ101" s="30">
        <f>COUNTIF(U101:AY101,"A")</f>
      </c>
      <c r="BA101" s="17">
        <f>COUNTIF(U101:AY101,"F")</f>
      </c>
      <c r="BB101" s="17">
        <f>COUNTIF(U101:AY101,"E")</f>
      </c>
    </row>
    <row r="102" spans="1:54" ht="15.75" customHeight="1" x14ac:dyDescent="0.2">
      <c r="A102" s="84"/>
      <c r="B102" s="85"/>
      <c r="C102" s="85"/>
      <c r="D102" s="85"/>
      <c r="E102" s="86"/>
      <c r="F102" s="16">
        <f>IF(E102="","",DATEDIF(E102,$I$7,"Y"))</f>
      </c>
      <c r="G102" s="85"/>
      <c r="H102" s="85"/>
      <c r="I102" s="87"/>
      <c r="J102" s="85"/>
      <c r="K102" s="85"/>
      <c r="L102" s="2"/>
      <c r="M102" s="2"/>
      <c r="N102" s="1"/>
      <c r="O102" s="1"/>
      <c r="P102" s="85"/>
      <c r="Q102" s="88"/>
      <c r="R102" s="3">
        <f>IFERROR(VLOOKUP(TablaAgosto[[#This Row],[BARRIO]],SECTOR!$A:$B,2,0),"")</f>
      </c>
      <c r="S102" s="89"/>
      <c r="T102" s="90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6"/>
      <c r="AZ102" s="30">
        <f>COUNTIF(U102:AY102,"A")</f>
      </c>
      <c r="BA102" s="17">
        <f>COUNTIF(U102:AY102,"F")</f>
      </c>
      <c r="BB102" s="17">
        <f>COUNTIF(U102:AY102,"E")</f>
      </c>
    </row>
    <row r="103" spans="1:54" ht="15.75" customHeight="1" x14ac:dyDescent="0.2">
      <c r="A103" s="84"/>
      <c r="B103" s="85"/>
      <c r="C103" s="85"/>
      <c r="D103" s="85"/>
      <c r="E103" s="86"/>
      <c r="F103" s="16">
        <f>IF(E103="","",DATEDIF(E103,$I$7,"Y"))</f>
      </c>
      <c r="G103" s="85"/>
      <c r="H103" s="85"/>
      <c r="I103" s="87"/>
      <c r="J103" s="85"/>
      <c r="K103" s="85"/>
      <c r="L103" s="2"/>
      <c r="M103" s="2"/>
      <c r="N103" s="1"/>
      <c r="O103" s="1"/>
      <c r="P103" s="85"/>
      <c r="Q103" s="88"/>
      <c r="R103" s="3">
        <f>IFERROR(VLOOKUP(TablaAgosto[[#This Row],[BARRIO]],SECTOR!$A:$B,2,0),"")</f>
      </c>
      <c r="S103" s="89"/>
      <c r="T103" s="90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6"/>
      <c r="AZ103" s="30">
        <f>COUNTIF(U103:AY103,"A")</f>
      </c>
      <c r="BA103" s="17">
        <f>COUNTIF(U103:AY103,"F")</f>
      </c>
      <c r="BB103" s="17">
        <f>COUNTIF(U103:AY103,"E")</f>
      </c>
    </row>
    <row r="104" spans="1:54" ht="15.75" customHeight="1" x14ac:dyDescent="0.2">
      <c r="A104" s="84"/>
      <c r="B104" s="85"/>
      <c r="C104" s="85"/>
      <c r="D104" s="85"/>
      <c r="E104" s="86"/>
      <c r="F104" s="16">
        <f>IF(E104="","",DATEDIF(E104,$I$7,"Y"))</f>
      </c>
      <c r="G104" s="85"/>
      <c r="H104" s="85"/>
      <c r="I104" s="87"/>
      <c r="J104" s="85"/>
      <c r="K104" s="85"/>
      <c r="L104" s="2"/>
      <c r="M104" s="2"/>
      <c r="N104" s="1"/>
      <c r="O104" s="1"/>
      <c r="P104" s="85"/>
      <c r="Q104" s="88"/>
      <c r="R104" s="3">
        <f>IFERROR(VLOOKUP(TablaAgosto[[#This Row],[BARRIO]],SECTOR!$A:$B,2,0),"")</f>
      </c>
      <c r="S104" s="89"/>
      <c r="T104" s="90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6"/>
      <c r="AZ104" s="30">
        <f>COUNTIF(U104:AY104,"A")</f>
      </c>
      <c r="BA104" s="17">
        <f>COUNTIF(U104:AY104,"F")</f>
      </c>
      <c r="BB104" s="17">
        <f>COUNTIF(U104:AY104,"E")</f>
      </c>
    </row>
    <row r="105" spans="1:54" ht="15.75" customHeight="1" x14ac:dyDescent="0.2">
      <c r="A105" s="84"/>
      <c r="B105" s="85"/>
      <c r="C105" s="85"/>
      <c r="D105" s="85"/>
      <c r="E105" s="86"/>
      <c r="F105" s="16">
        <f>IF(E105="","",DATEDIF(E105,$I$7,"Y"))</f>
      </c>
      <c r="G105" s="85"/>
      <c r="H105" s="85"/>
      <c r="I105" s="87"/>
      <c r="J105" s="85"/>
      <c r="K105" s="85"/>
      <c r="L105" s="2"/>
      <c r="M105" s="2"/>
      <c r="N105" s="1"/>
      <c r="O105" s="1"/>
      <c r="P105" s="85"/>
      <c r="Q105" s="88"/>
      <c r="R105" s="3">
        <f>IFERROR(VLOOKUP(TablaAgosto[[#This Row],[BARRIO]],SECTOR!$A:$B,2,0),"")</f>
      </c>
      <c r="S105" s="89"/>
      <c r="T105" s="90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6"/>
      <c r="AZ105" s="30">
        <f>COUNTIF(U105:AY105,"A")</f>
      </c>
      <c r="BA105" s="17">
        <f>COUNTIF(U105:AY105,"F")</f>
      </c>
      <c r="BB105" s="17">
        <f>COUNTIF(U105:AY105,"E")</f>
      </c>
    </row>
    <row r="106" spans="1:54" ht="15.75" customHeight="1" x14ac:dyDescent="0.2">
      <c r="A106" s="84"/>
      <c r="B106" s="85"/>
      <c r="C106" s="85"/>
      <c r="D106" s="85"/>
      <c r="E106" s="86"/>
      <c r="F106" s="16">
        <f>IF(E106="","",DATEDIF(E106,$I$7,"Y"))</f>
      </c>
      <c r="G106" s="85"/>
      <c r="H106" s="85"/>
      <c r="I106" s="87"/>
      <c r="J106" s="85"/>
      <c r="K106" s="85"/>
      <c r="L106" s="2"/>
      <c r="M106" s="2"/>
      <c r="N106" s="1"/>
      <c r="O106" s="1"/>
      <c r="P106" s="85"/>
      <c r="Q106" s="88"/>
      <c r="R106" s="3">
        <f>IFERROR(VLOOKUP(TablaAgosto[[#This Row],[BARRIO]],SECTOR!$A:$B,2,0),"")</f>
      </c>
      <c r="S106" s="89"/>
      <c r="T106" s="90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6"/>
      <c r="AZ106" s="30">
        <f>COUNTIF(U106:AY106,"A")</f>
      </c>
      <c r="BA106" s="17">
        <f>COUNTIF(U106:AY106,"F")</f>
      </c>
      <c r="BB106" s="17">
        <f>COUNTIF(U106:AY106,"E")</f>
      </c>
    </row>
    <row r="107" spans="1:54" ht="15.75" customHeight="1" x14ac:dyDescent="0.2">
      <c r="A107" s="84"/>
      <c r="B107" s="85"/>
      <c r="C107" s="85"/>
      <c r="D107" s="85"/>
      <c r="E107" s="86"/>
      <c r="F107" s="16">
        <f>IF(E107="","",DATEDIF(E107,$I$7,"Y"))</f>
      </c>
      <c r="G107" s="85"/>
      <c r="H107" s="85"/>
      <c r="I107" s="87"/>
      <c r="J107" s="85"/>
      <c r="K107" s="85"/>
      <c r="L107" s="2"/>
      <c r="M107" s="2"/>
      <c r="N107" s="1"/>
      <c r="O107" s="1"/>
      <c r="P107" s="85"/>
      <c r="Q107" s="88"/>
      <c r="R107" s="3">
        <f>IFERROR(VLOOKUP(TablaAgosto[[#This Row],[BARRIO]],SECTOR!$A:$B,2,0),"")</f>
      </c>
      <c r="S107" s="89"/>
      <c r="T107" s="90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6"/>
      <c r="AZ107" s="30">
        <f>COUNTIF(U107:AY107,"A")</f>
      </c>
      <c r="BA107" s="17">
        <f>COUNTIF(U107:AY107,"F")</f>
      </c>
      <c r="BB107" s="17">
        <f>COUNTIF(U107:AY107,"E")</f>
      </c>
    </row>
    <row r="108" spans="1:54" ht="15.75" customHeight="1" x14ac:dyDescent="0.2">
      <c r="A108" s="84"/>
      <c r="B108" s="85"/>
      <c r="C108" s="85"/>
      <c r="D108" s="85"/>
      <c r="E108" s="86"/>
      <c r="F108" s="16">
        <f>IF(E108="","",DATEDIF(E108,$I$7,"Y"))</f>
      </c>
      <c r="G108" s="85"/>
      <c r="H108" s="85"/>
      <c r="I108" s="87"/>
      <c r="J108" s="85"/>
      <c r="K108" s="85"/>
      <c r="L108" s="2"/>
      <c r="M108" s="2"/>
      <c r="N108" s="1"/>
      <c r="O108" s="1"/>
      <c r="P108" s="85"/>
      <c r="Q108" s="88"/>
      <c r="R108" s="3">
        <f>IFERROR(VLOOKUP(TablaAgosto[[#This Row],[BARRIO]],SECTOR!$A:$B,2,0),"")</f>
      </c>
      <c r="S108" s="89"/>
      <c r="T108" s="90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6"/>
      <c r="AZ108" s="30">
        <f>COUNTIF(U108:AY108,"A")</f>
      </c>
      <c r="BA108" s="17">
        <f>COUNTIF(U108:AY108,"F")</f>
      </c>
      <c r="BB108" s="17">
        <f>COUNTIF(U108:AY108,"E")</f>
      </c>
    </row>
    <row r="109" spans="1:54" ht="15.75" customHeight="1" x14ac:dyDescent="0.2">
      <c r="A109" s="84"/>
      <c r="B109" s="85"/>
      <c r="C109" s="85"/>
      <c r="D109" s="85"/>
      <c r="E109" s="86"/>
      <c r="F109" s="16">
        <f>IF(E109="","",DATEDIF(E109,$I$7,"Y"))</f>
      </c>
      <c r="G109" s="85"/>
      <c r="H109" s="85"/>
      <c r="I109" s="87"/>
      <c r="J109" s="85"/>
      <c r="K109" s="85"/>
      <c r="L109" s="2"/>
      <c r="M109" s="2"/>
      <c r="N109" s="1"/>
      <c r="O109" s="1"/>
      <c r="P109" s="85"/>
      <c r="Q109" s="88"/>
      <c r="R109" s="3">
        <f>IFERROR(VLOOKUP(TablaAgosto[[#This Row],[BARRIO]],SECTOR!$A:$B,2,0),"")</f>
      </c>
      <c r="S109" s="89"/>
      <c r="T109" s="90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6"/>
      <c r="AZ109" s="30">
        <f>COUNTIF(U109:AY109,"A")</f>
      </c>
      <c r="BA109" s="17">
        <f>COUNTIF(U109:AY109,"F")</f>
      </c>
      <c r="BB109" s="17">
        <f>COUNTIF(U109:AY109,"E")</f>
      </c>
    </row>
    <row r="110" spans="1:54" ht="15.75" customHeight="1" x14ac:dyDescent="0.2">
      <c r="A110" s="84"/>
      <c r="B110" s="85"/>
      <c r="C110" s="85"/>
      <c r="D110" s="85"/>
      <c r="E110" s="86"/>
      <c r="F110" s="16">
        <f>IF(E110="","",DATEDIF(E110,$I$7,"Y"))</f>
      </c>
      <c r="G110" s="85"/>
      <c r="H110" s="85"/>
      <c r="I110" s="87"/>
      <c r="J110" s="85"/>
      <c r="K110" s="85"/>
      <c r="L110" s="2"/>
      <c r="M110" s="2"/>
      <c r="N110" s="1"/>
      <c r="O110" s="1"/>
      <c r="P110" s="85"/>
      <c r="Q110" s="88"/>
      <c r="R110" s="3">
        <f>IFERROR(VLOOKUP(TablaAgosto[[#This Row],[BARRIO]],SECTOR!$A:$B,2,0),"")</f>
      </c>
      <c r="S110" s="89"/>
      <c r="T110" s="90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6"/>
      <c r="AZ110" s="30">
        <f>COUNTIF(U110:AY110,"A")</f>
      </c>
      <c r="BA110" s="17">
        <f>COUNTIF(U110:AY110,"F")</f>
      </c>
      <c r="BB110" s="17">
        <f>COUNTIF(U110:AY110,"E")</f>
      </c>
    </row>
    <row r="111" spans="1:54" ht="15.75" customHeight="1" x14ac:dyDescent="0.2">
      <c r="A111" s="84"/>
      <c r="B111" s="85"/>
      <c r="C111" s="85"/>
      <c r="D111" s="85"/>
      <c r="E111" s="86"/>
      <c r="F111" s="16">
        <f>IF(E111="","",DATEDIF(E111,$I$7,"Y"))</f>
      </c>
      <c r="G111" s="85"/>
      <c r="H111" s="85"/>
      <c r="I111" s="87"/>
      <c r="J111" s="85"/>
      <c r="K111" s="85"/>
      <c r="L111" s="2"/>
      <c r="M111" s="2"/>
      <c r="N111" s="1"/>
      <c r="O111" s="1"/>
      <c r="P111" s="85"/>
      <c r="Q111" s="88"/>
      <c r="R111" s="3">
        <f>IFERROR(VLOOKUP(TablaAgosto[[#This Row],[BARRIO]],SECTOR!$A:$B,2,0),"")</f>
      </c>
      <c r="S111" s="89"/>
      <c r="T111" s="90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6"/>
      <c r="AZ111" s="30">
        <f>COUNTIF(U111:AY111,"A")</f>
      </c>
      <c r="BA111" s="17">
        <f>COUNTIF(U111:AY111,"F")</f>
      </c>
      <c r="BB111" s="17">
        <f>COUNTIF(U111:AY111,"E")</f>
      </c>
    </row>
    <row r="112" spans="1:54" ht="15.75" customHeight="1" x14ac:dyDescent="0.2">
      <c r="A112" s="84"/>
      <c r="B112" s="85"/>
      <c r="C112" s="85"/>
      <c r="D112" s="85"/>
      <c r="E112" s="86"/>
      <c r="F112" s="16">
        <f>IF(E112="","",DATEDIF(E112,$I$7,"Y"))</f>
      </c>
      <c r="G112" s="85"/>
      <c r="H112" s="85"/>
      <c r="I112" s="87"/>
      <c r="J112" s="85"/>
      <c r="K112" s="85"/>
      <c r="L112" s="2"/>
      <c r="M112" s="2"/>
      <c r="N112" s="1"/>
      <c r="O112" s="1"/>
      <c r="P112" s="85"/>
      <c r="Q112" s="88"/>
      <c r="R112" s="3">
        <f>IFERROR(VLOOKUP(TablaAgosto[[#This Row],[BARRIO]],SECTOR!$A:$B,2,0),"")</f>
      </c>
      <c r="S112" s="89"/>
      <c r="T112" s="90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6"/>
      <c r="AZ112" s="30">
        <f>COUNTIF(U112:AY112,"A")</f>
      </c>
      <c r="BA112" s="17">
        <f>COUNTIF(U112:AY112,"F")</f>
      </c>
      <c r="BB112" s="17">
        <f>COUNTIF(U112:AY112,"E")</f>
      </c>
    </row>
    <row r="113" spans="1:54" ht="15.75" customHeight="1" x14ac:dyDescent="0.2">
      <c r="A113" s="84"/>
      <c r="B113" s="85"/>
      <c r="C113" s="85"/>
      <c r="D113" s="85"/>
      <c r="E113" s="86"/>
      <c r="F113" s="16">
        <f>IF(E113="","",DATEDIF(E113,$I$7,"Y"))</f>
      </c>
      <c r="G113" s="85"/>
      <c r="H113" s="85"/>
      <c r="I113" s="87"/>
      <c r="J113" s="85"/>
      <c r="K113" s="85"/>
      <c r="L113" s="2"/>
      <c r="M113" s="2"/>
      <c r="N113" s="1"/>
      <c r="O113" s="1"/>
      <c r="P113" s="85"/>
      <c r="Q113" s="88"/>
      <c r="R113" s="3">
        <f>IFERROR(VLOOKUP(TablaAgosto[[#This Row],[BARRIO]],SECTOR!$A:$B,2,0),"")</f>
      </c>
      <c r="S113" s="89"/>
      <c r="T113" s="90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6"/>
      <c r="AZ113" s="30">
        <f>COUNTIF(U113:AY113,"A")</f>
      </c>
      <c r="BA113" s="17">
        <f>COUNTIF(U113:AY113,"F")</f>
      </c>
      <c r="BB113" s="17">
        <f>COUNTIF(U113:AY113,"E")</f>
      </c>
    </row>
    <row r="114" spans="1:54" ht="15.75" customHeight="1" x14ac:dyDescent="0.2">
      <c r="A114" s="84"/>
      <c r="B114" s="85"/>
      <c r="C114" s="85"/>
      <c r="D114" s="85"/>
      <c r="E114" s="86"/>
      <c r="F114" s="16">
        <f>IF(E114="","",DATEDIF(E114,$I$7,"Y"))</f>
      </c>
      <c r="G114" s="85"/>
      <c r="H114" s="85"/>
      <c r="I114" s="87"/>
      <c r="J114" s="85"/>
      <c r="K114" s="85"/>
      <c r="L114" s="2"/>
      <c r="M114" s="2"/>
      <c r="N114" s="1"/>
      <c r="O114" s="1"/>
      <c r="P114" s="85"/>
      <c r="Q114" s="88"/>
      <c r="R114" s="3">
        <f>IFERROR(VLOOKUP(TablaAgosto[[#This Row],[BARRIO]],SECTOR!$A:$B,2,0),"")</f>
      </c>
      <c r="S114" s="89"/>
      <c r="T114" s="90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6"/>
      <c r="AZ114" s="30">
        <f>COUNTIF(U114:AY114,"A")</f>
      </c>
      <c r="BA114" s="17">
        <f>COUNTIF(U114:AY114,"F")</f>
      </c>
      <c r="BB114" s="17">
        <f>COUNTIF(U114:AY114,"E")</f>
      </c>
    </row>
    <row r="115" spans="1:54" ht="15.75" customHeight="1" x14ac:dyDescent="0.2">
      <c r="A115" s="84"/>
      <c r="B115" s="85"/>
      <c r="C115" s="85"/>
      <c r="D115" s="85"/>
      <c r="E115" s="86"/>
      <c r="F115" s="16">
        <f>IF(E115="","",DATEDIF(E115,$I$7,"Y"))</f>
      </c>
      <c r="G115" s="85"/>
      <c r="H115" s="85"/>
      <c r="I115" s="87"/>
      <c r="J115" s="85"/>
      <c r="K115" s="85"/>
      <c r="L115" s="2"/>
      <c r="M115" s="2"/>
      <c r="N115" s="1"/>
      <c r="O115" s="1"/>
      <c r="P115" s="85"/>
      <c r="Q115" s="88"/>
      <c r="R115" s="3">
        <f>IFERROR(VLOOKUP(TablaAgosto[[#This Row],[BARRIO]],SECTOR!$A:$B,2,0),"")</f>
      </c>
      <c r="S115" s="89"/>
      <c r="T115" s="90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6"/>
      <c r="AZ115" s="30">
        <f>COUNTIF(U115:AY115,"A")</f>
      </c>
      <c r="BA115" s="17">
        <f>COUNTIF(U115:AY115,"F")</f>
      </c>
      <c r="BB115" s="17">
        <f>COUNTIF(U115:AY115,"E")</f>
      </c>
    </row>
    <row r="116" spans="1:54" ht="15.75" customHeight="1" x14ac:dyDescent="0.2">
      <c r="A116" s="84"/>
      <c r="B116" s="85"/>
      <c r="C116" s="85"/>
      <c r="D116" s="85"/>
      <c r="E116" s="86"/>
      <c r="F116" s="16">
        <f>IF(E116="","",DATEDIF(E116,$I$7,"Y"))</f>
      </c>
      <c r="G116" s="85"/>
      <c r="H116" s="85"/>
      <c r="I116" s="87"/>
      <c r="J116" s="85"/>
      <c r="K116" s="85"/>
      <c r="L116" s="2"/>
      <c r="M116" s="2"/>
      <c r="N116" s="1"/>
      <c r="O116" s="1"/>
      <c r="P116" s="85"/>
      <c r="Q116" s="88"/>
      <c r="R116" s="3">
        <f>IFERROR(VLOOKUP(TablaAgosto[[#This Row],[BARRIO]],SECTOR!$A:$B,2,0),"")</f>
      </c>
      <c r="S116" s="89"/>
      <c r="T116" s="90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6"/>
      <c r="AZ116" s="30">
        <f>COUNTIF(U116:AY116,"A")</f>
      </c>
      <c r="BA116" s="17">
        <f>COUNTIF(U116:AY116,"F")</f>
      </c>
      <c r="BB116" s="17">
        <f>COUNTIF(U116:AY116,"E")</f>
      </c>
    </row>
    <row r="117" spans="1:54" ht="15.75" customHeight="1" x14ac:dyDescent="0.2">
      <c r="A117" s="84"/>
      <c r="B117" s="85"/>
      <c r="C117" s="85"/>
      <c r="D117" s="85"/>
      <c r="E117" s="86"/>
      <c r="F117" s="16">
        <f>IF(E117="","",DATEDIF(E117,$I$7,"Y"))</f>
      </c>
      <c r="G117" s="85"/>
      <c r="H117" s="85"/>
      <c r="I117" s="87"/>
      <c r="J117" s="85"/>
      <c r="K117" s="85"/>
      <c r="L117" s="2"/>
      <c r="M117" s="2"/>
      <c r="N117" s="1"/>
      <c r="O117" s="1"/>
      <c r="P117" s="85"/>
      <c r="Q117" s="88"/>
      <c r="R117" s="3">
        <f>IFERROR(VLOOKUP(TablaAgosto[[#This Row],[BARRIO]],SECTOR!$A:$B,2,0),"")</f>
      </c>
      <c r="S117" s="89"/>
      <c r="T117" s="90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6"/>
      <c r="AZ117" s="30">
        <f>COUNTIF(U117:AY117,"A")</f>
      </c>
      <c r="BA117" s="17">
        <f>COUNTIF(U117:AY117,"F")</f>
      </c>
      <c r="BB117" s="17">
        <f>COUNTIF(U117:AY117,"E")</f>
      </c>
    </row>
    <row r="118" spans="1:54" ht="15.75" customHeight="1" x14ac:dyDescent="0.2">
      <c r="A118" s="84"/>
      <c r="B118" s="85"/>
      <c r="C118" s="85"/>
      <c r="D118" s="85"/>
      <c r="E118" s="86"/>
      <c r="F118" s="16">
        <f>IF(E118="","",DATEDIF(E118,$I$7,"Y"))</f>
      </c>
      <c r="G118" s="85"/>
      <c r="H118" s="85"/>
      <c r="I118" s="87"/>
      <c r="J118" s="85"/>
      <c r="K118" s="85"/>
      <c r="L118" s="2"/>
      <c r="M118" s="2"/>
      <c r="N118" s="1"/>
      <c r="O118" s="1"/>
      <c r="P118" s="85"/>
      <c r="Q118" s="88"/>
      <c r="R118" s="3">
        <f>IFERROR(VLOOKUP(TablaAgosto[[#This Row],[BARRIO]],SECTOR!$A:$B,2,0),"")</f>
      </c>
      <c r="S118" s="89"/>
      <c r="T118" s="90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6"/>
      <c r="AZ118" s="30">
        <f>COUNTIF(U118:AY118,"A")</f>
      </c>
      <c r="BA118" s="17">
        <f>COUNTIF(U118:AY118,"F")</f>
      </c>
      <c r="BB118" s="17">
        <f>COUNTIF(U118:AY118,"E")</f>
      </c>
    </row>
    <row r="119" spans="1:54" ht="15.75" customHeight="1" x14ac:dyDescent="0.2">
      <c r="A119" s="84"/>
      <c r="B119" s="85"/>
      <c r="C119" s="85"/>
      <c r="D119" s="85"/>
      <c r="E119" s="86"/>
      <c r="F119" s="16">
        <f>IF(E119="","",DATEDIF(E119,$I$7,"Y"))</f>
      </c>
      <c r="G119" s="85"/>
      <c r="H119" s="85"/>
      <c r="I119" s="87"/>
      <c r="J119" s="85"/>
      <c r="K119" s="85"/>
      <c r="L119" s="2"/>
      <c r="M119" s="2"/>
      <c r="N119" s="1"/>
      <c r="O119" s="1"/>
      <c r="P119" s="85"/>
      <c r="Q119" s="88"/>
      <c r="R119" s="3">
        <f>IFERROR(VLOOKUP(TablaAgosto[[#This Row],[BARRIO]],SECTOR!$A:$B,2,0),"")</f>
      </c>
      <c r="S119" s="89"/>
      <c r="T119" s="90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6"/>
      <c r="AZ119" s="30">
        <f>COUNTIF(U119:AY119,"A")</f>
      </c>
      <c r="BA119" s="17">
        <f>COUNTIF(U119:AY119,"F")</f>
      </c>
      <c r="BB119" s="17">
        <f>COUNTIF(U119:AY119,"E")</f>
      </c>
    </row>
    <row r="120" spans="1:54" ht="15.75" customHeight="1" x14ac:dyDescent="0.2">
      <c r="A120" s="84"/>
      <c r="B120" s="85"/>
      <c r="C120" s="85"/>
      <c r="D120" s="85"/>
      <c r="E120" s="86"/>
      <c r="F120" s="16">
        <f>IF(E120="","",DATEDIF(E120,$I$7,"Y"))</f>
      </c>
      <c r="G120" s="85"/>
      <c r="H120" s="85"/>
      <c r="I120" s="87"/>
      <c r="J120" s="85"/>
      <c r="K120" s="85"/>
      <c r="L120" s="2"/>
      <c r="M120" s="2"/>
      <c r="N120" s="1"/>
      <c r="O120" s="1"/>
      <c r="P120" s="85"/>
      <c r="Q120" s="88"/>
      <c r="R120" s="3">
        <f>IFERROR(VLOOKUP(TablaAgosto[[#This Row],[BARRIO]],SECTOR!$A:$B,2,0),"")</f>
      </c>
      <c r="S120" s="89"/>
      <c r="T120" s="90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6"/>
      <c r="AZ120" s="30">
        <f>COUNTIF(U120:AY120,"A")</f>
      </c>
      <c r="BA120" s="17">
        <f>COUNTIF(U120:AY120,"F")</f>
      </c>
      <c r="BB120" s="17">
        <f>COUNTIF(U120:AY120,"E")</f>
      </c>
    </row>
    <row r="121" spans="1:54" ht="15.75" customHeight="1" x14ac:dyDescent="0.2">
      <c r="A121" s="84"/>
      <c r="B121" s="85"/>
      <c r="C121" s="85"/>
      <c r="D121" s="85"/>
      <c r="E121" s="86"/>
      <c r="F121" s="16">
        <f>IF(E121="","",DATEDIF(E121,$I$7,"Y"))</f>
      </c>
      <c r="G121" s="85"/>
      <c r="H121" s="85"/>
      <c r="I121" s="87"/>
      <c r="J121" s="85"/>
      <c r="K121" s="85"/>
      <c r="L121" s="2"/>
      <c r="M121" s="2"/>
      <c r="N121" s="1"/>
      <c r="O121" s="1"/>
      <c r="P121" s="85"/>
      <c r="Q121" s="88"/>
      <c r="R121" s="3">
        <f>IFERROR(VLOOKUP(TablaAgosto[[#This Row],[BARRIO]],SECTOR!$A:$B,2,0),"")</f>
      </c>
      <c r="S121" s="89"/>
      <c r="T121" s="90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6"/>
      <c r="AZ121" s="30">
        <f>COUNTIF(U121:AY121,"A")</f>
      </c>
      <c r="BA121" s="17">
        <f>COUNTIF(U121:AY121,"F")</f>
      </c>
      <c r="BB121" s="17">
        <f>COUNTIF(U121:AY121,"E")</f>
      </c>
    </row>
    <row r="122" spans="1:54" ht="15.75" customHeight="1" x14ac:dyDescent="0.2">
      <c r="A122" s="84"/>
      <c r="B122" s="85"/>
      <c r="C122" s="85"/>
      <c r="D122" s="85"/>
      <c r="E122" s="86"/>
      <c r="F122" s="16">
        <f>IF(E122="","",DATEDIF(E122,$I$7,"Y"))</f>
      </c>
      <c r="G122" s="85"/>
      <c r="H122" s="85"/>
      <c r="I122" s="87"/>
      <c r="J122" s="85"/>
      <c r="K122" s="85"/>
      <c r="L122" s="2"/>
      <c r="M122" s="2"/>
      <c r="N122" s="1"/>
      <c r="O122" s="1"/>
      <c r="P122" s="85"/>
      <c r="Q122" s="88"/>
      <c r="R122" s="3">
        <f>IFERROR(VLOOKUP(TablaAgosto[[#This Row],[BARRIO]],SECTOR!$A:$B,2,0),"")</f>
      </c>
      <c r="S122" s="89"/>
      <c r="T122" s="90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30">
        <f>COUNTIF(U122:AY122,"A")</f>
      </c>
      <c r="BA122" s="17">
        <f>COUNTIF(U122:AY122,"F")</f>
      </c>
      <c r="BB122" s="17">
        <f>COUNTIF(U122:AY122,"E")</f>
      </c>
    </row>
    <row r="123" spans="1:54" x14ac:dyDescent="0.2">
      <c r="A123" s="100"/>
      <c r="B123" s="101"/>
      <c r="C123" s="101"/>
      <c r="D123" s="101"/>
      <c r="E123" s="102"/>
      <c r="F123" s="16">
        <f>IF(E123="","",DATEDIF(E123,$I$7,"Y"))</f>
      </c>
      <c r="G123" s="101"/>
      <c r="H123" s="101"/>
      <c r="I123" s="103"/>
      <c r="J123" s="101"/>
      <c r="K123" s="101"/>
      <c r="L123" s="10"/>
      <c r="M123" s="10"/>
      <c r="N123" s="10"/>
      <c r="O123" s="10"/>
      <c r="P123" s="101"/>
      <c r="Q123" s="88"/>
      <c r="R123" s="3">
        <f>IFERROR(VLOOKUP(TablaAgosto[[#This Row],[BARRIO]],SECTOR!$A:$B,2,0),"")</f>
      </c>
      <c r="S123" s="104"/>
      <c r="T123" s="10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7"/>
      <c r="AZ123" s="30">
        <f>COUNTIF(U123:AY123,"A")</f>
      </c>
      <c r="BA123" s="32">
        <f>COUNTIF(U123:AY123,"F")</f>
      </c>
      <c r="BB123" s="118">
        <f>COUNTIF(U123:AY123,"E")</f>
      </c>
    </row>
    <row r="124" spans="1:54" x14ac:dyDescent="0.2">
      <c r="A124" s="100"/>
      <c r="B124" s="101"/>
      <c r="C124" s="101"/>
      <c r="D124" s="101"/>
      <c r="E124" s="102"/>
      <c r="F124" s="16">
        <f>IF(E124="","",DATEDIF(E124,$I$7,"Y"))</f>
      </c>
      <c r="G124" s="101"/>
      <c r="H124" s="101"/>
      <c r="I124" s="103"/>
      <c r="J124" s="101"/>
      <c r="K124" s="101"/>
      <c r="L124" s="10"/>
      <c r="M124" s="10"/>
      <c r="N124" s="10"/>
      <c r="O124" s="10"/>
      <c r="P124" s="101"/>
      <c r="Q124" s="88"/>
      <c r="R124" s="3">
        <f>IFERROR(VLOOKUP(TablaAgosto[[#This Row],[BARRIO]],SECTOR!$A:$B,2,0),"")</f>
      </c>
      <c r="S124" s="104"/>
      <c r="T124" s="10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7"/>
      <c r="AZ124" s="30">
        <f>COUNTIF(U124:AY124,"A")</f>
      </c>
      <c r="BA124" s="32">
        <f>COUNTIF(U124:AY124,"F")</f>
      </c>
      <c r="BB124" s="118">
        <f>COUNTIF(U124:AY124,"E")</f>
      </c>
    </row>
    <row r="125" spans="1:54" x14ac:dyDescent="0.2">
      <c r="A125" s="100"/>
      <c r="B125" s="106"/>
      <c r="C125" s="101"/>
      <c r="D125" s="101"/>
      <c r="E125" s="102"/>
      <c r="F125" s="16">
        <f>IF(E125="","",DATEDIF(E125,$I$7,"Y"))</f>
      </c>
      <c r="G125" s="101"/>
      <c r="H125" s="101"/>
      <c r="I125" s="103"/>
      <c r="J125" s="101"/>
      <c r="K125" s="101"/>
      <c r="L125" s="10"/>
      <c r="M125" s="10"/>
      <c r="N125" s="10"/>
      <c r="O125" s="10"/>
      <c r="P125" s="101"/>
      <c r="Q125" s="88"/>
      <c r="R125" s="3">
        <f>IFERROR(VLOOKUP(TablaAgosto[[#This Row],[BARRIO]],SECTOR!$A:$B,2,0),"")</f>
      </c>
      <c r="S125" s="104"/>
      <c r="T125" s="10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7"/>
      <c r="AZ125" s="30">
        <f>COUNTIF(U125:AY125,"A")</f>
      </c>
      <c r="BA125" s="32">
        <f>COUNTIF(U125:AY125,"F")</f>
      </c>
      <c r="BB125" s="118">
        <f>COUNTIF(U125:AY125,"E")</f>
      </c>
    </row>
    <row r="126" spans="1:54" x14ac:dyDescent="0.2">
      <c r="A126" s="84"/>
      <c r="B126" s="107"/>
      <c r="C126" s="85"/>
      <c r="D126" s="85"/>
      <c r="E126" s="86"/>
      <c r="F126" s="16">
        <f>IF(E126="","",DATEDIF(E126,$I$7,"Y"))</f>
      </c>
      <c r="G126" s="85"/>
      <c r="H126" s="85"/>
      <c r="I126" s="87"/>
      <c r="J126" s="85"/>
      <c r="K126" s="85"/>
      <c r="L126" s="10"/>
      <c r="M126" s="10"/>
      <c r="N126" s="10"/>
      <c r="O126" s="10"/>
      <c r="P126" s="85"/>
      <c r="Q126" s="88"/>
      <c r="R126" s="3">
        <f>IFERROR(VLOOKUP(TablaAgosto[[#This Row],[BARRIO]],SECTOR!$A:$B,2,0),"")</f>
      </c>
      <c r="S126" s="89"/>
      <c r="T126" s="90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6"/>
      <c r="AZ126" s="30">
        <f>COUNTIF(U126:AY126,"A")</f>
      </c>
      <c r="BA126" s="32">
        <f>COUNTIF(U126:AY126,"F")</f>
      </c>
      <c r="BB126" s="119">
        <f>COUNTIF(U126:AY126,"E")</f>
      </c>
    </row>
    <row r="127" spans="1:54" x14ac:dyDescent="0.2">
      <c r="A127" s="84"/>
      <c r="B127" s="107"/>
      <c r="C127" s="85"/>
      <c r="D127" s="85"/>
      <c r="E127" s="86"/>
      <c r="F127" s="16">
        <f>IF(E127="","",DATEDIF(E127,$I$7,"Y"))</f>
      </c>
      <c r="G127" s="85"/>
      <c r="H127" s="85"/>
      <c r="I127" s="87"/>
      <c r="J127" s="85"/>
      <c r="K127" s="85"/>
      <c r="L127" s="10"/>
      <c r="M127" s="10"/>
      <c r="N127" s="10"/>
      <c r="O127" s="10"/>
      <c r="P127" s="85"/>
      <c r="Q127" s="88"/>
      <c r="R127" s="3">
        <f>IFERROR(VLOOKUP(TablaAgosto[[#This Row],[BARRIO]],SECTOR!$A:$B,2,0),"")</f>
      </c>
      <c r="S127" s="89"/>
      <c r="T127" s="90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6"/>
      <c r="AZ127" s="120">
        <f>COUNTIF(U127:AY127,"A")</f>
      </c>
      <c r="BA127" s="121">
        <f>COUNTIF(U127:AY127,"F")</f>
      </c>
      <c r="BB127" s="119">
        <f>COUNTIF(U127:AY127,"E")</f>
      </c>
    </row>
    <row r="128" spans="1:54" x14ac:dyDescent="0.2">
      <c r="A128" s="84"/>
      <c r="B128" s="107"/>
      <c r="C128" s="85"/>
      <c r="D128" s="85"/>
      <c r="E128" s="86"/>
      <c r="F128" s="16">
        <f>IF(E128="","",DATEDIF(E128,$I$7,"Y"))</f>
      </c>
      <c r="G128" s="85"/>
      <c r="H128" s="85"/>
      <c r="I128" s="87"/>
      <c r="J128" s="85"/>
      <c r="K128" s="85"/>
      <c r="L128" s="10"/>
      <c r="M128" s="10"/>
      <c r="N128" s="10"/>
      <c r="O128" s="10"/>
      <c r="P128" s="85"/>
      <c r="Q128" s="88"/>
      <c r="R128" s="3">
        <f>IFERROR(VLOOKUP(TablaAgosto[[#This Row],[BARRIO]],SECTOR!$A:$B,2,0),"")</f>
      </c>
      <c r="S128" s="89"/>
      <c r="T128" s="90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6"/>
      <c r="AZ128" s="120">
        <f>COUNTIF(U128:AY128,"A")</f>
      </c>
      <c r="BA128" s="121">
        <f>COUNTIF(U128:AY128,"F")</f>
      </c>
      <c r="BB128" s="119">
        <f>COUNTIF(U128:AY128,"E")</f>
      </c>
    </row>
    <row r="129" spans="1:54" x14ac:dyDescent="0.2">
      <c r="A129" s="84"/>
      <c r="B129" s="107"/>
      <c r="C129" s="85"/>
      <c r="D129" s="85"/>
      <c r="E129" s="86"/>
      <c r="F129" s="16">
        <f>IF(E129="","",DATEDIF(E129,$I$7,"Y"))</f>
      </c>
      <c r="G129" s="85"/>
      <c r="H129" s="85"/>
      <c r="I129" s="87"/>
      <c r="J129" s="85"/>
      <c r="K129" s="85"/>
      <c r="L129" s="10"/>
      <c r="M129" s="10"/>
      <c r="N129" s="10"/>
      <c r="O129" s="10"/>
      <c r="P129" s="85"/>
      <c r="Q129" s="88"/>
      <c r="R129" s="3">
        <f>IFERROR(VLOOKUP(TablaAgosto[[#This Row],[BARRIO]],SECTOR!$A:$B,2,0),"")</f>
      </c>
      <c r="S129" s="89"/>
      <c r="T129" s="90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6"/>
      <c r="AZ129" s="120">
        <f>COUNTIF(U129:AY129,"A")</f>
      </c>
      <c r="BA129" s="121">
        <f>COUNTIF(U129:AY129,"F")</f>
      </c>
      <c r="BB129" s="119">
        <f>COUNTIF(U129:AY129,"E")</f>
      </c>
    </row>
    <row r="130" spans="1:54" x14ac:dyDescent="0.2">
      <c r="A130" s="84"/>
      <c r="B130" s="107"/>
      <c r="C130" s="85"/>
      <c r="D130" s="85"/>
      <c r="E130" s="86"/>
      <c r="F130" s="16">
        <f>IF(E130="","",DATEDIF(E130,$I$7,"Y"))</f>
      </c>
      <c r="G130" s="85"/>
      <c r="H130" s="85"/>
      <c r="I130" s="87"/>
      <c r="J130" s="85"/>
      <c r="K130" s="85"/>
      <c r="L130" s="10"/>
      <c r="M130" s="10"/>
      <c r="N130" s="10"/>
      <c r="O130" s="10"/>
      <c r="P130" s="85"/>
      <c r="Q130" s="88"/>
      <c r="R130" s="3">
        <f>IFERROR(VLOOKUP(TablaAgosto[[#This Row],[BARRIO]],SECTOR!$A:$B,2,0),"")</f>
      </c>
      <c r="S130" s="89"/>
      <c r="T130" s="90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6"/>
      <c r="AZ130" s="120">
        <f>COUNTIF(U130:AY130,"A")</f>
      </c>
      <c r="BA130" s="121">
        <f>COUNTIF(U130:AY130,"F")</f>
      </c>
      <c r="BB130" s="119">
        <f>COUNTIF(U130:AY130,"E")</f>
      </c>
    </row>
    <row r="131" spans="1:54" x14ac:dyDescent="0.2">
      <c r="A131" s="84"/>
      <c r="B131" s="107"/>
      <c r="C131" s="85"/>
      <c r="D131" s="85"/>
      <c r="E131" s="86"/>
      <c r="F131" s="16">
        <f>IF(E131="","",DATEDIF(E131,$I$7,"Y"))</f>
      </c>
      <c r="G131" s="85"/>
      <c r="H131" s="85"/>
      <c r="I131" s="87"/>
      <c r="J131" s="85"/>
      <c r="K131" s="85"/>
      <c r="L131" s="10"/>
      <c r="M131" s="10"/>
      <c r="N131" s="10"/>
      <c r="O131" s="10"/>
      <c r="P131" s="85"/>
      <c r="Q131" s="88"/>
      <c r="R131" s="3">
        <f>IFERROR(VLOOKUP(TablaAgosto[[#This Row],[BARRIO]],SECTOR!$A:$B,2,0),"")</f>
      </c>
      <c r="S131" s="89"/>
      <c r="T131" s="90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6"/>
      <c r="AZ131" s="120">
        <f>COUNTIF(U131:AY131,"A")</f>
      </c>
      <c r="BA131" s="121">
        <f>COUNTIF(U131:AY131,"F")</f>
      </c>
      <c r="BB131" s="119">
        <f>COUNTIF(U131:AY131,"E")</f>
      </c>
    </row>
    <row r="132" spans="1:54" x14ac:dyDescent="0.2">
      <c r="A132" s="84"/>
      <c r="B132" s="107"/>
      <c r="C132" s="85"/>
      <c r="D132" s="85"/>
      <c r="E132" s="86"/>
      <c r="F132" s="16">
        <f>IF(E132="","",DATEDIF(E132,$I$7,"Y"))</f>
      </c>
      <c r="G132" s="85"/>
      <c r="H132" s="85"/>
      <c r="I132" s="87"/>
      <c r="J132" s="85"/>
      <c r="K132" s="85"/>
      <c r="L132" s="10"/>
      <c r="M132" s="10"/>
      <c r="N132" s="10"/>
      <c r="O132" s="10"/>
      <c r="P132" s="85"/>
      <c r="Q132" s="88"/>
      <c r="R132" s="3">
        <f>IFERROR(VLOOKUP(TablaAgosto[[#This Row],[BARRIO]],SECTOR!$A:$B,2,0),"")</f>
      </c>
      <c r="S132" s="89"/>
      <c r="T132" s="90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6"/>
      <c r="AZ132" s="120">
        <f>COUNTIF(U132:AY132,"A")</f>
      </c>
      <c r="BA132" s="121">
        <f>COUNTIF(U132:AY132,"F")</f>
      </c>
      <c r="BB132" s="119">
        <f>COUNTIF(U132:AY132,"E")</f>
      </c>
    </row>
    <row r="133" spans="1:54" x14ac:dyDescent="0.2">
      <c r="A133" s="84"/>
      <c r="B133" s="107"/>
      <c r="C133" s="85"/>
      <c r="D133" s="85"/>
      <c r="E133" s="86"/>
      <c r="F133" s="16">
        <f>IF(E133="","",DATEDIF(E133,$I$7,"Y"))</f>
      </c>
      <c r="G133" s="85"/>
      <c r="H133" s="85"/>
      <c r="I133" s="87"/>
      <c r="J133" s="85"/>
      <c r="K133" s="85"/>
      <c r="L133" s="10"/>
      <c r="M133" s="10"/>
      <c r="N133" s="10"/>
      <c r="O133" s="10"/>
      <c r="P133" s="85"/>
      <c r="Q133" s="88"/>
      <c r="R133" s="3">
        <f>IFERROR(VLOOKUP(TablaAgosto[[#This Row],[BARRIO]],SECTOR!$A:$B,2,0),"")</f>
      </c>
      <c r="S133" s="89"/>
      <c r="T133" s="90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6"/>
      <c r="AZ133" s="120">
        <f>COUNTIF(U133:AY133,"A")</f>
      </c>
      <c r="BA133" s="121">
        <f>COUNTIF(U133:AY133,"F")</f>
      </c>
      <c r="BB133" s="119">
        <f>COUNTIF(U133:AY133,"E")</f>
      </c>
    </row>
    <row r="134" spans="1:54" x14ac:dyDescent="0.2">
      <c r="A134" s="84"/>
      <c r="B134" s="107"/>
      <c r="C134" s="85"/>
      <c r="D134" s="85"/>
      <c r="E134" s="86"/>
      <c r="F134" s="16">
        <f>IF(E134="","",DATEDIF(E134,$I$7,"Y"))</f>
      </c>
      <c r="G134" s="85"/>
      <c r="H134" s="85"/>
      <c r="I134" s="87"/>
      <c r="J134" s="85"/>
      <c r="K134" s="85"/>
      <c r="L134" s="10"/>
      <c r="M134" s="10"/>
      <c r="N134" s="10"/>
      <c r="O134" s="10"/>
      <c r="P134" s="85"/>
      <c r="Q134" s="88"/>
      <c r="R134" s="3">
        <f>IFERROR(VLOOKUP(TablaAgosto[[#This Row],[BARRIO]],SECTOR!$A:$B,2,0),"")</f>
      </c>
      <c r="S134" s="89"/>
      <c r="T134" s="90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6"/>
      <c r="AZ134" s="120">
        <f>COUNTIF(U134:AY134,"A")</f>
      </c>
      <c r="BA134" s="121">
        <f>COUNTIF(U134:AY134,"F")</f>
      </c>
      <c r="BB134" s="119">
        <f>COUNTIF(U134:AY134,"E")</f>
      </c>
    </row>
    <row r="135" spans="1:54" x14ac:dyDescent="0.2">
      <c r="A135" s="84"/>
      <c r="B135" s="107"/>
      <c r="C135" s="85"/>
      <c r="D135" s="85"/>
      <c r="E135" s="86"/>
      <c r="F135" s="16">
        <f>IF(E135="","",DATEDIF(E135,$I$7,"Y"))</f>
      </c>
      <c r="G135" s="85"/>
      <c r="H135" s="85"/>
      <c r="I135" s="87"/>
      <c r="J135" s="85"/>
      <c r="K135" s="85"/>
      <c r="L135" s="10"/>
      <c r="M135" s="10"/>
      <c r="N135" s="10"/>
      <c r="O135" s="10"/>
      <c r="P135" s="85"/>
      <c r="Q135" s="88"/>
      <c r="R135" s="3">
        <f>IFERROR(VLOOKUP(TablaAgosto[[#This Row],[BARRIO]],SECTOR!$A:$B,2,0),"")</f>
      </c>
      <c r="S135" s="89"/>
      <c r="T135" s="90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6"/>
      <c r="AZ135" s="120">
        <f>COUNTIF(U135:AY135,"A")</f>
      </c>
      <c r="BA135" s="121">
        <f>COUNTIF(U135:AY135,"F")</f>
      </c>
      <c r="BB135" s="119">
        <f>COUNTIF(U135:AY135,"E")</f>
      </c>
    </row>
    <row r="136" spans="1:54" x14ac:dyDescent="0.2">
      <c r="A136" s="84"/>
      <c r="B136" s="107"/>
      <c r="C136" s="85"/>
      <c r="D136" s="85"/>
      <c r="E136" s="86"/>
      <c r="F136" s="16">
        <f>IF(E136="","",DATEDIF(E136,$I$7,"Y"))</f>
      </c>
      <c r="G136" s="85"/>
      <c r="H136" s="85"/>
      <c r="I136" s="87"/>
      <c r="J136" s="85"/>
      <c r="K136" s="85"/>
      <c r="L136" s="10"/>
      <c r="M136" s="10"/>
      <c r="N136" s="10"/>
      <c r="O136" s="10"/>
      <c r="P136" s="85"/>
      <c r="Q136" s="88"/>
      <c r="R136" s="3">
        <f>IFERROR(VLOOKUP(TablaAgosto[[#This Row],[BARRIO]],SECTOR!$A:$B,2,0),"")</f>
      </c>
      <c r="S136" s="89"/>
      <c r="T136" s="90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6"/>
      <c r="AZ136" s="120">
        <f>COUNTIF(U136:AY136,"A")</f>
      </c>
      <c r="BA136" s="121">
        <f>COUNTIF(U136:AY136,"F")</f>
      </c>
      <c r="BB136" s="119">
        <f>COUNTIF(U136:AY136,"E")</f>
      </c>
    </row>
    <row r="137" spans="1:54" x14ac:dyDescent="0.2">
      <c r="A137" s="84"/>
      <c r="B137" s="107"/>
      <c r="C137" s="85"/>
      <c r="D137" s="85"/>
      <c r="E137" s="86"/>
      <c r="F137" s="16">
        <f>IF(E137="","",DATEDIF(E137,$I$7,"Y"))</f>
      </c>
      <c r="G137" s="85"/>
      <c r="H137" s="85"/>
      <c r="I137" s="87"/>
      <c r="J137" s="85"/>
      <c r="K137" s="85"/>
      <c r="L137" s="10"/>
      <c r="M137" s="10"/>
      <c r="N137" s="10"/>
      <c r="O137" s="10"/>
      <c r="P137" s="85"/>
      <c r="Q137" s="88"/>
      <c r="R137" s="3">
        <f>IFERROR(VLOOKUP(TablaAgosto[[#This Row],[BARRIO]],SECTOR!$A:$B,2,0),"")</f>
      </c>
      <c r="S137" s="89"/>
      <c r="T137" s="90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6"/>
      <c r="AZ137" s="120">
        <f>COUNTIF(U137:AY137,"A")</f>
      </c>
      <c r="BA137" s="121">
        <f>COUNTIF(U137:AY137,"F")</f>
      </c>
      <c r="BB137" s="119">
        <f>COUNTIF(U137:AY137,"E")</f>
      </c>
    </row>
    <row r="138" spans="1:54" x14ac:dyDescent="0.2">
      <c r="A138" s="84"/>
      <c r="B138" s="107"/>
      <c r="C138" s="85"/>
      <c r="D138" s="85"/>
      <c r="E138" s="86"/>
      <c r="F138" s="16">
        <f>IF(E138="","",DATEDIF(E138,$I$7,"Y"))</f>
      </c>
      <c r="G138" s="85"/>
      <c r="H138" s="85"/>
      <c r="I138" s="87"/>
      <c r="J138" s="85"/>
      <c r="K138" s="85"/>
      <c r="L138" s="10"/>
      <c r="M138" s="10"/>
      <c r="N138" s="10"/>
      <c r="O138" s="10"/>
      <c r="P138" s="85"/>
      <c r="Q138" s="88"/>
      <c r="R138" s="3">
        <f>IFERROR(VLOOKUP(TablaAgosto[[#This Row],[BARRIO]],SECTOR!$A:$B,2,0),"")</f>
      </c>
      <c r="S138" s="89"/>
      <c r="T138" s="90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6"/>
      <c r="AZ138" s="120">
        <f>COUNTIF(U138:AY138,"A")</f>
      </c>
      <c r="BA138" s="121">
        <f>COUNTIF(U138:AY138,"F")</f>
      </c>
      <c r="BB138" s="119">
        <f>COUNTIF(U138:AY138,"E")</f>
      </c>
    </row>
    <row r="139" spans="1:54" x14ac:dyDescent="0.2">
      <c r="A139" s="84"/>
      <c r="B139" s="107"/>
      <c r="C139" s="85"/>
      <c r="D139" s="85"/>
      <c r="E139" s="86"/>
      <c r="F139" s="16">
        <f>IF(E139="","",DATEDIF(E139,$I$7,"Y"))</f>
      </c>
      <c r="G139" s="85"/>
      <c r="H139" s="85"/>
      <c r="I139" s="87"/>
      <c r="J139" s="85"/>
      <c r="K139" s="85"/>
      <c r="L139" s="10"/>
      <c r="M139" s="10"/>
      <c r="N139" s="10"/>
      <c r="O139" s="10"/>
      <c r="P139" s="85"/>
      <c r="Q139" s="88"/>
      <c r="R139" s="3">
        <f>IFERROR(VLOOKUP(TablaAgosto[[#This Row],[BARRIO]],SECTOR!$A:$B,2,0),"")</f>
      </c>
      <c r="S139" s="89"/>
      <c r="T139" s="90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6"/>
      <c r="AZ139" s="120">
        <f>COUNTIF(U139:AY139,"A")</f>
      </c>
      <c r="BA139" s="121">
        <f>COUNTIF(U139:AY139,"F")</f>
      </c>
      <c r="BB139" s="119">
        <f>COUNTIF(U139:AY139,"E")</f>
      </c>
    </row>
    <row r="140" spans="1:54" x14ac:dyDescent="0.2">
      <c r="A140" s="84"/>
      <c r="B140" s="107"/>
      <c r="C140" s="85"/>
      <c r="D140" s="85"/>
      <c r="E140" s="86"/>
      <c r="F140" s="16">
        <f>IF(E140="","",DATEDIF(E140,$I$7,"Y"))</f>
      </c>
      <c r="G140" s="85"/>
      <c r="H140" s="85"/>
      <c r="I140" s="87"/>
      <c r="J140" s="85"/>
      <c r="K140" s="85"/>
      <c r="L140" s="10"/>
      <c r="M140" s="10"/>
      <c r="N140" s="10"/>
      <c r="O140" s="10"/>
      <c r="P140" s="85"/>
      <c r="Q140" s="88"/>
      <c r="R140" s="3">
        <f>IFERROR(VLOOKUP(TablaAgosto[[#This Row],[BARRIO]],SECTOR!$A:$B,2,0),"")</f>
      </c>
      <c r="S140" s="89"/>
      <c r="T140" s="90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6"/>
      <c r="AZ140" s="120">
        <f>COUNTIF(U140:AY140,"A")</f>
      </c>
      <c r="BA140" s="121">
        <f>COUNTIF(U140:AY140,"F")</f>
      </c>
      <c r="BB140" s="119">
        <f>COUNTIF(U140:AY140,"E")</f>
      </c>
    </row>
    <row r="141" spans="1:54" x14ac:dyDescent="0.2">
      <c r="A141" s="84"/>
      <c r="B141" s="107"/>
      <c r="C141" s="85"/>
      <c r="D141" s="85"/>
      <c r="E141" s="86"/>
      <c r="F141" s="16">
        <f>IF(E141="","",DATEDIF(E141,$I$7,"Y"))</f>
      </c>
      <c r="G141" s="85"/>
      <c r="H141" s="85"/>
      <c r="I141" s="87"/>
      <c r="J141" s="85"/>
      <c r="K141" s="85"/>
      <c r="L141" s="10"/>
      <c r="M141" s="10"/>
      <c r="N141" s="10"/>
      <c r="O141" s="10"/>
      <c r="P141" s="85"/>
      <c r="Q141" s="88"/>
      <c r="R141" s="3">
        <f>IFERROR(VLOOKUP(TablaAgosto[[#This Row],[BARRIO]],SECTOR!$A:$B,2,0),"")</f>
      </c>
      <c r="S141" s="89"/>
      <c r="T141" s="90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6"/>
      <c r="AZ141" s="120">
        <f>COUNTIF(U141:AY141,"A")</f>
      </c>
      <c r="BA141" s="121">
        <f>COUNTIF(U141:AY141,"F")</f>
      </c>
      <c r="BB141" s="119">
        <f>COUNTIF(U141:AY141,"E")</f>
      </c>
    </row>
    <row r="142" spans="1:54" x14ac:dyDescent="0.2">
      <c r="A142" s="84"/>
      <c r="B142" s="107"/>
      <c r="C142" s="85"/>
      <c r="D142" s="85"/>
      <c r="E142" s="86"/>
      <c r="F142" s="16">
        <f>IF(E142="","",DATEDIF(E142,$I$7,"Y"))</f>
      </c>
      <c r="G142" s="85"/>
      <c r="H142" s="85"/>
      <c r="I142" s="87"/>
      <c r="J142" s="85"/>
      <c r="K142" s="85"/>
      <c r="L142" s="10"/>
      <c r="M142" s="10"/>
      <c r="N142" s="10"/>
      <c r="O142" s="10"/>
      <c r="P142" s="85"/>
      <c r="Q142" s="88"/>
      <c r="R142" s="3">
        <f>IFERROR(VLOOKUP(TablaAgosto[[#This Row],[BARRIO]],SECTOR!$A:$B,2,0),"")</f>
      </c>
      <c r="S142" s="89"/>
      <c r="T142" s="90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6"/>
      <c r="AZ142" s="120">
        <f>COUNTIF(U142:AY142,"A")</f>
      </c>
      <c r="BA142" s="121">
        <f>COUNTIF(U142:AY142,"F")</f>
      </c>
      <c r="BB142" s="119">
        <f>COUNTIF(U142:AY142,"E")</f>
      </c>
    </row>
    <row r="143" spans="1:54" x14ac:dyDescent="0.2">
      <c r="A143" s="84"/>
      <c r="B143" s="107"/>
      <c r="C143" s="85"/>
      <c r="D143" s="85"/>
      <c r="E143" s="86"/>
      <c r="F143" s="16">
        <f>IF(E143="","",DATEDIF(E143,$I$7,"Y"))</f>
      </c>
      <c r="G143" s="85"/>
      <c r="H143" s="85"/>
      <c r="I143" s="87"/>
      <c r="J143" s="85"/>
      <c r="K143" s="85"/>
      <c r="L143" s="10"/>
      <c r="M143" s="10"/>
      <c r="N143" s="10"/>
      <c r="O143" s="10"/>
      <c r="P143" s="85"/>
      <c r="Q143" s="88"/>
      <c r="R143" s="3">
        <f>IFERROR(VLOOKUP(TablaAgosto[[#This Row],[BARRIO]],SECTOR!$A:$B,2,0),"")</f>
      </c>
      <c r="S143" s="89"/>
      <c r="T143" s="90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6"/>
      <c r="AZ143" s="120">
        <f>COUNTIF(U143:AY143,"A")</f>
      </c>
      <c r="BA143" s="121">
        <f>COUNTIF(U143:AY143,"F")</f>
      </c>
      <c r="BB143" s="119">
        <f>COUNTIF(U143:AY143,"E")</f>
      </c>
    </row>
    <row r="144" spans="1:54" x14ac:dyDescent="0.2">
      <c r="A144" s="84"/>
      <c r="B144" s="107"/>
      <c r="C144" s="85"/>
      <c r="D144" s="85"/>
      <c r="E144" s="86"/>
      <c r="F144" s="16">
        <f>IF(E144="","",DATEDIF(E144,$I$7,"Y"))</f>
      </c>
      <c r="G144" s="85"/>
      <c r="H144" s="85"/>
      <c r="I144" s="87"/>
      <c r="J144" s="85"/>
      <c r="K144" s="85"/>
      <c r="L144" s="10"/>
      <c r="M144" s="10"/>
      <c r="N144" s="10"/>
      <c r="O144" s="10"/>
      <c r="P144" s="85"/>
      <c r="Q144" s="88"/>
      <c r="R144" s="3">
        <f>IFERROR(VLOOKUP(TablaAgosto[[#This Row],[BARRIO]],SECTOR!$A:$B,2,0),"")</f>
      </c>
      <c r="S144" s="89"/>
      <c r="T144" s="90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6"/>
      <c r="AZ144" s="120">
        <f>COUNTIF(U144:AY144,"A")</f>
      </c>
      <c r="BA144" s="121">
        <f>COUNTIF(U144:AY144,"F")</f>
      </c>
      <c r="BB144" s="119">
        <f>COUNTIF(U144:AY144,"E")</f>
      </c>
    </row>
    <row r="145" spans="1:54" x14ac:dyDescent="0.2">
      <c r="A145" s="84"/>
      <c r="B145" s="107"/>
      <c r="C145" s="85"/>
      <c r="D145" s="85"/>
      <c r="E145" s="86"/>
      <c r="F145" s="16">
        <f>IF(E145="","",DATEDIF(E145,$I$7,"Y"))</f>
      </c>
      <c r="G145" s="85"/>
      <c r="H145" s="85"/>
      <c r="I145" s="87"/>
      <c r="J145" s="85"/>
      <c r="K145" s="85"/>
      <c r="L145" s="10"/>
      <c r="M145" s="10"/>
      <c r="N145" s="10"/>
      <c r="O145" s="10"/>
      <c r="P145" s="85"/>
      <c r="Q145" s="88"/>
      <c r="R145" s="3">
        <f>IFERROR(VLOOKUP(TablaAgosto[[#This Row],[BARRIO]],SECTOR!$A:$B,2,0),"")</f>
      </c>
      <c r="S145" s="89"/>
      <c r="T145" s="90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6"/>
      <c r="AZ145" s="120">
        <f>COUNTIF(U145:AY145,"A")</f>
      </c>
      <c r="BA145" s="121">
        <f>COUNTIF(U145:AY145,"F")</f>
      </c>
      <c r="BB145" s="119">
        <f>COUNTIF(U145:AY145,"E")</f>
      </c>
    </row>
    <row r="146" spans="1:54" x14ac:dyDescent="0.2">
      <c r="A146" s="84"/>
      <c r="B146" s="107"/>
      <c r="C146" s="85"/>
      <c r="D146" s="85"/>
      <c r="E146" s="86"/>
      <c r="F146" s="16">
        <f>IF(E146="","",DATEDIF(E146,$I$7,"Y"))</f>
      </c>
      <c r="G146" s="85"/>
      <c r="H146" s="85"/>
      <c r="I146" s="87"/>
      <c r="J146" s="85"/>
      <c r="K146" s="85"/>
      <c r="L146" s="10"/>
      <c r="M146" s="10"/>
      <c r="N146" s="10"/>
      <c r="O146" s="10"/>
      <c r="P146" s="85"/>
      <c r="Q146" s="88"/>
      <c r="R146" s="3">
        <f>IFERROR(VLOOKUP(TablaAgosto[[#This Row],[BARRIO]],SECTOR!$A:$B,2,0),"")</f>
      </c>
      <c r="S146" s="89"/>
      <c r="T146" s="90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6"/>
      <c r="AZ146" s="120">
        <f>COUNTIF(U146:AY146,"A")</f>
      </c>
      <c r="BA146" s="121">
        <f>COUNTIF(U146:AY146,"F")</f>
      </c>
      <c r="BB146" s="119">
        <f>COUNTIF(U146:AY146,"E")</f>
      </c>
    </row>
    <row r="147" spans="1:54" x14ac:dyDescent="0.2">
      <c r="A147" s="84"/>
      <c r="B147" s="107"/>
      <c r="C147" s="85"/>
      <c r="D147" s="85"/>
      <c r="E147" s="86"/>
      <c r="F147" s="16">
        <f>IF(E147="","",DATEDIF(E147,$I$7,"Y"))</f>
      </c>
      <c r="G147" s="85"/>
      <c r="H147" s="85"/>
      <c r="I147" s="87"/>
      <c r="J147" s="85"/>
      <c r="K147" s="85"/>
      <c r="L147" s="10"/>
      <c r="M147" s="10"/>
      <c r="N147" s="10"/>
      <c r="O147" s="10"/>
      <c r="P147" s="85"/>
      <c r="Q147" s="88"/>
      <c r="R147" s="3">
        <f>IFERROR(VLOOKUP(TablaAgosto[[#This Row],[BARRIO]],SECTOR!$A:$B,2,0),"")</f>
      </c>
      <c r="S147" s="89"/>
      <c r="T147" s="90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6"/>
      <c r="AZ147" s="120">
        <f>COUNTIF(U147:AY147,"A")</f>
      </c>
      <c r="BA147" s="121">
        <f>COUNTIF(U147:AY147,"F")</f>
      </c>
      <c r="BB147" s="119">
        <f>COUNTIF(U147:AY147,"E")</f>
      </c>
    </row>
    <row r="148" spans="1:54" x14ac:dyDescent="0.2">
      <c r="A148" s="84"/>
      <c r="B148" s="107"/>
      <c r="C148" s="85"/>
      <c r="D148" s="85"/>
      <c r="E148" s="86"/>
      <c r="F148" s="16">
        <f>IF(E148="","",DATEDIF(E148,$I$7,"Y"))</f>
      </c>
      <c r="G148" s="85"/>
      <c r="H148" s="85"/>
      <c r="I148" s="87"/>
      <c r="J148" s="85"/>
      <c r="K148" s="85"/>
      <c r="L148" s="10"/>
      <c r="M148" s="10"/>
      <c r="N148" s="10"/>
      <c r="O148" s="10"/>
      <c r="P148" s="85"/>
      <c r="Q148" s="88"/>
      <c r="R148" s="3">
        <f>IFERROR(VLOOKUP(TablaAgosto[[#This Row],[BARRIO]],SECTOR!$A:$B,2,0),"")</f>
      </c>
      <c r="S148" s="89"/>
      <c r="T148" s="90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6"/>
      <c r="AZ148" s="120">
        <f>COUNTIF(U148:AY148,"A")</f>
      </c>
      <c r="BA148" s="121">
        <f>COUNTIF(U148:AY148,"F")</f>
      </c>
      <c r="BB148" s="119">
        <f>COUNTIF(U148:AY148,"E")</f>
      </c>
    </row>
    <row r="149" spans="1:54" x14ac:dyDescent="0.2">
      <c r="A149" s="84"/>
      <c r="B149" s="107"/>
      <c r="C149" s="85"/>
      <c r="D149" s="85"/>
      <c r="E149" s="86"/>
      <c r="F149" s="16">
        <f>IF(E149="","",DATEDIF(E149,$I$7,"Y"))</f>
      </c>
      <c r="G149" s="85"/>
      <c r="H149" s="85"/>
      <c r="I149" s="87"/>
      <c r="J149" s="85"/>
      <c r="K149" s="85"/>
      <c r="L149" s="10"/>
      <c r="M149" s="10"/>
      <c r="N149" s="10"/>
      <c r="O149" s="10"/>
      <c r="P149" s="85"/>
      <c r="Q149" s="88"/>
      <c r="R149" s="3">
        <f>IFERROR(VLOOKUP(TablaAgosto[[#This Row],[BARRIO]],SECTOR!$A:$B,2,0),"")</f>
      </c>
      <c r="S149" s="89"/>
      <c r="T149" s="90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6"/>
      <c r="AZ149" s="120">
        <f>COUNTIF(U149:AY149,"A")</f>
      </c>
      <c r="BA149" s="121">
        <f>COUNTIF(U149:AY149,"F")</f>
      </c>
      <c r="BB149" s="119">
        <f>COUNTIF(U149:AY149,"E")</f>
      </c>
    </row>
    <row r="150" spans="1:54" x14ac:dyDescent="0.2">
      <c r="A150" s="84"/>
      <c r="B150" s="107"/>
      <c r="C150" s="85"/>
      <c r="D150" s="85"/>
      <c r="E150" s="86"/>
      <c r="F150" s="16">
        <f>IF(E150="","",DATEDIF(E150,$I$7,"Y"))</f>
      </c>
      <c r="G150" s="85"/>
      <c r="H150" s="85"/>
      <c r="I150" s="87"/>
      <c r="J150" s="85"/>
      <c r="K150" s="85"/>
      <c r="L150" s="10"/>
      <c r="M150" s="10"/>
      <c r="N150" s="10"/>
      <c r="O150" s="10"/>
      <c r="P150" s="85"/>
      <c r="Q150" s="88"/>
      <c r="R150" s="3">
        <f>IFERROR(VLOOKUP(TablaAgosto[[#This Row],[BARRIO]],SECTOR!$A:$B,2,0),"")</f>
      </c>
      <c r="S150" s="89"/>
      <c r="T150" s="90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6"/>
      <c r="AZ150" s="120">
        <f>COUNTIF(U150:AY150,"A")</f>
      </c>
      <c r="BA150" s="121">
        <f>COUNTIF(U150:AY150,"F")</f>
      </c>
      <c r="BB150" s="119">
        <f>COUNTIF(U150:AY150,"E")</f>
      </c>
    </row>
    <row r="151" spans="1:54" x14ac:dyDescent="0.2">
      <c r="A151" s="84"/>
      <c r="B151" s="107"/>
      <c r="C151" s="85"/>
      <c r="D151" s="85"/>
      <c r="E151" s="86"/>
      <c r="F151" s="16">
        <f>IF(E151="","",DATEDIF(E151,$I$7,"Y"))</f>
      </c>
      <c r="G151" s="85"/>
      <c r="H151" s="85"/>
      <c r="I151" s="87"/>
      <c r="J151" s="85"/>
      <c r="K151" s="85"/>
      <c r="L151" s="10"/>
      <c r="M151" s="10"/>
      <c r="N151" s="10"/>
      <c r="O151" s="10"/>
      <c r="P151" s="85"/>
      <c r="Q151" s="88"/>
      <c r="R151" s="3">
        <f>IFERROR(VLOOKUP(TablaAgosto[[#This Row],[BARRIO]],SECTOR!$A:$B,2,0),"")</f>
      </c>
      <c r="S151" s="89"/>
      <c r="T151" s="90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6"/>
      <c r="AZ151" s="120">
        <f>COUNTIF(U151:AY151,"A")</f>
      </c>
      <c r="BA151" s="121">
        <f>COUNTIF(U151:AY151,"F")</f>
      </c>
      <c r="BB151" s="119">
        <f>COUNTIF(U151:AY151,"E")</f>
      </c>
    </row>
    <row r="152" spans="1:54" x14ac:dyDescent="0.2">
      <c r="A152" s="84"/>
      <c r="B152" s="107"/>
      <c r="C152" s="85"/>
      <c r="D152" s="85"/>
      <c r="E152" s="86"/>
      <c r="F152" s="16">
        <f>IF(E152="","",DATEDIF(E152,$I$7,"Y"))</f>
      </c>
      <c r="G152" s="85"/>
      <c r="H152" s="85"/>
      <c r="I152" s="87"/>
      <c r="J152" s="85"/>
      <c r="K152" s="85"/>
      <c r="L152" s="10"/>
      <c r="M152" s="10"/>
      <c r="N152" s="10"/>
      <c r="O152" s="10"/>
      <c r="P152" s="85"/>
      <c r="Q152" s="88"/>
      <c r="R152" s="3">
        <f>IFERROR(VLOOKUP(TablaAgosto[[#This Row],[BARRIO]],SECTOR!$A:$B,2,0),"")</f>
      </c>
      <c r="S152" s="89"/>
      <c r="T152" s="90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6"/>
      <c r="AZ152" s="120">
        <f>COUNTIF(U152:AY152,"A")</f>
      </c>
      <c r="BA152" s="121">
        <f>COUNTIF(U152:AY152,"F")</f>
      </c>
      <c r="BB152" s="119">
        <f>COUNTIF(U152:AY152,"E")</f>
      </c>
    </row>
    <row r="153" spans="1:54" x14ac:dyDescent="0.2">
      <c r="A153" s="84"/>
      <c r="B153" s="107"/>
      <c r="C153" s="85"/>
      <c r="D153" s="85"/>
      <c r="E153" s="86"/>
      <c r="F153" s="16">
        <f>IF(E153="","",DATEDIF(E153,$I$7,"Y"))</f>
      </c>
      <c r="G153" s="85"/>
      <c r="H153" s="85"/>
      <c r="I153" s="87"/>
      <c r="J153" s="85"/>
      <c r="K153" s="85"/>
      <c r="L153" s="10"/>
      <c r="M153" s="10"/>
      <c r="N153" s="10"/>
      <c r="O153" s="10"/>
      <c r="P153" s="85"/>
      <c r="Q153" s="88"/>
      <c r="R153" s="3">
        <f>IFERROR(VLOOKUP(TablaAgosto[[#This Row],[BARRIO]],SECTOR!$A:$B,2,0),"")</f>
      </c>
      <c r="S153" s="89"/>
      <c r="T153" s="90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6"/>
      <c r="AZ153" s="120">
        <f>COUNTIF(U153:AY153,"A")</f>
      </c>
      <c r="BA153" s="121">
        <f>COUNTIF(U153:AY153,"F")</f>
      </c>
      <c r="BB153" s="119">
        <f>COUNTIF(U153:AY153,"E")</f>
      </c>
    </row>
    <row r="154" spans="1:54" x14ac:dyDescent="0.2">
      <c r="A154" s="84"/>
      <c r="B154" s="107"/>
      <c r="C154" s="85"/>
      <c r="D154" s="85"/>
      <c r="E154" s="86"/>
      <c r="F154" s="16">
        <f>IF(E154="","",DATEDIF(E154,$I$7,"Y"))</f>
      </c>
      <c r="G154" s="85"/>
      <c r="H154" s="85"/>
      <c r="I154" s="87"/>
      <c r="J154" s="85"/>
      <c r="K154" s="85"/>
      <c r="L154" s="10"/>
      <c r="M154" s="10"/>
      <c r="N154" s="10"/>
      <c r="O154" s="10"/>
      <c r="P154" s="85"/>
      <c r="Q154" s="88"/>
      <c r="R154" s="3">
        <f>IFERROR(VLOOKUP(TablaAgosto[[#This Row],[BARRIO]],SECTOR!$A:$B,2,0),"")</f>
      </c>
      <c r="S154" s="89"/>
      <c r="T154" s="90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6"/>
      <c r="AZ154" s="120">
        <f>COUNTIF(U154:AY154,"A")</f>
      </c>
      <c r="BA154" s="121">
        <f>COUNTIF(U154:AY154,"F")</f>
      </c>
      <c r="BB154" s="119">
        <f>COUNTIF(U154:AY154,"E")</f>
      </c>
    </row>
    <row r="155" spans="1:54" x14ac:dyDescent="0.2">
      <c r="A155" s="84"/>
      <c r="B155" s="107"/>
      <c r="C155" s="85"/>
      <c r="D155" s="85"/>
      <c r="E155" s="86"/>
      <c r="F155" s="16">
        <f>IF(E155="","",DATEDIF(E155,$I$7,"Y"))</f>
      </c>
      <c r="G155" s="85"/>
      <c r="H155" s="85"/>
      <c r="I155" s="87"/>
      <c r="J155" s="85"/>
      <c r="K155" s="85"/>
      <c r="L155" s="10"/>
      <c r="M155" s="10"/>
      <c r="N155" s="10"/>
      <c r="O155" s="10"/>
      <c r="P155" s="85"/>
      <c r="Q155" s="88"/>
      <c r="R155" s="3">
        <f>IFERROR(VLOOKUP(TablaAgosto[[#This Row],[BARRIO]],SECTOR!$A:$B,2,0),"")</f>
      </c>
      <c r="S155" s="89"/>
      <c r="T155" s="90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6"/>
      <c r="AZ155" s="120">
        <f>COUNTIF(U155:AY155,"A")</f>
      </c>
      <c r="BA155" s="121">
        <f>COUNTIF(U155:AY155,"F")</f>
      </c>
      <c r="BB155" s="119">
        <f>COUNTIF(U155:AY155,"E")</f>
      </c>
    </row>
    <row r="156" spans="1:54" x14ac:dyDescent="0.2">
      <c r="A156" s="84"/>
      <c r="B156" s="107"/>
      <c r="C156" s="85"/>
      <c r="D156" s="85"/>
      <c r="E156" s="86"/>
      <c r="F156" s="16">
        <f>IF(E156="","",DATEDIF(E156,$I$7,"Y"))</f>
      </c>
      <c r="G156" s="85"/>
      <c r="H156" s="85"/>
      <c r="I156" s="87"/>
      <c r="J156" s="85"/>
      <c r="K156" s="85"/>
      <c r="L156" s="10"/>
      <c r="M156" s="10"/>
      <c r="N156" s="10"/>
      <c r="O156" s="10"/>
      <c r="P156" s="85"/>
      <c r="Q156" s="88"/>
      <c r="R156" s="3">
        <f>IFERROR(VLOOKUP(TablaAgosto[[#This Row],[BARRIO]],SECTOR!$A:$B,2,0),"")</f>
      </c>
      <c r="S156" s="89"/>
      <c r="T156" s="90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6"/>
      <c r="AZ156" s="120">
        <f>COUNTIF(U156:AY156,"A")</f>
      </c>
      <c r="BA156" s="121">
        <f>COUNTIF(U156:AY156,"F")</f>
      </c>
      <c r="BB156" s="119">
        <f>COUNTIF(U156:AY156,"E")</f>
      </c>
    </row>
    <row r="157" spans="1:54" x14ac:dyDescent="0.2">
      <c r="A157" s="84"/>
      <c r="B157" s="107"/>
      <c r="C157" s="85"/>
      <c r="D157" s="85"/>
      <c r="E157" s="86"/>
      <c r="F157" s="16">
        <f>IF(E157="","",DATEDIF(E157,$I$7,"Y"))</f>
      </c>
      <c r="G157" s="85"/>
      <c r="H157" s="85"/>
      <c r="I157" s="87"/>
      <c r="J157" s="85"/>
      <c r="K157" s="85"/>
      <c r="L157" s="10"/>
      <c r="M157" s="10"/>
      <c r="N157" s="10"/>
      <c r="O157" s="10"/>
      <c r="P157" s="85"/>
      <c r="Q157" s="88"/>
      <c r="R157" s="3">
        <f>IFERROR(VLOOKUP(TablaAgosto[[#This Row],[BARRIO]],SECTOR!$A:$B,2,0),"")</f>
      </c>
      <c r="S157" s="89"/>
      <c r="T157" s="90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6"/>
      <c r="AZ157" s="120">
        <f>COUNTIF(U157:AY157,"A")</f>
      </c>
      <c r="BA157" s="121">
        <f>COUNTIF(U157:AY157,"F")</f>
      </c>
      <c r="BB157" s="119">
        <f>COUNTIF(U157:AY157,"E")</f>
      </c>
    </row>
    <row r="158" spans="1:54" x14ac:dyDescent="0.2">
      <c r="A158" s="84"/>
      <c r="B158" s="107"/>
      <c r="C158" s="85"/>
      <c r="D158" s="85"/>
      <c r="E158" s="86"/>
      <c r="F158" s="16">
        <f>IF(E158="","",DATEDIF(E158,$I$7,"Y"))</f>
      </c>
      <c r="G158" s="85"/>
      <c r="H158" s="85"/>
      <c r="I158" s="87"/>
      <c r="J158" s="85"/>
      <c r="K158" s="85"/>
      <c r="L158" s="10"/>
      <c r="M158" s="10"/>
      <c r="N158" s="10"/>
      <c r="O158" s="10"/>
      <c r="P158" s="85"/>
      <c r="Q158" s="88"/>
      <c r="R158" s="3">
        <f>IFERROR(VLOOKUP(TablaAgosto[[#This Row],[BARRIO]],SECTOR!$A:$B,2,0),"")</f>
      </c>
      <c r="S158" s="89"/>
      <c r="T158" s="90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6"/>
      <c r="AZ158" s="120">
        <f>COUNTIF(U158:AY158,"A")</f>
      </c>
      <c r="BA158" s="121">
        <f>COUNTIF(U158:AY158,"F")</f>
      </c>
      <c r="BB158" s="119">
        <f>COUNTIF(U158:AY158,"E")</f>
      </c>
    </row>
    <row r="159" spans="1:54" x14ac:dyDescent="0.2">
      <c r="A159" s="84"/>
      <c r="B159" s="107"/>
      <c r="C159" s="85"/>
      <c r="D159" s="85"/>
      <c r="E159" s="86"/>
      <c r="F159" s="16">
        <f>IF(E159="","",DATEDIF(E159,$I$7,"Y"))</f>
      </c>
      <c r="G159" s="85"/>
      <c r="H159" s="85"/>
      <c r="I159" s="87"/>
      <c r="J159" s="85"/>
      <c r="K159" s="85"/>
      <c r="L159" s="10"/>
      <c r="M159" s="10"/>
      <c r="N159" s="10"/>
      <c r="O159" s="10"/>
      <c r="P159" s="85"/>
      <c r="Q159" s="88"/>
      <c r="R159" s="3">
        <f>IFERROR(VLOOKUP(TablaAgosto[[#This Row],[BARRIO]],SECTOR!$A:$B,2,0),"")</f>
      </c>
      <c r="S159" s="89"/>
      <c r="T159" s="90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6"/>
      <c r="AZ159" s="120">
        <f>COUNTIF(U159:AY159,"A")</f>
      </c>
      <c r="BA159" s="121">
        <f>COUNTIF(U159:AY159,"F")</f>
      </c>
      <c r="BB159" s="119">
        <f>COUNTIF(U159:AY159,"E")</f>
      </c>
    </row>
    <row r="160" spans="1:54" x14ac:dyDescent="0.2">
      <c r="A160" s="84"/>
      <c r="B160" s="107"/>
      <c r="C160" s="85"/>
      <c r="D160" s="85"/>
      <c r="E160" s="86"/>
      <c r="F160" s="16">
        <f>IF(E160="","",DATEDIF(E160,$I$7,"Y"))</f>
      </c>
      <c r="G160" s="85"/>
      <c r="H160" s="85"/>
      <c r="I160" s="87"/>
      <c r="J160" s="85"/>
      <c r="K160" s="85"/>
      <c r="L160" s="10"/>
      <c r="M160" s="10"/>
      <c r="N160" s="10"/>
      <c r="O160" s="10"/>
      <c r="P160" s="85"/>
      <c r="Q160" s="88"/>
      <c r="R160" s="3">
        <f>IFERROR(VLOOKUP(TablaAgosto[[#This Row],[BARRIO]],SECTOR!$A:$B,2,0),"")</f>
      </c>
      <c r="S160" s="89"/>
      <c r="T160" s="90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6"/>
      <c r="AZ160" s="120">
        <f>COUNTIF(U160:AY160,"A")</f>
      </c>
      <c r="BA160" s="121">
        <f>COUNTIF(U160:AY160,"F")</f>
      </c>
      <c r="BB160" s="119">
        <f>COUNTIF(U160:AY160,"E")</f>
      </c>
    </row>
    <row r="161" spans="1:54" x14ac:dyDescent="0.2">
      <c r="A161" s="84"/>
      <c r="B161" s="107"/>
      <c r="C161" s="85"/>
      <c r="D161" s="85"/>
      <c r="E161" s="86"/>
      <c r="F161" s="16">
        <f>IF(E161="","",DATEDIF(E161,$I$7,"Y"))</f>
      </c>
      <c r="G161" s="85"/>
      <c r="H161" s="85"/>
      <c r="I161" s="87"/>
      <c r="J161" s="85"/>
      <c r="K161" s="85"/>
      <c r="L161" s="10"/>
      <c r="M161" s="10"/>
      <c r="N161" s="10"/>
      <c r="O161" s="10"/>
      <c r="P161" s="85"/>
      <c r="Q161" s="88"/>
      <c r="R161" s="3">
        <f>IFERROR(VLOOKUP(TablaAgosto[[#This Row],[BARRIO]],SECTOR!$A:$B,2,0),"")</f>
      </c>
      <c r="S161" s="89"/>
      <c r="T161" s="90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6"/>
      <c r="AZ161" s="120">
        <f>COUNTIF(U161:AY161,"A")</f>
      </c>
      <c r="BA161" s="121">
        <f>COUNTIF(U161:AY161,"F")</f>
      </c>
      <c r="BB161" s="119">
        <f>COUNTIF(U161:AY161,"E")</f>
      </c>
    </row>
    <row r="162" spans="1:54" x14ac:dyDescent="0.2">
      <c r="A162" s="84"/>
      <c r="B162" s="107"/>
      <c r="C162" s="85"/>
      <c r="D162" s="85"/>
      <c r="E162" s="86"/>
      <c r="F162" s="16">
        <f>IF(E162="","",DATEDIF(E162,$I$7,"Y"))</f>
      </c>
      <c r="G162" s="85"/>
      <c r="H162" s="85"/>
      <c r="I162" s="87"/>
      <c r="J162" s="85"/>
      <c r="K162" s="85"/>
      <c r="L162" s="10"/>
      <c r="M162" s="10"/>
      <c r="N162" s="10"/>
      <c r="O162" s="10"/>
      <c r="P162" s="85"/>
      <c r="Q162" s="88"/>
      <c r="R162" s="3">
        <f>IFERROR(VLOOKUP(TablaAgosto[[#This Row],[BARRIO]],SECTOR!$A:$B,2,0),"")</f>
      </c>
      <c r="S162" s="89"/>
      <c r="T162" s="90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6"/>
      <c r="AZ162" s="120">
        <f>COUNTIF(U162:AY162,"A")</f>
      </c>
      <c r="BA162" s="121">
        <f>COUNTIF(U162:AY162,"F")</f>
      </c>
      <c r="BB162" s="119">
        <f>COUNTIF(U162:AY162,"E")</f>
      </c>
    </row>
    <row r="163" spans="1:54" x14ac:dyDescent="0.2">
      <c r="A163" s="84"/>
      <c r="B163" s="107"/>
      <c r="C163" s="85"/>
      <c r="D163" s="85"/>
      <c r="E163" s="86"/>
      <c r="F163" s="16">
        <f>IF(E163="","",DATEDIF(E163,$I$7,"Y"))</f>
      </c>
      <c r="G163" s="85"/>
      <c r="H163" s="85"/>
      <c r="I163" s="87"/>
      <c r="J163" s="85"/>
      <c r="K163" s="85"/>
      <c r="L163" s="10"/>
      <c r="M163" s="10"/>
      <c r="N163" s="10"/>
      <c r="O163" s="10"/>
      <c r="P163" s="85"/>
      <c r="Q163" s="88"/>
      <c r="R163" s="3">
        <f>IFERROR(VLOOKUP(TablaAgosto[[#This Row],[BARRIO]],SECTOR!$A:$B,2,0),"")</f>
      </c>
      <c r="S163" s="89"/>
      <c r="T163" s="90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6"/>
      <c r="AZ163" s="120">
        <f>COUNTIF(U163:AY163,"A")</f>
      </c>
      <c r="BA163" s="121">
        <f>COUNTIF(U163:AY163,"F")</f>
      </c>
      <c r="BB163" s="119">
        <f>COUNTIF(U163:AY163,"E")</f>
      </c>
    </row>
    <row r="164" spans="1:54" x14ac:dyDescent="0.2">
      <c r="A164" s="84"/>
      <c r="B164" s="107"/>
      <c r="C164" s="85"/>
      <c r="D164" s="85"/>
      <c r="E164" s="86"/>
      <c r="F164" s="16">
        <f>IF(E164="","",DATEDIF(E164,$I$7,"Y"))</f>
      </c>
      <c r="G164" s="85"/>
      <c r="H164" s="85"/>
      <c r="I164" s="87"/>
      <c r="J164" s="85"/>
      <c r="K164" s="85"/>
      <c r="L164" s="10"/>
      <c r="M164" s="10"/>
      <c r="N164" s="10"/>
      <c r="O164" s="10"/>
      <c r="P164" s="85"/>
      <c r="Q164" s="88"/>
      <c r="R164" s="3">
        <f>IFERROR(VLOOKUP(TablaAgosto[[#This Row],[BARRIO]],SECTOR!$A:$B,2,0),"")</f>
      </c>
      <c r="S164" s="89"/>
      <c r="T164" s="90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6"/>
      <c r="AZ164" s="120">
        <f>COUNTIF(U164:AY164,"A")</f>
      </c>
      <c r="BA164" s="121">
        <f>COUNTIF(U164:AY164,"F")</f>
      </c>
      <c r="BB164" s="119">
        <f>COUNTIF(U164:AY164,"E")</f>
      </c>
    </row>
    <row r="165" spans="1:54" x14ac:dyDescent="0.2">
      <c r="A165" s="84"/>
      <c r="B165" s="107"/>
      <c r="C165" s="85"/>
      <c r="D165" s="85"/>
      <c r="E165" s="86"/>
      <c r="F165" s="16">
        <f>IF(E165="","",DATEDIF(E165,$I$7,"Y"))</f>
      </c>
      <c r="G165" s="85"/>
      <c r="H165" s="85"/>
      <c r="I165" s="87"/>
      <c r="J165" s="85"/>
      <c r="K165" s="85"/>
      <c r="L165" s="10"/>
      <c r="M165" s="10"/>
      <c r="N165" s="10"/>
      <c r="O165" s="10"/>
      <c r="P165" s="85"/>
      <c r="Q165" s="88"/>
      <c r="R165" s="3">
        <f>IFERROR(VLOOKUP(TablaAgosto[[#This Row],[BARRIO]],SECTOR!$A:$B,2,0),"")</f>
      </c>
      <c r="S165" s="89"/>
      <c r="T165" s="90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6"/>
      <c r="AZ165" s="120">
        <f>COUNTIF(U165:AY165,"A")</f>
      </c>
      <c r="BA165" s="121">
        <f>COUNTIF(U165:AY165,"F")</f>
      </c>
      <c r="BB165" s="119">
        <f>COUNTIF(U165:AY165,"E")</f>
      </c>
    </row>
    <row r="166" spans="1:54" x14ac:dyDescent="0.2">
      <c r="A166" s="84"/>
      <c r="B166" s="107"/>
      <c r="C166" s="85"/>
      <c r="D166" s="85"/>
      <c r="E166" s="86"/>
      <c r="F166" s="16">
        <f>IF(E166="","",DATEDIF(E166,$I$7,"Y"))</f>
      </c>
      <c r="G166" s="85"/>
      <c r="H166" s="85"/>
      <c r="I166" s="87"/>
      <c r="J166" s="85"/>
      <c r="K166" s="85"/>
      <c r="L166" s="10"/>
      <c r="M166" s="10"/>
      <c r="N166" s="10"/>
      <c r="O166" s="10"/>
      <c r="P166" s="85"/>
      <c r="Q166" s="88"/>
      <c r="R166" s="3">
        <f>IFERROR(VLOOKUP(TablaAgosto[[#This Row],[BARRIO]],SECTOR!$A:$B,2,0),"")</f>
      </c>
      <c r="S166" s="89"/>
      <c r="T166" s="90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6"/>
      <c r="AZ166" s="120">
        <f>COUNTIF(U166:AY166,"A")</f>
      </c>
      <c r="BA166" s="121">
        <f>COUNTIF(U166:AY166,"F")</f>
      </c>
      <c r="BB166" s="119">
        <f>COUNTIF(U166:AY166,"E")</f>
      </c>
    </row>
    <row r="167" spans="1:54" x14ac:dyDescent="0.2">
      <c r="A167" s="84"/>
      <c r="B167" s="107"/>
      <c r="C167" s="85"/>
      <c r="D167" s="85"/>
      <c r="E167" s="86"/>
      <c r="F167" s="16">
        <f>IF(E167="","",DATEDIF(E167,$I$7,"Y"))</f>
      </c>
      <c r="G167" s="85"/>
      <c r="H167" s="85"/>
      <c r="I167" s="87"/>
      <c r="J167" s="85"/>
      <c r="K167" s="85"/>
      <c r="L167" s="10"/>
      <c r="M167" s="10"/>
      <c r="N167" s="10"/>
      <c r="O167" s="10"/>
      <c r="P167" s="85"/>
      <c r="Q167" s="88"/>
      <c r="R167" s="3">
        <f>IFERROR(VLOOKUP(TablaAgosto[[#This Row],[BARRIO]],SECTOR!$A:$B,2,0),"")</f>
      </c>
      <c r="S167" s="89"/>
      <c r="T167" s="90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6"/>
      <c r="AZ167" s="120">
        <f>COUNTIF(U167:AY167,"A")</f>
      </c>
      <c r="BA167" s="121">
        <f>COUNTIF(U167:AY167,"F")</f>
      </c>
      <c r="BB167" s="119">
        <f>COUNTIF(U167:AY167,"E")</f>
      </c>
    </row>
    <row r="168" spans="1:54" x14ac:dyDescent="0.2">
      <c r="A168" s="84"/>
      <c r="B168" s="107"/>
      <c r="C168" s="85"/>
      <c r="D168" s="85"/>
      <c r="E168" s="86"/>
      <c r="F168" s="16">
        <f>IF(E168="","",DATEDIF(E168,$I$7,"Y"))</f>
      </c>
      <c r="G168" s="85"/>
      <c r="H168" s="85"/>
      <c r="I168" s="87"/>
      <c r="J168" s="85"/>
      <c r="K168" s="85"/>
      <c r="L168" s="2"/>
      <c r="M168" s="2"/>
      <c r="N168" s="10"/>
      <c r="O168" s="2"/>
      <c r="P168" s="85"/>
      <c r="Q168" s="88"/>
      <c r="R168" s="3">
        <f>IFERROR(VLOOKUP(TablaAgosto[[#This Row],[BARRIO]],SECTOR!$A:$B,2,0),"")</f>
      </c>
      <c r="S168" s="89"/>
      <c r="T168" s="90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6"/>
      <c r="AZ168" s="120">
        <f>COUNTIF(U168:AY168,"A")</f>
      </c>
      <c r="BA168" s="121">
        <f>COUNTIF(U168:AY168,"F")</f>
      </c>
      <c r="BB168" s="119">
        <f>COUNTIF(U168:AY168,"E")</f>
      </c>
    </row>
    <row r="169" spans="1:54" x14ac:dyDescent="0.2">
      <c r="A169" s="84"/>
      <c r="B169" s="85"/>
      <c r="C169" s="85"/>
      <c r="D169" s="85"/>
      <c r="E169" s="86"/>
      <c r="F169" s="16">
        <f>IF(E169="","",DATEDIF(E169,$I$7,"Y"))</f>
      </c>
      <c r="G169" s="85"/>
      <c r="H169" s="85"/>
      <c r="I169" s="87"/>
      <c r="J169" s="85"/>
      <c r="K169" s="85"/>
      <c r="L169" s="10"/>
      <c r="M169" s="10"/>
      <c r="N169" s="10"/>
      <c r="O169" s="10"/>
      <c r="P169" s="85"/>
      <c r="Q169" s="88"/>
      <c r="R169" s="3">
        <f>IFERROR(VLOOKUP(TablaAgosto[[#This Row],[BARRIO]],SECTOR!$A:$B,2,0),"")</f>
      </c>
      <c r="S169" s="89"/>
      <c r="T169" s="90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6"/>
      <c r="AZ169" s="30">
        <f>COUNTIF(U169:AY169,"A")</f>
      </c>
      <c r="BA169" s="32">
        <f>COUNTIF(U169:AY169,"F")</f>
      </c>
      <c r="BB169" s="119">
        <f>COUNTIF(U169:AY169,"E")</f>
      </c>
    </row>
    <row r="170" spans="1:54" x14ac:dyDescent="0.2">
      <c r="A170" s="84"/>
      <c r="B170" s="85"/>
      <c r="C170" s="85"/>
      <c r="D170" s="85"/>
      <c r="E170" s="86"/>
      <c r="F170" s="16">
        <f>IF(E170="","",DATEDIF(E170,$I$7,"Y"))</f>
      </c>
      <c r="G170" s="85"/>
      <c r="H170" s="85"/>
      <c r="I170" s="87"/>
      <c r="J170" s="85"/>
      <c r="K170" s="85"/>
      <c r="L170" s="10"/>
      <c r="M170" s="10"/>
      <c r="N170" s="10"/>
      <c r="O170" s="10"/>
      <c r="P170" s="85"/>
      <c r="Q170" s="88"/>
      <c r="R170" s="3">
        <f>IFERROR(VLOOKUP(TablaAgosto[[#This Row],[BARRIO]],SECTOR!$A:$B,2,0),"")</f>
      </c>
      <c r="S170" s="89"/>
      <c r="T170" s="90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6"/>
      <c r="AZ170" s="120">
        <f>COUNTIF(U170:AY170,"A")</f>
      </c>
      <c r="BA170" s="121">
        <f>COUNTIF(U170:AY170,"F")</f>
      </c>
      <c r="BB170" s="119">
        <f>COUNTIF(U170:AY170,"E")</f>
      </c>
    </row>
    <row r="171" spans="1:54" x14ac:dyDescent="0.2">
      <c r="A171" s="84"/>
      <c r="B171" s="85"/>
      <c r="C171" s="85"/>
      <c r="D171" s="85"/>
      <c r="E171" s="86"/>
      <c r="F171" s="16">
        <f>IF(E171="","",DATEDIF(E171,$I$7,"Y"))</f>
      </c>
      <c r="G171" s="85"/>
      <c r="H171" s="85"/>
      <c r="I171" s="87"/>
      <c r="J171" s="85"/>
      <c r="K171" s="85"/>
      <c r="L171" s="10"/>
      <c r="M171" s="10"/>
      <c r="N171" s="10"/>
      <c r="O171" s="10"/>
      <c r="P171" s="85"/>
      <c r="Q171" s="88"/>
      <c r="R171" s="3">
        <f>IFERROR(VLOOKUP(TablaAgosto[[#This Row],[BARRIO]],SECTOR!$A:$B,2,0),"")</f>
      </c>
      <c r="S171" s="89"/>
      <c r="T171" s="90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6"/>
      <c r="AZ171" s="120">
        <f>COUNTIF(U171:AY171,"A")</f>
      </c>
      <c r="BA171" s="121">
        <f>COUNTIF(U171:AY171,"F")</f>
      </c>
      <c r="BB171" s="119">
        <f>COUNTIF(U171:AY171,"E")</f>
      </c>
    </row>
    <row r="172" spans="1:54" x14ac:dyDescent="0.2">
      <c r="A172" s="84"/>
      <c r="B172" s="85"/>
      <c r="C172" s="85"/>
      <c r="D172" s="85"/>
      <c r="E172" s="86"/>
      <c r="F172" s="16">
        <f>IF(E172="","",DATEDIF(E172,$I$7,"Y"))</f>
      </c>
      <c r="G172" s="85"/>
      <c r="H172" s="85"/>
      <c r="I172" s="87"/>
      <c r="J172" s="85"/>
      <c r="K172" s="85"/>
      <c r="L172" s="10"/>
      <c r="M172" s="10"/>
      <c r="N172" s="10"/>
      <c r="O172" s="10"/>
      <c r="P172" s="85"/>
      <c r="Q172" s="88"/>
      <c r="R172" s="3">
        <f>IFERROR(VLOOKUP(TablaAgosto[[#This Row],[BARRIO]],SECTOR!$A:$B,2,0),"")</f>
      </c>
      <c r="S172" s="89"/>
      <c r="T172" s="90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6"/>
      <c r="AZ172" s="120">
        <f>COUNTIF(U172:AY172,"A")</f>
      </c>
      <c r="BA172" s="121">
        <f>COUNTIF(U172:AY172,"F")</f>
      </c>
      <c r="BB172" s="119">
        <f>COUNTIF(U172:AY172,"E")</f>
      </c>
    </row>
    <row r="173" spans="1:54" x14ac:dyDescent="0.2">
      <c r="A173" s="84"/>
      <c r="B173" s="85"/>
      <c r="C173" s="85"/>
      <c r="D173" s="85"/>
      <c r="E173" s="86"/>
      <c r="F173" s="16">
        <f>IF(E173="","",DATEDIF(E173,$I$7,"Y"))</f>
      </c>
      <c r="G173" s="85"/>
      <c r="H173" s="85"/>
      <c r="I173" s="87"/>
      <c r="J173" s="85"/>
      <c r="K173" s="85"/>
      <c r="L173" s="10"/>
      <c r="M173" s="10"/>
      <c r="N173" s="10"/>
      <c r="O173" s="10"/>
      <c r="P173" s="85"/>
      <c r="Q173" s="88"/>
      <c r="R173" s="3">
        <f>IFERROR(VLOOKUP(TablaAgosto[[#This Row],[BARRIO]],SECTOR!$A:$B,2,0),"")</f>
      </c>
      <c r="S173" s="89"/>
      <c r="T173" s="90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6"/>
      <c r="AZ173" s="120">
        <f>COUNTIF(U173:AY173,"A")</f>
      </c>
      <c r="BA173" s="121">
        <f>COUNTIF(U173:AY173,"F")</f>
      </c>
      <c r="BB173" s="119">
        <f>COUNTIF(U173:AY173,"E")</f>
      </c>
    </row>
    <row r="174" spans="1:54" x14ac:dyDescent="0.2">
      <c r="A174" s="84"/>
      <c r="B174" s="85"/>
      <c r="C174" s="85"/>
      <c r="D174" s="85"/>
      <c r="E174" s="86"/>
      <c r="F174" s="16">
        <f>IF(E174="","",DATEDIF(E174,$I$7,"Y"))</f>
      </c>
      <c r="G174" s="85"/>
      <c r="H174" s="85"/>
      <c r="I174" s="87"/>
      <c r="J174" s="85"/>
      <c r="K174" s="85"/>
      <c r="L174" s="10"/>
      <c r="M174" s="10"/>
      <c r="N174" s="10"/>
      <c r="O174" s="10"/>
      <c r="P174" s="85"/>
      <c r="Q174" s="88"/>
      <c r="R174" s="3">
        <f>IFERROR(VLOOKUP(TablaAgosto[[#This Row],[BARRIO]],SECTOR!$A:$B,2,0),"")</f>
      </c>
      <c r="S174" s="89"/>
      <c r="T174" s="90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6"/>
      <c r="AZ174" s="120">
        <f>COUNTIF(U174:AY174,"A")</f>
      </c>
      <c r="BA174" s="121">
        <f>COUNTIF(U174:AY174,"F")</f>
      </c>
      <c r="BB174" s="119">
        <f>COUNTIF(U174:AY174,"E")</f>
      </c>
    </row>
    <row r="175" spans="1:54" x14ac:dyDescent="0.2">
      <c r="A175" s="84"/>
      <c r="B175" s="85"/>
      <c r="C175" s="85"/>
      <c r="D175" s="85"/>
      <c r="E175" s="86"/>
      <c r="F175" s="16">
        <f>IF(E175="","",DATEDIF(E175,$I$7,"Y"))</f>
      </c>
      <c r="G175" s="85"/>
      <c r="H175" s="85"/>
      <c r="I175" s="87"/>
      <c r="J175" s="85"/>
      <c r="K175" s="85"/>
      <c r="L175" s="10"/>
      <c r="M175" s="10"/>
      <c r="N175" s="10"/>
      <c r="O175" s="10"/>
      <c r="P175" s="85"/>
      <c r="Q175" s="88"/>
      <c r="R175" s="3">
        <f>IFERROR(VLOOKUP(TablaAgosto[[#This Row],[BARRIO]],SECTOR!$A:$B,2,0),"")</f>
      </c>
      <c r="S175" s="89"/>
      <c r="T175" s="90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6"/>
      <c r="AZ175" s="120">
        <f>COUNTIF(U175:AY175,"A")</f>
      </c>
      <c r="BA175" s="121">
        <f>COUNTIF(U175:AY175,"F")</f>
      </c>
      <c r="BB175" s="119">
        <f>COUNTIF(U175:AY175,"E")</f>
      </c>
    </row>
    <row r="176" spans="1:54" x14ac:dyDescent="0.2">
      <c r="A176" s="84"/>
      <c r="B176" s="85"/>
      <c r="C176" s="85"/>
      <c r="D176" s="85"/>
      <c r="E176" s="86"/>
      <c r="F176" s="16">
        <f>IF(E176="","",DATEDIF(E176,$I$7,"Y"))</f>
      </c>
      <c r="G176" s="85"/>
      <c r="H176" s="85"/>
      <c r="I176" s="87"/>
      <c r="J176" s="85"/>
      <c r="K176" s="85"/>
      <c r="L176" s="10"/>
      <c r="M176" s="10"/>
      <c r="N176" s="10"/>
      <c r="O176" s="10"/>
      <c r="P176" s="85"/>
      <c r="Q176" s="88"/>
      <c r="R176" s="3">
        <f>IFERROR(VLOOKUP(TablaAgosto[[#This Row],[BARRIO]],SECTOR!$A:$B,2,0),"")</f>
      </c>
      <c r="S176" s="89"/>
      <c r="T176" s="90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6"/>
      <c r="AZ176" s="120">
        <f>COUNTIF(U176:AY176,"A")</f>
      </c>
      <c r="BA176" s="121">
        <f>COUNTIF(U176:AY176,"F")</f>
      </c>
      <c r="BB176" s="119">
        <f>COUNTIF(U176:AY176,"E")</f>
      </c>
    </row>
    <row r="177" spans="1:54" x14ac:dyDescent="0.2">
      <c r="A177" s="84"/>
      <c r="B177" s="85"/>
      <c r="C177" s="85"/>
      <c r="D177" s="85"/>
      <c r="E177" s="86"/>
      <c r="F177" s="16">
        <f>IF(E177="","",DATEDIF(E177,$I$7,"Y"))</f>
      </c>
      <c r="G177" s="85"/>
      <c r="H177" s="85"/>
      <c r="I177" s="87"/>
      <c r="J177" s="85"/>
      <c r="K177" s="85"/>
      <c r="L177" s="10"/>
      <c r="M177" s="10"/>
      <c r="N177" s="10"/>
      <c r="O177" s="10"/>
      <c r="P177" s="85"/>
      <c r="Q177" s="88"/>
      <c r="R177" s="3">
        <f>IFERROR(VLOOKUP(TablaAgosto[[#This Row],[BARRIO]],SECTOR!$A:$B,2,0),"")</f>
      </c>
      <c r="S177" s="89"/>
      <c r="T177" s="90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6"/>
      <c r="AZ177" s="120">
        <f>COUNTIF(U177:AY177,"A")</f>
      </c>
      <c r="BA177" s="121">
        <f>COUNTIF(U177:AY177,"F")</f>
      </c>
      <c r="BB177" s="119">
        <f>COUNTIF(U177:AY177,"E")</f>
      </c>
    </row>
    <row r="178" spans="1:54" x14ac:dyDescent="0.2">
      <c r="A178" s="84"/>
      <c r="B178" s="85"/>
      <c r="C178" s="85"/>
      <c r="D178" s="85"/>
      <c r="E178" s="86"/>
      <c r="F178" s="16">
        <f>IF(E178="","",DATEDIF(E178,$I$7,"Y"))</f>
      </c>
      <c r="G178" s="85"/>
      <c r="H178" s="85"/>
      <c r="I178" s="87"/>
      <c r="J178" s="85"/>
      <c r="K178" s="85"/>
      <c r="L178" s="10"/>
      <c r="M178" s="10"/>
      <c r="N178" s="10"/>
      <c r="O178" s="10"/>
      <c r="P178" s="85"/>
      <c r="Q178" s="88"/>
      <c r="R178" s="3">
        <f>IFERROR(VLOOKUP(TablaAgosto[[#This Row],[BARRIO]],SECTOR!$A:$B,2,0),"")</f>
      </c>
      <c r="S178" s="89"/>
      <c r="T178" s="90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6"/>
      <c r="AZ178" s="120">
        <f>COUNTIF(U178:AY178,"A")</f>
      </c>
      <c r="BA178" s="121">
        <f>COUNTIF(U178:AY178,"F")</f>
      </c>
      <c r="BB178" s="119">
        <f>COUNTIF(U178:AY178,"E")</f>
      </c>
    </row>
    <row r="179" spans="1:54" x14ac:dyDescent="0.2">
      <c r="A179" s="84"/>
      <c r="B179" s="85"/>
      <c r="C179" s="85"/>
      <c r="D179" s="85"/>
      <c r="E179" s="86"/>
      <c r="F179" s="16">
        <f>IF(E179="","",DATEDIF(E179,$I$7,"Y"))</f>
      </c>
      <c r="G179" s="85"/>
      <c r="H179" s="85"/>
      <c r="I179" s="87"/>
      <c r="J179" s="85"/>
      <c r="K179" s="85"/>
      <c r="L179" s="10"/>
      <c r="M179" s="10"/>
      <c r="N179" s="10"/>
      <c r="O179" s="10"/>
      <c r="P179" s="85"/>
      <c r="Q179" s="88"/>
      <c r="R179" s="3">
        <f>IFERROR(VLOOKUP(TablaAgosto[[#This Row],[BARRIO]],SECTOR!$A:$B,2,0),"")</f>
      </c>
      <c r="S179" s="89"/>
      <c r="T179" s="90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6"/>
      <c r="AZ179" s="120">
        <f>COUNTIF(U179:AY179,"A")</f>
      </c>
      <c r="BA179" s="121">
        <f>COUNTIF(U179:AY179,"F")</f>
      </c>
      <c r="BB179" s="119">
        <f>COUNTIF(U179:AY179,"E")</f>
      </c>
    </row>
    <row r="180" spans="1:54" x14ac:dyDescent="0.2">
      <c r="A180" s="84"/>
      <c r="B180" s="85"/>
      <c r="C180" s="85"/>
      <c r="D180" s="85"/>
      <c r="E180" s="86"/>
      <c r="F180" s="16">
        <f>IF(E180="","",DATEDIF(E180,$I$7,"Y"))</f>
      </c>
      <c r="G180" s="85"/>
      <c r="H180" s="85"/>
      <c r="I180" s="87"/>
      <c r="J180" s="85"/>
      <c r="K180" s="85"/>
      <c r="L180" s="10"/>
      <c r="M180" s="10"/>
      <c r="N180" s="10"/>
      <c r="O180" s="10"/>
      <c r="P180" s="85"/>
      <c r="Q180" s="88"/>
      <c r="R180" s="3">
        <f>IFERROR(VLOOKUP(TablaAgosto[[#This Row],[BARRIO]],SECTOR!$A:$B,2,0),"")</f>
      </c>
      <c r="S180" s="89"/>
      <c r="T180" s="90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6"/>
      <c r="AZ180" s="120">
        <f>COUNTIF(U180:AY180,"A")</f>
      </c>
      <c r="BA180" s="121">
        <f>COUNTIF(U180:AY180,"F")</f>
      </c>
      <c r="BB180" s="119">
        <f>COUNTIF(U180:AY180,"E")</f>
      </c>
    </row>
    <row r="181" spans="1:54" x14ac:dyDescent="0.2">
      <c r="A181" s="84"/>
      <c r="B181" s="85"/>
      <c r="C181" s="85"/>
      <c r="D181" s="85"/>
      <c r="E181" s="86"/>
      <c r="F181" s="16">
        <f>IF(E181="","",DATEDIF(E181,$I$7,"Y"))</f>
      </c>
      <c r="G181" s="85"/>
      <c r="H181" s="85"/>
      <c r="I181" s="87"/>
      <c r="J181" s="85"/>
      <c r="K181" s="85"/>
      <c r="L181" s="10"/>
      <c r="M181" s="10"/>
      <c r="N181" s="10"/>
      <c r="O181" s="10"/>
      <c r="P181" s="85"/>
      <c r="Q181" s="88"/>
      <c r="R181" s="3">
        <f>IFERROR(VLOOKUP(TablaAgosto[[#This Row],[BARRIO]],SECTOR!$A:$B,2,0),"")</f>
      </c>
      <c r="S181" s="89"/>
      <c r="T181" s="90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6"/>
      <c r="AZ181" s="120">
        <f>COUNTIF(U181:AY181,"A")</f>
      </c>
      <c r="BA181" s="121">
        <f>COUNTIF(U181:AY181,"F")</f>
      </c>
      <c r="BB181" s="119">
        <f>COUNTIF(U181:AY181,"E")</f>
      </c>
    </row>
    <row r="182" spans="1:54" x14ac:dyDescent="0.2">
      <c r="A182" s="84"/>
      <c r="B182" s="85"/>
      <c r="C182" s="85"/>
      <c r="D182" s="85"/>
      <c r="E182" s="86"/>
      <c r="F182" s="16">
        <f>IF(E182="","",DATEDIF(E182,$I$7,"Y"))</f>
      </c>
      <c r="G182" s="85"/>
      <c r="H182" s="85"/>
      <c r="I182" s="87"/>
      <c r="J182" s="85"/>
      <c r="K182" s="85"/>
      <c r="L182" s="10"/>
      <c r="M182" s="10"/>
      <c r="N182" s="10"/>
      <c r="O182" s="10"/>
      <c r="P182" s="85"/>
      <c r="Q182" s="88"/>
      <c r="R182" s="3">
        <f>IFERROR(VLOOKUP(TablaAgosto[[#This Row],[BARRIO]],SECTOR!$A:$B,2,0),"")</f>
      </c>
      <c r="S182" s="89"/>
      <c r="T182" s="90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6"/>
      <c r="AZ182" s="120">
        <f>COUNTIF(U182:AY182,"A")</f>
      </c>
      <c r="BA182" s="121">
        <f>COUNTIF(U182:AY182,"F")</f>
      </c>
      <c r="BB182" s="119">
        <f>COUNTIF(U182:AY182,"E")</f>
      </c>
    </row>
    <row r="183" spans="1:54" x14ac:dyDescent="0.2">
      <c r="A183" s="84"/>
      <c r="B183" s="85"/>
      <c r="C183" s="85"/>
      <c r="D183" s="85"/>
      <c r="E183" s="86"/>
      <c r="F183" s="16">
        <f>IF(E183="","",DATEDIF(E183,$I$7,"Y"))</f>
      </c>
      <c r="G183" s="85"/>
      <c r="H183" s="85"/>
      <c r="I183" s="87"/>
      <c r="J183" s="85"/>
      <c r="K183" s="85"/>
      <c r="L183" s="10"/>
      <c r="M183" s="10"/>
      <c r="N183" s="10"/>
      <c r="O183" s="10"/>
      <c r="P183" s="85"/>
      <c r="Q183" s="88"/>
      <c r="R183" s="3">
        <f>IFERROR(VLOOKUP(TablaAgosto[[#This Row],[BARRIO]],SECTOR!$A:$B,2,0),"")</f>
      </c>
      <c r="S183" s="89"/>
      <c r="T183" s="90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6"/>
      <c r="AZ183" s="120">
        <f>COUNTIF(U183:AY183,"A")</f>
      </c>
      <c r="BA183" s="121">
        <f>COUNTIF(U183:AY183,"F")</f>
      </c>
      <c r="BB183" s="119">
        <f>COUNTIF(U183:AY183,"E")</f>
      </c>
    </row>
    <row r="184" spans="1:54" x14ac:dyDescent="0.2">
      <c r="A184" s="84"/>
      <c r="B184" s="85"/>
      <c r="C184" s="85"/>
      <c r="D184" s="85"/>
      <c r="E184" s="86"/>
      <c r="F184" s="16">
        <f>IF(E184="","",DATEDIF(E184,$I$7,"Y"))</f>
      </c>
      <c r="G184" s="85"/>
      <c r="H184" s="85"/>
      <c r="I184" s="87"/>
      <c r="J184" s="85"/>
      <c r="K184" s="85"/>
      <c r="L184" s="10"/>
      <c r="M184" s="10"/>
      <c r="N184" s="10"/>
      <c r="O184" s="10"/>
      <c r="P184" s="85"/>
      <c r="Q184" s="88"/>
      <c r="R184" s="3">
        <f>IFERROR(VLOOKUP(TablaAgosto[[#This Row],[BARRIO]],SECTOR!$A:$B,2,0),"")</f>
      </c>
      <c r="S184" s="89"/>
      <c r="T184" s="90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6"/>
      <c r="AZ184" s="120">
        <f>COUNTIF(U184:AY184,"A")</f>
      </c>
      <c r="BA184" s="121">
        <f>COUNTIF(U184:AY184,"F")</f>
      </c>
      <c r="BB184" s="119">
        <f>COUNTIF(U184:AY184,"E")</f>
      </c>
    </row>
    <row r="185" spans="1:54" x14ac:dyDescent="0.2">
      <c r="A185" s="84"/>
      <c r="B185" s="85"/>
      <c r="C185" s="85"/>
      <c r="D185" s="85"/>
      <c r="E185" s="86"/>
      <c r="F185" s="16">
        <f>IF(E185="","",DATEDIF(E185,$I$7,"Y"))</f>
      </c>
      <c r="G185" s="85"/>
      <c r="H185" s="85"/>
      <c r="I185" s="87"/>
      <c r="J185" s="85"/>
      <c r="K185" s="85"/>
      <c r="L185" s="10"/>
      <c r="M185" s="10"/>
      <c r="N185" s="10"/>
      <c r="O185" s="10"/>
      <c r="P185" s="85"/>
      <c r="Q185" s="88"/>
      <c r="R185" s="3">
        <f>IFERROR(VLOOKUP(TablaAgosto[[#This Row],[BARRIO]],SECTOR!$A:$B,2,0),"")</f>
      </c>
      <c r="S185" s="89"/>
      <c r="T185" s="90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6"/>
      <c r="AZ185" s="120">
        <f>COUNTIF(U185:AY185,"A")</f>
      </c>
      <c r="BA185" s="121">
        <f>COUNTIF(U185:AY185,"F")</f>
      </c>
      <c r="BB185" s="119">
        <f>COUNTIF(U185:AY185,"E")</f>
      </c>
    </row>
    <row r="186" spans="1:54" x14ac:dyDescent="0.2">
      <c r="A186" s="84"/>
      <c r="B186" s="85"/>
      <c r="C186" s="85"/>
      <c r="D186" s="85"/>
      <c r="E186" s="86"/>
      <c r="F186" s="16">
        <f>IF(E186="","",DATEDIF(E186,$I$7,"Y"))</f>
      </c>
      <c r="G186" s="85"/>
      <c r="H186" s="85"/>
      <c r="I186" s="87"/>
      <c r="J186" s="85"/>
      <c r="K186" s="85"/>
      <c r="L186" s="10"/>
      <c r="M186" s="10"/>
      <c r="N186" s="10"/>
      <c r="O186" s="10"/>
      <c r="P186" s="85"/>
      <c r="Q186" s="88"/>
      <c r="R186" s="3">
        <f>IFERROR(VLOOKUP(TablaAgosto[[#This Row],[BARRIO]],SECTOR!$A:$B,2,0),"")</f>
      </c>
      <c r="S186" s="89"/>
      <c r="T186" s="90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6"/>
      <c r="AZ186" s="120">
        <f>COUNTIF(U186:AY186,"A")</f>
      </c>
      <c r="BA186" s="121">
        <f>COUNTIF(U186:AY186,"F")</f>
      </c>
      <c r="BB186" s="119">
        <f>COUNTIF(U186:AY186,"E")</f>
      </c>
    </row>
    <row r="187" spans="1:54" x14ac:dyDescent="0.2">
      <c r="A187" s="84"/>
      <c r="B187" s="85"/>
      <c r="C187" s="85"/>
      <c r="D187" s="85"/>
      <c r="E187" s="86"/>
      <c r="F187" s="16">
        <f>IF(E187="","",DATEDIF(E187,$I$7,"Y"))</f>
      </c>
      <c r="G187" s="85"/>
      <c r="H187" s="85"/>
      <c r="I187" s="87"/>
      <c r="J187" s="85"/>
      <c r="K187" s="85"/>
      <c r="L187" s="10"/>
      <c r="M187" s="10"/>
      <c r="N187" s="10"/>
      <c r="O187" s="10"/>
      <c r="P187" s="85"/>
      <c r="Q187" s="88"/>
      <c r="R187" s="3">
        <f>IFERROR(VLOOKUP(TablaAgosto[[#This Row],[BARRIO]],SECTOR!$A:$B,2,0),"")</f>
      </c>
      <c r="S187" s="89"/>
      <c r="T187" s="90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6"/>
      <c r="AZ187" s="120">
        <f>COUNTIF(U187:AY187,"A")</f>
      </c>
      <c r="BA187" s="121">
        <f>COUNTIF(U187:AY187,"F")</f>
      </c>
      <c r="BB187" s="119">
        <f>COUNTIF(U187:AY187,"E")</f>
      </c>
    </row>
    <row r="188" spans="1:54" x14ac:dyDescent="0.2">
      <c r="A188" s="84"/>
      <c r="B188" s="85"/>
      <c r="C188" s="85"/>
      <c r="D188" s="85"/>
      <c r="E188" s="86"/>
      <c r="F188" s="16">
        <f>IF(E188="","",DATEDIF(E188,$I$7,"Y"))</f>
      </c>
      <c r="G188" s="85"/>
      <c r="H188" s="85"/>
      <c r="I188" s="87"/>
      <c r="J188" s="85"/>
      <c r="K188" s="85"/>
      <c r="L188" s="10"/>
      <c r="M188" s="10"/>
      <c r="N188" s="10"/>
      <c r="O188" s="10"/>
      <c r="P188" s="85"/>
      <c r="Q188" s="88"/>
      <c r="R188" s="3">
        <f>IFERROR(VLOOKUP(TablaAgosto[[#This Row],[BARRIO]],SECTOR!$A:$B,2,0),"")</f>
      </c>
      <c r="S188" s="89"/>
      <c r="T188" s="90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6"/>
      <c r="AZ188" s="120">
        <f>COUNTIF(U188:AY188,"A")</f>
      </c>
      <c r="BA188" s="121">
        <f>COUNTIF(U188:AY188,"F")</f>
      </c>
      <c r="BB188" s="119">
        <f>COUNTIF(U188:AY188,"E")</f>
      </c>
    </row>
    <row r="189" spans="1:54" x14ac:dyDescent="0.2">
      <c r="A189" s="84"/>
      <c r="B189" s="85"/>
      <c r="C189" s="85"/>
      <c r="D189" s="85"/>
      <c r="E189" s="86"/>
      <c r="F189" s="16">
        <f>IF(E189="","",DATEDIF(E189,$I$7,"Y"))</f>
      </c>
      <c r="G189" s="85"/>
      <c r="H189" s="85"/>
      <c r="I189" s="87"/>
      <c r="J189" s="85"/>
      <c r="K189" s="85"/>
      <c r="L189" s="10"/>
      <c r="M189" s="10"/>
      <c r="N189" s="10"/>
      <c r="O189" s="10"/>
      <c r="P189" s="85"/>
      <c r="Q189" s="88"/>
      <c r="R189" s="3">
        <f>IFERROR(VLOOKUP(TablaAgosto[[#This Row],[BARRIO]],SECTOR!$A:$B,2,0),"")</f>
      </c>
      <c r="S189" s="89"/>
      <c r="T189" s="90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6"/>
      <c r="AZ189" s="120">
        <f>COUNTIF(U189:AY189,"A")</f>
      </c>
      <c r="BA189" s="121">
        <f>COUNTIF(U189:AY189,"F")</f>
      </c>
      <c r="BB189" s="119">
        <f>COUNTIF(U189:AY189,"E")</f>
      </c>
    </row>
    <row r="190" spans="1:54" x14ac:dyDescent="0.2">
      <c r="A190" s="84"/>
      <c r="B190" s="85"/>
      <c r="C190" s="85"/>
      <c r="D190" s="85"/>
      <c r="E190" s="86"/>
      <c r="F190" s="16">
        <f>IF(E190="","",DATEDIF(E190,$I$7,"Y"))</f>
      </c>
      <c r="G190" s="85"/>
      <c r="H190" s="85"/>
      <c r="I190" s="87"/>
      <c r="J190" s="85"/>
      <c r="K190" s="85"/>
      <c r="L190" s="10"/>
      <c r="M190" s="10"/>
      <c r="N190" s="10"/>
      <c r="O190" s="10"/>
      <c r="P190" s="85"/>
      <c r="Q190" s="88"/>
      <c r="R190" s="3">
        <f>IFERROR(VLOOKUP(TablaAgosto[[#This Row],[BARRIO]],SECTOR!$A:$B,2,0),"")</f>
      </c>
      <c r="S190" s="89"/>
      <c r="T190" s="90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6"/>
      <c r="AZ190" s="120">
        <f>COUNTIF(U190:AY190,"A")</f>
      </c>
      <c r="BA190" s="121">
        <f>COUNTIF(U190:AY190,"F")</f>
      </c>
      <c r="BB190" s="119">
        <f>COUNTIF(U190:AY190,"E")</f>
      </c>
    </row>
    <row r="191" spans="1:54" x14ac:dyDescent="0.2">
      <c r="A191" s="84"/>
      <c r="B191" s="85"/>
      <c r="C191" s="85"/>
      <c r="D191" s="85"/>
      <c r="E191" s="86"/>
      <c r="F191" s="16">
        <f>IF(E191="","",DATEDIF(E191,$I$7,"Y"))</f>
      </c>
      <c r="G191" s="85"/>
      <c r="H191" s="85"/>
      <c r="I191" s="87"/>
      <c r="J191" s="85"/>
      <c r="K191" s="85"/>
      <c r="L191" s="10"/>
      <c r="M191" s="10"/>
      <c r="N191" s="10"/>
      <c r="O191" s="10"/>
      <c r="P191" s="85"/>
      <c r="Q191" s="88"/>
      <c r="R191" s="3">
        <f>IFERROR(VLOOKUP(TablaAgosto[[#This Row],[BARRIO]],SECTOR!$A:$B,2,0),"")</f>
      </c>
      <c r="S191" s="89"/>
      <c r="T191" s="90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6"/>
      <c r="AZ191" s="120">
        <f>COUNTIF(U191:AY191,"A")</f>
      </c>
      <c r="BA191" s="121">
        <f>COUNTIF(U191:AY191,"F")</f>
      </c>
      <c r="BB191" s="119">
        <f>COUNTIF(U191:AY191,"E")</f>
      </c>
    </row>
    <row r="192" spans="1:54" x14ac:dyDescent="0.2">
      <c r="A192" s="84"/>
      <c r="B192" s="85"/>
      <c r="C192" s="85"/>
      <c r="D192" s="85"/>
      <c r="E192" s="86"/>
      <c r="F192" s="16">
        <f>IF(E192="","",DATEDIF(E192,$I$7,"Y"))</f>
      </c>
      <c r="G192" s="85"/>
      <c r="H192" s="85"/>
      <c r="I192" s="87"/>
      <c r="J192" s="85"/>
      <c r="K192" s="85"/>
      <c r="L192" s="10"/>
      <c r="M192" s="10"/>
      <c r="N192" s="10"/>
      <c r="O192" s="10"/>
      <c r="P192" s="85"/>
      <c r="Q192" s="88"/>
      <c r="R192" s="3">
        <f>IFERROR(VLOOKUP(TablaAgosto[[#This Row],[BARRIO]],SECTOR!$A:$B,2,0),"")</f>
      </c>
      <c r="S192" s="89"/>
      <c r="T192" s="90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6"/>
      <c r="AZ192" s="120">
        <f>COUNTIF(U192:AY192,"A")</f>
      </c>
      <c r="BA192" s="121">
        <f>COUNTIF(U192:AY192,"F")</f>
      </c>
      <c r="BB192" s="119">
        <f>COUNTIF(U192:AY192,"E")</f>
      </c>
    </row>
    <row r="193" spans="1:54" x14ac:dyDescent="0.2">
      <c r="A193" s="84"/>
      <c r="B193" s="85"/>
      <c r="C193" s="85"/>
      <c r="D193" s="85"/>
      <c r="E193" s="86"/>
      <c r="F193" s="16">
        <f>IF(E193="","",DATEDIF(E193,$I$7,"Y"))</f>
      </c>
      <c r="G193" s="85"/>
      <c r="H193" s="85"/>
      <c r="I193" s="87"/>
      <c r="J193" s="85"/>
      <c r="K193" s="85"/>
      <c r="L193" s="10"/>
      <c r="M193" s="10"/>
      <c r="N193" s="10"/>
      <c r="O193" s="10"/>
      <c r="P193" s="85"/>
      <c r="Q193" s="88"/>
      <c r="R193" s="3">
        <f>IFERROR(VLOOKUP(TablaAgosto[[#This Row],[BARRIO]],SECTOR!$A:$B,2,0),"")</f>
      </c>
      <c r="S193" s="89"/>
      <c r="T193" s="90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6"/>
      <c r="AZ193" s="120">
        <f>COUNTIF(U193:AY193,"A")</f>
      </c>
      <c r="BA193" s="121">
        <f>COUNTIF(U193:AY193,"F")</f>
      </c>
      <c r="BB193" s="119">
        <f>COUNTIF(U193:AY193,"E")</f>
      </c>
    </row>
    <row r="194" spans="1:54" x14ac:dyDescent="0.2">
      <c r="A194" s="84"/>
      <c r="B194" s="85"/>
      <c r="C194" s="85"/>
      <c r="D194" s="85"/>
      <c r="E194" s="86"/>
      <c r="F194" s="16">
        <f>IF(E194="","",DATEDIF(E194,$I$7,"Y"))</f>
      </c>
      <c r="G194" s="85"/>
      <c r="H194" s="85"/>
      <c r="I194" s="87"/>
      <c r="J194" s="85"/>
      <c r="K194" s="85"/>
      <c r="L194" s="10"/>
      <c r="M194" s="10"/>
      <c r="N194" s="10"/>
      <c r="O194" s="10"/>
      <c r="P194" s="85"/>
      <c r="Q194" s="88"/>
      <c r="R194" s="3">
        <f>IFERROR(VLOOKUP(TablaAgosto[[#This Row],[BARRIO]],SECTOR!$A:$B,2,0),"")</f>
      </c>
      <c r="S194" s="89"/>
      <c r="T194" s="90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6"/>
      <c r="AZ194" s="120">
        <f>COUNTIF(U194:AY194,"A")</f>
      </c>
      <c r="BA194" s="121">
        <f>COUNTIF(U194:AY194,"F")</f>
      </c>
      <c r="BB194" s="119">
        <f>COUNTIF(U194:AY194,"E")</f>
      </c>
    </row>
    <row r="195" spans="1:54" x14ac:dyDescent="0.2">
      <c r="A195" s="84"/>
      <c r="B195" s="85"/>
      <c r="C195" s="85"/>
      <c r="D195" s="85"/>
      <c r="E195" s="86"/>
      <c r="F195" s="16">
        <f>IF(E195="","",DATEDIF(E195,$I$7,"Y"))</f>
      </c>
      <c r="G195" s="85"/>
      <c r="H195" s="85"/>
      <c r="I195" s="87"/>
      <c r="J195" s="85"/>
      <c r="K195" s="85"/>
      <c r="L195" s="10"/>
      <c r="M195" s="10"/>
      <c r="N195" s="10"/>
      <c r="O195" s="10"/>
      <c r="P195" s="85"/>
      <c r="Q195" s="88"/>
      <c r="R195" s="3">
        <f>IFERROR(VLOOKUP(TablaAgosto[[#This Row],[BARRIO]],SECTOR!$A:$B,2,0),"")</f>
      </c>
      <c r="S195" s="89"/>
      <c r="T195" s="90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6"/>
      <c r="AZ195" s="120">
        <f>COUNTIF(U195:AY195,"A")</f>
      </c>
      <c r="BA195" s="121">
        <f>COUNTIF(U195:AY195,"F")</f>
      </c>
      <c r="BB195" s="119">
        <f>COUNTIF(U195:AY195,"E")</f>
      </c>
    </row>
    <row r="196" spans="1:54" x14ac:dyDescent="0.2">
      <c r="A196" s="84"/>
      <c r="B196" s="85"/>
      <c r="C196" s="85"/>
      <c r="D196" s="85"/>
      <c r="E196" s="86"/>
      <c r="F196" s="16">
        <f>IF(E196="","",DATEDIF(E196,$I$7,"Y"))</f>
      </c>
      <c r="G196" s="85"/>
      <c r="H196" s="85"/>
      <c r="I196" s="87"/>
      <c r="J196" s="85"/>
      <c r="K196" s="85"/>
      <c r="L196" s="10"/>
      <c r="M196" s="10"/>
      <c r="N196" s="10"/>
      <c r="O196" s="10"/>
      <c r="P196" s="85"/>
      <c r="Q196" s="88"/>
      <c r="R196" s="3">
        <f>IFERROR(VLOOKUP(TablaAgosto[[#This Row],[BARRIO]],SECTOR!$A:$B,2,0),"")</f>
      </c>
      <c r="S196" s="89"/>
      <c r="T196" s="90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6"/>
      <c r="AZ196" s="120">
        <f>COUNTIF(U196:AY196,"A")</f>
      </c>
      <c r="BA196" s="121">
        <f>COUNTIF(U196:AY196,"F")</f>
      </c>
      <c r="BB196" s="119">
        <f>COUNTIF(U196:AY196,"E")</f>
      </c>
    </row>
    <row r="197" spans="1:54" x14ac:dyDescent="0.2">
      <c r="A197" s="84"/>
      <c r="B197" s="85"/>
      <c r="C197" s="85"/>
      <c r="D197" s="85"/>
      <c r="E197" s="86"/>
      <c r="F197" s="16">
        <f>IF(E197="","",DATEDIF(E197,$I$7,"Y"))</f>
      </c>
      <c r="G197" s="85"/>
      <c r="H197" s="85"/>
      <c r="I197" s="87"/>
      <c r="J197" s="85"/>
      <c r="K197" s="85"/>
      <c r="L197" s="10"/>
      <c r="M197" s="10"/>
      <c r="N197" s="10"/>
      <c r="O197" s="10"/>
      <c r="P197" s="85"/>
      <c r="Q197" s="88"/>
      <c r="R197" s="3">
        <f>IFERROR(VLOOKUP(TablaAgosto[[#This Row],[BARRIO]],SECTOR!$A:$B,2,0),"")</f>
      </c>
      <c r="S197" s="89"/>
      <c r="T197" s="90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6"/>
      <c r="AZ197" s="120">
        <f>COUNTIF(U197:AY197,"A")</f>
      </c>
      <c r="BA197" s="121">
        <f>COUNTIF(U197:AY197,"F")</f>
      </c>
      <c r="BB197" s="119">
        <f>COUNTIF(U197:AY197,"E")</f>
      </c>
    </row>
    <row r="198" spans="1:54" x14ac:dyDescent="0.2">
      <c r="A198" s="84"/>
      <c r="B198" s="85"/>
      <c r="C198" s="85"/>
      <c r="D198" s="85"/>
      <c r="E198" s="86"/>
      <c r="F198" s="16">
        <f>IF(E198="","",DATEDIF(E198,$I$7,"Y"))</f>
      </c>
      <c r="G198" s="85"/>
      <c r="H198" s="85"/>
      <c r="I198" s="87"/>
      <c r="J198" s="85"/>
      <c r="K198" s="85"/>
      <c r="L198" s="10"/>
      <c r="M198" s="10"/>
      <c r="N198" s="10"/>
      <c r="O198" s="10"/>
      <c r="P198" s="85"/>
      <c r="Q198" s="88"/>
      <c r="R198" s="3">
        <f>IFERROR(VLOOKUP(TablaAgosto[[#This Row],[BARRIO]],SECTOR!$A:$B,2,0),"")</f>
      </c>
      <c r="S198" s="89"/>
      <c r="T198" s="90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6"/>
      <c r="AZ198" s="120">
        <f>COUNTIF(U198:AY198,"A")</f>
      </c>
      <c r="BA198" s="121">
        <f>COUNTIF(U198:AY198,"F")</f>
      </c>
      <c r="BB198" s="119">
        <f>COUNTIF(U198:AY198,"E")</f>
      </c>
    </row>
    <row r="199" spans="1:54" x14ac:dyDescent="0.2">
      <c r="A199" s="84"/>
      <c r="B199" s="85"/>
      <c r="C199" s="85"/>
      <c r="D199" s="85"/>
      <c r="E199" s="86"/>
      <c r="F199" s="16">
        <f>IF(E199="","",DATEDIF(E199,$I$7,"Y"))</f>
      </c>
      <c r="G199" s="85"/>
      <c r="H199" s="85"/>
      <c r="I199" s="87"/>
      <c r="J199" s="85"/>
      <c r="K199" s="85"/>
      <c r="L199" s="10"/>
      <c r="M199" s="10"/>
      <c r="N199" s="10"/>
      <c r="O199" s="10"/>
      <c r="P199" s="85"/>
      <c r="Q199" s="88"/>
      <c r="R199" s="3">
        <f>IFERROR(VLOOKUP(TablaAgosto[[#This Row],[BARRIO]],SECTOR!$A:$B,2,0),"")</f>
      </c>
      <c r="S199" s="89"/>
      <c r="T199" s="90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6"/>
      <c r="AZ199" s="120">
        <f>COUNTIF(U199:AY199,"A")</f>
      </c>
      <c r="BA199" s="121">
        <f>COUNTIF(U199:AY199,"F")</f>
      </c>
      <c r="BB199" s="119">
        <f>COUNTIF(U199:AY199,"E")</f>
      </c>
    </row>
    <row r="200" spans="1:54" x14ac:dyDescent="0.2">
      <c r="A200" s="84"/>
      <c r="B200" s="85"/>
      <c r="C200" s="85"/>
      <c r="D200" s="85"/>
      <c r="E200" s="86"/>
      <c r="F200" s="16">
        <f>IF(E200="","",DATEDIF(E200,$I$7,"Y"))</f>
      </c>
      <c r="G200" s="85"/>
      <c r="H200" s="85"/>
      <c r="I200" s="87"/>
      <c r="J200" s="85"/>
      <c r="K200" s="85"/>
      <c r="L200" s="10"/>
      <c r="M200" s="10"/>
      <c r="N200" s="10"/>
      <c r="O200" s="10"/>
      <c r="P200" s="85"/>
      <c r="Q200" s="88"/>
      <c r="R200" s="3">
        <f>IFERROR(VLOOKUP(TablaAgosto[[#This Row],[BARRIO]],SECTOR!$A:$B,2,0),"")</f>
      </c>
      <c r="S200" s="89"/>
      <c r="T200" s="90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6"/>
      <c r="AZ200" s="120">
        <f>COUNTIF(U200:AY200,"A")</f>
      </c>
      <c r="BA200" s="121">
        <f>COUNTIF(U200:AY200,"F")</f>
      </c>
      <c r="BB200" s="119">
        <f>COUNTIF(U200:AY200,"E")</f>
      </c>
    </row>
    <row r="201" spans="1:54" x14ac:dyDescent="0.2">
      <c r="A201" s="84"/>
      <c r="B201" s="85"/>
      <c r="C201" s="85"/>
      <c r="D201" s="85"/>
      <c r="E201" s="86"/>
      <c r="F201" s="16">
        <f>IF(E201="","",DATEDIF(E201,$I$7,"Y"))</f>
      </c>
      <c r="G201" s="85"/>
      <c r="H201" s="85"/>
      <c r="I201" s="87"/>
      <c r="J201" s="85"/>
      <c r="K201" s="85"/>
      <c r="L201" s="10"/>
      <c r="M201" s="10"/>
      <c r="N201" s="10"/>
      <c r="O201" s="10"/>
      <c r="P201" s="85"/>
      <c r="Q201" s="88"/>
      <c r="R201" s="3">
        <f>IFERROR(VLOOKUP(TablaAgosto[[#This Row],[BARRIO]],SECTOR!$A:$B,2,0),"")</f>
      </c>
      <c r="S201" s="89"/>
      <c r="T201" s="90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6"/>
      <c r="AZ201" s="120">
        <f>COUNTIF(U201:AY201,"A")</f>
      </c>
      <c r="BA201" s="121">
        <f>COUNTIF(U201:AY201,"F")</f>
      </c>
      <c r="BB201" s="119">
        <f>COUNTIF(U201:AY201,"E")</f>
      </c>
    </row>
    <row r="202" spans="1:54" x14ac:dyDescent="0.2">
      <c r="A202" s="84"/>
      <c r="B202" s="85"/>
      <c r="C202" s="85"/>
      <c r="D202" s="85"/>
      <c r="E202" s="86"/>
      <c r="F202" s="16">
        <f>IF(E202="","",DATEDIF(E202,$I$7,"Y"))</f>
      </c>
      <c r="G202" s="85"/>
      <c r="H202" s="85"/>
      <c r="I202" s="87"/>
      <c r="J202" s="85"/>
      <c r="K202" s="85"/>
      <c r="L202" s="10"/>
      <c r="M202" s="10"/>
      <c r="N202" s="10"/>
      <c r="O202" s="10"/>
      <c r="P202" s="85"/>
      <c r="Q202" s="88"/>
      <c r="R202" s="3">
        <f>IFERROR(VLOOKUP(TablaAgosto[[#This Row],[BARRIO]],SECTOR!$A:$B,2,0),"")</f>
      </c>
      <c r="S202" s="89"/>
      <c r="T202" s="90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6"/>
      <c r="AZ202" s="120">
        <f>COUNTIF(U202:AY202,"A")</f>
      </c>
      <c r="BA202" s="121">
        <f>COUNTIF(U202:AY202,"F")</f>
      </c>
      <c r="BB202" s="119">
        <f>COUNTIF(U202:AY202,"E")</f>
      </c>
    </row>
    <row r="203" spans="1:54" x14ac:dyDescent="0.2">
      <c r="A203" s="84"/>
      <c r="B203" s="85"/>
      <c r="C203" s="85"/>
      <c r="D203" s="85"/>
      <c r="E203" s="86"/>
      <c r="F203" s="16">
        <f>IF(E203="","",DATEDIF(E203,$I$7,"Y"))</f>
      </c>
      <c r="G203" s="85"/>
      <c r="H203" s="85"/>
      <c r="I203" s="87"/>
      <c r="J203" s="85"/>
      <c r="K203" s="85"/>
      <c r="L203" s="10"/>
      <c r="M203" s="10"/>
      <c r="N203" s="10"/>
      <c r="O203" s="10"/>
      <c r="P203" s="85"/>
      <c r="Q203" s="88"/>
      <c r="R203" s="3">
        <f>IFERROR(VLOOKUP(TablaAgosto[[#This Row],[BARRIO]],SECTOR!$A:$B,2,0),"")</f>
      </c>
      <c r="S203" s="89"/>
      <c r="T203" s="90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6"/>
      <c r="AZ203" s="120">
        <f>COUNTIF(U203:AY203,"A")</f>
      </c>
      <c r="BA203" s="121">
        <f>COUNTIF(U203:AY203,"F")</f>
      </c>
      <c r="BB203" s="119">
        <f>COUNTIF(U203:AY203,"E")</f>
      </c>
    </row>
    <row r="204" spans="1:54" x14ac:dyDescent="0.2">
      <c r="A204" s="84"/>
      <c r="B204" s="85"/>
      <c r="C204" s="85"/>
      <c r="D204" s="85"/>
      <c r="E204" s="86"/>
      <c r="F204" s="16">
        <f>IF(E204="","",DATEDIF(E204,$I$7,"Y"))</f>
      </c>
      <c r="G204" s="85"/>
      <c r="H204" s="85"/>
      <c r="I204" s="87"/>
      <c r="J204" s="85"/>
      <c r="K204" s="85"/>
      <c r="L204" s="10"/>
      <c r="M204" s="10"/>
      <c r="N204" s="10"/>
      <c r="O204" s="10"/>
      <c r="P204" s="85"/>
      <c r="Q204" s="88"/>
      <c r="R204" s="3">
        <f>IFERROR(VLOOKUP(TablaAgosto[[#This Row],[BARRIO]],SECTOR!$A:$B,2,0),"")</f>
      </c>
      <c r="S204" s="89"/>
      <c r="T204" s="90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6"/>
      <c r="AZ204" s="120">
        <f>COUNTIF(U204:AY204,"A")</f>
      </c>
      <c r="BA204" s="121">
        <f>COUNTIF(U204:AY204,"F")</f>
      </c>
      <c r="BB204" s="119">
        <f>COUNTIF(U204:AY204,"E")</f>
      </c>
    </row>
    <row r="205" spans="1:54" x14ac:dyDescent="0.2">
      <c r="A205" s="84"/>
      <c r="B205" s="85"/>
      <c r="C205" s="85"/>
      <c r="D205" s="85"/>
      <c r="E205" s="86"/>
      <c r="F205" s="16">
        <f>IF(E205="","",DATEDIF(E205,$I$7,"Y"))</f>
      </c>
      <c r="G205" s="85"/>
      <c r="H205" s="85"/>
      <c r="I205" s="87"/>
      <c r="J205" s="85"/>
      <c r="K205" s="85"/>
      <c r="L205" s="10"/>
      <c r="M205" s="10"/>
      <c r="N205" s="10"/>
      <c r="O205" s="10"/>
      <c r="P205" s="85"/>
      <c r="Q205" s="88"/>
      <c r="R205" s="3">
        <f>IFERROR(VLOOKUP(TablaAgosto[[#This Row],[BARRIO]],SECTOR!$A:$B,2,0),"")</f>
      </c>
      <c r="S205" s="89"/>
      <c r="T205" s="90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6"/>
      <c r="AZ205" s="120">
        <f>COUNTIF(U205:AY205,"A")</f>
      </c>
      <c r="BA205" s="121">
        <f>COUNTIF(U205:AY205,"F")</f>
      </c>
      <c r="BB205" s="119">
        <f>COUNTIF(U205:AY205,"E")</f>
      </c>
    </row>
    <row r="206" spans="1:54" x14ac:dyDescent="0.2">
      <c r="A206" s="84"/>
      <c r="B206" s="85"/>
      <c r="C206" s="85"/>
      <c r="D206" s="85"/>
      <c r="E206" s="86"/>
      <c r="F206" s="16">
        <f>IF(E206="","",DATEDIF(E206,$I$7,"Y"))</f>
      </c>
      <c r="G206" s="85"/>
      <c r="H206" s="85"/>
      <c r="I206" s="87"/>
      <c r="J206" s="85"/>
      <c r="K206" s="85"/>
      <c r="L206" s="10"/>
      <c r="M206" s="10"/>
      <c r="N206" s="10"/>
      <c r="O206" s="10"/>
      <c r="P206" s="85"/>
      <c r="Q206" s="88"/>
      <c r="R206" s="3">
        <f>IFERROR(VLOOKUP(TablaAgosto[[#This Row],[BARRIO]],SECTOR!$A:$B,2,0),"")</f>
      </c>
      <c r="S206" s="89"/>
      <c r="T206" s="90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6"/>
      <c r="AZ206" s="120">
        <f>COUNTIF(U206:AY206,"A")</f>
      </c>
      <c r="BA206" s="121">
        <f>COUNTIF(U206:AY206,"F")</f>
      </c>
      <c r="BB206" s="119">
        <f>COUNTIF(U206:AY206,"E")</f>
      </c>
    </row>
    <row r="207" spans="1:54" x14ac:dyDescent="0.2">
      <c r="A207" s="84"/>
      <c r="B207" s="85"/>
      <c r="C207" s="85"/>
      <c r="D207" s="85"/>
      <c r="E207" s="86"/>
      <c r="F207" s="16">
        <f>IF(E207="","",DATEDIF(E207,$I$7,"Y"))</f>
      </c>
      <c r="G207" s="85"/>
      <c r="H207" s="85"/>
      <c r="I207" s="87"/>
      <c r="J207" s="85"/>
      <c r="K207" s="85"/>
      <c r="L207" s="10"/>
      <c r="M207" s="10"/>
      <c r="N207" s="10"/>
      <c r="O207" s="10"/>
      <c r="P207" s="85"/>
      <c r="Q207" s="88"/>
      <c r="R207" s="3">
        <f>IFERROR(VLOOKUP(TablaAgosto[[#This Row],[BARRIO]],SECTOR!$A:$B,2,0),"")</f>
      </c>
      <c r="S207" s="89"/>
      <c r="T207" s="90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6"/>
      <c r="AZ207" s="120">
        <f>COUNTIF(U207:AY207,"A")</f>
      </c>
      <c r="BA207" s="121">
        <f>COUNTIF(U207:AY207,"F")</f>
      </c>
      <c r="BB207" s="119">
        <f>COUNTIF(U207:AY207,"E")</f>
      </c>
    </row>
    <row r="208" spans="1:54" x14ac:dyDescent="0.2">
      <c r="A208" s="84"/>
      <c r="B208" s="85"/>
      <c r="C208" s="85"/>
      <c r="D208" s="85"/>
      <c r="E208" s="86"/>
      <c r="F208" s="16">
        <f>IF(E208="","",DATEDIF(E208,$I$7,"Y"))</f>
      </c>
      <c r="G208" s="85"/>
      <c r="H208" s="85"/>
      <c r="I208" s="87"/>
      <c r="J208" s="85"/>
      <c r="K208" s="85"/>
      <c r="L208" s="10"/>
      <c r="M208" s="10"/>
      <c r="N208" s="10"/>
      <c r="O208" s="10"/>
      <c r="P208" s="85"/>
      <c r="Q208" s="88"/>
      <c r="R208" s="3">
        <f>IFERROR(VLOOKUP(TablaAgosto[[#This Row],[BARRIO]],SECTOR!$A:$B,2,0),"")</f>
      </c>
      <c r="S208" s="89"/>
      <c r="T208" s="90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6"/>
      <c r="AZ208" s="120">
        <f>COUNTIF(U208:AY208,"A")</f>
      </c>
      <c r="BA208" s="121">
        <f>COUNTIF(U208:AY208,"F")</f>
      </c>
      <c r="BB208" s="119">
        <f>COUNTIF(U208:AY208,"E")</f>
      </c>
    </row>
    <row r="209" spans="1:54" x14ac:dyDescent="0.2">
      <c r="A209" s="84"/>
      <c r="B209" s="85"/>
      <c r="C209" s="85"/>
      <c r="D209" s="85"/>
      <c r="E209" s="86"/>
      <c r="F209" s="16">
        <f>IF(E209="","",DATEDIF(E209,$I$7,"Y"))</f>
      </c>
      <c r="G209" s="85"/>
      <c r="H209" s="85"/>
      <c r="I209" s="87"/>
      <c r="J209" s="85"/>
      <c r="K209" s="85"/>
      <c r="L209" s="10"/>
      <c r="M209" s="10"/>
      <c r="N209" s="10"/>
      <c r="O209" s="10"/>
      <c r="P209" s="85"/>
      <c r="Q209" s="88"/>
      <c r="R209" s="3">
        <f>IFERROR(VLOOKUP(TablaAgosto[[#This Row],[BARRIO]],SECTOR!$A:$B,2,0),"")</f>
      </c>
      <c r="S209" s="89"/>
      <c r="T209" s="90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6"/>
      <c r="AZ209" s="120">
        <f>COUNTIF(U209:AY209,"A")</f>
      </c>
      <c r="BA209" s="121">
        <f>COUNTIF(U209:AY209,"F")</f>
      </c>
      <c r="BB209" s="119">
        <f>COUNTIF(U209:AY209,"E")</f>
      </c>
    </row>
    <row r="210" spans="1:54" x14ac:dyDescent="0.2">
      <c r="A210" s="84"/>
      <c r="B210" s="85"/>
      <c r="C210" s="85"/>
      <c r="D210" s="85"/>
      <c r="E210" s="86"/>
      <c r="F210" s="16">
        <f>IF(E210="","",DATEDIF(E210,$I$7,"Y"))</f>
      </c>
      <c r="G210" s="85"/>
      <c r="H210" s="85"/>
      <c r="I210" s="87"/>
      <c r="J210" s="85"/>
      <c r="K210" s="85"/>
      <c r="L210" s="10"/>
      <c r="M210" s="10"/>
      <c r="N210" s="10"/>
      <c r="O210" s="10"/>
      <c r="P210" s="85"/>
      <c r="Q210" s="88"/>
      <c r="R210" s="3">
        <f>IFERROR(VLOOKUP(TablaAgosto[[#This Row],[BARRIO]],SECTOR!$A:$B,2,0),"")</f>
      </c>
      <c r="S210" s="89"/>
      <c r="T210" s="90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6"/>
      <c r="AZ210" s="120">
        <f>COUNTIF(U210:AY210,"A")</f>
      </c>
      <c r="BA210" s="121">
        <f>COUNTIF(U210:AY210,"F")</f>
      </c>
      <c r="BB210" s="119">
        <f>COUNTIF(U210:AY210,"E")</f>
      </c>
    </row>
    <row r="211" spans="1:54" x14ac:dyDescent="0.2">
      <c r="A211" s="84"/>
      <c r="B211" s="85"/>
      <c r="C211" s="85"/>
      <c r="D211" s="85"/>
      <c r="E211" s="86"/>
      <c r="F211" s="16">
        <f>IF(E211="","",DATEDIF(E211,$I$7,"Y"))</f>
      </c>
      <c r="G211" s="85"/>
      <c r="H211" s="85"/>
      <c r="I211" s="87"/>
      <c r="J211" s="85"/>
      <c r="K211" s="85"/>
      <c r="L211" s="10"/>
      <c r="M211" s="10"/>
      <c r="N211" s="10"/>
      <c r="O211" s="10"/>
      <c r="P211" s="85"/>
      <c r="Q211" s="88"/>
      <c r="R211" s="3">
        <f>IFERROR(VLOOKUP(TablaAgosto[[#This Row],[BARRIO]],SECTOR!$A:$B,2,0),"")</f>
      </c>
      <c r="S211" s="89"/>
      <c r="T211" s="90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6"/>
      <c r="AZ211" s="120">
        <f>COUNTIF(U211:AY211,"A")</f>
      </c>
      <c r="BA211" s="121">
        <f>COUNTIF(U211:AY211,"F")</f>
      </c>
      <c r="BB211" s="119">
        <f>COUNTIF(U211:AY211,"E")</f>
      </c>
    </row>
    <row r="212" spans="1:54" x14ac:dyDescent="0.2">
      <c r="A212" s="84"/>
      <c r="B212" s="85"/>
      <c r="C212" s="85"/>
      <c r="D212" s="85"/>
      <c r="E212" s="86"/>
      <c r="F212" s="16">
        <f>IF(E212="","",DATEDIF(E212,$I$7,"Y"))</f>
      </c>
      <c r="G212" s="85"/>
      <c r="H212" s="85"/>
      <c r="I212" s="87"/>
      <c r="J212" s="85"/>
      <c r="K212" s="85"/>
      <c r="L212" s="10"/>
      <c r="M212" s="10"/>
      <c r="N212" s="10"/>
      <c r="O212" s="10"/>
      <c r="P212" s="85"/>
      <c r="Q212" s="88"/>
      <c r="R212" s="3">
        <f>IFERROR(VLOOKUP(TablaAgosto[[#This Row],[BARRIO]],SECTOR!$A:$B,2,0),"")</f>
      </c>
      <c r="S212" s="89"/>
      <c r="T212" s="90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6"/>
      <c r="AZ212" s="120">
        <f>COUNTIF(U212:AY212,"A")</f>
      </c>
      <c r="BA212" s="121">
        <f>COUNTIF(U212:AY212,"F")</f>
      </c>
      <c r="BB212" s="119">
        <f>COUNTIF(U212:AY212,"E")</f>
      </c>
    </row>
    <row r="213" spans="1:54" x14ac:dyDescent="0.2">
      <c r="A213" s="84"/>
      <c r="B213" s="85"/>
      <c r="C213" s="85"/>
      <c r="D213" s="85"/>
      <c r="E213" s="86"/>
      <c r="F213" s="16">
        <f>IF(E213="","",DATEDIF(E213,$I$7,"Y"))</f>
      </c>
      <c r="G213" s="85"/>
      <c r="H213" s="85"/>
      <c r="I213" s="87"/>
      <c r="J213" s="85"/>
      <c r="K213" s="85"/>
      <c r="L213" s="10"/>
      <c r="M213" s="10"/>
      <c r="N213" s="10"/>
      <c r="O213" s="10"/>
      <c r="P213" s="85"/>
      <c r="Q213" s="88"/>
      <c r="R213" s="3">
        <f>IFERROR(VLOOKUP(TablaAgosto[[#This Row],[BARRIO]],SECTOR!$A:$B,2,0),"")</f>
      </c>
      <c r="S213" s="89"/>
      <c r="T213" s="90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6"/>
      <c r="AZ213" s="120">
        <f>COUNTIF(U213:AY213,"A")</f>
      </c>
      <c r="BA213" s="121">
        <f>COUNTIF(U213:AY213,"F")</f>
      </c>
      <c r="BB213" s="119">
        <f>COUNTIF(U213:AY213,"E")</f>
      </c>
    </row>
    <row r="214" spans="1:54" x14ac:dyDescent="0.2">
      <c r="A214" s="84"/>
      <c r="B214" s="85"/>
      <c r="C214" s="85"/>
      <c r="D214" s="85"/>
      <c r="E214" s="86"/>
      <c r="F214" s="16">
        <f>IF(E214="","",DATEDIF(E214,$I$7,"Y"))</f>
      </c>
      <c r="G214" s="85"/>
      <c r="H214" s="85"/>
      <c r="I214" s="87"/>
      <c r="J214" s="85"/>
      <c r="K214" s="85"/>
      <c r="L214" s="10"/>
      <c r="M214" s="10"/>
      <c r="N214" s="10"/>
      <c r="O214" s="10"/>
      <c r="P214" s="85"/>
      <c r="Q214" s="88"/>
      <c r="R214" s="3">
        <f>IFERROR(VLOOKUP(TablaAgosto[[#This Row],[BARRIO]],SECTOR!$A:$B,2,0),"")</f>
      </c>
      <c r="S214" s="89"/>
      <c r="T214" s="90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6"/>
      <c r="AZ214" s="120">
        <f>COUNTIF(U214:AY214,"A")</f>
      </c>
      <c r="BA214" s="121">
        <f>COUNTIF(U214:AY214,"F")</f>
      </c>
      <c r="BB214" s="119">
        <f>COUNTIF(U214:AY214,"E")</f>
      </c>
    </row>
    <row r="215" spans="1:54" x14ac:dyDescent="0.2">
      <c r="A215" s="84"/>
      <c r="B215" s="85"/>
      <c r="C215" s="85"/>
      <c r="D215" s="85"/>
      <c r="E215" s="86"/>
      <c r="F215" s="16">
        <f>IF(E215="","",DATEDIF(E215,$I$7,"Y"))</f>
      </c>
      <c r="G215" s="85"/>
      <c r="H215" s="85"/>
      <c r="I215" s="87"/>
      <c r="J215" s="85"/>
      <c r="K215" s="85"/>
      <c r="L215" s="10"/>
      <c r="M215" s="10"/>
      <c r="N215" s="10"/>
      <c r="O215" s="10"/>
      <c r="P215" s="85"/>
      <c r="Q215" s="88"/>
      <c r="R215" s="3">
        <f>IFERROR(VLOOKUP(TablaAgosto[[#This Row],[BARRIO]],SECTOR!$A:$B,2,0),"")</f>
      </c>
      <c r="S215" s="89"/>
      <c r="T215" s="90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6"/>
      <c r="AZ215" s="120">
        <f>COUNTIF(U215:AY215,"A")</f>
      </c>
      <c r="BA215" s="121">
        <f>COUNTIF(U215:AY215,"F")</f>
      </c>
      <c r="BB215" s="119">
        <f>COUNTIF(U215:AY215,"E")</f>
      </c>
    </row>
    <row r="216" spans="1:54" x14ac:dyDescent="0.2">
      <c r="A216" s="84"/>
      <c r="B216" s="85"/>
      <c r="C216" s="85"/>
      <c r="D216" s="85"/>
      <c r="E216" s="86"/>
      <c r="F216" s="16">
        <f>IF(E216="","",DATEDIF(E216,$I$7,"Y"))</f>
      </c>
      <c r="G216" s="85"/>
      <c r="H216" s="85"/>
      <c r="I216" s="87"/>
      <c r="J216" s="85"/>
      <c r="K216" s="85"/>
      <c r="L216" s="10"/>
      <c r="M216" s="10"/>
      <c r="N216" s="10"/>
      <c r="O216" s="10"/>
      <c r="P216" s="85"/>
      <c r="Q216" s="88"/>
      <c r="R216" s="3">
        <f>IFERROR(VLOOKUP(TablaAgosto[[#This Row],[BARRIO]],SECTOR!$A:$B,2,0),"")</f>
      </c>
      <c r="S216" s="89"/>
      <c r="T216" s="90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6"/>
      <c r="AZ216" s="120">
        <f>COUNTIF(U216:AY216,"A")</f>
      </c>
      <c r="BA216" s="121">
        <f>COUNTIF(U216:AY216,"F")</f>
      </c>
      <c r="BB216" s="119">
        <f>COUNTIF(U216:AY216,"E")</f>
      </c>
    </row>
    <row r="217" spans="1:54" x14ac:dyDescent="0.2">
      <c r="A217" s="84"/>
      <c r="B217" s="85"/>
      <c r="C217" s="85"/>
      <c r="D217" s="85"/>
      <c r="E217" s="86"/>
      <c r="F217" s="16">
        <f>IF(E217="","",DATEDIF(E217,$I$7,"Y"))</f>
      </c>
      <c r="G217" s="85"/>
      <c r="H217" s="85"/>
      <c r="I217" s="87"/>
      <c r="J217" s="85"/>
      <c r="K217" s="85"/>
      <c r="L217" s="10"/>
      <c r="M217" s="10"/>
      <c r="N217" s="10"/>
      <c r="O217" s="10"/>
      <c r="P217" s="85"/>
      <c r="Q217" s="88"/>
      <c r="R217" s="3">
        <f>IFERROR(VLOOKUP(TablaAgosto[[#This Row],[BARRIO]],SECTOR!$A:$B,2,0),"")</f>
      </c>
      <c r="S217" s="89"/>
      <c r="T217" s="90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6"/>
      <c r="AZ217" s="120">
        <f>COUNTIF(U217:AY217,"A")</f>
      </c>
      <c r="BA217" s="121">
        <f>COUNTIF(U217:AY217,"F")</f>
      </c>
      <c r="BB217" s="119">
        <f>COUNTIF(U217:AY217,"E")</f>
      </c>
    </row>
    <row r="218" spans="1:54" x14ac:dyDescent="0.2">
      <c r="A218" s="84"/>
      <c r="B218" s="85"/>
      <c r="C218" s="85"/>
      <c r="D218" s="85"/>
      <c r="E218" s="86"/>
      <c r="F218" s="16">
        <f>IF(E218="","",DATEDIF(E218,$I$7,"Y"))</f>
      </c>
      <c r="G218" s="85"/>
      <c r="H218" s="85"/>
      <c r="I218" s="87"/>
      <c r="J218" s="85"/>
      <c r="K218" s="85"/>
      <c r="L218" s="10"/>
      <c r="M218" s="10"/>
      <c r="N218" s="10"/>
      <c r="O218" s="10"/>
      <c r="P218" s="85"/>
      <c r="Q218" s="88"/>
      <c r="R218" s="3">
        <f>IFERROR(VLOOKUP(TablaAgosto[[#This Row],[BARRIO]],SECTOR!$A:$B,2,0),"")</f>
      </c>
      <c r="S218" s="89"/>
      <c r="T218" s="90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6"/>
      <c r="AZ218" s="120">
        <f>COUNTIF(U218:AY218,"A")</f>
      </c>
      <c r="BA218" s="121">
        <f>COUNTIF(U218:AY218,"F")</f>
      </c>
      <c r="BB218" s="119">
        <f>COUNTIF(U218:AY218,"E")</f>
      </c>
    </row>
    <row r="219" spans="1:54" x14ac:dyDescent="0.2">
      <c r="A219" s="84"/>
      <c r="B219" s="85"/>
      <c r="C219" s="85"/>
      <c r="D219" s="85"/>
      <c r="E219" s="86"/>
      <c r="F219" s="16">
        <f>IF(E219="","",DATEDIF(E219,$I$7,"Y"))</f>
      </c>
      <c r="G219" s="85"/>
      <c r="H219" s="85"/>
      <c r="I219" s="87"/>
      <c r="J219" s="85"/>
      <c r="K219" s="85"/>
      <c r="L219" s="10"/>
      <c r="M219" s="10"/>
      <c r="N219" s="10"/>
      <c r="O219" s="10"/>
      <c r="P219" s="85"/>
      <c r="Q219" s="88"/>
      <c r="R219" s="3">
        <f>IFERROR(VLOOKUP(TablaAgosto[[#This Row],[BARRIO]],SECTOR!$A:$B,2,0),"")</f>
      </c>
      <c r="S219" s="89"/>
      <c r="T219" s="90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6"/>
      <c r="AZ219" s="120">
        <f>COUNTIF(U219:AY219,"A")</f>
      </c>
      <c r="BA219" s="121">
        <f>COUNTIF(U219:AY219,"F")</f>
      </c>
      <c r="BB219" s="119">
        <f>COUNTIF(U219:AY219,"E")</f>
      </c>
    </row>
    <row r="220" spans="1:54" x14ac:dyDescent="0.2">
      <c r="A220" s="84"/>
      <c r="B220" s="85"/>
      <c r="C220" s="85"/>
      <c r="D220" s="85"/>
      <c r="E220" s="86"/>
      <c r="F220" s="16">
        <f>IF(E220="","",DATEDIF(E220,$I$7,"Y"))</f>
      </c>
      <c r="G220" s="85"/>
      <c r="H220" s="85"/>
      <c r="I220" s="87"/>
      <c r="J220" s="85"/>
      <c r="K220" s="85"/>
      <c r="L220" s="10"/>
      <c r="M220" s="10"/>
      <c r="N220" s="10"/>
      <c r="O220" s="10"/>
      <c r="P220" s="85"/>
      <c r="Q220" s="88"/>
      <c r="R220" s="3">
        <f>IFERROR(VLOOKUP(TablaAgosto[[#This Row],[BARRIO]],SECTOR!$A:$B,2,0),"")</f>
      </c>
      <c r="S220" s="89"/>
      <c r="T220" s="90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6"/>
      <c r="AZ220" s="120">
        <f>COUNTIF(U220:AY220,"A")</f>
      </c>
      <c r="BA220" s="121">
        <f>COUNTIF(U220:AY220,"F")</f>
      </c>
      <c r="BB220" s="119">
        <f>COUNTIF(U220:AY220,"E")</f>
      </c>
    </row>
    <row r="221" spans="1:54" x14ac:dyDescent="0.2">
      <c r="A221" s="84"/>
      <c r="B221" s="85"/>
      <c r="C221" s="85"/>
      <c r="D221" s="85"/>
      <c r="E221" s="86"/>
      <c r="F221" s="16">
        <f>IF(E221="","",DATEDIF(E221,$I$7,"Y"))</f>
      </c>
      <c r="G221" s="85"/>
      <c r="H221" s="85"/>
      <c r="I221" s="87"/>
      <c r="J221" s="85"/>
      <c r="K221" s="85"/>
      <c r="L221" s="10"/>
      <c r="M221" s="10"/>
      <c r="N221" s="10"/>
      <c r="O221" s="10"/>
      <c r="P221" s="85"/>
      <c r="Q221" s="88"/>
      <c r="R221" s="3">
        <f>IFERROR(VLOOKUP(TablaAgosto[[#This Row],[BARRIO]],SECTOR!$A:$B,2,0),"")</f>
      </c>
      <c r="S221" s="89"/>
      <c r="T221" s="90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6"/>
      <c r="AZ221" s="120">
        <f>COUNTIF(U221:AY221,"A")</f>
      </c>
      <c r="BA221" s="121">
        <f>COUNTIF(U221:AY221,"F")</f>
      </c>
      <c r="BB221" s="119">
        <f>COUNTIF(U221:AY221,"E")</f>
      </c>
    </row>
    <row r="222" spans="1:54" x14ac:dyDescent="0.2">
      <c r="A222" s="84"/>
      <c r="B222" s="85"/>
      <c r="C222" s="85"/>
      <c r="D222" s="85"/>
      <c r="E222" s="86"/>
      <c r="F222" s="16">
        <f>IF(E222="","",DATEDIF(E222,$I$7,"Y"))</f>
      </c>
      <c r="G222" s="85"/>
      <c r="H222" s="85"/>
      <c r="I222" s="87"/>
      <c r="J222" s="85"/>
      <c r="K222" s="85"/>
      <c r="L222" s="10"/>
      <c r="M222" s="10"/>
      <c r="N222" s="10"/>
      <c r="O222" s="10"/>
      <c r="P222" s="85"/>
      <c r="Q222" s="88"/>
      <c r="R222" s="3">
        <f>IFERROR(VLOOKUP(TablaAgosto[[#This Row],[BARRIO]],SECTOR!$A:$B,2,0),"")</f>
      </c>
      <c r="S222" s="89"/>
      <c r="T222" s="90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6"/>
      <c r="AZ222" s="120">
        <f>COUNTIF(U222:AY222,"A")</f>
      </c>
      <c r="BA222" s="121">
        <f>COUNTIF(U222:AY222,"F")</f>
      </c>
      <c r="BB222" s="119">
        <f>COUNTIF(U222:AY222,"E")</f>
      </c>
    </row>
    <row r="223" spans="1:54" x14ac:dyDescent="0.2">
      <c r="A223" s="84"/>
      <c r="B223" s="85"/>
      <c r="C223" s="85"/>
      <c r="D223" s="85"/>
      <c r="E223" s="86"/>
      <c r="F223" s="16">
        <f>IF(E223="","",DATEDIF(E223,$I$7,"Y"))</f>
      </c>
      <c r="G223" s="85"/>
      <c r="H223" s="85"/>
      <c r="I223" s="87"/>
      <c r="J223" s="85"/>
      <c r="K223" s="85"/>
      <c r="L223" s="10"/>
      <c r="M223" s="10"/>
      <c r="N223" s="10"/>
      <c r="O223" s="10"/>
      <c r="P223" s="85"/>
      <c r="Q223" s="88"/>
      <c r="R223" s="3">
        <f>IFERROR(VLOOKUP(TablaAgosto[[#This Row],[BARRIO]],SECTOR!$A:$B,2,0),"")</f>
      </c>
      <c r="S223" s="89"/>
      <c r="T223" s="90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6"/>
      <c r="AZ223" s="120">
        <f>COUNTIF(U223:AY223,"A")</f>
      </c>
      <c r="BA223" s="121">
        <f>COUNTIF(U223:AY223,"F")</f>
      </c>
      <c r="BB223" s="119">
        <f>COUNTIF(U223:AY223,"E")</f>
      </c>
    </row>
    <row r="224" spans="1:54" x14ac:dyDescent="0.2">
      <c r="A224" s="84"/>
      <c r="B224" s="85"/>
      <c r="C224" s="85"/>
      <c r="D224" s="85"/>
      <c r="E224" s="86"/>
      <c r="F224" s="16">
        <f>IF(E224="","",DATEDIF(E224,$I$7,"Y"))</f>
      </c>
      <c r="G224" s="85"/>
      <c r="H224" s="85"/>
      <c r="I224" s="87"/>
      <c r="J224" s="85"/>
      <c r="K224" s="85"/>
      <c r="L224" s="10"/>
      <c r="M224" s="10"/>
      <c r="N224" s="10"/>
      <c r="O224" s="10"/>
      <c r="P224" s="85"/>
      <c r="Q224" s="88"/>
      <c r="R224" s="3">
        <f>IFERROR(VLOOKUP(TablaAgosto[[#This Row],[BARRIO]],SECTOR!$A:$B,2,0),"")</f>
      </c>
      <c r="S224" s="89"/>
      <c r="T224" s="90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6"/>
      <c r="AZ224" s="120">
        <f>COUNTIF(U224:AY224,"A")</f>
      </c>
      <c r="BA224" s="121">
        <f>COUNTIF(U224:AY224,"F")</f>
      </c>
      <c r="BB224" s="119">
        <f>COUNTIF(U224:AY224,"E")</f>
      </c>
    </row>
    <row r="225" spans="1:54" x14ac:dyDescent="0.2">
      <c r="A225" s="84"/>
      <c r="B225" s="85"/>
      <c r="C225" s="85"/>
      <c r="D225" s="85"/>
      <c r="E225" s="86"/>
      <c r="F225" s="16">
        <f>IF(E225="","",DATEDIF(E225,$I$7,"Y"))</f>
      </c>
      <c r="G225" s="85"/>
      <c r="H225" s="85"/>
      <c r="I225" s="87"/>
      <c r="J225" s="85"/>
      <c r="K225" s="85"/>
      <c r="L225" s="10"/>
      <c r="M225" s="10"/>
      <c r="N225" s="10"/>
      <c r="O225" s="10"/>
      <c r="P225" s="85"/>
      <c r="Q225" s="88"/>
      <c r="R225" s="3">
        <f>IFERROR(VLOOKUP(TablaAgosto[[#This Row],[BARRIO]],SECTOR!$A:$B,2,0),"")</f>
      </c>
      <c r="S225" s="89"/>
      <c r="T225" s="90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6"/>
      <c r="AZ225" s="120">
        <f>COUNTIF(U225:AY225,"A")</f>
      </c>
      <c r="BA225" s="121">
        <f>COUNTIF(U225:AY225,"F")</f>
      </c>
      <c r="BB225" s="119">
        <f>COUNTIF(U225:AY225,"E")</f>
      </c>
    </row>
    <row r="226" spans="1:54" x14ac:dyDescent="0.2">
      <c r="A226" s="84"/>
      <c r="B226" s="85"/>
      <c r="C226" s="85"/>
      <c r="D226" s="85"/>
      <c r="E226" s="86"/>
      <c r="F226" s="16">
        <f>IF(E226="","",DATEDIF(E226,$I$7,"Y"))</f>
      </c>
      <c r="G226" s="85"/>
      <c r="H226" s="85"/>
      <c r="I226" s="87"/>
      <c r="J226" s="85"/>
      <c r="K226" s="85"/>
      <c r="L226" s="10"/>
      <c r="M226" s="10"/>
      <c r="N226" s="10"/>
      <c r="O226" s="10"/>
      <c r="P226" s="85"/>
      <c r="Q226" s="88"/>
      <c r="R226" s="3">
        <f>IFERROR(VLOOKUP(TablaAgosto[[#This Row],[BARRIO]],SECTOR!$A:$B,2,0),"")</f>
      </c>
      <c r="S226" s="89"/>
      <c r="T226" s="90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6"/>
      <c r="AZ226" s="120">
        <f>COUNTIF(U226:AY226,"A")</f>
      </c>
      <c r="BA226" s="121">
        <f>COUNTIF(U226:AY226,"F")</f>
      </c>
      <c r="BB226" s="119">
        <f>COUNTIF(U226:AY226,"E")</f>
      </c>
    </row>
    <row r="227" spans="1:54" x14ac:dyDescent="0.2">
      <c r="A227" s="84"/>
      <c r="B227" s="85"/>
      <c r="C227" s="85"/>
      <c r="D227" s="85"/>
      <c r="E227" s="86"/>
      <c r="F227" s="16">
        <f>IF(E227="","",DATEDIF(E227,$I$7,"Y"))</f>
      </c>
      <c r="G227" s="85"/>
      <c r="H227" s="85"/>
      <c r="I227" s="87"/>
      <c r="J227" s="85"/>
      <c r="K227" s="85"/>
      <c r="L227" s="10"/>
      <c r="M227" s="10"/>
      <c r="N227" s="10"/>
      <c r="O227" s="10"/>
      <c r="P227" s="85"/>
      <c r="Q227" s="88"/>
      <c r="R227" s="3">
        <f>IFERROR(VLOOKUP(TablaAgosto[[#This Row],[BARRIO]],SECTOR!$A:$B,2,0),"")</f>
      </c>
      <c r="S227" s="89"/>
      <c r="T227" s="90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6"/>
      <c r="AZ227" s="120">
        <f>COUNTIF(U227:AY227,"A")</f>
      </c>
      <c r="BA227" s="121">
        <f>COUNTIF(U227:AY227,"F")</f>
      </c>
      <c r="BB227" s="119">
        <f>COUNTIF(U227:AY227,"E")</f>
      </c>
    </row>
    <row r="228" spans="1:54" x14ac:dyDescent="0.2">
      <c r="A228" s="84"/>
      <c r="B228" s="85"/>
      <c r="C228" s="85"/>
      <c r="D228" s="85"/>
      <c r="E228" s="86"/>
      <c r="F228" s="16">
        <f>IF(E228="","",DATEDIF(E228,$I$7,"Y"))</f>
      </c>
      <c r="G228" s="85"/>
      <c r="H228" s="85"/>
      <c r="I228" s="87"/>
      <c r="J228" s="85"/>
      <c r="K228" s="85"/>
      <c r="L228" s="10"/>
      <c r="M228" s="10"/>
      <c r="N228" s="10"/>
      <c r="O228" s="10"/>
      <c r="P228" s="85"/>
      <c r="Q228" s="88"/>
      <c r="R228" s="3">
        <f>IFERROR(VLOOKUP(TablaAgosto[[#This Row],[BARRIO]],SECTOR!$A:$B,2,0),"")</f>
      </c>
      <c r="S228" s="89"/>
      <c r="T228" s="90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6"/>
      <c r="AZ228" s="120">
        <f>COUNTIF(U228:AY228,"A")</f>
      </c>
      <c r="BA228" s="121">
        <f>COUNTIF(U228:AY228,"F")</f>
      </c>
      <c r="BB228" s="119">
        <f>COUNTIF(U228:AY228,"E")</f>
      </c>
    </row>
    <row r="229" spans="1:54" x14ac:dyDescent="0.2">
      <c r="A229" s="84"/>
      <c r="B229" s="85"/>
      <c r="C229" s="85"/>
      <c r="D229" s="85"/>
      <c r="E229" s="86"/>
      <c r="F229" s="16">
        <f>IF(E229="","",DATEDIF(E229,$I$7,"Y"))</f>
      </c>
      <c r="G229" s="85"/>
      <c r="H229" s="85"/>
      <c r="I229" s="87"/>
      <c r="J229" s="85"/>
      <c r="K229" s="85"/>
      <c r="L229" s="10"/>
      <c r="M229" s="10"/>
      <c r="N229" s="10"/>
      <c r="O229" s="10"/>
      <c r="P229" s="85"/>
      <c r="Q229" s="88"/>
      <c r="R229" s="3">
        <f>IFERROR(VLOOKUP(TablaAgosto[[#This Row],[BARRIO]],SECTOR!$A:$B,2,0),"")</f>
      </c>
      <c r="S229" s="89"/>
      <c r="T229" s="90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6"/>
      <c r="AZ229" s="120">
        <f>COUNTIF(U229:AY229,"A")</f>
      </c>
      <c r="BA229" s="121">
        <f>COUNTIF(U229:AY229,"F")</f>
      </c>
      <c r="BB229" s="119">
        <f>COUNTIF(U229:AY229,"E")</f>
      </c>
    </row>
    <row r="230" spans="1:54" x14ac:dyDescent="0.2">
      <c r="A230" s="84"/>
      <c r="B230" s="85"/>
      <c r="C230" s="85"/>
      <c r="D230" s="85"/>
      <c r="E230" s="86"/>
      <c r="F230" s="16">
        <f>IF(E230="","",DATEDIF(E230,$I$7,"Y"))</f>
      </c>
      <c r="G230" s="85"/>
      <c r="H230" s="85"/>
      <c r="I230" s="87"/>
      <c r="J230" s="85"/>
      <c r="K230" s="85"/>
      <c r="L230" s="10"/>
      <c r="M230" s="10"/>
      <c r="N230" s="10"/>
      <c r="O230" s="10"/>
      <c r="P230" s="85"/>
      <c r="Q230" s="88"/>
      <c r="R230" s="3">
        <f>IFERROR(VLOOKUP(TablaAgosto[[#This Row],[BARRIO]],SECTOR!$A:$B,2,0),"")</f>
      </c>
      <c r="S230" s="89"/>
      <c r="T230" s="90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6"/>
      <c r="AZ230" s="120">
        <f>COUNTIF(U230:AY230,"A")</f>
      </c>
      <c r="BA230" s="121">
        <f>COUNTIF(U230:AY230,"F")</f>
      </c>
      <c r="BB230" s="119">
        <f>COUNTIF(U230:AY230,"E")</f>
      </c>
    </row>
    <row r="231" spans="1:54" x14ac:dyDescent="0.2">
      <c r="A231" s="84"/>
      <c r="B231" s="85"/>
      <c r="C231" s="85"/>
      <c r="D231" s="85"/>
      <c r="E231" s="86"/>
      <c r="F231" s="16">
        <f>IF(E231="","",DATEDIF(E231,$I$7,"Y"))</f>
      </c>
      <c r="G231" s="85"/>
      <c r="H231" s="85"/>
      <c r="I231" s="87"/>
      <c r="J231" s="85"/>
      <c r="K231" s="85"/>
      <c r="L231" s="10"/>
      <c r="M231" s="10"/>
      <c r="N231" s="10"/>
      <c r="O231" s="10"/>
      <c r="P231" s="85"/>
      <c r="Q231" s="88"/>
      <c r="R231" s="3">
        <f>IFERROR(VLOOKUP(TablaAgosto[[#This Row],[BARRIO]],SECTOR!$A:$B,2,0),"")</f>
      </c>
      <c r="S231" s="89"/>
      <c r="T231" s="90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6"/>
      <c r="AZ231" s="120">
        <f>COUNTIF(U231:AY231,"A")</f>
      </c>
      <c r="BA231" s="121">
        <f>COUNTIF(U231:AY231,"F")</f>
      </c>
      <c r="BB231" s="119">
        <f>COUNTIF(U231:AY231,"E")</f>
      </c>
    </row>
    <row r="232" spans="1:54" x14ac:dyDescent="0.2">
      <c r="A232" s="84"/>
      <c r="B232" s="85"/>
      <c r="C232" s="85"/>
      <c r="D232" s="85"/>
      <c r="E232" s="86"/>
      <c r="F232" s="16">
        <f>IF(E232="","",DATEDIF(E232,$I$7,"Y"))</f>
      </c>
      <c r="G232" s="85"/>
      <c r="H232" s="85"/>
      <c r="I232" s="87"/>
      <c r="J232" s="85"/>
      <c r="K232" s="85"/>
      <c r="L232" s="10"/>
      <c r="M232" s="10"/>
      <c r="N232" s="10"/>
      <c r="O232" s="10"/>
      <c r="P232" s="85"/>
      <c r="Q232" s="88"/>
      <c r="R232" s="3">
        <f>IFERROR(VLOOKUP(TablaAgosto[[#This Row],[BARRIO]],SECTOR!$A:$B,2,0),"")</f>
      </c>
      <c r="S232" s="89"/>
      <c r="T232" s="90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6"/>
      <c r="AZ232" s="120">
        <f>COUNTIF(U232:AY232,"A")</f>
      </c>
      <c r="BA232" s="121">
        <f>COUNTIF(U232:AY232,"F")</f>
      </c>
      <c r="BB232" s="119">
        <f>COUNTIF(U232:AY232,"E")</f>
      </c>
    </row>
    <row r="233" spans="1:54" x14ac:dyDescent="0.2">
      <c r="A233" s="84"/>
      <c r="B233" s="85"/>
      <c r="C233" s="85"/>
      <c r="D233" s="85"/>
      <c r="E233" s="86"/>
      <c r="F233" s="16">
        <f>IF(E233="","",DATEDIF(E233,$I$7,"Y"))</f>
      </c>
      <c r="G233" s="85"/>
      <c r="H233" s="85"/>
      <c r="I233" s="87"/>
      <c r="J233" s="85"/>
      <c r="K233" s="85"/>
      <c r="L233" s="10"/>
      <c r="M233" s="10"/>
      <c r="N233" s="10"/>
      <c r="O233" s="10"/>
      <c r="P233" s="85"/>
      <c r="Q233" s="88"/>
      <c r="R233" s="3">
        <f>IFERROR(VLOOKUP(TablaAgosto[[#This Row],[BARRIO]],SECTOR!$A:$B,2,0),"")</f>
      </c>
      <c r="S233" s="89"/>
      <c r="T233" s="90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6"/>
      <c r="AZ233" s="120">
        <f>COUNTIF(U233:AY233,"A")</f>
      </c>
      <c r="BA233" s="121">
        <f>COUNTIF(U233:AY233,"F")</f>
      </c>
      <c r="BB233" s="119">
        <f>COUNTIF(U233:AY233,"E")</f>
      </c>
    </row>
    <row r="234" spans="1:54" x14ac:dyDescent="0.2">
      <c r="A234" s="84"/>
      <c r="B234" s="85"/>
      <c r="C234" s="85"/>
      <c r="D234" s="85"/>
      <c r="E234" s="86"/>
      <c r="F234" s="16">
        <f>IF(E234="","",DATEDIF(E234,$I$7,"Y"))</f>
      </c>
      <c r="G234" s="85"/>
      <c r="H234" s="85"/>
      <c r="I234" s="87"/>
      <c r="J234" s="85"/>
      <c r="K234" s="85"/>
      <c r="L234" s="10"/>
      <c r="M234" s="10"/>
      <c r="N234" s="10"/>
      <c r="O234" s="10"/>
      <c r="P234" s="85"/>
      <c r="Q234" s="88"/>
      <c r="R234" s="3">
        <f>IFERROR(VLOOKUP(TablaAgosto[[#This Row],[BARRIO]],SECTOR!$A:$B,2,0),"")</f>
      </c>
      <c r="S234" s="89"/>
      <c r="T234" s="90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6"/>
      <c r="AZ234" s="120">
        <f>COUNTIF(U234:AY234,"A")</f>
      </c>
      <c r="BA234" s="121">
        <f>COUNTIF(U234:AY234,"F")</f>
      </c>
      <c r="BB234" s="119">
        <f>COUNTIF(U234:AY234,"E")</f>
      </c>
    </row>
    <row r="235" spans="1:54" x14ac:dyDescent="0.2">
      <c r="A235" s="84"/>
      <c r="B235" s="85"/>
      <c r="C235" s="85"/>
      <c r="D235" s="85"/>
      <c r="E235" s="86"/>
      <c r="F235" s="16">
        <f>IF(E235="","",DATEDIF(E235,$I$7,"Y"))</f>
      </c>
      <c r="G235" s="85"/>
      <c r="H235" s="85"/>
      <c r="I235" s="87"/>
      <c r="J235" s="85"/>
      <c r="K235" s="85"/>
      <c r="L235" s="10"/>
      <c r="M235" s="10"/>
      <c r="N235" s="10"/>
      <c r="O235" s="10"/>
      <c r="P235" s="85"/>
      <c r="Q235" s="88"/>
      <c r="R235" s="3">
        <f>IFERROR(VLOOKUP(TablaAgosto[[#This Row],[BARRIO]],SECTOR!$A:$B,2,0),"")</f>
      </c>
      <c r="S235" s="89"/>
      <c r="T235" s="90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6"/>
      <c r="AZ235" s="120">
        <f>COUNTIF(U235:AY235,"A")</f>
      </c>
      <c r="BA235" s="121">
        <f>COUNTIF(U235:AY235,"F")</f>
      </c>
      <c r="BB235" s="119">
        <f>COUNTIF(U235:AY235,"E")</f>
      </c>
    </row>
    <row r="236" spans="1:54" x14ac:dyDescent="0.2">
      <c r="A236" s="84"/>
      <c r="B236" s="85"/>
      <c r="C236" s="85"/>
      <c r="D236" s="85"/>
      <c r="E236" s="86"/>
      <c r="F236" s="16">
        <f>IF(E236="","",DATEDIF(E236,$I$7,"Y"))</f>
      </c>
      <c r="G236" s="85"/>
      <c r="H236" s="85"/>
      <c r="I236" s="87"/>
      <c r="J236" s="85"/>
      <c r="K236" s="85"/>
      <c r="L236" s="10"/>
      <c r="M236" s="10"/>
      <c r="N236" s="10"/>
      <c r="O236" s="10"/>
      <c r="P236" s="85"/>
      <c r="Q236" s="88"/>
      <c r="R236" s="3">
        <f>IFERROR(VLOOKUP(TablaAgosto[[#This Row],[BARRIO]],SECTOR!$A:$B,2,0),"")</f>
      </c>
      <c r="S236" s="89"/>
      <c r="T236" s="90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6"/>
      <c r="AZ236" s="120">
        <f>COUNTIF(U236:AY236,"A")</f>
      </c>
      <c r="BA236" s="121">
        <f>COUNTIF(U236:AY236,"F")</f>
      </c>
      <c r="BB236" s="119">
        <f>COUNTIF(U236:AY236,"E")</f>
      </c>
    </row>
    <row r="237" spans="1:54" x14ac:dyDescent="0.2">
      <c r="A237" s="84"/>
      <c r="B237" s="85"/>
      <c r="C237" s="85"/>
      <c r="D237" s="85"/>
      <c r="E237" s="86"/>
      <c r="F237" s="16">
        <f>IF(E237="","",DATEDIF(E237,$I$7,"Y"))</f>
      </c>
      <c r="G237" s="85"/>
      <c r="H237" s="85"/>
      <c r="I237" s="87"/>
      <c r="J237" s="85"/>
      <c r="K237" s="85"/>
      <c r="L237" s="10"/>
      <c r="M237" s="10"/>
      <c r="N237" s="10"/>
      <c r="O237" s="10"/>
      <c r="P237" s="85"/>
      <c r="Q237" s="88"/>
      <c r="R237" s="3">
        <f>IFERROR(VLOOKUP(TablaAgosto[[#This Row],[BARRIO]],SECTOR!$A:$B,2,0),"")</f>
      </c>
      <c r="S237" s="89"/>
      <c r="T237" s="90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6"/>
      <c r="AZ237" s="120">
        <f>COUNTIF(U237:AY237,"A")</f>
      </c>
      <c r="BA237" s="121">
        <f>COUNTIF(U237:AY237,"F")</f>
      </c>
      <c r="BB237" s="119">
        <f>COUNTIF(U237:AY237,"E")</f>
      </c>
    </row>
    <row r="238" spans="1:54" x14ac:dyDescent="0.2">
      <c r="A238" s="84"/>
      <c r="B238" s="85"/>
      <c r="C238" s="85"/>
      <c r="D238" s="85"/>
      <c r="E238" s="86"/>
      <c r="F238" s="16">
        <f>IF(E238="","",DATEDIF(E238,$I$7,"Y"))</f>
      </c>
      <c r="G238" s="85"/>
      <c r="H238" s="85"/>
      <c r="I238" s="87"/>
      <c r="J238" s="85"/>
      <c r="K238" s="85"/>
      <c r="L238" s="10"/>
      <c r="M238" s="10"/>
      <c r="N238" s="10"/>
      <c r="O238" s="10"/>
      <c r="P238" s="85"/>
      <c r="Q238" s="88"/>
      <c r="R238" s="3">
        <f>IFERROR(VLOOKUP(TablaAgosto[[#This Row],[BARRIO]],SECTOR!$A:$B,2,0),"")</f>
      </c>
      <c r="S238" s="89"/>
      <c r="T238" s="90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6"/>
      <c r="AZ238" s="120">
        <f>COUNTIF(U238:AY238,"A")</f>
      </c>
      <c r="BA238" s="121">
        <f>COUNTIF(U238:AY238,"F")</f>
      </c>
      <c r="BB238" s="119">
        <f>COUNTIF(U238:AY238,"E")</f>
      </c>
    </row>
    <row r="239" spans="1:54" x14ac:dyDescent="0.2">
      <c r="A239" s="84"/>
      <c r="B239" s="85"/>
      <c r="C239" s="85"/>
      <c r="D239" s="85"/>
      <c r="E239" s="86"/>
      <c r="F239" s="16">
        <f>IF(E239="","",DATEDIF(E239,$I$7,"Y"))</f>
      </c>
      <c r="G239" s="85"/>
      <c r="H239" s="85"/>
      <c r="I239" s="87"/>
      <c r="J239" s="85"/>
      <c r="K239" s="85"/>
      <c r="L239" s="10"/>
      <c r="M239" s="10"/>
      <c r="N239" s="10"/>
      <c r="O239" s="10"/>
      <c r="P239" s="85"/>
      <c r="Q239" s="88"/>
      <c r="R239" s="3">
        <f>IFERROR(VLOOKUP(TablaAgosto[[#This Row],[BARRIO]],SECTOR!$A:$B,2,0),"")</f>
      </c>
      <c r="S239" s="89"/>
      <c r="T239" s="90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6"/>
      <c r="AZ239" s="120">
        <f>COUNTIF(U239:AY239,"A")</f>
      </c>
      <c r="BA239" s="121">
        <f>COUNTIF(U239:AY239,"F")</f>
      </c>
      <c r="BB239" s="119">
        <f>COUNTIF(U239:AY239,"E")</f>
      </c>
    </row>
    <row r="240" spans="1:54" x14ac:dyDescent="0.2">
      <c r="A240" s="84"/>
      <c r="B240" s="85"/>
      <c r="C240" s="85"/>
      <c r="D240" s="85"/>
      <c r="E240" s="86"/>
      <c r="F240" s="16">
        <f>IF(E240="","",DATEDIF(E240,$I$7,"Y"))</f>
      </c>
      <c r="G240" s="85"/>
      <c r="H240" s="85"/>
      <c r="I240" s="87"/>
      <c r="J240" s="85"/>
      <c r="K240" s="85"/>
      <c r="L240" s="10"/>
      <c r="M240" s="10"/>
      <c r="N240" s="10"/>
      <c r="O240" s="10"/>
      <c r="P240" s="85"/>
      <c r="Q240" s="88"/>
      <c r="R240" s="3">
        <f>IFERROR(VLOOKUP(TablaAgosto[[#This Row],[BARRIO]],SECTOR!$A:$B,2,0),"")</f>
      </c>
      <c r="S240" s="89"/>
      <c r="T240" s="90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6"/>
      <c r="AZ240" s="120">
        <f>COUNTIF(U240:AY240,"A")</f>
      </c>
      <c r="BA240" s="121">
        <f>COUNTIF(U240:AY240,"F")</f>
      </c>
      <c r="BB240" s="119">
        <f>COUNTIF(U240:AY240,"E")</f>
      </c>
    </row>
    <row r="241" spans="1:54" x14ac:dyDescent="0.2">
      <c r="A241" s="84"/>
      <c r="B241" s="85"/>
      <c r="C241" s="85"/>
      <c r="D241" s="85"/>
      <c r="E241" s="86"/>
      <c r="F241" s="16">
        <f>IF(E241="","",DATEDIF(E241,$I$7,"Y"))</f>
      </c>
      <c r="G241" s="85"/>
      <c r="H241" s="85"/>
      <c r="I241" s="87"/>
      <c r="J241" s="85"/>
      <c r="K241" s="85"/>
      <c r="L241" s="10"/>
      <c r="M241" s="10"/>
      <c r="N241" s="10"/>
      <c r="O241" s="10"/>
      <c r="P241" s="85"/>
      <c r="Q241" s="88"/>
      <c r="R241" s="3">
        <f>IFERROR(VLOOKUP(TablaAgosto[[#This Row],[BARRIO]],SECTOR!$A:$B,2,0),"")</f>
      </c>
      <c r="S241" s="89"/>
      <c r="T241" s="90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6"/>
      <c r="AZ241" s="120">
        <f>COUNTIF(U241:AY241,"A")</f>
      </c>
      <c r="BA241" s="121">
        <f>COUNTIF(U241:AY241,"F")</f>
      </c>
      <c r="BB241" s="119">
        <f>COUNTIF(U241:AY241,"E")</f>
      </c>
    </row>
    <row r="242" spans="1:54" x14ac:dyDescent="0.2">
      <c r="A242" s="84"/>
      <c r="B242" s="85"/>
      <c r="C242" s="85"/>
      <c r="D242" s="85"/>
      <c r="E242" s="86"/>
      <c r="F242" s="16">
        <f>IF(E242="","",DATEDIF(E242,$I$7,"Y"))</f>
      </c>
      <c r="G242" s="85"/>
      <c r="H242" s="85"/>
      <c r="I242" s="87"/>
      <c r="J242" s="85"/>
      <c r="K242" s="85"/>
      <c r="L242" s="10"/>
      <c r="M242" s="10"/>
      <c r="N242" s="10"/>
      <c r="O242" s="10"/>
      <c r="P242" s="85"/>
      <c r="Q242" s="88"/>
      <c r="R242" s="3">
        <f>IFERROR(VLOOKUP(TablaAgosto[[#This Row],[BARRIO]],SECTOR!$A:$B,2,0),"")</f>
      </c>
      <c r="S242" s="89"/>
      <c r="T242" s="90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6"/>
      <c r="AZ242" s="120">
        <f>COUNTIF(U242:AY242,"A")</f>
      </c>
      <c r="BA242" s="121">
        <f>COUNTIF(U242:AY242,"F")</f>
      </c>
      <c r="BB242" s="119">
        <f>COUNTIF(U242:AY242,"E")</f>
      </c>
    </row>
    <row r="243" spans="1:54" x14ac:dyDescent="0.2">
      <c r="A243" s="84"/>
      <c r="B243" s="85"/>
      <c r="C243" s="85"/>
      <c r="D243" s="85"/>
      <c r="E243" s="86"/>
      <c r="F243" s="16">
        <f>IF(E243="","",DATEDIF(E243,$I$7,"Y"))</f>
      </c>
      <c r="G243" s="85"/>
      <c r="H243" s="85"/>
      <c r="I243" s="87"/>
      <c r="J243" s="85"/>
      <c r="K243" s="85"/>
      <c r="L243" s="10"/>
      <c r="M243" s="10"/>
      <c r="N243" s="10"/>
      <c r="O243" s="10"/>
      <c r="P243" s="85"/>
      <c r="Q243" s="88"/>
      <c r="R243" s="3">
        <f>IFERROR(VLOOKUP(TablaAgosto[[#This Row],[BARRIO]],SECTOR!$A:$B,2,0),"")</f>
      </c>
      <c r="S243" s="89"/>
      <c r="T243" s="90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6"/>
      <c r="AZ243" s="120">
        <f>COUNTIF(U243:AY243,"A")</f>
      </c>
      <c r="BA243" s="121">
        <f>COUNTIF(U243:AY243,"F")</f>
      </c>
      <c r="BB243" s="119">
        <f>COUNTIF(U243:AY243,"E")</f>
      </c>
    </row>
    <row r="244" spans="1:54" x14ac:dyDescent="0.2">
      <c r="A244" s="84"/>
      <c r="B244" s="85"/>
      <c r="C244" s="85"/>
      <c r="D244" s="85"/>
      <c r="E244" s="86"/>
      <c r="F244" s="16">
        <f>IF(E244="","",DATEDIF(E244,$I$7,"Y"))</f>
      </c>
      <c r="G244" s="85"/>
      <c r="H244" s="85"/>
      <c r="I244" s="87"/>
      <c r="J244" s="85"/>
      <c r="K244" s="85"/>
      <c r="L244" s="10"/>
      <c r="M244" s="10"/>
      <c r="N244" s="10"/>
      <c r="O244" s="10"/>
      <c r="P244" s="85"/>
      <c r="Q244" s="88"/>
      <c r="R244" s="3">
        <f>IFERROR(VLOOKUP(TablaAgosto[[#This Row],[BARRIO]],SECTOR!$A:$B,2,0),"")</f>
      </c>
      <c r="S244" s="89"/>
      <c r="T244" s="90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6"/>
      <c r="AZ244" s="120">
        <f>COUNTIF(U244:AY244,"A")</f>
      </c>
      <c r="BA244" s="121">
        <f>COUNTIF(U244:AY244,"F")</f>
      </c>
      <c r="BB244" s="119">
        <f>COUNTIF(U244:AY244,"E")</f>
      </c>
    </row>
    <row r="245" spans="1:54" x14ac:dyDescent="0.2">
      <c r="A245" s="84"/>
      <c r="B245" s="85"/>
      <c r="C245" s="85"/>
      <c r="D245" s="85"/>
      <c r="E245" s="86"/>
      <c r="F245" s="16">
        <f>IF(E245="","",DATEDIF(E245,$I$7,"Y"))</f>
      </c>
      <c r="G245" s="85"/>
      <c r="H245" s="85"/>
      <c r="I245" s="87"/>
      <c r="J245" s="85"/>
      <c r="K245" s="85"/>
      <c r="L245" s="10"/>
      <c r="M245" s="10"/>
      <c r="N245" s="10"/>
      <c r="O245" s="10"/>
      <c r="P245" s="85"/>
      <c r="Q245" s="88"/>
      <c r="R245" s="3">
        <f>IFERROR(VLOOKUP(TablaAgosto[[#This Row],[BARRIO]],SECTOR!$A:$B,2,0),"")</f>
      </c>
      <c r="S245" s="89"/>
      <c r="T245" s="90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6"/>
      <c r="AZ245" s="120">
        <f>COUNTIF(U245:AY245,"A")</f>
      </c>
      <c r="BA245" s="121">
        <f>COUNTIF(U245:AY245,"F")</f>
      </c>
      <c r="BB245" s="119">
        <f>COUNTIF(U245:AY245,"E")</f>
      </c>
    </row>
    <row r="246" spans="1:54" x14ac:dyDescent="0.2">
      <c r="A246" s="84"/>
      <c r="B246" s="85"/>
      <c r="C246" s="85"/>
      <c r="D246" s="85"/>
      <c r="E246" s="86"/>
      <c r="F246" s="16">
        <f>IF(E246="","",DATEDIF(E246,$I$7,"Y"))</f>
      </c>
      <c r="G246" s="85"/>
      <c r="H246" s="85"/>
      <c r="I246" s="87"/>
      <c r="J246" s="85"/>
      <c r="K246" s="85"/>
      <c r="L246" s="10"/>
      <c r="M246" s="10"/>
      <c r="N246" s="10"/>
      <c r="O246" s="10"/>
      <c r="P246" s="85"/>
      <c r="Q246" s="88"/>
      <c r="R246" s="3">
        <f>IFERROR(VLOOKUP(TablaAgosto[[#This Row],[BARRIO]],SECTOR!$A:$B,2,0),"")</f>
      </c>
      <c r="S246" s="89"/>
      <c r="T246" s="90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6"/>
      <c r="AZ246" s="120">
        <f>COUNTIF(U246:AY246,"A")</f>
      </c>
      <c r="BA246" s="121">
        <f>COUNTIF(U246:AY246,"F")</f>
      </c>
      <c r="BB246" s="119">
        <f>COUNTIF(U246:AY246,"E")</f>
      </c>
    </row>
    <row r="247" spans="1:54" x14ac:dyDescent="0.2">
      <c r="A247" s="84"/>
      <c r="B247" s="85"/>
      <c r="C247" s="85"/>
      <c r="D247" s="85"/>
      <c r="E247" s="86"/>
      <c r="F247" s="16">
        <f>IF(E247="","",DATEDIF(E247,$I$7,"Y"))</f>
      </c>
      <c r="G247" s="85"/>
      <c r="H247" s="85"/>
      <c r="I247" s="87"/>
      <c r="J247" s="85"/>
      <c r="K247" s="85"/>
      <c r="L247" s="10"/>
      <c r="M247" s="10"/>
      <c r="N247" s="10"/>
      <c r="O247" s="10"/>
      <c r="P247" s="85"/>
      <c r="Q247" s="88"/>
      <c r="R247" s="3">
        <f>IFERROR(VLOOKUP(TablaAgosto[[#This Row],[BARRIO]],SECTOR!$A:$B,2,0),"")</f>
      </c>
      <c r="S247" s="89"/>
      <c r="T247" s="90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6"/>
      <c r="AZ247" s="120">
        <f>COUNTIF(U247:AY247,"A")</f>
      </c>
      <c r="BA247" s="121">
        <f>COUNTIF(U247:AY247,"F")</f>
      </c>
      <c r="BB247" s="119">
        <f>COUNTIF(U247:AY247,"E")</f>
      </c>
    </row>
    <row r="248" spans="1:54" x14ac:dyDescent="0.2">
      <c r="A248" s="84"/>
      <c r="B248" s="85"/>
      <c r="C248" s="85"/>
      <c r="D248" s="85"/>
      <c r="E248" s="86"/>
      <c r="F248" s="16">
        <f>IF(E248="","",DATEDIF(E248,$I$7,"Y"))</f>
      </c>
      <c r="G248" s="85"/>
      <c r="H248" s="85"/>
      <c r="I248" s="87"/>
      <c r="J248" s="85"/>
      <c r="K248" s="85"/>
      <c r="L248" s="10"/>
      <c r="M248" s="10"/>
      <c r="N248" s="10"/>
      <c r="O248" s="10"/>
      <c r="P248" s="85"/>
      <c r="Q248" s="88"/>
      <c r="R248" s="3">
        <f>IFERROR(VLOOKUP(TablaAgosto[[#This Row],[BARRIO]],SECTOR!$A:$B,2,0),"")</f>
      </c>
      <c r="S248" s="89"/>
      <c r="T248" s="90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6"/>
      <c r="AZ248" s="120">
        <f>COUNTIF(U248:AY248,"A")</f>
      </c>
      <c r="BA248" s="121">
        <f>COUNTIF(U248:AY248,"F")</f>
      </c>
      <c r="BB248" s="119">
        <f>COUNTIF(U248:AY248,"E")</f>
      </c>
    </row>
    <row r="249" spans="1:54" x14ac:dyDescent="0.2">
      <c r="A249" s="84"/>
      <c r="B249" s="85"/>
      <c r="C249" s="85"/>
      <c r="D249" s="85"/>
      <c r="E249" s="86"/>
      <c r="F249" s="16">
        <f>IF(E249="","",DATEDIF(E249,$I$7,"Y"))</f>
      </c>
      <c r="G249" s="85"/>
      <c r="H249" s="85"/>
      <c r="I249" s="87"/>
      <c r="J249" s="85"/>
      <c r="K249" s="85"/>
      <c r="L249" s="10"/>
      <c r="M249" s="10"/>
      <c r="N249" s="10"/>
      <c r="O249" s="10"/>
      <c r="P249" s="85"/>
      <c r="Q249" s="88"/>
      <c r="R249" s="3">
        <f>IFERROR(VLOOKUP(TablaAgosto[[#This Row],[BARRIO]],SECTOR!$A:$B,2,0),"")</f>
      </c>
      <c r="S249" s="89"/>
      <c r="T249" s="90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6"/>
      <c r="AZ249" s="120">
        <f>COUNTIF(U249:AY249,"A")</f>
      </c>
      <c r="BA249" s="121">
        <f>COUNTIF(U249:AY249,"F")</f>
      </c>
      <c r="BB249" s="119">
        <f>COUNTIF(U249:AY249,"E")</f>
      </c>
    </row>
    <row r="250" spans="1:54" x14ac:dyDescent="0.2">
      <c r="A250" s="84"/>
      <c r="B250" s="85"/>
      <c r="C250" s="85"/>
      <c r="D250" s="85"/>
      <c r="E250" s="86"/>
      <c r="F250" s="16">
        <f>IF(E250="","",DATEDIF(E250,$I$7,"Y"))</f>
      </c>
      <c r="G250" s="85"/>
      <c r="H250" s="85"/>
      <c r="I250" s="87"/>
      <c r="J250" s="85"/>
      <c r="K250" s="85"/>
      <c r="L250" s="10"/>
      <c r="M250" s="10"/>
      <c r="N250" s="10"/>
      <c r="O250" s="10"/>
      <c r="P250" s="85"/>
      <c r="Q250" s="88"/>
      <c r="R250" s="3">
        <f>IFERROR(VLOOKUP(TablaAgosto[[#This Row],[BARRIO]],SECTOR!$A:$B,2,0),"")</f>
      </c>
      <c r="S250" s="89"/>
      <c r="T250" s="90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6"/>
      <c r="AZ250" s="120">
        <f>COUNTIF(U250:AY250,"A")</f>
      </c>
      <c r="BA250" s="121">
        <f>COUNTIF(U250:AY250,"F")</f>
      </c>
      <c r="BB250" s="119">
        <f>COUNTIF(U250:AY250,"E")</f>
      </c>
    </row>
    <row r="251" spans="1:54" x14ac:dyDescent="0.2">
      <c r="A251" s="84"/>
      <c r="B251" s="85"/>
      <c r="C251" s="85"/>
      <c r="D251" s="85"/>
      <c r="E251" s="86"/>
      <c r="F251" s="16">
        <f>IF(E251="","",DATEDIF(E251,$I$7,"Y"))</f>
      </c>
      <c r="G251" s="85"/>
      <c r="H251" s="85"/>
      <c r="I251" s="87"/>
      <c r="J251" s="85"/>
      <c r="K251" s="85"/>
      <c r="L251" s="10"/>
      <c r="M251" s="10"/>
      <c r="N251" s="10"/>
      <c r="O251" s="10"/>
      <c r="P251" s="85"/>
      <c r="Q251" s="88"/>
      <c r="R251" s="3">
        <f>IFERROR(VLOOKUP(TablaAgosto[[#This Row],[BARRIO]],SECTOR!$A:$B,2,0),"")</f>
      </c>
      <c r="S251" s="89"/>
      <c r="T251" s="90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6"/>
      <c r="AZ251" s="120">
        <f>COUNTIF(U251:AY251,"A")</f>
      </c>
      <c r="BA251" s="121">
        <f>COUNTIF(U251:AY251,"F")</f>
      </c>
      <c r="BB251" s="119">
        <f>COUNTIF(U251:AY251,"E")</f>
      </c>
    </row>
    <row r="252" spans="1:54" x14ac:dyDescent="0.2">
      <c r="A252" s="84"/>
      <c r="B252" s="85"/>
      <c r="C252" s="85"/>
      <c r="D252" s="85"/>
      <c r="E252" s="86"/>
      <c r="F252" s="16">
        <f>IF(E252="","",DATEDIF(E252,$I$7,"Y"))</f>
      </c>
      <c r="G252" s="85"/>
      <c r="H252" s="85"/>
      <c r="I252" s="87"/>
      <c r="J252" s="85"/>
      <c r="K252" s="85"/>
      <c r="L252" s="10"/>
      <c r="M252" s="10"/>
      <c r="N252" s="10"/>
      <c r="O252" s="10"/>
      <c r="P252" s="85"/>
      <c r="Q252" s="88"/>
      <c r="R252" s="3">
        <f>IFERROR(VLOOKUP(TablaAgosto[[#This Row],[BARRIO]],SECTOR!$A:$B,2,0),"")</f>
      </c>
      <c r="S252" s="89"/>
      <c r="T252" s="90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6"/>
      <c r="AZ252" s="120">
        <f>COUNTIF(U252:AY252,"A")</f>
      </c>
      <c r="BA252" s="121">
        <f>COUNTIF(U252:AY252,"F")</f>
      </c>
      <c r="BB252" s="119">
        <f>COUNTIF(U252:AY252,"E")</f>
      </c>
    </row>
    <row r="253" spans="1:54" x14ac:dyDescent="0.2">
      <c r="A253" s="84"/>
      <c r="B253" s="85"/>
      <c r="C253" s="85"/>
      <c r="D253" s="85"/>
      <c r="E253" s="86"/>
      <c r="F253" s="16">
        <f>IF(E253="","",DATEDIF(E253,$I$7,"Y"))</f>
      </c>
      <c r="G253" s="85"/>
      <c r="H253" s="85"/>
      <c r="I253" s="87"/>
      <c r="J253" s="85"/>
      <c r="K253" s="85"/>
      <c r="L253" s="10"/>
      <c r="M253" s="10"/>
      <c r="N253" s="10"/>
      <c r="O253" s="10"/>
      <c r="P253" s="85"/>
      <c r="Q253" s="88"/>
      <c r="R253" s="3">
        <f>IFERROR(VLOOKUP(TablaAgosto[[#This Row],[BARRIO]],SECTOR!$A:$B,2,0),"")</f>
      </c>
      <c r="S253" s="89"/>
      <c r="T253" s="90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6"/>
      <c r="AZ253" s="120">
        <f>COUNTIF(U253:AY253,"A")</f>
      </c>
      <c r="BA253" s="121">
        <f>COUNTIF(U253:AY253,"F")</f>
      </c>
      <c r="BB253" s="119">
        <f>COUNTIF(U253:AY253,"E")</f>
      </c>
    </row>
    <row r="254" spans="1:54" x14ac:dyDescent="0.2">
      <c r="A254" s="84"/>
      <c r="B254" s="85"/>
      <c r="C254" s="85"/>
      <c r="D254" s="85"/>
      <c r="E254" s="86"/>
      <c r="F254" s="16">
        <f>IF(E254="","",DATEDIF(E254,$I$7,"Y"))</f>
      </c>
      <c r="G254" s="85"/>
      <c r="H254" s="85"/>
      <c r="I254" s="87"/>
      <c r="J254" s="85"/>
      <c r="K254" s="85"/>
      <c r="L254" s="10"/>
      <c r="M254" s="10"/>
      <c r="N254" s="10"/>
      <c r="O254" s="10"/>
      <c r="P254" s="85"/>
      <c r="Q254" s="88"/>
      <c r="R254" s="3">
        <f>IFERROR(VLOOKUP(TablaAgosto[[#This Row],[BARRIO]],SECTOR!$A:$B,2,0),"")</f>
      </c>
      <c r="S254" s="89"/>
      <c r="T254" s="90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6"/>
      <c r="AZ254" s="120">
        <f>COUNTIF(U254:AY254,"A")</f>
      </c>
      <c r="BA254" s="121">
        <f>COUNTIF(U254:AY254,"F")</f>
      </c>
      <c r="BB254" s="119">
        <f>COUNTIF(U254:AY254,"E")</f>
      </c>
    </row>
    <row r="255" spans="1:54" x14ac:dyDescent="0.2">
      <c r="A255" s="84"/>
      <c r="B255" s="85"/>
      <c r="C255" s="85"/>
      <c r="D255" s="85"/>
      <c r="E255" s="86"/>
      <c r="F255" s="16">
        <f>IF(E255="","",DATEDIF(E255,$I$7,"Y"))</f>
      </c>
      <c r="G255" s="85"/>
      <c r="H255" s="85"/>
      <c r="I255" s="87"/>
      <c r="J255" s="85"/>
      <c r="K255" s="85"/>
      <c r="L255" s="10"/>
      <c r="M255" s="10"/>
      <c r="N255" s="10"/>
      <c r="O255" s="10"/>
      <c r="P255" s="85"/>
      <c r="Q255" s="88"/>
      <c r="R255" s="3">
        <f>IFERROR(VLOOKUP(TablaAgosto[[#This Row],[BARRIO]],SECTOR!$A:$B,2,0),"")</f>
      </c>
      <c r="S255" s="89"/>
      <c r="T255" s="90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6"/>
      <c r="AZ255" s="120">
        <f>COUNTIF(U255:AY255,"A")</f>
      </c>
      <c r="BA255" s="121">
        <f>COUNTIF(U255:AY255,"F")</f>
      </c>
      <c r="BB255" s="119">
        <f>COUNTIF(U255:AY255,"E")</f>
      </c>
    </row>
    <row r="256" spans="1:54" x14ac:dyDescent="0.2">
      <c r="A256" s="84"/>
      <c r="B256" s="85"/>
      <c r="C256" s="85"/>
      <c r="D256" s="85"/>
      <c r="E256" s="86"/>
      <c r="F256" s="16">
        <f>IF(E256="","",DATEDIF(E256,$I$7,"Y"))</f>
      </c>
      <c r="G256" s="85"/>
      <c r="H256" s="85"/>
      <c r="I256" s="87"/>
      <c r="J256" s="85"/>
      <c r="K256" s="85"/>
      <c r="L256" s="10"/>
      <c r="M256" s="10"/>
      <c r="N256" s="10"/>
      <c r="O256" s="10"/>
      <c r="P256" s="85"/>
      <c r="Q256" s="88"/>
      <c r="R256" s="3">
        <f>IFERROR(VLOOKUP(TablaAgosto[[#This Row],[BARRIO]],SECTOR!$A:$B,2,0),"")</f>
      </c>
      <c r="S256" s="89"/>
      <c r="T256" s="90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6"/>
      <c r="AZ256" s="120">
        <f>COUNTIF(U256:AY256,"A")</f>
      </c>
      <c r="BA256" s="121">
        <f>COUNTIF(U256:AY256,"F")</f>
      </c>
      <c r="BB256" s="119">
        <f>COUNTIF(U256:AY256,"E")</f>
      </c>
    </row>
    <row r="257" spans="1:54" x14ac:dyDescent="0.2">
      <c r="A257" s="84"/>
      <c r="B257" s="85"/>
      <c r="C257" s="85"/>
      <c r="D257" s="85"/>
      <c r="E257" s="86"/>
      <c r="F257" s="16">
        <f>IF(E257="","",DATEDIF(E257,$I$7,"Y"))</f>
      </c>
      <c r="G257" s="85"/>
      <c r="H257" s="85"/>
      <c r="I257" s="87"/>
      <c r="J257" s="85"/>
      <c r="K257" s="85"/>
      <c r="L257" s="10"/>
      <c r="M257" s="10"/>
      <c r="N257" s="10"/>
      <c r="O257" s="10"/>
      <c r="P257" s="85"/>
      <c r="Q257" s="88"/>
      <c r="R257" s="3">
        <f>IFERROR(VLOOKUP(TablaAgosto[[#This Row],[BARRIO]],SECTOR!$A:$B,2,0),"")</f>
      </c>
      <c r="S257" s="89"/>
      <c r="T257" s="90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6"/>
      <c r="AZ257" s="120">
        <f>COUNTIF(U257:AY257,"A")</f>
      </c>
      <c r="BA257" s="121">
        <f>COUNTIF(U257:AY257,"F")</f>
      </c>
      <c r="BB257" s="119">
        <f>COUNTIF(U257:AY257,"E")</f>
      </c>
    </row>
    <row r="258" spans="1:54" x14ac:dyDescent="0.2">
      <c r="A258" s="84"/>
      <c r="B258" s="85"/>
      <c r="C258" s="85"/>
      <c r="D258" s="85"/>
      <c r="E258" s="86"/>
      <c r="F258" s="16">
        <f>IF(E258="","",DATEDIF(E258,$I$7,"Y"))</f>
      </c>
      <c r="G258" s="85"/>
      <c r="H258" s="85"/>
      <c r="I258" s="87"/>
      <c r="J258" s="85"/>
      <c r="K258" s="85"/>
      <c r="L258" s="10"/>
      <c r="M258" s="10"/>
      <c r="N258" s="10"/>
      <c r="O258" s="10"/>
      <c r="P258" s="85"/>
      <c r="Q258" s="88"/>
      <c r="R258" s="3">
        <f>IFERROR(VLOOKUP(TablaAgosto[[#This Row],[BARRIO]],SECTOR!$A:$B,2,0),"")</f>
      </c>
      <c r="S258" s="89"/>
      <c r="T258" s="90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6"/>
      <c r="AZ258" s="120">
        <f>COUNTIF(U258:AY258,"A")</f>
      </c>
      <c r="BA258" s="121">
        <f>COUNTIF(U258:AY258,"F")</f>
      </c>
      <c r="BB258" s="119">
        <f>COUNTIF(U258:AY258,"E")</f>
      </c>
    </row>
    <row r="259" spans="1:54" x14ac:dyDescent="0.2">
      <c r="A259" s="84"/>
      <c r="B259" s="85"/>
      <c r="C259" s="85"/>
      <c r="D259" s="85"/>
      <c r="E259" s="86"/>
      <c r="F259" s="16">
        <f>IF(E259="","",DATEDIF(E259,$I$7,"Y"))</f>
      </c>
      <c r="G259" s="85"/>
      <c r="H259" s="85"/>
      <c r="I259" s="87"/>
      <c r="J259" s="85"/>
      <c r="K259" s="85"/>
      <c r="L259" s="10"/>
      <c r="M259" s="10"/>
      <c r="N259" s="10"/>
      <c r="O259" s="10"/>
      <c r="P259" s="85"/>
      <c r="Q259" s="88"/>
      <c r="R259" s="3">
        <f>IFERROR(VLOOKUP(TablaAgosto[[#This Row],[BARRIO]],SECTOR!$A:$B,2,0),"")</f>
      </c>
      <c r="S259" s="89"/>
      <c r="T259" s="90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6"/>
      <c r="AZ259" s="120">
        <f>COUNTIF(U259:AY259,"A")</f>
      </c>
      <c r="BA259" s="121">
        <f>COUNTIF(U259:AY259,"F")</f>
      </c>
      <c r="BB259" s="119">
        <f>COUNTIF(U259:AY259,"E")</f>
      </c>
    </row>
    <row r="260" spans="1:54" x14ac:dyDescent="0.2">
      <c r="A260" s="84"/>
      <c r="B260" s="85"/>
      <c r="C260" s="85"/>
      <c r="D260" s="85"/>
      <c r="E260" s="86"/>
      <c r="F260" s="16">
        <f>IF(E260="","",DATEDIF(E260,$I$7,"Y"))</f>
      </c>
      <c r="G260" s="85"/>
      <c r="H260" s="85"/>
      <c r="I260" s="87"/>
      <c r="J260" s="85"/>
      <c r="K260" s="85"/>
      <c r="L260" s="10"/>
      <c r="M260" s="10"/>
      <c r="N260" s="10"/>
      <c r="O260" s="10"/>
      <c r="P260" s="85"/>
      <c r="Q260" s="88"/>
      <c r="R260" s="3">
        <f>IFERROR(VLOOKUP(TablaAgosto[[#This Row],[BARRIO]],SECTOR!$A:$B,2,0),"")</f>
      </c>
      <c r="S260" s="89"/>
      <c r="T260" s="90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6"/>
      <c r="AZ260" s="120">
        <f>COUNTIF(U260:AY260,"A")</f>
      </c>
      <c r="BA260" s="121">
        <f>COUNTIF(U260:AY260,"F")</f>
      </c>
      <c r="BB260" s="119">
        <f>COUNTIF(U260:AY260,"E")</f>
      </c>
    </row>
    <row r="261" spans="1:54" x14ac:dyDescent="0.2">
      <c r="A261" s="84"/>
      <c r="B261" s="85"/>
      <c r="C261" s="85"/>
      <c r="D261" s="85"/>
      <c r="E261" s="86"/>
      <c r="F261" s="16">
        <f>IF(E261="","",DATEDIF(E261,$I$7,"Y"))</f>
      </c>
      <c r="G261" s="85"/>
      <c r="H261" s="85"/>
      <c r="I261" s="87"/>
      <c r="J261" s="85"/>
      <c r="K261" s="85"/>
      <c r="L261" s="10"/>
      <c r="M261" s="10"/>
      <c r="N261" s="10"/>
      <c r="O261" s="10"/>
      <c r="P261" s="85"/>
      <c r="Q261" s="88"/>
      <c r="R261" s="3">
        <f>IFERROR(VLOOKUP(TablaAgosto[[#This Row],[BARRIO]],SECTOR!$A:$B,2,0),"")</f>
      </c>
      <c r="S261" s="89"/>
      <c r="T261" s="90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6"/>
      <c r="AZ261" s="120">
        <f>COUNTIF(U261:AY261,"A")</f>
      </c>
      <c r="BA261" s="121">
        <f>COUNTIF(U261:AY261,"F")</f>
      </c>
      <c r="BB261" s="119">
        <f>COUNTIF(U261:AY261,"E")</f>
      </c>
    </row>
    <row r="262" spans="1:54" x14ac:dyDescent="0.2">
      <c r="A262" s="84"/>
      <c r="B262" s="85"/>
      <c r="C262" s="85"/>
      <c r="D262" s="85"/>
      <c r="E262" s="86"/>
      <c r="F262" s="16">
        <f>IF(E262="","",DATEDIF(E262,$I$7,"Y"))</f>
      </c>
      <c r="G262" s="85"/>
      <c r="H262" s="85"/>
      <c r="I262" s="87"/>
      <c r="J262" s="85"/>
      <c r="K262" s="85"/>
      <c r="L262" s="10"/>
      <c r="M262" s="10"/>
      <c r="N262" s="10"/>
      <c r="O262" s="10"/>
      <c r="P262" s="85"/>
      <c r="Q262" s="88"/>
      <c r="R262" s="3">
        <f>IFERROR(VLOOKUP(TablaAgosto[[#This Row],[BARRIO]],SECTOR!$A:$B,2,0),"")</f>
      </c>
      <c r="S262" s="89"/>
      <c r="T262" s="90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6"/>
      <c r="AZ262" s="120">
        <f>COUNTIF(U262:AY262,"A")</f>
      </c>
      <c r="BA262" s="121">
        <f>COUNTIF(U262:AY262,"F")</f>
      </c>
      <c r="BB262" s="119">
        <f>COUNTIF(U262:AY262,"E")</f>
      </c>
    </row>
    <row r="263" spans="1:54" x14ac:dyDescent="0.2">
      <c r="A263" s="84"/>
      <c r="B263" s="85"/>
      <c r="C263" s="85"/>
      <c r="D263" s="85"/>
      <c r="E263" s="86"/>
      <c r="F263" s="16">
        <f>IF(E263="","",DATEDIF(E263,$I$7,"Y"))</f>
      </c>
      <c r="G263" s="85"/>
      <c r="H263" s="85"/>
      <c r="I263" s="87"/>
      <c r="J263" s="85"/>
      <c r="K263" s="85"/>
      <c r="L263" s="10"/>
      <c r="M263" s="10"/>
      <c r="N263" s="10"/>
      <c r="O263" s="10"/>
      <c r="P263" s="85"/>
      <c r="Q263" s="88"/>
      <c r="R263" s="3">
        <f>IFERROR(VLOOKUP(TablaAgosto[[#This Row],[BARRIO]],SECTOR!$A:$B,2,0),"")</f>
      </c>
      <c r="S263" s="89"/>
      <c r="T263" s="90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6"/>
      <c r="AZ263" s="120">
        <f>COUNTIF(U263:AY263,"A")</f>
      </c>
      <c r="BA263" s="121">
        <f>COUNTIF(U263:AY263,"F")</f>
      </c>
      <c r="BB263" s="119">
        <f>COUNTIF(U263:AY263,"E")</f>
      </c>
    </row>
    <row r="264" spans="1:54" x14ac:dyDescent="0.2">
      <c r="A264" s="84"/>
      <c r="B264" s="85"/>
      <c r="C264" s="85"/>
      <c r="D264" s="85"/>
      <c r="E264" s="86"/>
      <c r="F264" s="16">
        <f>IF(E264="","",DATEDIF(E264,$I$7,"Y"))</f>
      </c>
      <c r="G264" s="85"/>
      <c r="H264" s="85"/>
      <c r="I264" s="87"/>
      <c r="J264" s="85"/>
      <c r="K264" s="85"/>
      <c r="L264" s="10"/>
      <c r="M264" s="10"/>
      <c r="N264" s="10"/>
      <c r="O264" s="10"/>
      <c r="P264" s="85"/>
      <c r="Q264" s="88"/>
      <c r="R264" s="3">
        <f>IFERROR(VLOOKUP(TablaAgosto[[#This Row],[BARRIO]],SECTOR!$A:$B,2,0),"")</f>
      </c>
      <c r="S264" s="89"/>
      <c r="T264" s="90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6"/>
      <c r="AZ264" s="120">
        <f>COUNTIF(U264:AY264,"A")</f>
      </c>
      <c r="BA264" s="121">
        <f>COUNTIF(U264:AY264,"F")</f>
      </c>
      <c r="BB264" s="119">
        <f>COUNTIF(U264:AY264,"E")</f>
      </c>
    </row>
    <row r="265" spans="1:54" x14ac:dyDescent="0.2">
      <c r="A265" s="84"/>
      <c r="B265" s="85"/>
      <c r="C265" s="85"/>
      <c r="D265" s="85"/>
      <c r="E265" s="86"/>
      <c r="F265" s="16">
        <f>IF(E265="","",DATEDIF(E265,$I$7,"Y"))</f>
      </c>
      <c r="G265" s="85"/>
      <c r="H265" s="85"/>
      <c r="I265" s="87"/>
      <c r="J265" s="85"/>
      <c r="K265" s="85"/>
      <c r="L265" s="10"/>
      <c r="M265" s="10"/>
      <c r="N265" s="10"/>
      <c r="O265" s="10"/>
      <c r="P265" s="85"/>
      <c r="Q265" s="88"/>
      <c r="R265" s="3">
        <f>IFERROR(VLOOKUP(TablaAgosto[[#This Row],[BARRIO]],SECTOR!$A:$B,2,0),"")</f>
      </c>
      <c r="S265" s="89"/>
      <c r="T265" s="90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6"/>
      <c r="AZ265" s="120">
        <f>COUNTIF(U265:AY265,"A")</f>
      </c>
      <c r="BA265" s="121">
        <f>COUNTIF(U265:AY265,"F")</f>
      </c>
      <c r="BB265" s="119">
        <f>COUNTIF(U265:AY265,"E")</f>
      </c>
    </row>
    <row r="266" spans="1:54" x14ac:dyDescent="0.2">
      <c r="A266" s="84"/>
      <c r="B266" s="85"/>
      <c r="C266" s="85"/>
      <c r="D266" s="85"/>
      <c r="E266" s="86"/>
      <c r="F266" s="16">
        <f>IF(E266="","",DATEDIF(E266,$I$7,"Y"))</f>
      </c>
      <c r="G266" s="85"/>
      <c r="H266" s="85"/>
      <c r="I266" s="87"/>
      <c r="J266" s="85"/>
      <c r="K266" s="85"/>
      <c r="L266" s="10"/>
      <c r="M266" s="10"/>
      <c r="N266" s="10"/>
      <c r="O266" s="10"/>
      <c r="P266" s="85"/>
      <c r="Q266" s="88"/>
      <c r="R266" s="3">
        <f>IFERROR(VLOOKUP(TablaAgosto[[#This Row],[BARRIO]],SECTOR!$A:$B,2,0),"")</f>
      </c>
      <c r="S266" s="89"/>
      <c r="T266" s="90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6"/>
      <c r="AZ266" s="120">
        <f>COUNTIF(U266:AY266,"A")</f>
      </c>
      <c r="BA266" s="121">
        <f>COUNTIF(U266:AY266,"F")</f>
      </c>
      <c r="BB266" s="119">
        <f>COUNTIF(U266:AY266,"E")</f>
      </c>
    </row>
    <row r="267" spans="1:54" x14ac:dyDescent="0.2">
      <c r="A267" s="84"/>
      <c r="B267" s="85"/>
      <c r="C267" s="85"/>
      <c r="D267" s="85"/>
      <c r="E267" s="86"/>
      <c r="F267" s="16">
        <f>IF(E267="","",DATEDIF(E267,$I$7,"Y"))</f>
      </c>
      <c r="G267" s="85"/>
      <c r="H267" s="85"/>
      <c r="I267" s="87"/>
      <c r="J267" s="85"/>
      <c r="K267" s="85"/>
      <c r="L267" s="10"/>
      <c r="M267" s="10"/>
      <c r="N267" s="10"/>
      <c r="O267" s="10"/>
      <c r="P267" s="85"/>
      <c r="Q267" s="88"/>
      <c r="R267" s="3">
        <f>IFERROR(VLOOKUP(TablaAgosto[[#This Row],[BARRIO]],SECTOR!$A:$B,2,0),"")</f>
      </c>
      <c r="S267" s="89"/>
      <c r="T267" s="90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6"/>
      <c r="AZ267" s="120">
        <f>COUNTIF(U267:AY267,"A")</f>
      </c>
      <c r="BA267" s="121">
        <f>COUNTIF(U267:AY267,"F")</f>
      </c>
      <c r="BB267" s="119">
        <f>COUNTIF(U267:AY267,"E")</f>
      </c>
    </row>
    <row r="268" spans="1:54" x14ac:dyDescent="0.2">
      <c r="A268" s="84"/>
      <c r="B268" s="85"/>
      <c r="C268" s="85"/>
      <c r="D268" s="85"/>
      <c r="E268" s="86"/>
      <c r="F268" s="16">
        <f>IF(E268="","",DATEDIF(E268,$I$7,"Y"))</f>
      </c>
      <c r="G268" s="85"/>
      <c r="H268" s="85"/>
      <c r="I268" s="87"/>
      <c r="J268" s="85"/>
      <c r="K268" s="85"/>
      <c r="L268" s="10"/>
      <c r="M268" s="10"/>
      <c r="N268" s="10"/>
      <c r="O268" s="10"/>
      <c r="P268" s="85"/>
      <c r="Q268" s="88"/>
      <c r="R268" s="3">
        <f>IFERROR(VLOOKUP(TablaAgosto[[#This Row],[BARRIO]],SECTOR!$A:$B,2,0),"")</f>
      </c>
      <c r="S268" s="89"/>
      <c r="T268" s="90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6"/>
      <c r="AZ268" s="120">
        <f>COUNTIF(U268:AY268,"A")</f>
      </c>
      <c r="BA268" s="121">
        <f>COUNTIF(U268:AY268,"F")</f>
      </c>
      <c r="BB268" s="119">
        <f>COUNTIF(U268:AY268,"E")</f>
      </c>
    </row>
    <row r="269" spans="1:54" x14ac:dyDescent="0.2">
      <c r="A269" s="84"/>
      <c r="B269" s="85"/>
      <c r="C269" s="85"/>
      <c r="D269" s="85"/>
      <c r="E269" s="86"/>
      <c r="F269" s="16">
        <f>IF(E269="","",DATEDIF(E269,$I$7,"Y"))</f>
      </c>
      <c r="G269" s="85"/>
      <c r="H269" s="85"/>
      <c r="I269" s="87"/>
      <c r="J269" s="85"/>
      <c r="K269" s="85"/>
      <c r="L269" s="10"/>
      <c r="M269" s="10"/>
      <c r="N269" s="10"/>
      <c r="O269" s="10"/>
      <c r="P269" s="85"/>
      <c r="Q269" s="88"/>
      <c r="R269" s="3">
        <f>IFERROR(VLOOKUP(TablaAgosto[[#This Row],[BARRIO]],SECTOR!$A:$B,2,0),"")</f>
      </c>
      <c r="S269" s="89"/>
      <c r="T269" s="90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6"/>
      <c r="AZ269" s="120">
        <f>COUNTIF(U269:AY269,"A")</f>
      </c>
      <c r="BA269" s="121">
        <f>COUNTIF(U269:AY269,"F")</f>
      </c>
      <c r="BB269" s="119">
        <f>COUNTIF(U269:AY269,"E")</f>
      </c>
    </row>
    <row r="270" spans="1:54" x14ac:dyDescent="0.2">
      <c r="A270" s="84"/>
      <c r="B270" s="85"/>
      <c r="C270" s="85"/>
      <c r="D270" s="85"/>
      <c r="E270" s="86"/>
      <c r="F270" s="16">
        <f>IF(E270="","",DATEDIF(E270,$I$7,"Y"))</f>
      </c>
      <c r="G270" s="85"/>
      <c r="H270" s="85"/>
      <c r="I270" s="87"/>
      <c r="J270" s="85"/>
      <c r="K270" s="85"/>
      <c r="L270" s="10"/>
      <c r="M270" s="10"/>
      <c r="N270" s="10"/>
      <c r="O270" s="10"/>
      <c r="P270" s="85"/>
      <c r="Q270" s="88"/>
      <c r="R270" s="3">
        <f>IFERROR(VLOOKUP(TablaAgosto[[#This Row],[BARRIO]],SECTOR!$A:$B,2,0),"")</f>
      </c>
      <c r="S270" s="89"/>
      <c r="T270" s="90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6"/>
      <c r="AZ270" s="120">
        <f>COUNTIF(U270:AY270,"A")</f>
      </c>
      <c r="BA270" s="121">
        <f>COUNTIF(U270:AY270,"F")</f>
      </c>
      <c r="BB270" s="119">
        <f>COUNTIF(U270:AY270,"E")</f>
      </c>
    </row>
    <row r="271" spans="1:54" x14ac:dyDescent="0.2">
      <c r="A271" s="84"/>
      <c r="B271" s="85"/>
      <c r="C271" s="85"/>
      <c r="D271" s="85"/>
      <c r="E271" s="86"/>
      <c r="F271" s="16">
        <f>IF(E271="","",DATEDIF(E271,$I$7,"Y"))</f>
      </c>
      <c r="G271" s="85"/>
      <c r="H271" s="85"/>
      <c r="I271" s="87"/>
      <c r="J271" s="85"/>
      <c r="K271" s="85"/>
      <c r="L271" s="10"/>
      <c r="M271" s="10"/>
      <c r="N271" s="10"/>
      <c r="O271" s="10"/>
      <c r="P271" s="85"/>
      <c r="Q271" s="88"/>
      <c r="R271" s="3">
        <f>IFERROR(VLOOKUP(TablaAgosto[[#This Row],[BARRIO]],SECTOR!$A:$B,2,0),"")</f>
      </c>
      <c r="S271" s="89"/>
      <c r="T271" s="90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6"/>
      <c r="AZ271" s="120">
        <f>COUNTIF(U271:AY271,"A")</f>
      </c>
      <c r="BA271" s="121">
        <f>COUNTIF(U271:AY271,"F")</f>
      </c>
      <c r="BB271" s="119">
        <f>COUNTIF(U271:AY271,"E")</f>
      </c>
    </row>
    <row r="272" spans="1:54" x14ac:dyDescent="0.2">
      <c r="A272" s="84"/>
      <c r="B272" s="85"/>
      <c r="C272" s="85"/>
      <c r="D272" s="85"/>
      <c r="E272" s="86"/>
      <c r="F272" s="16">
        <f>IF(E272="","",DATEDIF(E272,$I$7,"Y"))</f>
      </c>
      <c r="G272" s="85"/>
      <c r="H272" s="85"/>
      <c r="I272" s="87"/>
      <c r="J272" s="85"/>
      <c r="K272" s="85"/>
      <c r="L272" s="10"/>
      <c r="M272" s="10"/>
      <c r="N272" s="10"/>
      <c r="O272" s="10"/>
      <c r="P272" s="85"/>
      <c r="Q272" s="88"/>
      <c r="R272" s="3">
        <f>IFERROR(VLOOKUP(TablaAgosto[[#This Row],[BARRIO]],SECTOR!$A:$B,2,0),"")</f>
      </c>
      <c r="S272" s="89"/>
      <c r="T272" s="90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6"/>
      <c r="AZ272" s="120">
        <f>COUNTIF(U272:AY272,"A")</f>
      </c>
      <c r="BA272" s="121">
        <f>COUNTIF(U272:AY272,"F")</f>
      </c>
      <c r="BB272" s="119">
        <f>COUNTIF(U272:AY272,"E")</f>
      </c>
    </row>
    <row r="273" spans="1:54" x14ac:dyDescent="0.2">
      <c r="A273" s="84"/>
      <c r="B273" s="85"/>
      <c r="C273" s="85"/>
      <c r="D273" s="85"/>
      <c r="E273" s="86"/>
      <c r="F273" s="16">
        <f>IF(E273="","",DATEDIF(E273,$I$7,"Y"))</f>
      </c>
      <c r="G273" s="85"/>
      <c r="H273" s="85"/>
      <c r="I273" s="87"/>
      <c r="J273" s="85"/>
      <c r="K273" s="85"/>
      <c r="L273" s="10"/>
      <c r="M273" s="10"/>
      <c r="N273" s="10"/>
      <c r="O273" s="10"/>
      <c r="P273" s="85"/>
      <c r="Q273" s="88"/>
      <c r="R273" s="3">
        <f>IFERROR(VLOOKUP(TablaAgosto[[#This Row],[BARRIO]],SECTOR!$A:$B,2,0),"")</f>
      </c>
      <c r="S273" s="89"/>
      <c r="T273" s="90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6"/>
      <c r="AZ273" s="120">
        <f>COUNTIF(U273:AY273,"A")</f>
      </c>
      <c r="BA273" s="121">
        <f>COUNTIF(U273:AY273,"F")</f>
      </c>
      <c r="BB273" s="119">
        <f>COUNTIF(U273:AY273,"E")</f>
      </c>
    </row>
    <row r="274" spans="1:54" x14ac:dyDescent="0.2">
      <c r="A274" s="84"/>
      <c r="B274" s="85"/>
      <c r="C274" s="85"/>
      <c r="D274" s="85"/>
      <c r="E274" s="86"/>
      <c r="F274" s="16">
        <f>IF(E274="","",DATEDIF(E274,$I$7,"Y"))</f>
      </c>
      <c r="G274" s="85"/>
      <c r="H274" s="85"/>
      <c r="I274" s="87"/>
      <c r="J274" s="85"/>
      <c r="K274" s="85"/>
      <c r="L274" s="10"/>
      <c r="M274" s="10"/>
      <c r="N274" s="10"/>
      <c r="O274" s="10"/>
      <c r="P274" s="85"/>
      <c r="Q274" s="88"/>
      <c r="R274" s="3">
        <f>IFERROR(VLOOKUP(TablaAgosto[[#This Row],[BARRIO]],SECTOR!$A:$B,2,0),"")</f>
      </c>
      <c r="S274" s="89"/>
      <c r="T274" s="90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6"/>
      <c r="AZ274" s="120">
        <f>COUNTIF(U274:AY274,"A")</f>
      </c>
      <c r="BA274" s="121">
        <f>COUNTIF(U274:AY274,"F")</f>
      </c>
      <c r="BB274" s="119">
        <f>COUNTIF(U274:AY274,"E")</f>
      </c>
    </row>
    <row r="275" spans="1:54" x14ac:dyDescent="0.2">
      <c r="A275" s="84"/>
      <c r="B275" s="85"/>
      <c r="C275" s="85"/>
      <c r="D275" s="85"/>
      <c r="E275" s="86"/>
      <c r="F275" s="16">
        <f>IF(E275="","",DATEDIF(E275,$I$7,"Y"))</f>
      </c>
      <c r="G275" s="85"/>
      <c r="H275" s="85"/>
      <c r="I275" s="87"/>
      <c r="J275" s="85"/>
      <c r="K275" s="85"/>
      <c r="L275" s="10"/>
      <c r="M275" s="10"/>
      <c r="N275" s="10"/>
      <c r="O275" s="10"/>
      <c r="P275" s="85"/>
      <c r="Q275" s="88"/>
      <c r="R275" s="3">
        <f>IFERROR(VLOOKUP(TablaAgosto[[#This Row],[BARRIO]],SECTOR!$A:$B,2,0),"")</f>
      </c>
      <c r="S275" s="89"/>
      <c r="T275" s="90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6"/>
      <c r="AZ275" s="120">
        <f>COUNTIF(U275:AY275,"A")</f>
      </c>
      <c r="BA275" s="121">
        <f>COUNTIF(U275:AY275,"F")</f>
      </c>
      <c r="BB275" s="119">
        <f>COUNTIF(U275:AY275,"E")</f>
      </c>
    </row>
    <row r="276" spans="1:54" x14ac:dyDescent="0.2">
      <c r="A276" s="84"/>
      <c r="B276" s="85"/>
      <c r="C276" s="85"/>
      <c r="D276" s="85"/>
      <c r="E276" s="86"/>
      <c r="F276" s="16">
        <f>IF(E276="","",DATEDIF(E276,$I$7,"Y"))</f>
      </c>
      <c r="G276" s="85"/>
      <c r="H276" s="85"/>
      <c r="I276" s="87"/>
      <c r="J276" s="85"/>
      <c r="K276" s="85"/>
      <c r="L276" s="10"/>
      <c r="M276" s="10"/>
      <c r="N276" s="10"/>
      <c r="O276" s="10"/>
      <c r="P276" s="85"/>
      <c r="Q276" s="88"/>
      <c r="R276" s="3">
        <f>IFERROR(VLOOKUP(TablaAgosto[[#This Row],[BARRIO]],SECTOR!$A:$B,2,0),"")</f>
      </c>
      <c r="S276" s="89"/>
      <c r="T276" s="90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6"/>
      <c r="AZ276" s="120">
        <f>COUNTIF(U276:AY276,"A")</f>
      </c>
      <c r="BA276" s="121">
        <f>COUNTIF(U276:AY276,"F")</f>
      </c>
      <c r="BB276" s="119">
        <f>COUNTIF(U276:AY276,"E")</f>
      </c>
    </row>
    <row r="277" spans="1:54" x14ac:dyDescent="0.2">
      <c r="A277" s="84"/>
      <c r="B277" s="85"/>
      <c r="C277" s="85"/>
      <c r="D277" s="85"/>
      <c r="E277" s="86"/>
      <c r="F277" s="16">
        <f>IF(E277="","",DATEDIF(E277,$I$7,"Y"))</f>
      </c>
      <c r="G277" s="85"/>
      <c r="H277" s="85"/>
      <c r="I277" s="87"/>
      <c r="J277" s="85"/>
      <c r="K277" s="85"/>
      <c r="L277" s="10"/>
      <c r="M277" s="10"/>
      <c r="N277" s="10"/>
      <c r="O277" s="10"/>
      <c r="P277" s="85"/>
      <c r="Q277" s="88"/>
      <c r="R277" s="3">
        <f>IFERROR(VLOOKUP(TablaAgosto[[#This Row],[BARRIO]],SECTOR!$A:$B,2,0),"")</f>
      </c>
      <c r="S277" s="89"/>
      <c r="T277" s="90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6"/>
      <c r="AZ277" s="120">
        <f>COUNTIF(U277:AY277,"A")</f>
      </c>
      <c r="BA277" s="121">
        <f>COUNTIF(U277:AY277,"F")</f>
      </c>
      <c r="BB277" s="119">
        <f>COUNTIF(U277:AY277,"E")</f>
      </c>
    </row>
    <row r="278" spans="1:54" x14ac:dyDescent="0.2">
      <c r="A278" s="84"/>
      <c r="B278" s="85"/>
      <c r="C278" s="85"/>
      <c r="D278" s="85"/>
      <c r="E278" s="86"/>
      <c r="F278" s="16">
        <f>IF(E278="","",DATEDIF(E278,$I$7,"Y"))</f>
      </c>
      <c r="G278" s="85"/>
      <c r="H278" s="85"/>
      <c r="I278" s="87"/>
      <c r="J278" s="85"/>
      <c r="K278" s="85"/>
      <c r="L278" s="10"/>
      <c r="M278" s="10"/>
      <c r="N278" s="10"/>
      <c r="O278" s="10"/>
      <c r="P278" s="85"/>
      <c r="Q278" s="88"/>
      <c r="R278" s="3">
        <f>IFERROR(VLOOKUP(TablaAgosto[[#This Row],[BARRIO]],SECTOR!$A:$B,2,0),"")</f>
      </c>
      <c r="S278" s="89"/>
      <c r="T278" s="90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6"/>
      <c r="AZ278" s="120">
        <f>COUNTIF(U278:AY278,"A")</f>
      </c>
      <c r="BA278" s="121">
        <f>COUNTIF(U278:AY278,"F")</f>
      </c>
      <c r="BB278" s="119">
        <f>COUNTIF(U278:AY278,"E")</f>
      </c>
    </row>
    <row r="279" spans="1:54" x14ac:dyDescent="0.2">
      <c r="A279" s="84"/>
      <c r="B279" s="85"/>
      <c r="C279" s="85"/>
      <c r="D279" s="85"/>
      <c r="E279" s="86"/>
      <c r="F279" s="16">
        <f>IF(E279="","",DATEDIF(E279,$I$7,"Y"))</f>
      </c>
      <c r="G279" s="85"/>
      <c r="H279" s="85"/>
      <c r="I279" s="87"/>
      <c r="J279" s="85"/>
      <c r="K279" s="85"/>
      <c r="L279" s="10"/>
      <c r="M279" s="10"/>
      <c r="N279" s="10"/>
      <c r="O279" s="10"/>
      <c r="P279" s="85"/>
      <c r="Q279" s="88"/>
      <c r="R279" s="3">
        <f>IFERROR(VLOOKUP(TablaAgosto[[#This Row],[BARRIO]],SECTOR!$A:$B,2,0),"")</f>
      </c>
      <c r="S279" s="89"/>
      <c r="T279" s="90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6"/>
      <c r="AZ279" s="120">
        <f>COUNTIF(U279:AY279,"A")</f>
      </c>
      <c r="BA279" s="121">
        <f>COUNTIF(U279:AY279,"F")</f>
      </c>
      <c r="BB279" s="119">
        <f>COUNTIF(U279:AY279,"E")</f>
      </c>
    </row>
    <row r="280" spans="1:54" x14ac:dyDescent="0.2">
      <c r="A280" s="84"/>
      <c r="B280" s="85"/>
      <c r="C280" s="85"/>
      <c r="D280" s="85"/>
      <c r="E280" s="86"/>
      <c r="F280" s="16">
        <f>IF(E280="","",DATEDIF(E280,$I$7,"Y"))</f>
      </c>
      <c r="G280" s="85"/>
      <c r="H280" s="85"/>
      <c r="I280" s="87"/>
      <c r="J280" s="85"/>
      <c r="K280" s="85"/>
      <c r="L280" s="10"/>
      <c r="M280" s="10"/>
      <c r="N280" s="10"/>
      <c r="O280" s="10"/>
      <c r="P280" s="85"/>
      <c r="Q280" s="88"/>
      <c r="R280" s="3">
        <f>IFERROR(VLOOKUP(TablaAgosto[[#This Row],[BARRIO]],SECTOR!$A:$B,2,0),"")</f>
      </c>
      <c r="S280" s="89"/>
      <c r="T280" s="90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6"/>
      <c r="AZ280" s="120">
        <f>COUNTIF(U280:AY280,"A")</f>
      </c>
      <c r="BA280" s="121">
        <f>COUNTIF(U280:AY280,"F")</f>
      </c>
      <c r="BB280" s="119">
        <f>COUNTIF(U280:AY280,"E")</f>
      </c>
    </row>
    <row r="281" spans="1:54" x14ac:dyDescent="0.2">
      <c r="A281" s="84"/>
      <c r="B281" s="85"/>
      <c r="C281" s="85"/>
      <c r="D281" s="85"/>
      <c r="E281" s="86"/>
      <c r="F281" s="16">
        <f>IF(E281="","",DATEDIF(E281,$I$7,"Y"))</f>
      </c>
      <c r="G281" s="85"/>
      <c r="H281" s="85"/>
      <c r="I281" s="87"/>
      <c r="J281" s="85"/>
      <c r="K281" s="85"/>
      <c r="L281" s="10"/>
      <c r="M281" s="10"/>
      <c r="N281" s="10"/>
      <c r="O281" s="10"/>
      <c r="P281" s="85"/>
      <c r="Q281" s="88"/>
      <c r="R281" s="3">
        <f>IFERROR(VLOOKUP(TablaAgosto[[#This Row],[BARRIO]],SECTOR!$A:$B,2,0),"")</f>
      </c>
      <c r="S281" s="89"/>
      <c r="T281" s="90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6"/>
      <c r="AZ281" s="120">
        <f>COUNTIF(U281:AY281,"A")</f>
      </c>
      <c r="BA281" s="121">
        <f>COUNTIF(U281:AY281,"F")</f>
      </c>
      <c r="BB281" s="119">
        <f>COUNTIF(U281:AY281,"E")</f>
      </c>
    </row>
    <row r="282" spans="1:54" x14ac:dyDescent="0.2">
      <c r="A282" s="84"/>
      <c r="B282" s="85"/>
      <c r="C282" s="85"/>
      <c r="D282" s="85"/>
      <c r="E282" s="86"/>
      <c r="F282" s="16">
        <f>IF(E282="","",DATEDIF(E282,$I$7,"Y"))</f>
      </c>
      <c r="G282" s="85"/>
      <c r="H282" s="85"/>
      <c r="I282" s="87"/>
      <c r="J282" s="85"/>
      <c r="K282" s="85"/>
      <c r="L282" s="10"/>
      <c r="M282" s="10"/>
      <c r="N282" s="10"/>
      <c r="O282" s="10"/>
      <c r="P282" s="85"/>
      <c r="Q282" s="88"/>
      <c r="R282" s="3">
        <f>IFERROR(VLOOKUP(TablaAgosto[[#This Row],[BARRIO]],SECTOR!$A:$B,2,0),"")</f>
      </c>
      <c r="S282" s="89"/>
      <c r="T282" s="90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6"/>
      <c r="AZ282" s="120">
        <f>COUNTIF(U282:AY282,"A")</f>
      </c>
      <c r="BA282" s="121">
        <f>COUNTIF(U282:AY282,"F")</f>
      </c>
      <c r="BB282" s="119">
        <f>COUNTIF(U282:AY282,"E")</f>
      </c>
    </row>
    <row r="283" spans="1:54" x14ac:dyDescent="0.2">
      <c r="A283" s="84"/>
      <c r="B283" s="85"/>
      <c r="C283" s="85"/>
      <c r="D283" s="85"/>
      <c r="E283" s="86"/>
      <c r="F283" s="16">
        <f>IF(E283="","",DATEDIF(E283,$I$7,"Y"))</f>
      </c>
      <c r="G283" s="85"/>
      <c r="H283" s="85"/>
      <c r="I283" s="87"/>
      <c r="J283" s="85"/>
      <c r="K283" s="85"/>
      <c r="L283" s="10"/>
      <c r="M283" s="10"/>
      <c r="N283" s="10"/>
      <c r="O283" s="10"/>
      <c r="P283" s="85"/>
      <c r="Q283" s="88"/>
      <c r="R283" s="3">
        <f>IFERROR(VLOOKUP(TablaAgosto[[#This Row],[BARRIO]],SECTOR!$A:$B,2,0),"")</f>
      </c>
      <c r="S283" s="89"/>
      <c r="T283" s="90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6"/>
      <c r="AZ283" s="120">
        <f>COUNTIF(U283:AY283,"A")</f>
      </c>
      <c r="BA283" s="121">
        <f>COUNTIF(U283:AY283,"F")</f>
      </c>
      <c r="BB283" s="119">
        <f>COUNTIF(U283:AY283,"E")</f>
      </c>
    </row>
    <row r="284" spans="1:54" x14ac:dyDescent="0.2">
      <c r="A284" s="84"/>
      <c r="B284" s="85"/>
      <c r="C284" s="85"/>
      <c r="D284" s="85"/>
      <c r="E284" s="86"/>
      <c r="F284" s="16">
        <f>IF(E284="","",DATEDIF(E284,$I$7,"Y"))</f>
      </c>
      <c r="G284" s="85"/>
      <c r="H284" s="85"/>
      <c r="I284" s="87"/>
      <c r="J284" s="85"/>
      <c r="K284" s="85"/>
      <c r="L284" s="10"/>
      <c r="M284" s="10"/>
      <c r="N284" s="10"/>
      <c r="O284" s="10"/>
      <c r="P284" s="85"/>
      <c r="Q284" s="88"/>
      <c r="R284" s="3">
        <f>IFERROR(VLOOKUP(TablaAgosto[[#This Row],[BARRIO]],SECTOR!$A:$B,2,0),"")</f>
      </c>
      <c r="S284" s="89"/>
      <c r="T284" s="90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6"/>
      <c r="AZ284" s="120">
        <f>COUNTIF(U284:AY284,"A")</f>
      </c>
      <c r="BA284" s="121">
        <f>COUNTIF(U284:AY284,"F")</f>
      </c>
      <c r="BB284" s="119">
        <f>COUNTIF(U284:AY284,"E")</f>
      </c>
    </row>
    <row r="285" spans="1:54" x14ac:dyDescent="0.2">
      <c r="A285" s="84"/>
      <c r="B285" s="85"/>
      <c r="C285" s="85"/>
      <c r="D285" s="85"/>
      <c r="E285" s="86"/>
      <c r="F285" s="16">
        <f>IF(E285="","",DATEDIF(E285,$I$7,"Y"))</f>
      </c>
      <c r="G285" s="85"/>
      <c r="H285" s="85"/>
      <c r="I285" s="87"/>
      <c r="J285" s="85"/>
      <c r="K285" s="85"/>
      <c r="L285" s="10"/>
      <c r="M285" s="10"/>
      <c r="N285" s="10"/>
      <c r="O285" s="10"/>
      <c r="P285" s="85"/>
      <c r="Q285" s="88"/>
      <c r="R285" s="3">
        <f>IFERROR(VLOOKUP(TablaAgosto[[#This Row],[BARRIO]],SECTOR!$A:$B,2,0),"")</f>
      </c>
      <c r="S285" s="89"/>
      <c r="T285" s="90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6"/>
      <c r="AZ285" s="120">
        <f>COUNTIF(U285:AY285,"A")</f>
      </c>
      <c r="BA285" s="121">
        <f>COUNTIF(U285:AY285,"F")</f>
      </c>
      <c r="BB285" s="119">
        <f>COUNTIF(U285:AY285,"E")</f>
      </c>
    </row>
    <row r="286" spans="1:54" x14ac:dyDescent="0.2">
      <c r="A286" s="84"/>
      <c r="B286" s="85"/>
      <c r="C286" s="85"/>
      <c r="D286" s="85"/>
      <c r="E286" s="86"/>
      <c r="F286" s="16">
        <f>IF(E286="","",DATEDIF(E286,$I$7,"Y"))</f>
      </c>
      <c r="G286" s="85"/>
      <c r="H286" s="85"/>
      <c r="I286" s="87"/>
      <c r="J286" s="85"/>
      <c r="K286" s="85"/>
      <c r="L286" s="10"/>
      <c r="M286" s="10"/>
      <c r="N286" s="10"/>
      <c r="O286" s="10"/>
      <c r="P286" s="85"/>
      <c r="Q286" s="88"/>
      <c r="R286" s="3">
        <f>IFERROR(VLOOKUP(TablaAgosto[[#This Row],[BARRIO]],SECTOR!$A:$B,2,0),"")</f>
      </c>
      <c r="S286" s="89"/>
      <c r="T286" s="90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6"/>
      <c r="AZ286" s="120">
        <f>COUNTIF(U286:AY286,"A")</f>
      </c>
      <c r="BA286" s="121">
        <f>COUNTIF(U286:AY286,"F")</f>
      </c>
      <c r="BB286" s="119">
        <f>COUNTIF(U286:AY286,"E")</f>
      </c>
    </row>
    <row r="287" spans="1:54" x14ac:dyDescent="0.2">
      <c r="A287" s="84"/>
      <c r="B287" s="85"/>
      <c r="C287" s="85"/>
      <c r="D287" s="85"/>
      <c r="E287" s="86"/>
      <c r="F287" s="16">
        <f>IF(E287="","",DATEDIF(E287,$I$7,"Y"))</f>
      </c>
      <c r="G287" s="85"/>
      <c r="H287" s="85"/>
      <c r="I287" s="87"/>
      <c r="J287" s="85"/>
      <c r="K287" s="85"/>
      <c r="L287" s="10"/>
      <c r="M287" s="10"/>
      <c r="N287" s="10"/>
      <c r="O287" s="10"/>
      <c r="P287" s="85"/>
      <c r="Q287" s="88"/>
      <c r="R287" s="3">
        <f>IFERROR(VLOOKUP(TablaAgosto[[#This Row],[BARRIO]],SECTOR!$A:$B,2,0),"")</f>
      </c>
      <c r="S287" s="89"/>
      <c r="T287" s="90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6"/>
      <c r="AZ287" s="120">
        <f>COUNTIF(U287:AY287,"A")</f>
      </c>
      <c r="BA287" s="121">
        <f>COUNTIF(U287:AY287,"F")</f>
      </c>
      <c r="BB287" s="119">
        <f>COUNTIF(U287:AY287,"E")</f>
      </c>
    </row>
    <row r="288" spans="1:54" x14ac:dyDescent="0.2">
      <c r="A288" s="84"/>
      <c r="B288" s="85"/>
      <c r="C288" s="85"/>
      <c r="D288" s="85"/>
      <c r="E288" s="86"/>
      <c r="F288" s="16">
        <f>IF(E288="","",DATEDIF(E288,$I$7,"Y"))</f>
      </c>
      <c r="G288" s="85"/>
      <c r="H288" s="85"/>
      <c r="I288" s="87"/>
      <c r="J288" s="85"/>
      <c r="K288" s="85"/>
      <c r="L288" s="10"/>
      <c r="M288" s="10"/>
      <c r="N288" s="10"/>
      <c r="O288" s="10"/>
      <c r="P288" s="85"/>
      <c r="Q288" s="88"/>
      <c r="R288" s="3">
        <f>IFERROR(VLOOKUP(TablaAgosto[[#This Row],[BARRIO]],SECTOR!$A:$B,2,0),"")</f>
      </c>
      <c r="S288" s="89"/>
      <c r="T288" s="90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6"/>
      <c r="AZ288" s="120">
        <f>COUNTIF(U288:AY288,"A")</f>
      </c>
      <c r="BA288" s="121">
        <f>COUNTIF(U288:AY288,"F")</f>
      </c>
      <c r="BB288" s="119">
        <f>COUNTIF(U288:AY288,"E")</f>
      </c>
    </row>
    <row r="289" spans="1:54" x14ac:dyDescent="0.2">
      <c r="A289" s="84"/>
      <c r="B289" s="85"/>
      <c r="C289" s="85"/>
      <c r="D289" s="85"/>
      <c r="E289" s="86"/>
      <c r="F289" s="16">
        <f>IF(E289="","",DATEDIF(E289,$I$7,"Y"))</f>
      </c>
      <c r="G289" s="85"/>
      <c r="H289" s="85"/>
      <c r="I289" s="87"/>
      <c r="J289" s="85"/>
      <c r="K289" s="85"/>
      <c r="L289" s="10"/>
      <c r="M289" s="10"/>
      <c r="N289" s="10"/>
      <c r="O289" s="10"/>
      <c r="P289" s="85"/>
      <c r="Q289" s="88"/>
      <c r="R289" s="3">
        <f>IFERROR(VLOOKUP(TablaAgosto[[#This Row],[BARRIO]],SECTOR!$A:$B,2,0),"")</f>
      </c>
      <c r="S289" s="89"/>
      <c r="T289" s="90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6"/>
      <c r="AZ289" s="120">
        <f>COUNTIF(U289:AY289,"A")</f>
      </c>
      <c r="BA289" s="121">
        <f>COUNTIF(U289:AY289,"F")</f>
      </c>
      <c r="BB289" s="119">
        <f>COUNTIF(U289:AY289,"E")</f>
      </c>
    </row>
    <row r="290" spans="1:54" x14ac:dyDescent="0.2">
      <c r="A290" s="84"/>
      <c r="B290" s="85"/>
      <c r="C290" s="85"/>
      <c r="D290" s="85"/>
      <c r="E290" s="86"/>
      <c r="F290" s="16">
        <f>IF(E290="","",DATEDIF(E290,$I$7,"Y"))</f>
      </c>
      <c r="G290" s="85"/>
      <c r="H290" s="85"/>
      <c r="I290" s="87"/>
      <c r="J290" s="85"/>
      <c r="K290" s="85"/>
      <c r="L290" s="10"/>
      <c r="M290" s="10"/>
      <c r="N290" s="10"/>
      <c r="O290" s="10"/>
      <c r="P290" s="85"/>
      <c r="Q290" s="88"/>
      <c r="R290" s="3">
        <f>IFERROR(VLOOKUP(TablaAgosto[[#This Row],[BARRIO]],SECTOR!$A:$B,2,0),"")</f>
      </c>
      <c r="S290" s="89"/>
      <c r="T290" s="90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6"/>
      <c r="AZ290" s="120">
        <f>COUNTIF(U290:AY290,"A")</f>
      </c>
      <c r="BA290" s="121">
        <f>COUNTIF(U290:AY290,"F")</f>
      </c>
      <c r="BB290" s="119">
        <f>COUNTIF(U290:AY290,"E")</f>
      </c>
    </row>
    <row r="291" spans="1:54" x14ac:dyDescent="0.2">
      <c r="A291" s="84"/>
      <c r="B291" s="85"/>
      <c r="C291" s="85"/>
      <c r="D291" s="85"/>
      <c r="E291" s="86"/>
      <c r="F291" s="16">
        <f>IF(E291="","",DATEDIF(E291,$I$7,"Y"))</f>
      </c>
      <c r="G291" s="85"/>
      <c r="H291" s="85"/>
      <c r="I291" s="87"/>
      <c r="J291" s="85"/>
      <c r="K291" s="85"/>
      <c r="L291" s="10"/>
      <c r="M291" s="10"/>
      <c r="N291" s="10"/>
      <c r="O291" s="10"/>
      <c r="P291" s="85"/>
      <c r="Q291" s="88"/>
      <c r="R291" s="3">
        <f>IFERROR(VLOOKUP(TablaAgosto[[#This Row],[BARRIO]],SECTOR!$A:$B,2,0),"")</f>
      </c>
      <c r="S291" s="89"/>
      <c r="T291" s="90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6"/>
      <c r="AZ291" s="120">
        <f>COUNTIF(U291:AY291,"A")</f>
      </c>
      <c r="BA291" s="121">
        <f>COUNTIF(U291:AY291,"F")</f>
      </c>
      <c r="BB291" s="119">
        <f>COUNTIF(U291:AY291,"E")</f>
      </c>
    </row>
    <row r="292" spans="1:54" x14ac:dyDescent="0.2">
      <c r="A292" s="84"/>
      <c r="B292" s="85"/>
      <c r="C292" s="85"/>
      <c r="D292" s="85"/>
      <c r="E292" s="86"/>
      <c r="F292" s="16">
        <f>IF(E292="","",DATEDIF(E292,$I$7,"Y"))</f>
      </c>
      <c r="G292" s="85"/>
      <c r="H292" s="85"/>
      <c r="I292" s="87"/>
      <c r="J292" s="85"/>
      <c r="K292" s="85"/>
      <c r="L292" s="10"/>
      <c r="M292" s="10"/>
      <c r="N292" s="10"/>
      <c r="O292" s="10"/>
      <c r="P292" s="85"/>
      <c r="Q292" s="88"/>
      <c r="R292" s="3">
        <f>IFERROR(VLOOKUP(TablaAgosto[[#This Row],[BARRIO]],SECTOR!$A:$B,2,0),"")</f>
      </c>
      <c r="S292" s="89"/>
      <c r="T292" s="90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6"/>
      <c r="AZ292" s="120">
        <f>COUNTIF(U292:AY292,"A")</f>
      </c>
      <c r="BA292" s="121">
        <f>COUNTIF(U292:AY292,"F")</f>
      </c>
      <c r="BB292" s="119">
        <f>COUNTIF(U292:AY292,"E")</f>
      </c>
    </row>
    <row r="293" spans="1:54" x14ac:dyDescent="0.2">
      <c r="A293" s="84"/>
      <c r="B293" s="85"/>
      <c r="C293" s="85"/>
      <c r="D293" s="85"/>
      <c r="E293" s="86"/>
      <c r="F293" s="16">
        <f>IF(E293="","",DATEDIF(E293,$I$7,"Y"))</f>
      </c>
      <c r="G293" s="85"/>
      <c r="H293" s="85"/>
      <c r="I293" s="87"/>
      <c r="J293" s="85"/>
      <c r="K293" s="85"/>
      <c r="L293" s="10"/>
      <c r="M293" s="10"/>
      <c r="N293" s="10"/>
      <c r="O293" s="10"/>
      <c r="P293" s="85"/>
      <c r="Q293" s="88"/>
      <c r="R293" s="3">
        <f>IFERROR(VLOOKUP(TablaAgosto[[#This Row],[BARRIO]],SECTOR!$A:$B,2,0),"")</f>
      </c>
      <c r="S293" s="89"/>
      <c r="T293" s="90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6"/>
      <c r="AZ293" s="120">
        <f>COUNTIF(U293:AY293,"A")</f>
      </c>
      <c r="BA293" s="121">
        <f>COUNTIF(U293:AY293,"F")</f>
      </c>
      <c r="BB293" s="119">
        <f>COUNTIF(U293:AY293,"E")</f>
      </c>
    </row>
    <row r="294" spans="1:54" x14ac:dyDescent="0.2">
      <c r="A294" s="84"/>
      <c r="B294" s="85"/>
      <c r="C294" s="85"/>
      <c r="D294" s="85"/>
      <c r="E294" s="86"/>
      <c r="F294" s="16">
        <f>IF(E294="","",DATEDIF(E294,$I$7,"Y"))</f>
      </c>
      <c r="G294" s="85"/>
      <c r="H294" s="85"/>
      <c r="I294" s="87"/>
      <c r="J294" s="85"/>
      <c r="K294" s="85"/>
      <c r="L294" s="10"/>
      <c r="M294" s="10"/>
      <c r="N294" s="10"/>
      <c r="O294" s="10"/>
      <c r="P294" s="85"/>
      <c r="Q294" s="88"/>
      <c r="R294" s="3">
        <f>IFERROR(VLOOKUP(TablaAgosto[[#This Row],[BARRIO]],SECTOR!$A:$B,2,0),"")</f>
      </c>
      <c r="S294" s="89"/>
      <c r="T294" s="90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6"/>
      <c r="AZ294" s="120">
        <f>COUNTIF(U294:AY294,"A")</f>
      </c>
      <c r="BA294" s="121">
        <f>COUNTIF(U294:AY294,"F")</f>
      </c>
      <c r="BB294" s="119">
        <f>COUNTIF(U294:AY294,"E")</f>
      </c>
    </row>
    <row r="295" spans="1:54" x14ac:dyDescent="0.2">
      <c r="A295" s="84"/>
      <c r="B295" s="85"/>
      <c r="C295" s="85"/>
      <c r="D295" s="85"/>
      <c r="E295" s="86"/>
      <c r="F295" s="16">
        <f>IF(E295="","",DATEDIF(E295,$I$7,"Y"))</f>
      </c>
      <c r="G295" s="85"/>
      <c r="H295" s="85"/>
      <c r="I295" s="87"/>
      <c r="J295" s="85"/>
      <c r="K295" s="85"/>
      <c r="L295" s="10"/>
      <c r="M295" s="10"/>
      <c r="N295" s="10"/>
      <c r="O295" s="10"/>
      <c r="P295" s="85"/>
      <c r="Q295" s="88"/>
      <c r="R295" s="3">
        <f>IFERROR(VLOOKUP(TablaAgosto[[#This Row],[BARRIO]],SECTOR!$A:$B,2,0),"")</f>
      </c>
      <c r="S295" s="89"/>
      <c r="T295" s="90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6"/>
      <c r="AZ295" s="120">
        <f>COUNTIF(U295:AY295,"A")</f>
      </c>
      <c r="BA295" s="121">
        <f>COUNTIF(U295:AY295,"F")</f>
      </c>
      <c r="BB295" s="119">
        <f>COUNTIF(U295:AY295,"E")</f>
      </c>
    </row>
    <row r="296" spans="1:54" x14ac:dyDescent="0.2">
      <c r="A296" s="84"/>
      <c r="B296" s="85"/>
      <c r="C296" s="85"/>
      <c r="D296" s="85"/>
      <c r="E296" s="86"/>
      <c r="F296" s="16">
        <f>IF(E296="","",DATEDIF(E296,$I$7,"Y"))</f>
      </c>
      <c r="G296" s="85"/>
      <c r="H296" s="85"/>
      <c r="I296" s="87"/>
      <c r="J296" s="85"/>
      <c r="K296" s="85"/>
      <c r="L296" s="10"/>
      <c r="M296" s="10"/>
      <c r="N296" s="10"/>
      <c r="O296" s="10"/>
      <c r="P296" s="85"/>
      <c r="Q296" s="88"/>
      <c r="R296" s="3">
        <f>IFERROR(VLOOKUP(TablaAgosto[[#This Row],[BARRIO]],SECTOR!$A:$B,2,0),"")</f>
      </c>
      <c r="S296" s="89"/>
      <c r="T296" s="90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6"/>
      <c r="AZ296" s="120">
        <f>COUNTIF(U296:AY296,"A")</f>
      </c>
      <c r="BA296" s="121">
        <f>COUNTIF(U296:AY296,"F")</f>
      </c>
      <c r="BB296" s="119">
        <f>COUNTIF(U296:AY296,"E")</f>
      </c>
    </row>
    <row r="297" spans="1:54" x14ac:dyDescent="0.2">
      <c r="A297" s="84"/>
      <c r="B297" s="85"/>
      <c r="C297" s="85"/>
      <c r="D297" s="85"/>
      <c r="E297" s="86"/>
      <c r="F297" s="16">
        <f>IF(E297="","",DATEDIF(E297,$I$7,"Y"))</f>
      </c>
      <c r="G297" s="85"/>
      <c r="H297" s="85"/>
      <c r="I297" s="87"/>
      <c r="J297" s="85"/>
      <c r="K297" s="85"/>
      <c r="L297" s="10"/>
      <c r="M297" s="10"/>
      <c r="N297" s="10"/>
      <c r="O297" s="10"/>
      <c r="P297" s="85"/>
      <c r="Q297" s="88"/>
      <c r="R297" s="3">
        <f>IFERROR(VLOOKUP(TablaAgosto[[#This Row],[BARRIO]],SECTOR!$A:$B,2,0),"")</f>
      </c>
      <c r="S297" s="89"/>
      <c r="T297" s="90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6"/>
      <c r="AZ297" s="120">
        <f>COUNTIF(U297:AY297,"A")</f>
      </c>
      <c r="BA297" s="121">
        <f>COUNTIF(U297:AY297,"F")</f>
      </c>
      <c r="BB297" s="119">
        <f>COUNTIF(U297:AY297,"E")</f>
      </c>
    </row>
    <row r="298" spans="1:54" x14ac:dyDescent="0.2">
      <c r="A298" s="84"/>
      <c r="B298" s="85"/>
      <c r="C298" s="85"/>
      <c r="D298" s="85"/>
      <c r="E298" s="86"/>
      <c r="F298" s="16">
        <f>IF(E298="","",DATEDIF(E298,$I$7,"Y"))</f>
      </c>
      <c r="G298" s="85"/>
      <c r="H298" s="85"/>
      <c r="I298" s="87"/>
      <c r="J298" s="85"/>
      <c r="K298" s="85"/>
      <c r="L298" s="10"/>
      <c r="M298" s="10"/>
      <c r="N298" s="10"/>
      <c r="O298" s="10"/>
      <c r="P298" s="85"/>
      <c r="Q298" s="88"/>
      <c r="R298" s="3">
        <f>IFERROR(VLOOKUP(TablaAgosto[[#This Row],[BARRIO]],SECTOR!$A:$B,2,0),"")</f>
      </c>
      <c r="S298" s="89"/>
      <c r="T298" s="90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6"/>
      <c r="AZ298" s="120">
        <f>COUNTIF(U298:AY298,"A")</f>
      </c>
      <c r="BA298" s="121">
        <f>COUNTIF(U298:AY298,"F")</f>
      </c>
      <c r="BB298" s="119">
        <f>COUNTIF(U298:AY298,"E")</f>
      </c>
    </row>
    <row r="299" spans="1:54" x14ac:dyDescent="0.2">
      <c r="A299" s="84"/>
      <c r="B299" s="85"/>
      <c r="C299" s="85"/>
      <c r="D299" s="85"/>
      <c r="E299" s="86"/>
      <c r="F299" s="16">
        <f>IF(E299="","",DATEDIF(E299,$I$7,"Y"))</f>
      </c>
      <c r="G299" s="85"/>
      <c r="H299" s="85"/>
      <c r="I299" s="87"/>
      <c r="J299" s="85"/>
      <c r="K299" s="85"/>
      <c r="L299" s="10"/>
      <c r="M299" s="10"/>
      <c r="N299" s="10"/>
      <c r="O299" s="10"/>
      <c r="P299" s="85"/>
      <c r="Q299" s="88"/>
      <c r="R299" s="3">
        <f>IFERROR(VLOOKUP(TablaAgosto[[#This Row],[BARRIO]],SECTOR!$A:$B,2,0),"")</f>
      </c>
      <c r="S299" s="89"/>
      <c r="T299" s="90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6"/>
      <c r="AZ299" s="120">
        <f>COUNTIF(U299:AY299,"A")</f>
      </c>
      <c r="BA299" s="121">
        <f>COUNTIF(U299:AY299,"F")</f>
      </c>
      <c r="BB299" s="119">
        <f>COUNTIF(U299:AY299,"E")</f>
      </c>
    </row>
    <row r="300" spans="1:54" x14ac:dyDescent="0.2">
      <c r="A300" s="84"/>
      <c r="B300" s="85"/>
      <c r="C300" s="85"/>
      <c r="D300" s="85"/>
      <c r="E300" s="86"/>
      <c r="F300" s="16">
        <f>IF(E300="","",DATEDIF(E300,$I$7,"Y"))</f>
      </c>
      <c r="G300" s="85"/>
      <c r="H300" s="85"/>
      <c r="I300" s="87"/>
      <c r="J300" s="85"/>
      <c r="K300" s="85"/>
      <c r="L300" s="10"/>
      <c r="M300" s="10"/>
      <c r="N300" s="10"/>
      <c r="O300" s="10"/>
      <c r="P300" s="85"/>
      <c r="Q300" s="88"/>
      <c r="R300" s="3">
        <f>IFERROR(VLOOKUP(TablaAgosto[[#This Row],[BARRIO]],SECTOR!$A:$B,2,0),"")</f>
      </c>
      <c r="S300" s="89"/>
      <c r="T300" s="90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6"/>
      <c r="AZ300" s="120">
        <f>COUNTIF(U300:AY300,"A")</f>
      </c>
      <c r="BA300" s="121">
        <f>COUNTIF(U300:AY300,"F")</f>
      </c>
      <c r="BB300" s="119">
        <f>COUNTIF(U300:AY300,"E")</f>
      </c>
    </row>
    <row r="301" spans="1:54" x14ac:dyDescent="0.2">
      <c r="A301" s="84"/>
      <c r="B301" s="85"/>
      <c r="C301" s="85"/>
      <c r="D301" s="85"/>
      <c r="E301" s="86"/>
      <c r="F301" s="16">
        <f>IF(E301="","",DATEDIF(E301,$I$7,"Y"))</f>
      </c>
      <c r="G301" s="85"/>
      <c r="H301" s="85"/>
      <c r="I301" s="87"/>
      <c r="J301" s="85"/>
      <c r="K301" s="85"/>
      <c r="L301" s="10"/>
      <c r="M301" s="10"/>
      <c r="N301" s="10"/>
      <c r="O301" s="10"/>
      <c r="P301" s="85"/>
      <c r="Q301" s="88"/>
      <c r="R301" s="3">
        <f>IFERROR(VLOOKUP(TablaAgosto[[#This Row],[BARRIO]],SECTOR!$A:$B,2,0),"")</f>
      </c>
      <c r="S301" s="89"/>
      <c r="T301" s="90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6"/>
      <c r="AZ301" s="120">
        <f>COUNTIF(U301:AY301,"A")</f>
      </c>
      <c r="BA301" s="121">
        <f>COUNTIF(U301:AY301,"F")</f>
      </c>
      <c r="BB301" s="119">
        <f>COUNTIF(U301:AY301,"E")</f>
      </c>
    </row>
    <row r="302" spans="1:54" x14ac:dyDescent="0.2">
      <c r="A302" s="84"/>
      <c r="B302" s="85"/>
      <c r="C302" s="85"/>
      <c r="D302" s="85"/>
      <c r="E302" s="86"/>
      <c r="F302" s="16">
        <f>IF(E302="","",DATEDIF(E302,$I$7,"Y"))</f>
      </c>
      <c r="G302" s="85"/>
      <c r="H302" s="85"/>
      <c r="I302" s="87"/>
      <c r="J302" s="85"/>
      <c r="K302" s="85"/>
      <c r="L302" s="10"/>
      <c r="M302" s="10"/>
      <c r="N302" s="10"/>
      <c r="O302" s="10"/>
      <c r="P302" s="85"/>
      <c r="Q302" s="88"/>
      <c r="R302" s="3">
        <f>IFERROR(VLOOKUP(TablaAgosto[[#This Row],[BARRIO]],SECTOR!$A:$B,2,0),"")</f>
      </c>
      <c r="S302" s="89"/>
      <c r="T302" s="90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6"/>
      <c r="AZ302" s="120">
        <f>COUNTIF(U302:AY302,"A")</f>
      </c>
      <c r="BA302" s="121">
        <f>COUNTIF(U302:AY302,"F")</f>
      </c>
      <c r="BB302" s="119">
        <f>COUNTIF(U302:AY302,"E")</f>
      </c>
    </row>
    <row r="303" spans="1:54" x14ac:dyDescent="0.2">
      <c r="A303" s="84"/>
      <c r="B303" s="85"/>
      <c r="C303" s="85"/>
      <c r="D303" s="85"/>
      <c r="E303" s="86"/>
      <c r="F303" s="16">
        <f>IF(E303="","",DATEDIF(E303,$I$7,"Y"))</f>
      </c>
      <c r="G303" s="85"/>
      <c r="H303" s="85"/>
      <c r="I303" s="87"/>
      <c r="J303" s="85"/>
      <c r="K303" s="85"/>
      <c r="L303" s="10"/>
      <c r="M303" s="10"/>
      <c r="N303" s="10"/>
      <c r="O303" s="10"/>
      <c r="P303" s="85"/>
      <c r="Q303" s="88"/>
      <c r="R303" s="3">
        <f>IFERROR(VLOOKUP(TablaAgosto[[#This Row],[BARRIO]],SECTOR!$A:$B,2,0),"")</f>
      </c>
      <c r="S303" s="89"/>
      <c r="T303" s="90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6"/>
      <c r="AZ303" s="120">
        <f>COUNTIF(U303:AY303,"A")</f>
      </c>
      <c r="BA303" s="121">
        <f>COUNTIF(U303:AY303,"F")</f>
      </c>
      <c r="BB303" s="119">
        <f>COUNTIF(U303:AY303,"E")</f>
      </c>
    </row>
    <row r="304" spans="1:54" x14ac:dyDescent="0.2">
      <c r="A304" s="84"/>
      <c r="B304" s="85"/>
      <c r="C304" s="85"/>
      <c r="D304" s="85"/>
      <c r="E304" s="86"/>
      <c r="F304" s="16">
        <f>IF(E304="","",DATEDIF(E304,$I$7,"Y"))</f>
      </c>
      <c r="G304" s="85"/>
      <c r="H304" s="85"/>
      <c r="I304" s="87"/>
      <c r="J304" s="85"/>
      <c r="K304" s="85"/>
      <c r="L304" s="10"/>
      <c r="M304" s="10"/>
      <c r="N304" s="10"/>
      <c r="O304" s="10"/>
      <c r="P304" s="85"/>
      <c r="Q304" s="88"/>
      <c r="R304" s="3">
        <f>IFERROR(VLOOKUP(TablaAgosto[[#This Row],[BARRIO]],SECTOR!$A:$B,2,0),"")</f>
      </c>
      <c r="S304" s="89"/>
      <c r="T304" s="90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6"/>
      <c r="AZ304" s="120">
        <f>COUNTIF(U304:AY304,"A")</f>
      </c>
      <c r="BA304" s="121">
        <f>COUNTIF(U304:AY304,"F")</f>
      </c>
      <c r="BB304" s="119">
        <f>COUNTIF(U304:AY304,"E")</f>
      </c>
    </row>
    <row r="305" spans="1:54" x14ac:dyDescent="0.2">
      <c r="A305" s="84"/>
      <c r="B305" s="85"/>
      <c r="C305" s="85"/>
      <c r="D305" s="85"/>
      <c r="E305" s="86"/>
      <c r="F305" s="16">
        <f>IF(E305="","",DATEDIF(E305,$I$7,"Y"))</f>
      </c>
      <c r="G305" s="85"/>
      <c r="H305" s="85"/>
      <c r="I305" s="87"/>
      <c r="J305" s="85"/>
      <c r="K305" s="85"/>
      <c r="L305" s="10"/>
      <c r="M305" s="10"/>
      <c r="N305" s="10"/>
      <c r="O305" s="10"/>
      <c r="P305" s="85"/>
      <c r="Q305" s="88"/>
      <c r="R305" s="3">
        <f>IFERROR(VLOOKUP(TablaAgosto[[#This Row],[BARRIO]],SECTOR!$A:$B,2,0),"")</f>
      </c>
      <c r="S305" s="89"/>
      <c r="T305" s="90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6"/>
      <c r="AZ305" s="120">
        <f>COUNTIF(U305:AY305,"A")</f>
      </c>
      <c r="BA305" s="121">
        <f>COUNTIF(U305:AY305,"F")</f>
      </c>
      <c r="BB305" s="119">
        <f>COUNTIF(U305:AY305,"E")</f>
      </c>
    </row>
    <row r="306" spans="1:54" x14ac:dyDescent="0.2">
      <c r="A306" s="84"/>
      <c r="B306" s="85"/>
      <c r="C306" s="85"/>
      <c r="D306" s="85"/>
      <c r="E306" s="86"/>
      <c r="F306" s="16">
        <f>IF(E306="","",DATEDIF(E306,$I$7,"Y"))</f>
      </c>
      <c r="G306" s="85"/>
      <c r="H306" s="85"/>
      <c r="I306" s="87"/>
      <c r="J306" s="85"/>
      <c r="K306" s="85"/>
      <c r="L306" s="10"/>
      <c r="M306" s="10"/>
      <c r="N306" s="10"/>
      <c r="O306" s="10"/>
      <c r="P306" s="85"/>
      <c r="Q306" s="88"/>
      <c r="R306" s="3">
        <f>IFERROR(VLOOKUP(TablaAgosto[[#This Row],[BARRIO]],SECTOR!$A:$B,2,0),"")</f>
      </c>
      <c r="S306" s="89"/>
      <c r="T306" s="90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6"/>
      <c r="AZ306" s="120">
        <f>COUNTIF(U306:AY306,"A")</f>
      </c>
      <c r="BA306" s="121">
        <f>COUNTIF(U306:AY306,"F")</f>
      </c>
      <c r="BB306" s="119">
        <f>COUNTIF(U306:AY306,"E")</f>
      </c>
    </row>
    <row r="307" spans="1:54" x14ac:dyDescent="0.2">
      <c r="A307" s="84"/>
      <c r="B307" s="85"/>
      <c r="C307" s="85"/>
      <c r="D307" s="85"/>
      <c r="E307" s="86"/>
      <c r="F307" s="16">
        <f>IF(E307="","",DATEDIF(E307,$I$7,"Y"))</f>
      </c>
      <c r="G307" s="85"/>
      <c r="H307" s="85"/>
      <c r="I307" s="87"/>
      <c r="J307" s="85"/>
      <c r="K307" s="85"/>
      <c r="L307" s="10"/>
      <c r="M307" s="10"/>
      <c r="N307" s="10"/>
      <c r="O307" s="10"/>
      <c r="P307" s="85"/>
      <c r="Q307" s="88"/>
      <c r="R307" s="3">
        <f>IFERROR(VLOOKUP(TablaAgosto[[#This Row],[BARRIO]],SECTOR!$A:$B,2,0),"")</f>
      </c>
      <c r="S307" s="89"/>
      <c r="T307" s="90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6"/>
      <c r="AZ307" s="120">
        <f>COUNTIF(U307:AY307,"A")</f>
      </c>
      <c r="BA307" s="121">
        <f>COUNTIF(U307:AY307,"F")</f>
      </c>
      <c r="BB307" s="119">
        <f>COUNTIF(U307:AY307,"E")</f>
      </c>
    </row>
    <row r="308" spans="1:54" x14ac:dyDescent="0.2">
      <c r="A308" s="84"/>
      <c r="B308" s="85"/>
      <c r="C308" s="85"/>
      <c r="D308" s="85"/>
      <c r="E308" s="86"/>
      <c r="F308" s="16">
        <f>IF(E308="","",DATEDIF(E308,$I$7,"Y"))</f>
      </c>
      <c r="G308" s="85"/>
      <c r="H308" s="85"/>
      <c r="I308" s="87"/>
      <c r="J308" s="85"/>
      <c r="K308" s="85"/>
      <c r="L308" s="10"/>
      <c r="M308" s="10"/>
      <c r="N308" s="10"/>
      <c r="O308" s="10"/>
      <c r="P308" s="85"/>
      <c r="Q308" s="88"/>
      <c r="R308" s="3">
        <f>IFERROR(VLOOKUP(TablaAgosto[[#This Row],[BARRIO]],SECTOR!$A:$B,2,0),"")</f>
      </c>
      <c r="S308" s="89"/>
      <c r="T308" s="90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6"/>
      <c r="AZ308" s="120">
        <f>COUNTIF(U308:AY308,"A")</f>
      </c>
      <c r="BA308" s="121">
        <f>COUNTIF(U308:AY308,"F")</f>
      </c>
      <c r="BB308" s="119">
        <f>COUNTIF(U308:AY308,"E")</f>
      </c>
    </row>
    <row r="309" spans="1:54" x14ac:dyDescent="0.2">
      <c r="A309" s="84"/>
      <c r="B309" s="85"/>
      <c r="C309" s="85"/>
      <c r="D309" s="85"/>
      <c r="E309" s="86"/>
      <c r="F309" s="16">
        <f>IF(E309="","",DATEDIF(E309,$I$7,"Y"))</f>
      </c>
      <c r="G309" s="85"/>
      <c r="H309" s="85"/>
      <c r="I309" s="87"/>
      <c r="J309" s="85"/>
      <c r="K309" s="85"/>
      <c r="L309" s="10"/>
      <c r="M309" s="10"/>
      <c r="N309" s="10"/>
      <c r="O309" s="10"/>
      <c r="P309" s="85"/>
      <c r="Q309" s="88"/>
      <c r="R309" s="3">
        <f>IFERROR(VLOOKUP(TablaAgosto[[#This Row],[BARRIO]],SECTOR!$A:$B,2,0),"")</f>
      </c>
      <c r="S309" s="89"/>
      <c r="T309" s="90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6"/>
      <c r="AZ309" s="120">
        <f>COUNTIF(U309:AY309,"A")</f>
      </c>
      <c r="BA309" s="121">
        <f>COUNTIF(U309:AY309,"F")</f>
      </c>
      <c r="BB309" s="119">
        <f>COUNTIF(U309:AY309,"E")</f>
      </c>
    </row>
    <row r="310" spans="1:54" x14ac:dyDescent="0.2">
      <c r="A310" s="84"/>
      <c r="B310" s="85"/>
      <c r="C310" s="85"/>
      <c r="D310" s="85"/>
      <c r="E310" s="86"/>
      <c r="F310" s="16">
        <f>IF(E310="","",DATEDIF(E310,$I$7,"Y"))</f>
      </c>
      <c r="G310" s="85"/>
      <c r="H310" s="85"/>
      <c r="I310" s="87"/>
      <c r="J310" s="85"/>
      <c r="K310" s="85"/>
      <c r="L310" s="10"/>
      <c r="M310" s="10"/>
      <c r="N310" s="10"/>
      <c r="O310" s="10"/>
      <c r="P310" s="85"/>
      <c r="Q310" s="88"/>
      <c r="R310" s="3">
        <f>IFERROR(VLOOKUP(TablaAgosto[[#This Row],[BARRIO]],SECTOR!$A:$B,2,0),"")</f>
      </c>
      <c r="S310" s="89"/>
      <c r="T310" s="90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6"/>
      <c r="AZ310" s="120">
        <f>COUNTIF(U310:AY310,"A")</f>
      </c>
      <c r="BA310" s="121">
        <f>COUNTIF(U310:AY310,"F")</f>
      </c>
      <c r="BB310" s="119">
        <f>COUNTIF(U310:AY310,"E")</f>
      </c>
    </row>
    <row r="311" spans="1:54" x14ac:dyDescent="0.2">
      <c r="A311" s="84"/>
      <c r="B311" s="85"/>
      <c r="C311" s="85"/>
      <c r="D311" s="85"/>
      <c r="E311" s="86"/>
      <c r="F311" s="16">
        <f>IF(E311="","",DATEDIF(E311,$I$7,"Y"))</f>
      </c>
      <c r="G311" s="85"/>
      <c r="H311" s="85"/>
      <c r="I311" s="87"/>
      <c r="J311" s="85"/>
      <c r="K311" s="85"/>
      <c r="L311" s="10"/>
      <c r="M311" s="10"/>
      <c r="N311" s="10"/>
      <c r="O311" s="10"/>
      <c r="P311" s="85"/>
      <c r="Q311" s="88"/>
      <c r="R311" s="3">
        <f>IFERROR(VLOOKUP(TablaAgosto[[#This Row],[BARRIO]],SECTOR!$A:$B,2,0),"")</f>
      </c>
      <c r="S311" s="89"/>
      <c r="T311" s="90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6"/>
      <c r="AZ311" s="120">
        <f>COUNTIF(U311:AY311,"A")</f>
      </c>
      <c r="BA311" s="121">
        <f>COUNTIF(U311:AY311,"F")</f>
      </c>
      <c r="BB311" s="119">
        <f>COUNTIF(U311:AY311,"E")</f>
      </c>
    </row>
    <row r="312" spans="1:54" x14ac:dyDescent="0.2">
      <c r="A312" s="84"/>
      <c r="B312" s="85"/>
      <c r="C312" s="85"/>
      <c r="D312" s="85"/>
      <c r="E312" s="86"/>
      <c r="F312" s="16">
        <f>IF(E312="","",DATEDIF(E312,$I$7,"Y"))</f>
      </c>
      <c r="G312" s="85"/>
      <c r="H312" s="85"/>
      <c r="I312" s="87"/>
      <c r="J312" s="85"/>
      <c r="K312" s="85"/>
      <c r="L312" s="10"/>
      <c r="M312" s="10"/>
      <c r="N312" s="10"/>
      <c r="O312" s="10"/>
      <c r="P312" s="85"/>
      <c r="Q312" s="88"/>
      <c r="R312" s="3">
        <f>IFERROR(VLOOKUP(TablaAgosto[[#This Row],[BARRIO]],SECTOR!$A:$B,2,0),"")</f>
      </c>
      <c r="S312" s="89"/>
      <c r="T312" s="90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6"/>
      <c r="AZ312" s="120">
        <f>COUNTIF(U312:AY312,"A")</f>
      </c>
      <c r="BA312" s="121">
        <f>COUNTIF(U312:AY312,"F")</f>
      </c>
      <c r="BB312" s="119">
        <f>COUNTIF(U312:AY312,"E")</f>
      </c>
    </row>
    <row r="313" spans="1:54" x14ac:dyDescent="0.2">
      <c r="A313" s="84"/>
      <c r="B313" s="85"/>
      <c r="C313" s="85"/>
      <c r="D313" s="85"/>
      <c r="E313" s="86"/>
      <c r="F313" s="16">
        <f>IF(E313="","",DATEDIF(E313,$I$7,"Y"))</f>
      </c>
      <c r="G313" s="85"/>
      <c r="H313" s="85"/>
      <c r="I313" s="87"/>
      <c r="J313" s="85"/>
      <c r="K313" s="85"/>
      <c r="L313" s="10"/>
      <c r="M313" s="10"/>
      <c r="N313" s="10"/>
      <c r="O313" s="10"/>
      <c r="P313" s="85"/>
      <c r="Q313" s="88"/>
      <c r="R313" s="3">
        <f>IFERROR(VLOOKUP(TablaAgosto[[#This Row],[BARRIO]],SECTOR!$A:$B,2,0),"")</f>
      </c>
      <c r="S313" s="89"/>
      <c r="T313" s="90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6"/>
      <c r="AZ313" s="120">
        <f>COUNTIF(U313:AY313,"A")</f>
      </c>
      <c r="BA313" s="121">
        <f>COUNTIF(U313:AY313,"F")</f>
      </c>
      <c r="BB313" s="119">
        <f>COUNTIF(U313:AY313,"E")</f>
      </c>
    </row>
    <row r="314" spans="1:54" x14ac:dyDescent="0.2">
      <c r="A314" s="84"/>
      <c r="B314" s="85"/>
      <c r="C314" s="85"/>
      <c r="D314" s="85"/>
      <c r="E314" s="86"/>
      <c r="F314" s="16">
        <f>IF(E314="","",DATEDIF(E314,$I$7,"Y"))</f>
      </c>
      <c r="G314" s="85"/>
      <c r="H314" s="85"/>
      <c r="I314" s="87"/>
      <c r="J314" s="85"/>
      <c r="K314" s="85"/>
      <c r="L314" s="10"/>
      <c r="M314" s="10"/>
      <c r="N314" s="10"/>
      <c r="O314" s="10"/>
      <c r="P314" s="85"/>
      <c r="Q314" s="88"/>
      <c r="R314" s="3">
        <f>IFERROR(VLOOKUP(TablaAgosto[[#This Row],[BARRIO]],SECTOR!$A:$B,2,0),"")</f>
      </c>
      <c r="S314" s="89"/>
      <c r="T314" s="90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6"/>
      <c r="AZ314" s="120">
        <f>COUNTIF(U314:AY314,"A")</f>
      </c>
      <c r="BA314" s="121">
        <f>COUNTIF(U314:AY314,"F")</f>
      </c>
      <c r="BB314" s="119">
        <f>COUNTIF(U314:AY314,"E")</f>
      </c>
    </row>
    <row r="315" spans="1:54" x14ac:dyDescent="0.2">
      <c r="A315" s="84"/>
      <c r="B315" s="85"/>
      <c r="C315" s="85"/>
      <c r="D315" s="85"/>
      <c r="E315" s="86"/>
      <c r="F315" s="16">
        <f>IF(E315="","",DATEDIF(E315,$I$7,"Y"))</f>
      </c>
      <c r="G315" s="85"/>
      <c r="H315" s="85"/>
      <c r="I315" s="87"/>
      <c r="J315" s="85"/>
      <c r="K315" s="85"/>
      <c r="L315" s="10"/>
      <c r="M315" s="10"/>
      <c r="N315" s="10"/>
      <c r="O315" s="10"/>
      <c r="P315" s="85"/>
      <c r="Q315" s="88"/>
      <c r="R315" s="3">
        <f>IFERROR(VLOOKUP(TablaAgosto[[#This Row],[BARRIO]],SECTOR!$A:$B,2,0),"")</f>
      </c>
      <c r="S315" s="89"/>
      <c r="T315" s="90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6"/>
      <c r="AZ315" s="120">
        <f>COUNTIF(U315:AY315,"A")</f>
      </c>
      <c r="BA315" s="121">
        <f>COUNTIF(U315:AY315,"F")</f>
      </c>
      <c r="BB315" s="119">
        <f>COUNTIF(U315:AY315,"E")</f>
      </c>
    </row>
    <row r="316" spans="1:54" x14ac:dyDescent="0.2">
      <c r="A316" s="84"/>
      <c r="B316" s="85"/>
      <c r="C316" s="85"/>
      <c r="D316" s="85"/>
      <c r="E316" s="86"/>
      <c r="F316" s="16">
        <f>IF(E316="","",DATEDIF(E316,$I$7,"Y"))</f>
      </c>
      <c r="G316" s="85"/>
      <c r="H316" s="85"/>
      <c r="I316" s="87"/>
      <c r="J316" s="85"/>
      <c r="K316" s="85"/>
      <c r="L316" s="10"/>
      <c r="M316" s="10"/>
      <c r="N316" s="10"/>
      <c r="O316" s="10"/>
      <c r="P316" s="85"/>
      <c r="Q316" s="88"/>
      <c r="R316" s="3">
        <f>IFERROR(VLOOKUP(TablaAgosto[[#This Row],[BARRIO]],SECTOR!$A:$B,2,0),"")</f>
      </c>
      <c r="S316" s="89"/>
      <c r="T316" s="90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6"/>
      <c r="AZ316" s="120">
        <f>COUNTIF(U316:AY316,"A")</f>
      </c>
      <c r="BA316" s="121">
        <f>COUNTIF(U316:AY316,"F")</f>
      </c>
      <c r="BB316" s="119">
        <f>COUNTIF(U316:AY316,"E")</f>
      </c>
    </row>
    <row r="317" spans="1:54" x14ac:dyDescent="0.2">
      <c r="A317" s="84"/>
      <c r="B317" s="85"/>
      <c r="C317" s="85"/>
      <c r="D317" s="85"/>
      <c r="E317" s="86"/>
      <c r="F317" s="16">
        <f>IF(E317="","",DATEDIF(E317,$I$7,"Y"))</f>
      </c>
      <c r="G317" s="85"/>
      <c r="H317" s="85"/>
      <c r="I317" s="87"/>
      <c r="J317" s="85"/>
      <c r="K317" s="85"/>
      <c r="L317" s="10"/>
      <c r="M317" s="10"/>
      <c r="N317" s="10"/>
      <c r="O317" s="10"/>
      <c r="P317" s="85"/>
      <c r="Q317" s="88"/>
      <c r="R317" s="3">
        <f>IFERROR(VLOOKUP(TablaAgosto[[#This Row],[BARRIO]],SECTOR!$A:$B,2,0),"")</f>
      </c>
      <c r="S317" s="89"/>
      <c r="T317" s="90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6"/>
      <c r="AZ317" s="120">
        <f>COUNTIF(U317:AY317,"A")</f>
      </c>
      <c r="BA317" s="121">
        <f>COUNTIF(U317:AY317,"F")</f>
      </c>
      <c r="BB317" s="119">
        <f>COUNTIF(U317:AY317,"E")</f>
      </c>
    </row>
    <row r="318" spans="1:54" x14ac:dyDescent="0.2">
      <c r="A318" s="84"/>
      <c r="B318" s="85"/>
      <c r="C318" s="85"/>
      <c r="D318" s="85"/>
      <c r="E318" s="86"/>
      <c r="F318" s="16">
        <f>IF(E318="","",DATEDIF(E318,$I$7,"Y"))</f>
      </c>
      <c r="G318" s="85"/>
      <c r="H318" s="85"/>
      <c r="I318" s="87"/>
      <c r="J318" s="85"/>
      <c r="K318" s="85"/>
      <c r="L318" s="10"/>
      <c r="M318" s="10"/>
      <c r="N318" s="10"/>
      <c r="O318" s="10"/>
      <c r="P318" s="85"/>
      <c r="Q318" s="88"/>
      <c r="R318" s="3">
        <f>IFERROR(VLOOKUP(TablaAgosto[[#This Row],[BARRIO]],SECTOR!$A:$B,2,0),"")</f>
      </c>
      <c r="S318" s="89"/>
      <c r="T318" s="90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6"/>
      <c r="AZ318" s="120">
        <f>COUNTIF(U318:AY318,"A")</f>
      </c>
      <c r="BA318" s="121">
        <f>COUNTIF(U318:AY318,"F")</f>
      </c>
      <c r="BB318" s="119">
        <f>COUNTIF(U318:AY318,"E")</f>
      </c>
    </row>
    <row r="319" spans="1:54" x14ac:dyDescent="0.2">
      <c r="A319" s="84"/>
      <c r="B319" s="85"/>
      <c r="C319" s="85"/>
      <c r="D319" s="85"/>
      <c r="E319" s="86"/>
      <c r="F319" s="16">
        <f>IF(E319="","",DATEDIF(E319,$I$7,"Y"))</f>
      </c>
      <c r="G319" s="85"/>
      <c r="H319" s="85"/>
      <c r="I319" s="87"/>
      <c r="J319" s="85"/>
      <c r="K319" s="85"/>
      <c r="L319" s="10"/>
      <c r="M319" s="10"/>
      <c r="N319" s="10"/>
      <c r="O319" s="10"/>
      <c r="P319" s="85"/>
      <c r="Q319" s="88"/>
      <c r="R319" s="3">
        <f>IFERROR(VLOOKUP(TablaAgosto[[#This Row],[BARRIO]],SECTOR!$A:$B,2,0),"")</f>
      </c>
      <c r="S319" s="89"/>
      <c r="T319" s="90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6"/>
      <c r="AZ319" s="120">
        <f>COUNTIF(U319:AY319,"A")</f>
      </c>
      <c r="BA319" s="121">
        <f>COUNTIF(U319:AY319,"F")</f>
      </c>
      <c r="BB319" s="119">
        <f>COUNTIF(U319:AY319,"E")</f>
      </c>
    </row>
    <row r="320" spans="1:54" x14ac:dyDescent="0.2">
      <c r="A320" s="84"/>
      <c r="B320" s="85"/>
      <c r="C320" s="85"/>
      <c r="D320" s="85"/>
      <c r="E320" s="86"/>
      <c r="F320" s="16">
        <f>IF(E320="","",DATEDIF(E320,$I$7,"Y"))</f>
      </c>
      <c r="G320" s="85"/>
      <c r="H320" s="85"/>
      <c r="I320" s="87"/>
      <c r="J320" s="85"/>
      <c r="K320" s="85"/>
      <c r="L320" s="10"/>
      <c r="M320" s="10"/>
      <c r="N320" s="10"/>
      <c r="O320" s="10"/>
      <c r="P320" s="85"/>
      <c r="Q320" s="88"/>
      <c r="R320" s="3">
        <f>IFERROR(VLOOKUP(TablaAgosto[[#This Row],[BARRIO]],SECTOR!$A:$B,2,0),"")</f>
      </c>
      <c r="S320" s="89"/>
      <c r="T320" s="90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6"/>
      <c r="AZ320" s="120">
        <f>COUNTIF(U320:AY320,"A")</f>
      </c>
      <c r="BA320" s="121">
        <f>COUNTIF(U320:AY320,"F")</f>
      </c>
      <c r="BB320" s="119">
        <f>COUNTIF(U320:AY320,"E")</f>
      </c>
    </row>
    <row r="321" spans="1:54" x14ac:dyDescent="0.2">
      <c r="A321" s="84"/>
      <c r="B321" s="85"/>
      <c r="C321" s="85"/>
      <c r="D321" s="85"/>
      <c r="E321" s="86"/>
      <c r="F321" s="16">
        <f>IF(E321="","",DATEDIF(E321,$I$7,"Y"))</f>
      </c>
      <c r="G321" s="85"/>
      <c r="H321" s="85"/>
      <c r="I321" s="87"/>
      <c r="J321" s="85"/>
      <c r="K321" s="85"/>
      <c r="L321" s="10"/>
      <c r="M321" s="10"/>
      <c r="N321" s="10"/>
      <c r="O321" s="10"/>
      <c r="P321" s="85"/>
      <c r="Q321" s="88"/>
      <c r="R321" s="3">
        <f>IFERROR(VLOOKUP(TablaAgosto[[#This Row],[BARRIO]],SECTOR!$A:$B,2,0),"")</f>
      </c>
      <c r="S321" s="89"/>
      <c r="T321" s="90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6"/>
      <c r="AZ321" s="120">
        <f>COUNTIF(U321:AY321,"A")</f>
      </c>
      <c r="BA321" s="121">
        <f>COUNTIF(U321:AY321,"F")</f>
      </c>
      <c r="BB321" s="119">
        <f>COUNTIF(U321:AY321,"E")</f>
      </c>
    </row>
    <row r="322" spans="1:54" x14ac:dyDescent="0.2">
      <c r="A322" s="84"/>
      <c r="B322" s="85"/>
      <c r="C322" s="85"/>
      <c r="D322" s="85"/>
      <c r="E322" s="86"/>
      <c r="F322" s="16">
        <f>IF(E322="","",DATEDIF(E322,$I$7,"Y"))</f>
      </c>
      <c r="G322" s="85"/>
      <c r="H322" s="85"/>
      <c r="I322" s="87"/>
      <c r="J322" s="85"/>
      <c r="K322" s="85"/>
      <c r="L322" s="10"/>
      <c r="M322" s="10"/>
      <c r="N322" s="10"/>
      <c r="O322" s="10"/>
      <c r="P322" s="85"/>
      <c r="Q322" s="88"/>
      <c r="R322" s="3">
        <f>IFERROR(VLOOKUP(TablaAgosto[[#This Row],[BARRIO]],SECTOR!$A:$B,2,0),"")</f>
      </c>
      <c r="S322" s="89"/>
      <c r="T322" s="90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6"/>
      <c r="AZ322" s="120">
        <f>COUNTIF(U322:AY322,"A")</f>
      </c>
      <c r="BA322" s="121">
        <f>COUNTIF(U322:AY322,"F")</f>
      </c>
      <c r="BB322" s="119">
        <f>COUNTIF(U322:AY322,"E")</f>
      </c>
    </row>
    <row r="323" spans="1:54" x14ac:dyDescent="0.2">
      <c r="A323" s="84"/>
      <c r="B323" s="85"/>
      <c r="C323" s="85"/>
      <c r="D323" s="85"/>
      <c r="E323" s="86"/>
      <c r="F323" s="16">
        <f>IF(E323="","",DATEDIF(E323,$I$7,"Y"))</f>
      </c>
      <c r="G323" s="85"/>
      <c r="H323" s="85"/>
      <c r="I323" s="87"/>
      <c r="J323" s="85"/>
      <c r="K323" s="85"/>
      <c r="L323" s="10"/>
      <c r="M323" s="10"/>
      <c r="N323" s="10"/>
      <c r="O323" s="10"/>
      <c r="P323" s="85"/>
      <c r="Q323" s="88"/>
      <c r="R323" s="3">
        <f>IFERROR(VLOOKUP(TablaAgosto[[#This Row],[BARRIO]],SECTOR!$A:$B,2,0),"")</f>
      </c>
      <c r="S323" s="89"/>
      <c r="T323" s="90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6"/>
      <c r="AZ323" s="120">
        <f>COUNTIF(U323:AY323,"A")</f>
      </c>
      <c r="BA323" s="121">
        <f>COUNTIF(U323:AY323,"F")</f>
      </c>
      <c r="BB323" s="119">
        <f>COUNTIF(U323:AY323,"E")</f>
      </c>
    </row>
    <row r="324" spans="1:54" x14ac:dyDescent="0.2">
      <c r="A324" s="84"/>
      <c r="B324" s="85"/>
      <c r="C324" s="85"/>
      <c r="D324" s="85"/>
      <c r="E324" s="86"/>
      <c r="F324" s="16">
        <f>IF(E324="","",DATEDIF(E324,$I$7,"Y"))</f>
      </c>
      <c r="G324" s="85"/>
      <c r="H324" s="85"/>
      <c r="I324" s="87"/>
      <c r="J324" s="85"/>
      <c r="K324" s="85"/>
      <c r="L324" s="10"/>
      <c r="M324" s="10"/>
      <c r="N324" s="10"/>
      <c r="O324" s="10"/>
      <c r="P324" s="85"/>
      <c r="Q324" s="88"/>
      <c r="R324" s="3">
        <f>IFERROR(VLOOKUP(TablaAgosto[[#This Row],[BARRIO]],SECTOR!$A:$B,2,0),"")</f>
      </c>
      <c r="S324" s="89"/>
      <c r="T324" s="90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6"/>
      <c r="AZ324" s="120">
        <f>COUNTIF(U324:AY324,"A")</f>
      </c>
      <c r="BA324" s="121">
        <f>COUNTIF(U324:AY324,"F")</f>
      </c>
      <c r="BB324" s="119">
        <f>COUNTIF(U324:AY324,"E")</f>
      </c>
    </row>
    <row r="325" spans="1:54" x14ac:dyDescent="0.2">
      <c r="A325" s="84"/>
      <c r="B325" s="85"/>
      <c r="C325" s="85"/>
      <c r="D325" s="85"/>
      <c r="E325" s="86"/>
      <c r="F325" s="16">
        <f>IF(E325="","",DATEDIF(E325,$I$7,"Y"))</f>
      </c>
      <c r="G325" s="85"/>
      <c r="H325" s="85"/>
      <c r="I325" s="87"/>
      <c r="J325" s="85"/>
      <c r="K325" s="85"/>
      <c r="L325" s="10"/>
      <c r="M325" s="10"/>
      <c r="N325" s="10"/>
      <c r="O325" s="10"/>
      <c r="P325" s="85"/>
      <c r="Q325" s="88"/>
      <c r="R325" s="3">
        <f>IFERROR(VLOOKUP(TablaAgosto[[#This Row],[BARRIO]],SECTOR!$A:$B,2,0),"")</f>
      </c>
      <c r="S325" s="89"/>
      <c r="T325" s="90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6"/>
      <c r="AZ325" s="120">
        <f>COUNTIF(U325:AY325,"A")</f>
      </c>
      <c r="BA325" s="121">
        <f>COUNTIF(U325:AY325,"F")</f>
      </c>
      <c r="BB325" s="119">
        <f>COUNTIF(U325:AY325,"E")</f>
      </c>
    </row>
    <row r="326" spans="1:54" x14ac:dyDescent="0.2">
      <c r="A326" s="84"/>
      <c r="B326" s="85"/>
      <c r="C326" s="85"/>
      <c r="D326" s="85"/>
      <c r="E326" s="86"/>
      <c r="F326" s="16">
        <f>IF(E326="","",DATEDIF(E326,$I$7,"Y"))</f>
      </c>
      <c r="G326" s="85"/>
      <c r="H326" s="85"/>
      <c r="I326" s="87"/>
      <c r="J326" s="85"/>
      <c r="K326" s="85"/>
      <c r="L326" s="10"/>
      <c r="M326" s="10"/>
      <c r="N326" s="10"/>
      <c r="O326" s="10"/>
      <c r="P326" s="85"/>
      <c r="Q326" s="88"/>
      <c r="R326" s="3">
        <f>IFERROR(VLOOKUP(TablaAgosto[[#This Row],[BARRIO]],SECTOR!$A:$B,2,0),"")</f>
      </c>
      <c r="S326" s="89"/>
      <c r="T326" s="90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6"/>
      <c r="AZ326" s="120">
        <f>COUNTIF(U326:AY326,"A")</f>
      </c>
      <c r="BA326" s="121">
        <f>COUNTIF(U326:AY326,"F")</f>
      </c>
      <c r="BB326" s="119">
        <f>COUNTIF(U326:AY326,"E")</f>
      </c>
    </row>
    <row r="327" spans="1:54" x14ac:dyDescent="0.2">
      <c r="A327" s="84"/>
      <c r="B327" s="85"/>
      <c r="C327" s="85"/>
      <c r="D327" s="85"/>
      <c r="E327" s="86"/>
      <c r="F327" s="16">
        <f>IF(E327="","",DATEDIF(E327,$I$7,"Y"))</f>
      </c>
      <c r="G327" s="85"/>
      <c r="H327" s="85"/>
      <c r="I327" s="87"/>
      <c r="J327" s="85"/>
      <c r="K327" s="85"/>
      <c r="L327" s="10"/>
      <c r="M327" s="10"/>
      <c r="N327" s="10"/>
      <c r="O327" s="10"/>
      <c r="P327" s="85"/>
      <c r="Q327" s="88"/>
      <c r="R327" s="3">
        <f>IFERROR(VLOOKUP(TablaAgosto[[#This Row],[BARRIO]],SECTOR!$A:$B,2,0),"")</f>
      </c>
      <c r="S327" s="89"/>
      <c r="T327" s="90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6"/>
      <c r="AZ327" s="120">
        <f>COUNTIF(U327:AY327,"A")</f>
      </c>
      <c r="BA327" s="121">
        <f>COUNTIF(U327:AY327,"F")</f>
      </c>
      <c r="BB327" s="119">
        <f>COUNTIF(U327:AY327,"E")</f>
      </c>
    </row>
    <row r="328" spans="1:54" x14ac:dyDescent="0.2">
      <c r="A328" s="84"/>
      <c r="B328" s="85"/>
      <c r="C328" s="85"/>
      <c r="D328" s="85"/>
      <c r="E328" s="86"/>
      <c r="F328" s="16">
        <f>IF(E328="","",DATEDIF(E328,$I$7,"Y"))</f>
      </c>
      <c r="G328" s="85"/>
      <c r="H328" s="85"/>
      <c r="I328" s="87"/>
      <c r="J328" s="85"/>
      <c r="K328" s="85"/>
      <c r="L328" s="10"/>
      <c r="M328" s="10"/>
      <c r="N328" s="10"/>
      <c r="O328" s="10"/>
      <c r="P328" s="85"/>
      <c r="Q328" s="88"/>
      <c r="R328" s="3">
        <f>IFERROR(VLOOKUP(TablaAgosto[[#This Row],[BARRIO]],SECTOR!$A:$B,2,0),"")</f>
      </c>
      <c r="S328" s="89"/>
      <c r="T328" s="90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6"/>
      <c r="AZ328" s="120">
        <f>COUNTIF(U328:AY328,"A")</f>
      </c>
      <c r="BA328" s="121">
        <f>COUNTIF(U328:AY328,"F")</f>
      </c>
      <c r="BB328" s="119">
        <f>COUNTIF(U328:AY328,"E")</f>
      </c>
    </row>
    <row r="329" spans="1:54" x14ac:dyDescent="0.2">
      <c r="A329" s="84"/>
      <c r="B329" s="85"/>
      <c r="C329" s="85"/>
      <c r="D329" s="85"/>
      <c r="E329" s="86"/>
      <c r="F329" s="16">
        <f>IF(E329="","",DATEDIF(E329,$I$7,"Y"))</f>
      </c>
      <c r="G329" s="85"/>
      <c r="H329" s="85"/>
      <c r="I329" s="87"/>
      <c r="J329" s="85"/>
      <c r="K329" s="85"/>
      <c r="L329" s="10"/>
      <c r="M329" s="10"/>
      <c r="N329" s="10"/>
      <c r="O329" s="10"/>
      <c r="P329" s="85"/>
      <c r="Q329" s="88"/>
      <c r="R329" s="3">
        <f>IFERROR(VLOOKUP(TablaAgosto[[#This Row],[BARRIO]],SECTOR!$A:$B,2,0),"")</f>
      </c>
      <c r="S329" s="89"/>
      <c r="T329" s="90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6"/>
      <c r="AZ329" s="120">
        <f>COUNTIF(U329:AY329,"A")</f>
      </c>
      <c r="BA329" s="121">
        <f>COUNTIF(U329:AY329,"F")</f>
      </c>
      <c r="BB329" s="119">
        <f>COUNTIF(U329:AY329,"E")</f>
      </c>
    </row>
    <row r="330" spans="1:54" x14ac:dyDescent="0.2">
      <c r="A330" s="84"/>
      <c r="B330" s="85"/>
      <c r="C330" s="85"/>
      <c r="D330" s="85"/>
      <c r="E330" s="86"/>
      <c r="F330" s="16">
        <f>IF(E330="","",DATEDIF(E330,$I$7,"Y"))</f>
      </c>
      <c r="G330" s="85"/>
      <c r="H330" s="85"/>
      <c r="I330" s="87"/>
      <c r="J330" s="85"/>
      <c r="K330" s="85"/>
      <c r="L330" s="10"/>
      <c r="M330" s="10"/>
      <c r="N330" s="10"/>
      <c r="O330" s="10"/>
      <c r="P330" s="85"/>
      <c r="Q330" s="88"/>
      <c r="R330" s="3">
        <f>IFERROR(VLOOKUP(TablaAgosto[[#This Row],[BARRIO]],SECTOR!$A:$B,2,0),"")</f>
      </c>
      <c r="S330" s="89"/>
      <c r="T330" s="90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6"/>
      <c r="AZ330" s="120">
        <f>COUNTIF(U330:AY330,"A")</f>
      </c>
      <c r="BA330" s="121">
        <f>COUNTIF(U330:AY330,"F")</f>
      </c>
      <c r="BB330" s="119">
        <f>COUNTIF(U330:AY330,"E")</f>
      </c>
    </row>
    <row r="331" spans="1:54" x14ac:dyDescent="0.2">
      <c r="A331" s="84"/>
      <c r="B331" s="85"/>
      <c r="C331" s="85"/>
      <c r="D331" s="85"/>
      <c r="E331" s="86"/>
      <c r="F331" s="16">
        <f>IF(E331="","",DATEDIF(E331,$I$7,"Y"))</f>
      </c>
      <c r="G331" s="85"/>
      <c r="H331" s="85"/>
      <c r="I331" s="87"/>
      <c r="J331" s="85"/>
      <c r="K331" s="85"/>
      <c r="L331" s="10"/>
      <c r="M331" s="10"/>
      <c r="N331" s="10"/>
      <c r="O331" s="10"/>
      <c r="P331" s="85"/>
      <c r="Q331" s="88"/>
      <c r="R331" s="3">
        <f>IFERROR(VLOOKUP(TablaAgosto[[#This Row],[BARRIO]],SECTOR!$A:$B,2,0),"")</f>
      </c>
      <c r="S331" s="89"/>
      <c r="T331" s="90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6"/>
      <c r="AZ331" s="120">
        <f>COUNTIF(U331:AY331,"A")</f>
      </c>
      <c r="BA331" s="121">
        <f>COUNTIF(U331:AY331,"F")</f>
      </c>
      <c r="BB331" s="119">
        <f>COUNTIF(U331:AY331,"E")</f>
      </c>
    </row>
    <row r="332" spans="1:54" x14ac:dyDescent="0.2">
      <c r="A332" s="84"/>
      <c r="B332" s="85"/>
      <c r="C332" s="85"/>
      <c r="D332" s="85"/>
      <c r="E332" s="86"/>
      <c r="F332" s="16">
        <f>IF(E332="","",DATEDIF(E332,$I$7,"Y"))</f>
      </c>
      <c r="G332" s="85"/>
      <c r="H332" s="85"/>
      <c r="I332" s="87"/>
      <c r="J332" s="85"/>
      <c r="K332" s="85"/>
      <c r="L332" s="10"/>
      <c r="M332" s="10"/>
      <c r="N332" s="10"/>
      <c r="O332" s="10"/>
      <c r="P332" s="85"/>
      <c r="Q332" s="88"/>
      <c r="R332" s="3">
        <f>IFERROR(VLOOKUP(TablaAgosto[[#This Row],[BARRIO]],SECTOR!$A:$B,2,0),"")</f>
      </c>
      <c r="S332" s="89"/>
      <c r="T332" s="90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6"/>
      <c r="AZ332" s="120">
        <f>COUNTIF(U332:AY332,"A")</f>
      </c>
      <c r="BA332" s="121">
        <f>COUNTIF(U332:AY332,"F")</f>
      </c>
      <c r="BB332" s="119">
        <f>COUNTIF(U332:AY332,"E")</f>
      </c>
    </row>
    <row r="333" spans="1:54" x14ac:dyDescent="0.2">
      <c r="A333" s="84"/>
      <c r="B333" s="85"/>
      <c r="C333" s="85"/>
      <c r="D333" s="85"/>
      <c r="E333" s="86"/>
      <c r="F333" s="16">
        <f>IF(E333="","",DATEDIF(E333,$I$7,"Y"))</f>
      </c>
      <c r="G333" s="85"/>
      <c r="H333" s="85"/>
      <c r="I333" s="87"/>
      <c r="J333" s="85"/>
      <c r="K333" s="85"/>
      <c r="L333" s="10"/>
      <c r="M333" s="10"/>
      <c r="N333" s="10"/>
      <c r="O333" s="10"/>
      <c r="P333" s="85"/>
      <c r="Q333" s="88"/>
      <c r="R333" s="3">
        <f>IFERROR(VLOOKUP(TablaAgosto[[#This Row],[BARRIO]],SECTOR!$A:$B,2,0),"")</f>
      </c>
      <c r="S333" s="89"/>
      <c r="T333" s="90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6"/>
      <c r="AZ333" s="120">
        <f>COUNTIF(U333:AY333,"A")</f>
      </c>
      <c r="BA333" s="121">
        <f>COUNTIF(U333:AY333,"F")</f>
      </c>
      <c r="BB333" s="119">
        <f>COUNTIF(U333:AY333,"E")</f>
      </c>
    </row>
    <row r="334" spans="1:54" x14ac:dyDescent="0.2">
      <c r="A334" s="84"/>
      <c r="B334" s="85"/>
      <c r="C334" s="85"/>
      <c r="D334" s="85"/>
      <c r="E334" s="86"/>
      <c r="F334" s="16">
        <f>IF(E334="","",DATEDIF(E334,$I$7,"Y"))</f>
      </c>
      <c r="G334" s="85"/>
      <c r="H334" s="85"/>
      <c r="I334" s="87"/>
      <c r="J334" s="85"/>
      <c r="K334" s="85"/>
      <c r="L334" s="10"/>
      <c r="M334" s="10"/>
      <c r="N334" s="10"/>
      <c r="O334" s="10"/>
      <c r="P334" s="85"/>
      <c r="Q334" s="88"/>
      <c r="R334" s="3">
        <f>IFERROR(VLOOKUP(TablaAgosto[[#This Row],[BARRIO]],SECTOR!$A:$B,2,0),"")</f>
      </c>
      <c r="S334" s="89"/>
      <c r="T334" s="90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6"/>
      <c r="AZ334" s="120">
        <f>COUNTIF(U334:AY334,"A")</f>
      </c>
      <c r="BA334" s="121">
        <f>COUNTIF(U334:AY334,"F")</f>
      </c>
      <c r="BB334" s="119">
        <f>COUNTIF(U334:AY334,"E")</f>
      </c>
    </row>
    <row r="335" spans="1:54" x14ac:dyDescent="0.2">
      <c r="A335" s="84"/>
      <c r="B335" s="85"/>
      <c r="C335" s="85"/>
      <c r="D335" s="85"/>
      <c r="E335" s="86"/>
      <c r="F335" s="16">
        <f>IF(E335="","",DATEDIF(E335,$I$7,"Y"))</f>
      </c>
      <c r="G335" s="85"/>
      <c r="H335" s="85"/>
      <c r="I335" s="87"/>
      <c r="J335" s="85"/>
      <c r="K335" s="85"/>
      <c r="L335" s="10"/>
      <c r="M335" s="10"/>
      <c r="N335" s="10"/>
      <c r="O335" s="10"/>
      <c r="P335" s="85"/>
      <c r="Q335" s="88"/>
      <c r="R335" s="3">
        <f>IFERROR(VLOOKUP(TablaAgosto[[#This Row],[BARRIO]],SECTOR!$A:$B,2,0),"")</f>
      </c>
      <c r="S335" s="89"/>
      <c r="T335" s="90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6"/>
      <c r="AZ335" s="120">
        <f>COUNTIF(U335:AY335,"A")</f>
      </c>
      <c r="BA335" s="121">
        <f>COUNTIF(U335:AY335,"F")</f>
      </c>
      <c r="BB335" s="119">
        <f>COUNTIF(U335:AY335,"E")</f>
      </c>
    </row>
    <row r="336" spans="1:54" x14ac:dyDescent="0.2">
      <c r="A336" s="84"/>
      <c r="B336" s="85"/>
      <c r="C336" s="85"/>
      <c r="D336" s="85"/>
      <c r="E336" s="86"/>
      <c r="F336" s="16">
        <f>IF(E336="","",DATEDIF(E336,$I$7,"Y"))</f>
      </c>
      <c r="G336" s="85"/>
      <c r="H336" s="85"/>
      <c r="I336" s="87"/>
      <c r="J336" s="85"/>
      <c r="K336" s="85"/>
      <c r="L336" s="10"/>
      <c r="M336" s="10"/>
      <c r="N336" s="10"/>
      <c r="O336" s="10"/>
      <c r="P336" s="85"/>
      <c r="Q336" s="88"/>
      <c r="R336" s="3">
        <f>IFERROR(VLOOKUP(TablaAgosto[[#This Row],[BARRIO]],SECTOR!$A:$B,2,0),"")</f>
      </c>
      <c r="S336" s="89"/>
      <c r="T336" s="90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6"/>
      <c r="AZ336" s="120">
        <f>COUNTIF(U336:AY336,"A")</f>
      </c>
      <c r="BA336" s="121">
        <f>COUNTIF(U336:AY336,"F")</f>
      </c>
      <c r="BB336" s="119">
        <f>COUNTIF(U336:AY336,"E")</f>
      </c>
    </row>
    <row r="337" spans="1:54" x14ac:dyDescent="0.2">
      <c r="A337" s="84"/>
      <c r="B337" s="85"/>
      <c r="C337" s="85"/>
      <c r="D337" s="85"/>
      <c r="E337" s="86"/>
      <c r="F337" s="16">
        <f>IF(E337="","",DATEDIF(E337,$I$7,"Y"))</f>
      </c>
      <c r="G337" s="85"/>
      <c r="H337" s="85"/>
      <c r="I337" s="87"/>
      <c r="J337" s="85"/>
      <c r="K337" s="85"/>
      <c r="L337" s="10"/>
      <c r="M337" s="10"/>
      <c r="N337" s="10"/>
      <c r="O337" s="10"/>
      <c r="P337" s="85"/>
      <c r="Q337" s="88"/>
      <c r="R337" s="3">
        <f>IFERROR(VLOOKUP(TablaAgosto[[#This Row],[BARRIO]],SECTOR!$A:$B,2,0),"")</f>
      </c>
      <c r="S337" s="89"/>
      <c r="T337" s="90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6"/>
      <c r="AZ337" s="120">
        <f>COUNTIF(U337:AY337,"A")</f>
      </c>
      <c r="BA337" s="121">
        <f>COUNTIF(U337:AY337,"F")</f>
      </c>
      <c r="BB337" s="119">
        <f>COUNTIF(U337:AY337,"E")</f>
      </c>
    </row>
    <row r="338" spans="1:54" x14ac:dyDescent="0.2">
      <c r="A338" s="84"/>
      <c r="B338" s="85"/>
      <c r="C338" s="85"/>
      <c r="D338" s="85"/>
      <c r="E338" s="86"/>
      <c r="F338" s="16">
        <f>IF(E338="","",DATEDIF(E338,$I$7,"Y"))</f>
      </c>
      <c r="G338" s="85"/>
      <c r="H338" s="85"/>
      <c r="I338" s="87"/>
      <c r="J338" s="85"/>
      <c r="K338" s="85"/>
      <c r="L338" s="10"/>
      <c r="M338" s="10"/>
      <c r="N338" s="10"/>
      <c r="O338" s="10"/>
      <c r="P338" s="85"/>
      <c r="Q338" s="88"/>
      <c r="R338" s="3">
        <f>IFERROR(VLOOKUP(TablaAgosto[[#This Row],[BARRIO]],SECTOR!$A:$B,2,0),"")</f>
      </c>
      <c r="S338" s="89"/>
      <c r="T338" s="90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6"/>
      <c r="AZ338" s="120">
        <f>COUNTIF(U338:AY338,"A")</f>
      </c>
      <c r="BA338" s="121">
        <f>COUNTIF(U338:AY338,"F")</f>
      </c>
      <c r="BB338" s="119">
        <f>COUNTIF(U338:AY338,"E")</f>
      </c>
    </row>
    <row r="339" spans="1:54" x14ac:dyDescent="0.2">
      <c r="A339" s="84"/>
      <c r="B339" s="85"/>
      <c r="C339" s="85"/>
      <c r="D339" s="85"/>
      <c r="E339" s="86"/>
      <c r="F339" s="16">
        <f>IF(E339="","",DATEDIF(E339,$I$7,"Y"))</f>
      </c>
      <c r="G339" s="85"/>
      <c r="H339" s="85"/>
      <c r="I339" s="87"/>
      <c r="J339" s="85"/>
      <c r="K339" s="85"/>
      <c r="L339" s="10"/>
      <c r="M339" s="10"/>
      <c r="N339" s="10"/>
      <c r="O339" s="10"/>
      <c r="P339" s="85"/>
      <c r="Q339" s="88"/>
      <c r="R339" s="3">
        <f>IFERROR(VLOOKUP(TablaAgosto[[#This Row],[BARRIO]],SECTOR!$A:$B,2,0),"")</f>
      </c>
      <c r="S339" s="89"/>
      <c r="T339" s="90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6"/>
      <c r="AZ339" s="120">
        <f>COUNTIF(U339:AY339,"A")</f>
      </c>
      <c r="BA339" s="121">
        <f>COUNTIF(U339:AY339,"F")</f>
      </c>
      <c r="BB339" s="119">
        <f>COUNTIF(U339:AY339,"E")</f>
      </c>
    </row>
    <row r="340" spans="1:54" x14ac:dyDescent="0.2">
      <c r="A340" s="84"/>
      <c r="B340" s="85"/>
      <c r="C340" s="85"/>
      <c r="D340" s="85"/>
      <c r="E340" s="86"/>
      <c r="F340" s="16">
        <f>IF(E340="","",DATEDIF(E340,$I$7,"Y"))</f>
      </c>
      <c r="G340" s="85"/>
      <c r="H340" s="85"/>
      <c r="I340" s="87"/>
      <c r="J340" s="85"/>
      <c r="K340" s="85"/>
      <c r="L340" s="10"/>
      <c r="M340" s="10"/>
      <c r="N340" s="10"/>
      <c r="O340" s="10"/>
      <c r="P340" s="85"/>
      <c r="Q340" s="88"/>
      <c r="R340" s="3">
        <f>IFERROR(VLOOKUP(TablaAgosto[[#This Row],[BARRIO]],SECTOR!$A:$B,2,0),"")</f>
      </c>
      <c r="S340" s="89"/>
      <c r="T340" s="90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6"/>
      <c r="AZ340" s="120">
        <f>COUNTIF(U340:AY340,"A")</f>
      </c>
      <c r="BA340" s="121">
        <f>COUNTIF(U340:AY340,"F")</f>
      </c>
      <c r="BB340" s="119">
        <f>COUNTIF(U340:AY340,"E")</f>
      </c>
    </row>
    <row r="341" spans="1:54" x14ac:dyDescent="0.2">
      <c r="A341" s="84"/>
      <c r="B341" s="85"/>
      <c r="C341" s="85"/>
      <c r="D341" s="85"/>
      <c r="E341" s="86"/>
      <c r="F341" s="16">
        <f>IF(E341="","",DATEDIF(E341,$I$7,"Y"))</f>
      </c>
      <c r="G341" s="85"/>
      <c r="H341" s="85"/>
      <c r="I341" s="87"/>
      <c r="J341" s="85"/>
      <c r="K341" s="85"/>
      <c r="L341" s="10"/>
      <c r="M341" s="10"/>
      <c r="N341" s="10"/>
      <c r="O341" s="10"/>
      <c r="P341" s="85"/>
      <c r="Q341" s="88"/>
      <c r="R341" s="3">
        <f>IFERROR(VLOOKUP(TablaAgosto[[#This Row],[BARRIO]],SECTOR!$A:$B,2,0),"")</f>
      </c>
      <c r="S341" s="89"/>
      <c r="T341" s="90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6"/>
      <c r="AZ341" s="120">
        <f>COUNTIF(U341:AY341,"A")</f>
      </c>
      <c r="BA341" s="121">
        <f>COUNTIF(U341:AY341,"F")</f>
      </c>
      <c r="BB341" s="119">
        <f>COUNTIF(U341:AY341,"E")</f>
      </c>
    </row>
    <row r="342" spans="1:54" x14ac:dyDescent="0.2">
      <c r="A342" s="84"/>
      <c r="B342" s="85"/>
      <c r="C342" s="85"/>
      <c r="D342" s="85"/>
      <c r="E342" s="86"/>
      <c r="F342" s="16">
        <f>IF(E342="","",DATEDIF(E342,$I$7,"Y"))</f>
      </c>
      <c r="G342" s="85"/>
      <c r="H342" s="85"/>
      <c r="I342" s="87"/>
      <c r="J342" s="85"/>
      <c r="K342" s="85"/>
      <c r="L342" s="10"/>
      <c r="M342" s="10"/>
      <c r="N342" s="10"/>
      <c r="O342" s="10"/>
      <c r="P342" s="85"/>
      <c r="Q342" s="88"/>
      <c r="R342" s="3">
        <f>IFERROR(VLOOKUP(TablaAgosto[[#This Row],[BARRIO]],SECTOR!$A:$B,2,0),"")</f>
      </c>
      <c r="S342" s="89"/>
      <c r="T342" s="90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6"/>
      <c r="AZ342" s="120">
        <f>COUNTIF(U342:AY342,"A")</f>
      </c>
      <c r="BA342" s="121">
        <f>COUNTIF(U342:AY342,"F")</f>
      </c>
      <c r="BB342" s="119">
        <f>COUNTIF(U342:AY342,"E")</f>
      </c>
    </row>
    <row r="343" spans="1:54" x14ac:dyDescent="0.2">
      <c r="A343" s="84"/>
      <c r="B343" s="85"/>
      <c r="C343" s="85"/>
      <c r="D343" s="85"/>
      <c r="E343" s="86"/>
      <c r="F343" s="16">
        <f>IF(E343="","",DATEDIF(E343,$I$7,"Y"))</f>
      </c>
      <c r="G343" s="85"/>
      <c r="H343" s="85"/>
      <c r="I343" s="87"/>
      <c r="J343" s="85"/>
      <c r="K343" s="85"/>
      <c r="L343" s="10"/>
      <c r="M343" s="10"/>
      <c r="N343" s="10"/>
      <c r="O343" s="10"/>
      <c r="P343" s="85"/>
      <c r="Q343" s="88"/>
      <c r="R343" s="3">
        <f>IFERROR(VLOOKUP(TablaAgosto[[#This Row],[BARRIO]],SECTOR!$A:$B,2,0),"")</f>
      </c>
      <c r="S343" s="89"/>
      <c r="T343" s="90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6"/>
      <c r="AZ343" s="120">
        <f>COUNTIF(U343:AY343,"A")</f>
      </c>
      <c r="BA343" s="121">
        <f>COUNTIF(U343:AY343,"F")</f>
      </c>
      <c r="BB343" s="119">
        <f>COUNTIF(U343:AY343,"E")</f>
      </c>
    </row>
    <row r="344" spans="1:54" x14ac:dyDescent="0.2">
      <c r="A344" s="84"/>
      <c r="B344" s="85"/>
      <c r="C344" s="85"/>
      <c r="D344" s="85"/>
      <c r="E344" s="86"/>
      <c r="F344" s="16">
        <f>IF(E344="","",DATEDIF(E344,$I$7,"Y"))</f>
      </c>
      <c r="G344" s="85"/>
      <c r="H344" s="85"/>
      <c r="I344" s="87"/>
      <c r="J344" s="85"/>
      <c r="K344" s="85"/>
      <c r="L344" s="10"/>
      <c r="M344" s="10"/>
      <c r="N344" s="10"/>
      <c r="O344" s="10"/>
      <c r="P344" s="85"/>
      <c r="Q344" s="88"/>
      <c r="R344" s="3">
        <f>IFERROR(VLOOKUP(TablaAgosto[[#This Row],[BARRIO]],SECTOR!$A:$B,2,0),"")</f>
      </c>
      <c r="S344" s="89"/>
      <c r="T344" s="90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6"/>
      <c r="AZ344" s="120">
        <f>COUNTIF(U344:AY344,"A")</f>
      </c>
      <c r="BA344" s="121">
        <f>COUNTIF(U344:AY344,"F")</f>
      </c>
      <c r="BB344" s="119">
        <f>COUNTIF(U344:AY344,"E")</f>
      </c>
    </row>
    <row r="345" spans="1:54" x14ac:dyDescent="0.2">
      <c r="A345" s="84"/>
      <c r="B345" s="85"/>
      <c r="C345" s="85"/>
      <c r="D345" s="85"/>
      <c r="E345" s="86"/>
      <c r="F345" s="16">
        <f>IF(E345="","",DATEDIF(E345,$I$7,"Y"))</f>
      </c>
      <c r="G345" s="85"/>
      <c r="H345" s="85"/>
      <c r="I345" s="87"/>
      <c r="J345" s="85"/>
      <c r="K345" s="85"/>
      <c r="L345" s="10"/>
      <c r="M345" s="10"/>
      <c r="N345" s="10"/>
      <c r="O345" s="10"/>
      <c r="P345" s="85"/>
      <c r="Q345" s="88"/>
      <c r="R345" s="3">
        <f>IFERROR(VLOOKUP(TablaAgosto[[#This Row],[BARRIO]],SECTOR!$A:$B,2,0),"")</f>
      </c>
      <c r="S345" s="89"/>
      <c r="T345" s="90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6"/>
      <c r="AZ345" s="120">
        <f>COUNTIF(U345:AY345,"A")</f>
      </c>
      <c r="BA345" s="121">
        <f>COUNTIF(U345:AY345,"F")</f>
      </c>
      <c r="BB345" s="119">
        <f>COUNTIF(U345:AY345,"E")</f>
      </c>
    </row>
    <row r="346" spans="1:54" x14ac:dyDescent="0.2">
      <c r="A346" s="84"/>
      <c r="B346" s="85"/>
      <c r="C346" s="85"/>
      <c r="D346" s="85"/>
      <c r="E346" s="86"/>
      <c r="F346" s="16">
        <f>IF(E346="","",DATEDIF(E346,$I$7,"Y"))</f>
      </c>
      <c r="G346" s="85"/>
      <c r="H346" s="85"/>
      <c r="I346" s="87"/>
      <c r="J346" s="85"/>
      <c r="K346" s="85"/>
      <c r="L346" s="10"/>
      <c r="M346" s="10"/>
      <c r="N346" s="10"/>
      <c r="O346" s="10"/>
      <c r="P346" s="85"/>
      <c r="Q346" s="88"/>
      <c r="R346" s="3">
        <f>IFERROR(VLOOKUP(TablaAgosto[[#This Row],[BARRIO]],SECTOR!$A:$B,2,0),"")</f>
      </c>
      <c r="S346" s="89"/>
      <c r="T346" s="90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6"/>
      <c r="AZ346" s="120">
        <f>COUNTIF(U346:AY346,"A")</f>
      </c>
      <c r="BA346" s="121">
        <f>COUNTIF(U346:AY346,"F")</f>
      </c>
      <c r="BB346" s="119">
        <f>COUNTIF(U346:AY346,"E")</f>
      </c>
    </row>
    <row r="347" spans="1:54" x14ac:dyDescent="0.2">
      <c r="A347" s="84"/>
      <c r="B347" s="85"/>
      <c r="C347" s="85"/>
      <c r="D347" s="85"/>
      <c r="E347" s="86"/>
      <c r="F347" s="16">
        <f>IF(E347="","",DATEDIF(E347,$I$7,"Y"))</f>
      </c>
      <c r="G347" s="85"/>
      <c r="H347" s="85"/>
      <c r="I347" s="87"/>
      <c r="J347" s="85"/>
      <c r="K347" s="85"/>
      <c r="L347" s="10"/>
      <c r="M347" s="10"/>
      <c r="N347" s="10"/>
      <c r="O347" s="10"/>
      <c r="P347" s="85"/>
      <c r="Q347" s="88"/>
      <c r="R347" s="3">
        <f>IFERROR(VLOOKUP(TablaAgosto[[#This Row],[BARRIO]],SECTOR!$A:$B,2,0),"")</f>
      </c>
      <c r="S347" s="89"/>
      <c r="T347" s="90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6"/>
      <c r="AZ347" s="120">
        <f>COUNTIF(U347:AY347,"A")</f>
      </c>
      <c r="BA347" s="121">
        <f>COUNTIF(U347:AY347,"F")</f>
      </c>
      <c r="BB347" s="119">
        <f>COUNTIF(U347:AY347,"E")</f>
      </c>
    </row>
    <row r="348" spans="1:54" x14ac:dyDescent="0.2">
      <c r="A348" s="84"/>
      <c r="B348" s="85"/>
      <c r="C348" s="85"/>
      <c r="D348" s="85"/>
      <c r="E348" s="86"/>
      <c r="F348" s="16">
        <f>IF(E348="","",DATEDIF(E348,$I$7,"Y"))</f>
      </c>
      <c r="G348" s="85"/>
      <c r="H348" s="85"/>
      <c r="I348" s="87"/>
      <c r="J348" s="85"/>
      <c r="K348" s="85"/>
      <c r="L348" s="10"/>
      <c r="M348" s="10"/>
      <c r="N348" s="10"/>
      <c r="O348" s="10"/>
      <c r="P348" s="85"/>
      <c r="Q348" s="88"/>
      <c r="R348" s="3">
        <f>IFERROR(VLOOKUP(TablaAgosto[[#This Row],[BARRIO]],SECTOR!$A:$B,2,0),"")</f>
      </c>
      <c r="S348" s="89"/>
      <c r="T348" s="90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6"/>
      <c r="AZ348" s="120">
        <f>COUNTIF(U348:AY348,"A")</f>
      </c>
      <c r="BA348" s="121">
        <f>COUNTIF(U348:AY348,"F")</f>
      </c>
      <c r="BB348" s="119">
        <f>COUNTIF(U348:AY348,"E")</f>
      </c>
    </row>
    <row r="349" spans="1:54" x14ac:dyDescent="0.2">
      <c r="A349" s="84"/>
      <c r="B349" s="85"/>
      <c r="C349" s="85"/>
      <c r="D349" s="85"/>
      <c r="E349" s="86"/>
      <c r="F349" s="16">
        <f>IF(E349="","",DATEDIF(E349,$I$7,"Y"))</f>
      </c>
      <c r="G349" s="85"/>
      <c r="H349" s="85"/>
      <c r="I349" s="87"/>
      <c r="J349" s="85"/>
      <c r="K349" s="85"/>
      <c r="L349" s="10"/>
      <c r="M349" s="10"/>
      <c r="N349" s="10"/>
      <c r="O349" s="10"/>
      <c r="P349" s="85"/>
      <c r="Q349" s="88"/>
      <c r="R349" s="3">
        <f>IFERROR(VLOOKUP(TablaAgosto[[#This Row],[BARRIO]],SECTOR!$A:$B,2,0),"")</f>
      </c>
      <c r="S349" s="89"/>
      <c r="T349" s="90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6"/>
      <c r="AZ349" s="120">
        <f>COUNTIF(U349:AY349,"A")</f>
      </c>
      <c r="BA349" s="121">
        <f>COUNTIF(U349:AY349,"F")</f>
      </c>
      <c r="BB349" s="119">
        <f>COUNTIF(U349:AY349,"E")</f>
      </c>
    </row>
    <row r="350" spans="1:54" x14ac:dyDescent="0.2">
      <c r="A350" s="84"/>
      <c r="B350" s="85"/>
      <c r="C350" s="85"/>
      <c r="D350" s="85"/>
      <c r="E350" s="86"/>
      <c r="F350" s="16">
        <f>IF(E350="","",DATEDIF(E350,$I$7,"Y"))</f>
      </c>
      <c r="G350" s="85"/>
      <c r="H350" s="85"/>
      <c r="I350" s="87"/>
      <c r="J350" s="85"/>
      <c r="K350" s="85"/>
      <c r="L350" s="10"/>
      <c r="M350" s="10"/>
      <c r="N350" s="10"/>
      <c r="O350" s="10"/>
      <c r="P350" s="85"/>
      <c r="Q350" s="88"/>
      <c r="R350" s="3">
        <f>IFERROR(VLOOKUP(TablaAgosto[[#This Row],[BARRIO]],SECTOR!$A:$B,2,0),"")</f>
      </c>
      <c r="S350" s="89"/>
      <c r="T350" s="90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6"/>
      <c r="AZ350" s="120">
        <f>COUNTIF(U350:AY350,"A")</f>
      </c>
      <c r="BA350" s="121">
        <f>COUNTIF(U350:AY350,"F")</f>
      </c>
      <c r="BB350" s="119">
        <f>COUNTIF(U350:AY350,"E")</f>
      </c>
    </row>
    <row r="351" spans="1:54" x14ac:dyDescent="0.2">
      <c r="A351" s="84"/>
      <c r="B351" s="85"/>
      <c r="C351" s="85"/>
      <c r="D351" s="85"/>
      <c r="E351" s="86"/>
      <c r="F351" s="16">
        <f>IF(E351="","",DATEDIF(E351,$I$7,"Y"))</f>
      </c>
      <c r="G351" s="85"/>
      <c r="H351" s="85"/>
      <c r="I351" s="87"/>
      <c r="J351" s="85"/>
      <c r="K351" s="85"/>
      <c r="L351" s="10"/>
      <c r="M351" s="10"/>
      <c r="N351" s="10"/>
      <c r="O351" s="10"/>
      <c r="P351" s="85"/>
      <c r="Q351" s="88"/>
      <c r="R351" s="3">
        <f>IFERROR(VLOOKUP(TablaAgosto[[#This Row],[BARRIO]],SECTOR!$A:$B,2,0),"")</f>
      </c>
      <c r="S351" s="89"/>
      <c r="T351" s="90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6"/>
      <c r="AZ351" s="120">
        <f>COUNTIF(U351:AY351,"A")</f>
      </c>
      <c r="BA351" s="121">
        <f>COUNTIF(U351:AY351,"F")</f>
      </c>
      <c r="BB351" s="119">
        <f>COUNTIF(U351:AY351,"E")</f>
      </c>
    </row>
    <row r="352" spans="1:54" x14ac:dyDescent="0.2">
      <c r="A352" s="84"/>
      <c r="B352" s="85"/>
      <c r="C352" s="85"/>
      <c r="D352" s="85"/>
      <c r="E352" s="86"/>
      <c r="F352" s="16">
        <f>IF(E352="","",DATEDIF(E352,$I$7,"Y"))</f>
      </c>
      <c r="G352" s="85"/>
      <c r="H352" s="85"/>
      <c r="I352" s="87"/>
      <c r="J352" s="85"/>
      <c r="K352" s="85"/>
      <c r="L352" s="10"/>
      <c r="M352" s="10"/>
      <c r="N352" s="10"/>
      <c r="O352" s="10"/>
      <c r="P352" s="85"/>
      <c r="Q352" s="88"/>
      <c r="R352" s="3">
        <f>IFERROR(VLOOKUP(TablaAgosto[[#This Row],[BARRIO]],SECTOR!$A:$B,2,0),"")</f>
      </c>
      <c r="S352" s="89"/>
      <c r="T352" s="90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6"/>
      <c r="AZ352" s="120">
        <f>COUNTIF(U352:AY352,"A")</f>
      </c>
      <c r="BA352" s="121">
        <f>COUNTIF(U352:AY352,"F")</f>
      </c>
      <c r="BB352" s="119">
        <f>COUNTIF(U352:AY352,"E")</f>
      </c>
    </row>
    <row r="353" spans="1:54" x14ac:dyDescent="0.2">
      <c r="A353" s="84"/>
      <c r="B353" s="85"/>
      <c r="C353" s="85"/>
      <c r="D353" s="85"/>
      <c r="E353" s="86"/>
      <c r="F353" s="16">
        <f>IF(E353="","",DATEDIF(E353,$I$7,"Y"))</f>
      </c>
      <c r="G353" s="85"/>
      <c r="H353" s="85"/>
      <c r="I353" s="87"/>
      <c r="J353" s="85"/>
      <c r="K353" s="85"/>
      <c r="L353" s="10"/>
      <c r="M353" s="10"/>
      <c r="N353" s="10"/>
      <c r="O353" s="10"/>
      <c r="P353" s="85"/>
      <c r="Q353" s="88"/>
      <c r="R353" s="3">
        <f>IFERROR(VLOOKUP(TablaAgosto[[#This Row],[BARRIO]],SECTOR!$A:$B,2,0),"")</f>
      </c>
      <c r="S353" s="89"/>
      <c r="T353" s="90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6"/>
      <c r="AZ353" s="120">
        <f>COUNTIF(U353:AY353,"A")</f>
      </c>
      <c r="BA353" s="121">
        <f>COUNTIF(U353:AY353,"F")</f>
      </c>
      <c r="BB353" s="119">
        <f>COUNTIF(U353:AY353,"E")</f>
      </c>
    </row>
    <row r="354" spans="1:54" x14ac:dyDescent="0.2">
      <c r="A354" s="84"/>
      <c r="B354" s="85"/>
      <c r="C354" s="85"/>
      <c r="D354" s="85"/>
      <c r="E354" s="86"/>
      <c r="F354" s="16">
        <f>IF(E354="","",DATEDIF(E354,$I$7,"Y"))</f>
      </c>
      <c r="G354" s="85"/>
      <c r="H354" s="85"/>
      <c r="I354" s="87"/>
      <c r="J354" s="85"/>
      <c r="K354" s="85"/>
      <c r="L354" s="10"/>
      <c r="M354" s="10"/>
      <c r="N354" s="10"/>
      <c r="O354" s="10"/>
      <c r="P354" s="85"/>
      <c r="Q354" s="88"/>
      <c r="R354" s="3">
        <f>IFERROR(VLOOKUP(TablaAgosto[[#This Row],[BARRIO]],SECTOR!$A:$B,2,0),"")</f>
      </c>
      <c r="S354" s="89"/>
      <c r="T354" s="90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6"/>
      <c r="AZ354" s="120">
        <f>COUNTIF(U354:AY354,"A")</f>
      </c>
      <c r="BA354" s="121">
        <f>COUNTIF(U354:AY354,"F")</f>
      </c>
      <c r="BB354" s="119">
        <f>COUNTIF(U354:AY354,"E")</f>
      </c>
    </row>
    <row r="355" spans="1:54" x14ac:dyDescent="0.2">
      <c r="A355" s="84"/>
      <c r="B355" s="85"/>
      <c r="C355" s="85"/>
      <c r="D355" s="85"/>
      <c r="E355" s="86"/>
      <c r="F355" s="16">
        <f>IF(E355="","",DATEDIF(E355,$I$7,"Y"))</f>
      </c>
      <c r="G355" s="85"/>
      <c r="H355" s="85"/>
      <c r="I355" s="87"/>
      <c r="J355" s="85"/>
      <c r="K355" s="85"/>
      <c r="L355" s="10"/>
      <c r="M355" s="10"/>
      <c r="N355" s="10"/>
      <c r="O355" s="10"/>
      <c r="P355" s="85"/>
      <c r="Q355" s="88"/>
      <c r="R355" s="3">
        <f>IFERROR(VLOOKUP(TablaAgosto[[#This Row],[BARRIO]],SECTOR!$A:$B,2,0),"")</f>
      </c>
      <c r="S355" s="89"/>
      <c r="T355" s="90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6"/>
      <c r="AZ355" s="120">
        <f>COUNTIF(U355:AY355,"A")</f>
      </c>
      <c r="BA355" s="121">
        <f>COUNTIF(U355:AY355,"F")</f>
      </c>
      <c r="BB355" s="119">
        <f>COUNTIF(U355:AY355,"E")</f>
      </c>
    </row>
    <row r="356" spans="1:54" x14ac:dyDescent="0.2">
      <c r="A356" s="84"/>
      <c r="B356" s="85"/>
      <c r="C356" s="85"/>
      <c r="D356" s="85"/>
      <c r="E356" s="86"/>
      <c r="F356" s="16">
        <f>IF(E356="","",DATEDIF(E356,$I$7,"Y"))</f>
      </c>
      <c r="G356" s="85"/>
      <c r="H356" s="85"/>
      <c r="I356" s="87"/>
      <c r="J356" s="85"/>
      <c r="K356" s="85"/>
      <c r="L356" s="10"/>
      <c r="M356" s="10"/>
      <c r="N356" s="10"/>
      <c r="O356" s="10"/>
      <c r="P356" s="85"/>
      <c r="Q356" s="88"/>
      <c r="R356" s="3">
        <f>IFERROR(VLOOKUP(TablaAgosto[[#This Row],[BARRIO]],SECTOR!$A:$B,2,0),"")</f>
      </c>
      <c r="S356" s="89"/>
      <c r="T356" s="90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6"/>
      <c r="AZ356" s="120">
        <f>COUNTIF(U356:AY356,"A")</f>
      </c>
      <c r="BA356" s="121">
        <f>COUNTIF(U356:AY356,"F")</f>
      </c>
      <c r="BB356" s="119">
        <f>COUNTIF(U356:AY356,"E")</f>
      </c>
    </row>
    <row r="357" spans="1:54" x14ac:dyDescent="0.2">
      <c r="A357" s="84"/>
      <c r="B357" s="85"/>
      <c r="C357" s="85"/>
      <c r="D357" s="85"/>
      <c r="E357" s="86"/>
      <c r="F357" s="16">
        <f>IF(E357="","",DATEDIF(E357,$I$7,"Y"))</f>
      </c>
      <c r="G357" s="85"/>
      <c r="H357" s="85"/>
      <c r="I357" s="87"/>
      <c r="J357" s="85"/>
      <c r="K357" s="85"/>
      <c r="L357" s="10"/>
      <c r="M357" s="10"/>
      <c r="N357" s="10"/>
      <c r="O357" s="10"/>
      <c r="P357" s="85"/>
      <c r="Q357" s="88"/>
      <c r="R357" s="3">
        <f>IFERROR(VLOOKUP(TablaAgosto[[#This Row],[BARRIO]],SECTOR!$A:$B,2,0),"")</f>
      </c>
      <c r="S357" s="89"/>
      <c r="T357" s="90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6"/>
      <c r="AZ357" s="120">
        <f>COUNTIF(U357:AY357,"A")</f>
      </c>
      <c r="BA357" s="121">
        <f>COUNTIF(U357:AY357,"F")</f>
      </c>
      <c r="BB357" s="119">
        <f>COUNTIF(U357:AY357,"E")</f>
      </c>
    </row>
    <row r="358" spans="1:54" x14ac:dyDescent="0.2">
      <c r="A358" s="84"/>
      <c r="B358" s="85"/>
      <c r="C358" s="85"/>
      <c r="D358" s="85"/>
      <c r="E358" s="86"/>
      <c r="F358" s="16">
        <f>IF(E358="","",DATEDIF(E358,$I$7,"Y"))</f>
      </c>
      <c r="G358" s="85"/>
      <c r="H358" s="85"/>
      <c r="I358" s="87"/>
      <c r="J358" s="85"/>
      <c r="K358" s="85"/>
      <c r="L358" s="10"/>
      <c r="M358" s="10"/>
      <c r="N358" s="10"/>
      <c r="O358" s="10"/>
      <c r="P358" s="85"/>
      <c r="Q358" s="88"/>
      <c r="R358" s="3">
        <f>IFERROR(VLOOKUP(TablaAgosto[[#This Row],[BARRIO]],SECTOR!$A:$B,2,0),"")</f>
      </c>
      <c r="S358" s="89"/>
      <c r="T358" s="90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6"/>
      <c r="AZ358" s="120">
        <f>COUNTIF(U358:AY358,"A")</f>
      </c>
      <c r="BA358" s="121">
        <f>COUNTIF(U358:AY358,"F")</f>
      </c>
      <c r="BB358" s="119">
        <f>COUNTIF(U358:AY358,"E")</f>
      </c>
    </row>
    <row r="359" spans="1:54" x14ac:dyDescent="0.2">
      <c r="A359" s="84"/>
      <c r="B359" s="85"/>
      <c r="C359" s="85"/>
      <c r="D359" s="85"/>
      <c r="E359" s="86"/>
      <c r="F359" s="16">
        <f>IF(E359="","",DATEDIF(E359,$I$7,"Y"))</f>
      </c>
      <c r="G359" s="85"/>
      <c r="H359" s="85"/>
      <c r="I359" s="87"/>
      <c r="J359" s="85"/>
      <c r="K359" s="85"/>
      <c r="L359" s="10"/>
      <c r="M359" s="10"/>
      <c r="N359" s="10"/>
      <c r="O359" s="10"/>
      <c r="P359" s="85"/>
      <c r="Q359" s="88"/>
      <c r="R359" s="3">
        <f>IFERROR(VLOOKUP(TablaAgosto[[#This Row],[BARRIO]],SECTOR!$A:$B,2,0),"")</f>
      </c>
      <c r="S359" s="89"/>
      <c r="T359" s="90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6"/>
      <c r="AZ359" s="120">
        <f>COUNTIF(U359:AY359,"A")</f>
      </c>
      <c r="BA359" s="121">
        <f>COUNTIF(U359:AY359,"F")</f>
      </c>
      <c r="BB359" s="119">
        <f>COUNTIF(U359:AY359,"E")</f>
      </c>
    </row>
    <row r="360" spans="1:54" x14ac:dyDescent="0.2">
      <c r="A360" s="84"/>
      <c r="B360" s="85"/>
      <c r="C360" s="85"/>
      <c r="D360" s="85"/>
      <c r="E360" s="86"/>
      <c r="F360" s="16">
        <f>IF(E360="","",DATEDIF(E360,$I$7,"Y"))</f>
      </c>
      <c r="G360" s="85"/>
      <c r="H360" s="85"/>
      <c r="I360" s="87"/>
      <c r="J360" s="85"/>
      <c r="K360" s="85"/>
      <c r="L360" s="10"/>
      <c r="M360" s="10"/>
      <c r="N360" s="10"/>
      <c r="O360" s="10"/>
      <c r="P360" s="85"/>
      <c r="Q360" s="88"/>
      <c r="R360" s="3">
        <f>IFERROR(VLOOKUP(TablaAgosto[[#This Row],[BARRIO]],SECTOR!$A:$B,2,0),"")</f>
      </c>
      <c r="S360" s="89"/>
      <c r="T360" s="90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6"/>
      <c r="AZ360" s="120">
        <f>COUNTIF(U360:AY360,"A")</f>
      </c>
      <c r="BA360" s="121">
        <f>COUNTIF(U360:AY360,"F")</f>
      </c>
      <c r="BB360" s="119">
        <f>COUNTIF(U360:AY360,"E")</f>
      </c>
    </row>
    <row r="361" spans="1:54" x14ac:dyDescent="0.2">
      <c r="A361" s="84"/>
      <c r="B361" s="85"/>
      <c r="C361" s="85"/>
      <c r="D361" s="85"/>
      <c r="E361" s="86"/>
      <c r="F361" s="16">
        <f>IF(E361="","",DATEDIF(E361,$I$7,"Y"))</f>
      </c>
      <c r="G361" s="85"/>
      <c r="H361" s="85"/>
      <c r="I361" s="87"/>
      <c r="J361" s="85"/>
      <c r="K361" s="85"/>
      <c r="L361" s="10"/>
      <c r="M361" s="10"/>
      <c r="N361" s="10"/>
      <c r="O361" s="10"/>
      <c r="P361" s="85"/>
      <c r="Q361" s="88"/>
      <c r="R361" s="3">
        <f>IFERROR(VLOOKUP(TablaAgosto[[#This Row],[BARRIO]],SECTOR!$A:$B,2,0),"")</f>
      </c>
      <c r="S361" s="89"/>
      <c r="T361" s="90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6"/>
      <c r="AZ361" s="120">
        <f>COUNTIF(U361:AY361,"A")</f>
      </c>
      <c r="BA361" s="121">
        <f>COUNTIF(U361:AY361,"F")</f>
      </c>
      <c r="BB361" s="119">
        <f>COUNTIF(U361:AY361,"E")</f>
      </c>
    </row>
    <row r="362" spans="1:54" x14ac:dyDescent="0.2">
      <c r="A362" s="84"/>
      <c r="B362" s="85"/>
      <c r="C362" s="85"/>
      <c r="D362" s="85"/>
      <c r="E362" s="86"/>
      <c r="F362" s="16">
        <f>IF(E362="","",DATEDIF(E362,$I$7,"Y"))</f>
      </c>
      <c r="G362" s="85"/>
      <c r="H362" s="85"/>
      <c r="I362" s="87"/>
      <c r="J362" s="85"/>
      <c r="K362" s="85"/>
      <c r="L362" s="10"/>
      <c r="M362" s="10"/>
      <c r="N362" s="10"/>
      <c r="O362" s="10"/>
      <c r="P362" s="85"/>
      <c r="Q362" s="88"/>
      <c r="R362" s="3">
        <f>IFERROR(VLOOKUP(TablaAgosto[[#This Row],[BARRIO]],SECTOR!$A:$B,2,0),"")</f>
      </c>
      <c r="S362" s="89"/>
      <c r="T362" s="90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6"/>
      <c r="AZ362" s="120">
        <f>COUNTIF(U362:AY362,"A")</f>
      </c>
      <c r="BA362" s="121">
        <f>COUNTIF(U362:AY362,"F")</f>
      </c>
      <c r="BB362" s="119">
        <f>COUNTIF(U362:AY362,"E")</f>
      </c>
    </row>
    <row r="363" spans="1:54" x14ac:dyDescent="0.2">
      <c r="A363" s="84"/>
      <c r="B363" s="85"/>
      <c r="C363" s="85"/>
      <c r="D363" s="85"/>
      <c r="E363" s="86"/>
      <c r="F363" s="16">
        <f>IF(E363="","",DATEDIF(E363,$I$7,"Y"))</f>
      </c>
      <c r="G363" s="85"/>
      <c r="H363" s="85"/>
      <c r="I363" s="87"/>
      <c r="J363" s="85"/>
      <c r="K363" s="85"/>
      <c r="L363" s="10"/>
      <c r="M363" s="10"/>
      <c r="N363" s="10"/>
      <c r="O363" s="10"/>
      <c r="P363" s="85"/>
      <c r="Q363" s="88"/>
      <c r="R363" s="3">
        <f>IFERROR(VLOOKUP(TablaAgosto[[#This Row],[BARRIO]],SECTOR!$A:$B,2,0),"")</f>
      </c>
      <c r="S363" s="89"/>
      <c r="T363" s="90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6"/>
      <c r="AZ363" s="120">
        <f>COUNTIF(U363:AY363,"A")</f>
      </c>
      <c r="BA363" s="121">
        <f>COUNTIF(U363:AY363,"F")</f>
      </c>
      <c r="BB363" s="119">
        <f>COUNTIF(U363:AY363,"E")</f>
      </c>
    </row>
    <row r="364" spans="1:54" x14ac:dyDescent="0.2">
      <c r="A364" s="84"/>
      <c r="B364" s="85"/>
      <c r="C364" s="85"/>
      <c r="D364" s="85"/>
      <c r="E364" s="86"/>
      <c r="F364" s="16">
        <f>IF(E364="","",DATEDIF(E364,$I$7,"Y"))</f>
      </c>
      <c r="G364" s="85"/>
      <c r="H364" s="85"/>
      <c r="I364" s="87"/>
      <c r="J364" s="85"/>
      <c r="K364" s="85"/>
      <c r="L364" s="10"/>
      <c r="M364" s="10"/>
      <c r="N364" s="10"/>
      <c r="O364" s="10"/>
      <c r="P364" s="85"/>
      <c r="Q364" s="88"/>
      <c r="R364" s="3">
        <f>IFERROR(VLOOKUP(TablaAgosto[[#This Row],[BARRIO]],SECTOR!$A:$B,2,0),"")</f>
      </c>
      <c r="S364" s="89"/>
      <c r="T364" s="90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6"/>
      <c r="AZ364" s="120">
        <f>COUNTIF(U364:AY364,"A")</f>
      </c>
      <c r="BA364" s="121">
        <f>COUNTIF(U364:AY364,"F")</f>
      </c>
      <c r="BB364" s="119">
        <f>COUNTIF(U364:AY364,"E")</f>
      </c>
    </row>
    <row r="365" spans="1:54" x14ac:dyDescent="0.2">
      <c r="A365" s="84"/>
      <c r="B365" s="85"/>
      <c r="C365" s="85"/>
      <c r="D365" s="85"/>
      <c r="E365" s="86"/>
      <c r="F365" s="16">
        <f>IF(E365="","",DATEDIF(E365,$I$7,"Y"))</f>
      </c>
      <c r="G365" s="85"/>
      <c r="H365" s="85"/>
      <c r="I365" s="87"/>
      <c r="J365" s="85"/>
      <c r="K365" s="85"/>
      <c r="L365" s="10"/>
      <c r="M365" s="10"/>
      <c r="N365" s="10"/>
      <c r="O365" s="10"/>
      <c r="P365" s="85"/>
      <c r="Q365" s="88"/>
      <c r="R365" s="3">
        <f>IFERROR(VLOOKUP(TablaAgosto[[#This Row],[BARRIO]],SECTOR!$A:$B,2,0),"")</f>
      </c>
      <c r="S365" s="89"/>
      <c r="T365" s="90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6"/>
      <c r="AZ365" s="120">
        <f>COUNTIF(U365:AY365,"A")</f>
      </c>
      <c r="BA365" s="121">
        <f>COUNTIF(U365:AY365,"F")</f>
      </c>
      <c r="BB365" s="119">
        <f>COUNTIF(U365:AY365,"E")</f>
      </c>
    </row>
    <row r="366" spans="1:54" x14ac:dyDescent="0.2">
      <c r="A366" s="84"/>
      <c r="B366" s="85"/>
      <c r="C366" s="85"/>
      <c r="D366" s="85"/>
      <c r="E366" s="86"/>
      <c r="F366" s="16">
        <f>IF(E366="","",DATEDIF(E366,$I$7,"Y"))</f>
      </c>
      <c r="G366" s="85"/>
      <c r="H366" s="85"/>
      <c r="I366" s="87"/>
      <c r="J366" s="85"/>
      <c r="K366" s="85"/>
      <c r="L366" s="10"/>
      <c r="M366" s="10"/>
      <c r="N366" s="10"/>
      <c r="O366" s="10"/>
      <c r="P366" s="85"/>
      <c r="Q366" s="88"/>
      <c r="R366" s="3">
        <f>IFERROR(VLOOKUP(TablaAgosto[[#This Row],[BARRIO]],SECTOR!$A:$B,2,0),"")</f>
      </c>
      <c r="S366" s="89"/>
      <c r="T366" s="90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6"/>
      <c r="AZ366" s="120">
        <f>COUNTIF(U366:AY366,"A")</f>
      </c>
      <c r="BA366" s="121">
        <f>COUNTIF(U366:AY366,"F")</f>
      </c>
      <c r="BB366" s="119">
        <f>COUNTIF(U366:AY366,"E")</f>
      </c>
    </row>
    <row r="367" spans="1:54" x14ac:dyDescent="0.2">
      <c r="A367" s="84"/>
      <c r="B367" s="85"/>
      <c r="C367" s="85"/>
      <c r="D367" s="85"/>
      <c r="E367" s="86"/>
      <c r="F367" s="16">
        <f>IF(E367="","",DATEDIF(E367,$I$7,"Y"))</f>
      </c>
      <c r="G367" s="85"/>
      <c r="H367" s="85"/>
      <c r="I367" s="87"/>
      <c r="J367" s="85"/>
      <c r="K367" s="85"/>
      <c r="L367" s="10"/>
      <c r="M367" s="10"/>
      <c r="N367" s="10"/>
      <c r="O367" s="10"/>
      <c r="P367" s="85"/>
      <c r="Q367" s="88"/>
      <c r="R367" s="3">
        <f>IFERROR(VLOOKUP(TablaAgosto[[#This Row],[BARRIO]],SECTOR!$A:$B,2,0),"")</f>
      </c>
      <c r="S367" s="89"/>
      <c r="T367" s="90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6"/>
      <c r="AZ367" s="120">
        <f>COUNTIF(U367:AY367,"A")</f>
      </c>
      <c r="BA367" s="121">
        <f>COUNTIF(U367:AY367,"F")</f>
      </c>
      <c r="BB367" s="119">
        <f>COUNTIF(U367:AY367,"E")</f>
      </c>
    </row>
    <row r="368" spans="1:54" x14ac:dyDescent="0.2">
      <c r="A368" s="84"/>
      <c r="B368" s="85"/>
      <c r="C368" s="85"/>
      <c r="D368" s="85"/>
      <c r="E368" s="86"/>
      <c r="F368" s="16">
        <f>IF(E368="","",DATEDIF(E368,$I$7,"Y"))</f>
      </c>
      <c r="G368" s="85"/>
      <c r="H368" s="85"/>
      <c r="I368" s="87"/>
      <c r="J368" s="85"/>
      <c r="K368" s="85"/>
      <c r="L368" s="10"/>
      <c r="M368" s="10"/>
      <c r="N368" s="10"/>
      <c r="O368" s="10"/>
      <c r="P368" s="85"/>
      <c r="Q368" s="88"/>
      <c r="R368" s="3">
        <f>IFERROR(VLOOKUP(TablaAgosto[[#This Row],[BARRIO]],SECTOR!$A:$B,2,0),"")</f>
      </c>
      <c r="S368" s="89"/>
      <c r="T368" s="90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6"/>
      <c r="AZ368" s="120">
        <f>COUNTIF(U368:AY368,"A")</f>
      </c>
      <c r="BA368" s="121">
        <f>COUNTIF(U368:AY368,"F")</f>
      </c>
      <c r="BB368" s="119">
        <f>COUNTIF(U368:AY368,"E")</f>
      </c>
    </row>
    <row r="369" spans="1:54" x14ac:dyDescent="0.2">
      <c r="A369" s="84"/>
      <c r="B369" s="85"/>
      <c r="C369" s="85"/>
      <c r="D369" s="85"/>
      <c r="E369" s="86"/>
      <c r="F369" s="16">
        <f>IF(E369="","",DATEDIF(E369,$I$7,"Y"))</f>
      </c>
      <c r="G369" s="85"/>
      <c r="H369" s="85"/>
      <c r="I369" s="87"/>
      <c r="J369" s="85"/>
      <c r="K369" s="85"/>
      <c r="L369" s="10"/>
      <c r="M369" s="10"/>
      <c r="N369" s="10"/>
      <c r="O369" s="10"/>
      <c r="P369" s="85"/>
      <c r="Q369" s="88"/>
      <c r="R369" s="3">
        <f>IFERROR(VLOOKUP(TablaAgosto[[#This Row],[BARRIO]],SECTOR!$A:$B,2,0),"")</f>
      </c>
      <c r="S369" s="89"/>
      <c r="T369" s="90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6"/>
      <c r="AZ369" s="120">
        <f>COUNTIF(U369:AY369,"A")</f>
      </c>
      <c r="BA369" s="121">
        <f>COUNTIF(U369:AY369,"F")</f>
      </c>
      <c r="BB369" s="119">
        <f>COUNTIF(U369:AY369,"E")</f>
      </c>
    </row>
    <row r="370" spans="1:54" x14ac:dyDescent="0.2">
      <c r="A370" s="84"/>
      <c r="B370" s="85"/>
      <c r="C370" s="85"/>
      <c r="D370" s="85"/>
      <c r="E370" s="86"/>
      <c r="F370" s="16">
        <f>IF(E370="","",DATEDIF(E370,$I$7,"Y"))</f>
      </c>
      <c r="G370" s="85"/>
      <c r="H370" s="85"/>
      <c r="I370" s="87"/>
      <c r="J370" s="85"/>
      <c r="K370" s="85"/>
      <c r="L370" s="10"/>
      <c r="M370" s="10"/>
      <c r="N370" s="10"/>
      <c r="O370" s="10"/>
      <c r="P370" s="85"/>
      <c r="Q370" s="88"/>
      <c r="R370" s="3">
        <f>IFERROR(VLOOKUP(TablaAgosto[[#This Row],[BARRIO]],SECTOR!$A:$B,2,0),"")</f>
      </c>
      <c r="S370" s="89"/>
      <c r="T370" s="90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6"/>
      <c r="AZ370" s="120">
        <f>COUNTIF(U370:AY370,"A")</f>
      </c>
      <c r="BA370" s="121">
        <f>COUNTIF(U370:AY370,"F")</f>
      </c>
      <c r="BB370" s="119">
        <f>COUNTIF(U370:AY370,"E")</f>
      </c>
    </row>
    <row r="371" spans="1:54" x14ac:dyDescent="0.2">
      <c r="A371" s="84"/>
      <c r="B371" s="85"/>
      <c r="C371" s="85"/>
      <c r="D371" s="85"/>
      <c r="E371" s="86"/>
      <c r="F371" s="16">
        <f>IF(E371="","",DATEDIF(E371,$I$7,"Y"))</f>
      </c>
      <c r="G371" s="85"/>
      <c r="H371" s="85"/>
      <c r="I371" s="87"/>
      <c r="J371" s="85"/>
      <c r="K371" s="85"/>
      <c r="L371" s="10"/>
      <c r="M371" s="10"/>
      <c r="N371" s="10"/>
      <c r="O371" s="10"/>
      <c r="P371" s="85"/>
      <c r="Q371" s="88"/>
      <c r="R371" s="3">
        <f>IFERROR(VLOOKUP(TablaAgosto[[#This Row],[BARRIO]],SECTOR!$A:$B,2,0),"")</f>
      </c>
      <c r="S371" s="89"/>
      <c r="T371" s="90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6"/>
      <c r="AZ371" s="120">
        <f>COUNTIF(U371:AY371,"A")</f>
      </c>
      <c r="BA371" s="121">
        <f>COUNTIF(U371:AY371,"F")</f>
      </c>
      <c r="BB371" s="119">
        <f>COUNTIF(U371:AY371,"E")</f>
      </c>
    </row>
    <row r="372" spans="1:54" x14ac:dyDescent="0.2">
      <c r="A372" s="84"/>
      <c r="B372" s="85"/>
      <c r="C372" s="85"/>
      <c r="D372" s="85"/>
      <c r="E372" s="86"/>
      <c r="F372" s="16">
        <f>IF(E372="","",DATEDIF(E372,$I$7,"Y"))</f>
      </c>
      <c r="G372" s="85"/>
      <c r="H372" s="85"/>
      <c r="I372" s="87"/>
      <c r="J372" s="85"/>
      <c r="K372" s="85"/>
      <c r="L372" s="10"/>
      <c r="M372" s="10"/>
      <c r="N372" s="10"/>
      <c r="O372" s="10"/>
      <c r="P372" s="85"/>
      <c r="Q372" s="88"/>
      <c r="R372" s="3">
        <f>IFERROR(VLOOKUP(TablaAgosto[[#This Row],[BARRIO]],SECTOR!$A:$B,2,0),"")</f>
      </c>
      <c r="S372" s="89"/>
      <c r="T372" s="90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6"/>
      <c r="AZ372" s="120">
        <f>COUNTIF(U372:AY372,"A")</f>
      </c>
      <c r="BA372" s="121">
        <f>COUNTIF(U372:AY372,"F")</f>
      </c>
      <c r="BB372" s="119">
        <f>COUNTIF(U372:AY372,"E")</f>
      </c>
    </row>
    <row r="373" spans="1:54" x14ac:dyDescent="0.2">
      <c r="A373" s="84"/>
      <c r="B373" s="85"/>
      <c r="C373" s="85"/>
      <c r="D373" s="85"/>
      <c r="E373" s="86"/>
      <c r="F373" s="16">
        <f>IF(E373="","",DATEDIF(E373,$I$7,"Y"))</f>
      </c>
      <c r="G373" s="85"/>
      <c r="H373" s="85"/>
      <c r="I373" s="87"/>
      <c r="J373" s="85"/>
      <c r="K373" s="85"/>
      <c r="L373" s="10"/>
      <c r="M373" s="10"/>
      <c r="N373" s="10"/>
      <c r="O373" s="10"/>
      <c r="P373" s="85"/>
      <c r="Q373" s="88"/>
      <c r="R373" s="3">
        <f>IFERROR(VLOOKUP(TablaAgosto[[#This Row],[BARRIO]],SECTOR!$A:$B,2,0),"")</f>
      </c>
      <c r="S373" s="89"/>
      <c r="T373" s="90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6"/>
      <c r="AZ373" s="120">
        <f>COUNTIF(U373:AY373,"A")</f>
      </c>
      <c r="BA373" s="121">
        <f>COUNTIF(U373:AY373,"F")</f>
      </c>
      <c r="BB373" s="119">
        <f>COUNTIF(U373:AY373,"E")</f>
      </c>
    </row>
    <row r="374" spans="1:54" x14ac:dyDescent="0.2">
      <c r="A374" s="84"/>
      <c r="B374" s="85"/>
      <c r="C374" s="85"/>
      <c r="D374" s="85"/>
      <c r="E374" s="86"/>
      <c r="F374" s="16">
        <f>IF(E374="","",DATEDIF(E374,$I$7,"Y"))</f>
      </c>
      <c r="G374" s="85"/>
      <c r="H374" s="85"/>
      <c r="I374" s="87"/>
      <c r="J374" s="85"/>
      <c r="K374" s="85"/>
      <c r="L374" s="10"/>
      <c r="M374" s="10"/>
      <c r="N374" s="10"/>
      <c r="O374" s="10"/>
      <c r="P374" s="85"/>
      <c r="Q374" s="88"/>
      <c r="R374" s="3">
        <f>IFERROR(VLOOKUP(TablaAgosto[[#This Row],[BARRIO]],SECTOR!$A:$B,2,0),"")</f>
      </c>
      <c r="S374" s="89"/>
      <c r="T374" s="90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6"/>
      <c r="AZ374" s="120">
        <f>COUNTIF(U374:AY374,"A")</f>
      </c>
      <c r="BA374" s="121">
        <f>COUNTIF(U374:AY374,"F")</f>
      </c>
      <c r="BB374" s="119">
        <f>COUNTIF(U374:AY374,"E")</f>
      </c>
    </row>
    <row r="375" spans="1:54" x14ac:dyDescent="0.2">
      <c r="A375" s="84"/>
      <c r="B375" s="85"/>
      <c r="C375" s="85"/>
      <c r="D375" s="85"/>
      <c r="E375" s="86"/>
      <c r="F375" s="16">
        <f>IF(E375="","",DATEDIF(E375,$I$7,"Y"))</f>
      </c>
      <c r="G375" s="85"/>
      <c r="H375" s="85"/>
      <c r="I375" s="87"/>
      <c r="J375" s="85"/>
      <c r="K375" s="85"/>
      <c r="L375" s="10"/>
      <c r="M375" s="10"/>
      <c r="N375" s="10"/>
      <c r="O375" s="10"/>
      <c r="P375" s="85"/>
      <c r="Q375" s="88"/>
      <c r="R375" s="3">
        <f>IFERROR(VLOOKUP(TablaAgosto[[#This Row],[BARRIO]],SECTOR!$A:$B,2,0),"")</f>
      </c>
      <c r="S375" s="89"/>
      <c r="T375" s="90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6"/>
      <c r="AZ375" s="120">
        <f>COUNTIF(U375:AY375,"A")</f>
      </c>
      <c r="BA375" s="121">
        <f>COUNTIF(U375:AY375,"F")</f>
      </c>
      <c r="BB375" s="119">
        <f>COUNTIF(U375:AY375,"E")</f>
      </c>
    </row>
    <row r="376" spans="1:54" x14ac:dyDescent="0.2">
      <c r="A376" s="84"/>
      <c r="B376" s="85"/>
      <c r="C376" s="85"/>
      <c r="D376" s="85"/>
      <c r="E376" s="86"/>
      <c r="F376" s="16">
        <f>IF(E376="","",DATEDIF(E376,$I$7,"Y"))</f>
      </c>
      <c r="G376" s="85"/>
      <c r="H376" s="85"/>
      <c r="I376" s="87"/>
      <c r="J376" s="85"/>
      <c r="K376" s="85"/>
      <c r="L376" s="10"/>
      <c r="M376" s="10"/>
      <c r="N376" s="10"/>
      <c r="O376" s="10"/>
      <c r="P376" s="85"/>
      <c r="Q376" s="88"/>
      <c r="R376" s="3">
        <f>IFERROR(VLOOKUP(TablaAgosto[[#This Row],[BARRIO]],SECTOR!$A:$B,2,0),"")</f>
      </c>
      <c r="S376" s="89"/>
      <c r="T376" s="90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6"/>
      <c r="AZ376" s="120">
        <f>COUNTIF(U376:AY376,"A")</f>
      </c>
      <c r="BA376" s="121">
        <f>COUNTIF(U376:AY376,"F")</f>
      </c>
      <c r="BB376" s="119">
        <f>COUNTIF(U376:AY376,"E")</f>
      </c>
    </row>
    <row r="377" spans="1:54" x14ac:dyDescent="0.2">
      <c r="A377" s="84"/>
      <c r="B377" s="85"/>
      <c r="C377" s="85"/>
      <c r="D377" s="85"/>
      <c r="E377" s="86"/>
      <c r="F377" s="16">
        <f>IF(E377="","",DATEDIF(E377,$I$7,"Y"))</f>
      </c>
      <c r="G377" s="85"/>
      <c r="H377" s="85"/>
      <c r="I377" s="87"/>
      <c r="J377" s="85"/>
      <c r="K377" s="85"/>
      <c r="L377" s="10"/>
      <c r="M377" s="10"/>
      <c r="N377" s="10"/>
      <c r="O377" s="10"/>
      <c r="P377" s="85"/>
      <c r="Q377" s="88"/>
      <c r="R377" s="3">
        <f>IFERROR(VLOOKUP(TablaAgosto[[#This Row],[BARRIO]],SECTOR!$A:$B,2,0),"")</f>
      </c>
      <c r="S377" s="89"/>
      <c r="T377" s="90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6"/>
      <c r="AZ377" s="120">
        <f>COUNTIF(U377:AY377,"A")</f>
      </c>
      <c r="BA377" s="121">
        <f>COUNTIF(U377:AY377,"F")</f>
      </c>
      <c r="BB377" s="119">
        <f>COUNTIF(U377:AY377,"E")</f>
      </c>
    </row>
    <row r="378" spans="1:54" x14ac:dyDescent="0.2">
      <c r="A378" s="84"/>
      <c r="B378" s="85"/>
      <c r="C378" s="85"/>
      <c r="D378" s="85"/>
      <c r="E378" s="86"/>
      <c r="F378" s="16">
        <f>IF(E378="","",DATEDIF(E378,$I$7,"Y"))</f>
      </c>
      <c r="G378" s="85"/>
      <c r="H378" s="85"/>
      <c r="I378" s="87"/>
      <c r="J378" s="85"/>
      <c r="K378" s="85"/>
      <c r="L378" s="10"/>
      <c r="M378" s="10"/>
      <c r="N378" s="10"/>
      <c r="O378" s="10"/>
      <c r="P378" s="85"/>
      <c r="Q378" s="88"/>
      <c r="R378" s="3">
        <f>IFERROR(VLOOKUP(TablaAgosto[[#This Row],[BARRIO]],SECTOR!$A:$B,2,0),"")</f>
      </c>
      <c r="S378" s="89"/>
      <c r="T378" s="90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6"/>
      <c r="AZ378" s="120">
        <f>COUNTIF(U378:AY378,"A")</f>
      </c>
      <c r="BA378" s="121">
        <f>COUNTIF(U378:AY378,"F")</f>
      </c>
      <c r="BB378" s="119">
        <f>COUNTIF(U378:AY378,"E")</f>
      </c>
    </row>
    <row r="379" spans="1:54" x14ac:dyDescent="0.2">
      <c r="A379" s="84"/>
      <c r="B379" s="85"/>
      <c r="C379" s="85"/>
      <c r="D379" s="85"/>
      <c r="E379" s="86"/>
      <c r="F379" s="16">
        <f>IF(E379="","",DATEDIF(E379,$I$7,"Y"))</f>
      </c>
      <c r="G379" s="85"/>
      <c r="H379" s="85"/>
      <c r="I379" s="87"/>
      <c r="J379" s="85"/>
      <c r="K379" s="85"/>
      <c r="L379" s="10"/>
      <c r="M379" s="10"/>
      <c r="N379" s="10"/>
      <c r="O379" s="10"/>
      <c r="P379" s="85"/>
      <c r="Q379" s="88"/>
      <c r="R379" s="3">
        <f>IFERROR(VLOOKUP(TablaAgosto[[#This Row],[BARRIO]],SECTOR!$A:$B,2,0),"")</f>
      </c>
      <c r="S379" s="89"/>
      <c r="T379" s="90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6"/>
      <c r="AZ379" s="120">
        <f>COUNTIF(U379:AY379,"A")</f>
      </c>
      <c r="BA379" s="121">
        <f>COUNTIF(U379:AY379,"F")</f>
      </c>
      <c r="BB379" s="119">
        <f>COUNTIF(U379:AY379,"E")</f>
      </c>
    </row>
    <row r="380" spans="1:54" x14ac:dyDescent="0.2">
      <c r="A380" s="84"/>
      <c r="B380" s="85"/>
      <c r="C380" s="85"/>
      <c r="D380" s="85"/>
      <c r="E380" s="86"/>
      <c r="F380" s="16">
        <f>IF(E380="","",DATEDIF(E380,$I$7,"Y"))</f>
      </c>
      <c r="G380" s="85"/>
      <c r="H380" s="85"/>
      <c r="I380" s="87"/>
      <c r="J380" s="85"/>
      <c r="K380" s="85"/>
      <c r="L380" s="10"/>
      <c r="M380" s="10"/>
      <c r="N380" s="10"/>
      <c r="O380" s="10"/>
      <c r="P380" s="85"/>
      <c r="Q380" s="88"/>
      <c r="R380" s="3">
        <f>IFERROR(VLOOKUP(TablaAgosto[[#This Row],[BARRIO]],SECTOR!$A:$B,2,0),"")</f>
      </c>
      <c r="S380" s="89"/>
      <c r="T380" s="90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6"/>
      <c r="AZ380" s="120">
        <f>COUNTIF(U380:AY380,"A")</f>
      </c>
      <c r="BA380" s="121">
        <f>COUNTIF(U380:AY380,"F")</f>
      </c>
      <c r="BB380" s="119">
        <f>COUNTIF(U380:AY380,"E")</f>
      </c>
    </row>
    <row r="381" spans="1:54" x14ac:dyDescent="0.2">
      <c r="A381" s="84"/>
      <c r="B381" s="85"/>
      <c r="C381" s="85"/>
      <c r="D381" s="85"/>
      <c r="E381" s="86"/>
      <c r="F381" s="16">
        <f>IF(E381="","",DATEDIF(E381,$I$7,"Y"))</f>
      </c>
      <c r="G381" s="85"/>
      <c r="H381" s="85"/>
      <c r="I381" s="87"/>
      <c r="J381" s="85"/>
      <c r="K381" s="85"/>
      <c r="L381" s="10"/>
      <c r="M381" s="10"/>
      <c r="N381" s="10"/>
      <c r="O381" s="10"/>
      <c r="P381" s="85"/>
      <c r="Q381" s="88"/>
      <c r="R381" s="3">
        <f>IFERROR(VLOOKUP(TablaAgosto[[#This Row],[BARRIO]],SECTOR!$A:$B,2,0),"")</f>
      </c>
      <c r="S381" s="89"/>
      <c r="T381" s="90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6"/>
      <c r="AZ381" s="120">
        <f>COUNTIF(U381:AY381,"A")</f>
      </c>
      <c r="BA381" s="121">
        <f>COUNTIF(U381:AY381,"F")</f>
      </c>
      <c r="BB381" s="119">
        <f>COUNTIF(U381:AY381,"E")</f>
      </c>
    </row>
    <row r="382" spans="1:54" x14ac:dyDescent="0.2">
      <c r="A382" s="84"/>
      <c r="B382" s="85"/>
      <c r="C382" s="85"/>
      <c r="D382" s="85"/>
      <c r="E382" s="86"/>
      <c r="F382" s="16">
        <f>IF(E382="","",DATEDIF(E382,$I$7,"Y"))</f>
      </c>
      <c r="G382" s="85"/>
      <c r="H382" s="85"/>
      <c r="I382" s="87"/>
      <c r="J382" s="85"/>
      <c r="K382" s="85"/>
      <c r="L382" s="10"/>
      <c r="M382" s="10"/>
      <c r="N382" s="10"/>
      <c r="O382" s="10"/>
      <c r="P382" s="85"/>
      <c r="Q382" s="88"/>
      <c r="R382" s="3">
        <f>IFERROR(VLOOKUP(TablaAgosto[[#This Row],[BARRIO]],SECTOR!$A:$B,2,0),"")</f>
      </c>
      <c r="S382" s="89"/>
      <c r="T382" s="90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6"/>
      <c r="AZ382" s="120">
        <f>COUNTIF(U382:AY382,"A")</f>
      </c>
      <c r="BA382" s="121">
        <f>COUNTIF(U382:AY382,"F")</f>
      </c>
      <c r="BB382" s="119">
        <f>COUNTIF(U382:AY382,"E")</f>
      </c>
    </row>
    <row r="383" spans="1:54" x14ac:dyDescent="0.2">
      <c r="A383" s="84"/>
      <c r="B383" s="85"/>
      <c r="C383" s="85"/>
      <c r="D383" s="85"/>
      <c r="E383" s="86"/>
      <c r="F383" s="16">
        <f>IF(E383="","",DATEDIF(E383,$I$7,"Y"))</f>
      </c>
      <c r="G383" s="85"/>
      <c r="H383" s="85"/>
      <c r="I383" s="87"/>
      <c r="J383" s="85"/>
      <c r="K383" s="85"/>
      <c r="L383" s="10"/>
      <c r="M383" s="10"/>
      <c r="N383" s="10"/>
      <c r="O383" s="10"/>
      <c r="P383" s="85"/>
      <c r="Q383" s="88"/>
      <c r="R383" s="3">
        <f>IFERROR(VLOOKUP(TablaAgosto[[#This Row],[BARRIO]],SECTOR!$A:$B,2,0),"")</f>
      </c>
      <c r="S383" s="89"/>
      <c r="T383" s="90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6"/>
      <c r="AZ383" s="120">
        <f>COUNTIF(U383:AY383,"A")</f>
      </c>
      <c r="BA383" s="121">
        <f>COUNTIF(U383:AY383,"F")</f>
      </c>
      <c r="BB383" s="119">
        <f>COUNTIF(U383:AY383,"E")</f>
      </c>
    </row>
    <row r="384" spans="1:54" x14ac:dyDescent="0.2">
      <c r="A384" s="84"/>
      <c r="B384" s="85"/>
      <c r="C384" s="85"/>
      <c r="D384" s="85"/>
      <c r="E384" s="86"/>
      <c r="F384" s="16">
        <f>IF(E384="","",DATEDIF(E384,$I$7,"Y"))</f>
      </c>
      <c r="G384" s="85"/>
      <c r="H384" s="85"/>
      <c r="I384" s="87"/>
      <c r="J384" s="85"/>
      <c r="K384" s="85"/>
      <c r="L384" s="10"/>
      <c r="M384" s="10"/>
      <c r="N384" s="10"/>
      <c r="O384" s="10"/>
      <c r="P384" s="85"/>
      <c r="Q384" s="88"/>
      <c r="R384" s="3">
        <f>IFERROR(VLOOKUP(TablaAgosto[[#This Row],[BARRIO]],SECTOR!$A:$B,2,0),"")</f>
      </c>
      <c r="S384" s="89"/>
      <c r="T384" s="90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6"/>
      <c r="AZ384" s="120">
        <f>COUNTIF(U384:AY384,"A")</f>
      </c>
      <c r="BA384" s="121">
        <f>COUNTIF(U384:AY384,"F")</f>
      </c>
      <c r="BB384" s="119">
        <f>COUNTIF(U384:AY384,"E")</f>
      </c>
    </row>
    <row r="385" spans="1:54" x14ac:dyDescent="0.2">
      <c r="A385" s="84"/>
      <c r="B385" s="85"/>
      <c r="C385" s="85"/>
      <c r="D385" s="85"/>
      <c r="E385" s="86"/>
      <c r="F385" s="16">
        <f>IF(E385="","",DATEDIF(E385,$I$7,"Y"))</f>
      </c>
      <c r="G385" s="85"/>
      <c r="H385" s="85"/>
      <c r="I385" s="87"/>
      <c r="J385" s="85"/>
      <c r="K385" s="85"/>
      <c r="L385" s="10"/>
      <c r="M385" s="10"/>
      <c r="N385" s="10"/>
      <c r="O385" s="10"/>
      <c r="P385" s="85"/>
      <c r="Q385" s="88"/>
      <c r="R385" s="3">
        <f>IFERROR(VLOOKUP(TablaAgosto[[#This Row],[BARRIO]],SECTOR!$A:$B,2,0),"")</f>
      </c>
      <c r="S385" s="89"/>
      <c r="T385" s="90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6"/>
      <c r="AZ385" s="120">
        <f>COUNTIF(U385:AY385,"A")</f>
      </c>
      <c r="BA385" s="121">
        <f>COUNTIF(U385:AY385,"F")</f>
      </c>
      <c r="BB385" s="119">
        <f>COUNTIF(U385:AY385,"E")</f>
      </c>
    </row>
    <row r="386" spans="1:54" x14ac:dyDescent="0.2">
      <c r="A386" s="84"/>
      <c r="B386" s="85"/>
      <c r="C386" s="85"/>
      <c r="D386" s="85"/>
      <c r="E386" s="86"/>
      <c r="F386" s="16">
        <f>IF(E386="","",DATEDIF(E386,$I$7,"Y"))</f>
      </c>
      <c r="G386" s="85"/>
      <c r="H386" s="85"/>
      <c r="I386" s="87"/>
      <c r="J386" s="85"/>
      <c r="K386" s="85"/>
      <c r="L386" s="10"/>
      <c r="M386" s="10"/>
      <c r="N386" s="10"/>
      <c r="O386" s="10"/>
      <c r="P386" s="85"/>
      <c r="Q386" s="88"/>
      <c r="R386" s="3">
        <f>IFERROR(VLOOKUP(TablaAgosto[[#This Row],[BARRIO]],SECTOR!$A:$B,2,0),"")</f>
      </c>
      <c r="S386" s="89"/>
      <c r="T386" s="90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6"/>
      <c r="AZ386" s="120">
        <f>COUNTIF(U386:AY386,"A")</f>
      </c>
      <c r="BA386" s="121">
        <f>COUNTIF(U386:AY386,"F")</f>
      </c>
      <c r="BB386" s="119">
        <f>COUNTIF(U386:AY386,"E")</f>
      </c>
    </row>
    <row r="387" spans="1:54" x14ac:dyDescent="0.2">
      <c r="A387" s="84"/>
      <c r="B387" s="85"/>
      <c r="C387" s="85"/>
      <c r="D387" s="85"/>
      <c r="E387" s="86"/>
      <c r="F387" s="16">
        <f>IF(E387="","",DATEDIF(E387,$I$7,"Y"))</f>
      </c>
      <c r="G387" s="85"/>
      <c r="H387" s="85"/>
      <c r="I387" s="87"/>
      <c r="J387" s="85"/>
      <c r="K387" s="85"/>
      <c r="L387" s="10"/>
      <c r="M387" s="10"/>
      <c r="N387" s="10"/>
      <c r="O387" s="10"/>
      <c r="P387" s="85"/>
      <c r="Q387" s="88"/>
      <c r="R387" s="3">
        <f>IFERROR(VLOOKUP(TablaAgosto[[#This Row],[BARRIO]],SECTOR!$A:$B,2,0),"")</f>
      </c>
      <c r="S387" s="89"/>
      <c r="T387" s="90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6"/>
      <c r="AZ387" s="120">
        <f>COUNTIF(U387:AY387,"A")</f>
      </c>
      <c r="BA387" s="121">
        <f>COUNTIF(U387:AY387,"F")</f>
      </c>
      <c r="BB387" s="119">
        <f>COUNTIF(U387:AY387,"E")</f>
      </c>
    </row>
    <row r="388" spans="1:54" x14ac:dyDescent="0.2">
      <c r="A388" s="84"/>
      <c r="B388" s="85"/>
      <c r="C388" s="85"/>
      <c r="D388" s="85"/>
      <c r="E388" s="86"/>
      <c r="F388" s="16">
        <f>IF(E388="","",DATEDIF(E388,$I$7,"Y"))</f>
      </c>
      <c r="G388" s="85"/>
      <c r="H388" s="85"/>
      <c r="I388" s="87"/>
      <c r="J388" s="85"/>
      <c r="K388" s="85"/>
      <c r="L388" s="10"/>
      <c r="M388" s="10"/>
      <c r="N388" s="10"/>
      <c r="O388" s="10"/>
      <c r="P388" s="85"/>
      <c r="Q388" s="88"/>
      <c r="R388" s="3">
        <f>IFERROR(VLOOKUP(TablaAgosto[[#This Row],[BARRIO]],SECTOR!$A:$B,2,0),"")</f>
      </c>
      <c r="S388" s="89"/>
      <c r="T388" s="90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6"/>
      <c r="AZ388" s="120">
        <f>COUNTIF(U388:AY388,"A")</f>
      </c>
      <c r="BA388" s="121">
        <f>COUNTIF(U388:AY388,"F")</f>
      </c>
      <c r="BB388" s="119">
        <f>COUNTIF(U388:AY388,"E")</f>
      </c>
    </row>
    <row r="389" spans="1:54" x14ac:dyDescent="0.2">
      <c r="A389" s="84"/>
      <c r="B389" s="85"/>
      <c r="C389" s="85"/>
      <c r="D389" s="85"/>
      <c r="E389" s="86"/>
      <c r="F389" s="16">
        <f>IF(E389="","",DATEDIF(E389,$I$7,"Y"))</f>
      </c>
      <c r="G389" s="85"/>
      <c r="H389" s="85"/>
      <c r="I389" s="87"/>
      <c r="J389" s="85"/>
      <c r="K389" s="85"/>
      <c r="L389" s="10"/>
      <c r="M389" s="10"/>
      <c r="N389" s="10"/>
      <c r="O389" s="10"/>
      <c r="P389" s="85"/>
      <c r="Q389" s="88"/>
      <c r="R389" s="3">
        <f>IFERROR(VLOOKUP(TablaAgosto[[#This Row],[BARRIO]],SECTOR!$A:$B,2,0),"")</f>
      </c>
      <c r="S389" s="89"/>
      <c r="T389" s="90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6"/>
      <c r="AZ389" s="120">
        <f>COUNTIF(U389:AY389,"A")</f>
      </c>
      <c r="BA389" s="121">
        <f>COUNTIF(U389:AY389,"F")</f>
      </c>
      <c r="BB389" s="119">
        <f>COUNTIF(U389:AY389,"E")</f>
      </c>
    </row>
    <row r="390" spans="1:54" x14ac:dyDescent="0.2">
      <c r="A390" s="84"/>
      <c r="B390" s="85"/>
      <c r="C390" s="85"/>
      <c r="D390" s="85"/>
      <c r="E390" s="86"/>
      <c r="F390" s="16">
        <f>IF(E390="","",DATEDIF(E390,$I$7,"Y"))</f>
      </c>
      <c r="G390" s="85"/>
      <c r="H390" s="85"/>
      <c r="I390" s="87"/>
      <c r="J390" s="85"/>
      <c r="K390" s="85"/>
      <c r="L390" s="10"/>
      <c r="M390" s="10"/>
      <c r="N390" s="10"/>
      <c r="O390" s="10"/>
      <c r="P390" s="85"/>
      <c r="Q390" s="88"/>
      <c r="R390" s="3">
        <f>IFERROR(VLOOKUP(TablaAgosto[[#This Row],[BARRIO]],SECTOR!$A:$B,2,0),"")</f>
      </c>
      <c r="S390" s="89"/>
      <c r="T390" s="90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6"/>
      <c r="AZ390" s="120">
        <f>COUNTIF(U390:AY390,"A")</f>
      </c>
      <c r="BA390" s="121">
        <f>COUNTIF(U390:AY390,"F")</f>
      </c>
      <c r="BB390" s="119">
        <f>COUNTIF(U390:AY390,"E")</f>
      </c>
    </row>
    <row r="391" spans="1:54" x14ac:dyDescent="0.2">
      <c r="A391" s="84"/>
      <c r="B391" s="85"/>
      <c r="C391" s="85"/>
      <c r="D391" s="85"/>
      <c r="E391" s="86"/>
      <c r="F391" s="16">
        <f>IF(E391="","",DATEDIF(E391,$I$7,"Y"))</f>
      </c>
      <c r="G391" s="85"/>
      <c r="H391" s="85"/>
      <c r="I391" s="87"/>
      <c r="J391" s="85"/>
      <c r="K391" s="85"/>
      <c r="L391" s="10"/>
      <c r="M391" s="10"/>
      <c r="N391" s="10"/>
      <c r="O391" s="10"/>
      <c r="P391" s="85"/>
      <c r="Q391" s="88"/>
      <c r="R391" s="3">
        <f>IFERROR(VLOOKUP(TablaAgosto[[#This Row],[BARRIO]],SECTOR!$A:$B,2,0),"")</f>
      </c>
      <c r="S391" s="89"/>
      <c r="T391" s="90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6"/>
      <c r="AZ391" s="120">
        <f>COUNTIF(U391:AY391,"A")</f>
      </c>
      <c r="BA391" s="121">
        <f>COUNTIF(U391:AY391,"F")</f>
      </c>
      <c r="BB391" s="119">
        <f>COUNTIF(U391:AY391,"E")</f>
      </c>
    </row>
    <row r="392" spans="1:54" x14ac:dyDescent="0.2">
      <c r="A392" s="84"/>
      <c r="B392" s="85"/>
      <c r="C392" s="85"/>
      <c r="D392" s="85"/>
      <c r="E392" s="86"/>
      <c r="F392" s="16">
        <f>IF(E392="","",DATEDIF(E392,$I$7,"Y"))</f>
      </c>
      <c r="G392" s="85"/>
      <c r="H392" s="85"/>
      <c r="I392" s="87"/>
      <c r="J392" s="85"/>
      <c r="K392" s="85"/>
      <c r="L392" s="10"/>
      <c r="M392" s="10"/>
      <c r="N392" s="10"/>
      <c r="O392" s="10"/>
      <c r="P392" s="85"/>
      <c r="Q392" s="88"/>
      <c r="R392" s="3">
        <f>IFERROR(VLOOKUP(TablaAgosto[[#This Row],[BARRIO]],SECTOR!$A:$B,2,0),"")</f>
      </c>
      <c r="S392" s="89"/>
      <c r="T392" s="90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6"/>
      <c r="AZ392" s="120">
        <f>COUNTIF(U392:AY392,"A")</f>
      </c>
      <c r="BA392" s="121">
        <f>COUNTIF(U392:AY392,"F")</f>
      </c>
      <c r="BB392" s="119">
        <f>COUNTIF(U392:AY392,"E")</f>
      </c>
    </row>
    <row r="393" spans="1:54" x14ac:dyDescent="0.2">
      <c r="A393" s="84"/>
      <c r="B393" s="85"/>
      <c r="C393" s="85"/>
      <c r="D393" s="85"/>
      <c r="E393" s="86"/>
      <c r="F393" s="16">
        <f>IF(E393="","",DATEDIF(E393,$I$7,"Y"))</f>
      </c>
      <c r="G393" s="85"/>
      <c r="H393" s="85"/>
      <c r="I393" s="87"/>
      <c r="J393" s="85"/>
      <c r="K393" s="85"/>
      <c r="L393" s="10"/>
      <c r="M393" s="10"/>
      <c r="N393" s="10"/>
      <c r="O393" s="10"/>
      <c r="P393" s="85"/>
      <c r="Q393" s="88"/>
      <c r="R393" s="3">
        <f>IFERROR(VLOOKUP(TablaAgosto[[#This Row],[BARRIO]],SECTOR!$A:$B,2,0),"")</f>
      </c>
      <c r="S393" s="89"/>
      <c r="T393" s="90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6"/>
      <c r="AZ393" s="120">
        <f>COUNTIF(U393:AY393,"A")</f>
      </c>
      <c r="BA393" s="121">
        <f>COUNTIF(U393:AY393,"F")</f>
      </c>
      <c r="BB393" s="119">
        <f>COUNTIF(U393:AY393,"E")</f>
      </c>
    </row>
    <row r="394" spans="1:54" x14ac:dyDescent="0.2">
      <c r="A394" s="84"/>
      <c r="B394" s="85"/>
      <c r="C394" s="85"/>
      <c r="D394" s="85"/>
      <c r="E394" s="86"/>
      <c r="F394" s="16">
        <f>IF(E394="","",DATEDIF(E394,$I$7,"Y"))</f>
      </c>
      <c r="G394" s="85"/>
      <c r="H394" s="85"/>
      <c r="I394" s="87"/>
      <c r="J394" s="85"/>
      <c r="K394" s="85"/>
      <c r="L394" s="10"/>
      <c r="M394" s="10"/>
      <c r="N394" s="10"/>
      <c r="O394" s="10"/>
      <c r="P394" s="85"/>
      <c r="Q394" s="88"/>
      <c r="R394" s="3">
        <f>IFERROR(VLOOKUP(TablaAgosto[[#This Row],[BARRIO]],SECTOR!$A:$B,2,0),"")</f>
      </c>
      <c r="S394" s="89"/>
      <c r="T394" s="90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6"/>
      <c r="AZ394" s="120">
        <f>COUNTIF(U394:AY394,"A")</f>
      </c>
      <c r="BA394" s="121">
        <f>COUNTIF(U394:AY394,"F")</f>
      </c>
      <c r="BB394" s="119">
        <f>COUNTIF(U394:AY394,"E")</f>
      </c>
    </row>
    <row r="395" spans="1:54" x14ac:dyDescent="0.2">
      <c r="A395" s="84"/>
      <c r="B395" s="85"/>
      <c r="C395" s="85"/>
      <c r="D395" s="85"/>
      <c r="E395" s="86"/>
      <c r="F395" s="16">
        <f>IF(E395="","",DATEDIF(E395,$I$7,"Y"))</f>
      </c>
      <c r="G395" s="85"/>
      <c r="H395" s="85"/>
      <c r="I395" s="87"/>
      <c r="J395" s="85"/>
      <c r="K395" s="85"/>
      <c r="L395" s="10"/>
      <c r="M395" s="10"/>
      <c r="N395" s="10"/>
      <c r="O395" s="10"/>
      <c r="P395" s="85"/>
      <c r="Q395" s="88"/>
      <c r="R395" s="3">
        <f>IFERROR(VLOOKUP(TablaAgosto[[#This Row],[BARRIO]],SECTOR!$A:$B,2,0),"")</f>
      </c>
      <c r="S395" s="89"/>
      <c r="T395" s="90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6"/>
      <c r="AZ395" s="120">
        <f>COUNTIF(U395:AY395,"A")</f>
      </c>
      <c r="BA395" s="121">
        <f>COUNTIF(U395:AY395,"F")</f>
      </c>
      <c r="BB395" s="119">
        <f>COUNTIF(U395:AY395,"E")</f>
      </c>
    </row>
    <row r="396" spans="1:54" x14ac:dyDescent="0.2">
      <c r="A396" s="84"/>
      <c r="B396" s="85"/>
      <c r="C396" s="85"/>
      <c r="D396" s="85"/>
      <c r="E396" s="86"/>
      <c r="F396" s="16">
        <f>IF(E396="","",DATEDIF(E396,$I$7,"Y"))</f>
      </c>
      <c r="G396" s="85"/>
      <c r="H396" s="85"/>
      <c r="I396" s="87"/>
      <c r="J396" s="85"/>
      <c r="K396" s="85"/>
      <c r="L396" s="10"/>
      <c r="M396" s="10"/>
      <c r="N396" s="10"/>
      <c r="O396" s="10"/>
      <c r="P396" s="85"/>
      <c r="Q396" s="88"/>
      <c r="R396" s="3">
        <f>IFERROR(VLOOKUP(TablaAgosto[[#This Row],[BARRIO]],SECTOR!$A:$B,2,0),"")</f>
      </c>
      <c r="S396" s="89"/>
      <c r="T396" s="90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6"/>
      <c r="AZ396" s="120">
        <f>COUNTIF(U396:AY396,"A")</f>
      </c>
      <c r="BA396" s="121">
        <f>COUNTIF(U396:AY396,"F")</f>
      </c>
      <c r="BB396" s="119">
        <f>COUNTIF(U396:AY396,"E")</f>
      </c>
    </row>
    <row r="397" spans="1:54" x14ac:dyDescent="0.2">
      <c r="A397" s="84"/>
      <c r="B397" s="85"/>
      <c r="C397" s="85"/>
      <c r="D397" s="85"/>
      <c r="E397" s="86"/>
      <c r="F397" s="16">
        <f>IF(E397="","",DATEDIF(E397,$I$7,"Y"))</f>
      </c>
      <c r="G397" s="85"/>
      <c r="H397" s="85"/>
      <c r="I397" s="87"/>
      <c r="J397" s="85"/>
      <c r="K397" s="85"/>
      <c r="L397" s="10"/>
      <c r="M397" s="10"/>
      <c r="N397" s="10"/>
      <c r="O397" s="10"/>
      <c r="P397" s="85"/>
      <c r="Q397" s="88"/>
      <c r="R397" s="3">
        <f>IFERROR(VLOOKUP(TablaAgosto[[#This Row],[BARRIO]],SECTOR!$A:$B,2,0),"")</f>
      </c>
      <c r="S397" s="89"/>
      <c r="T397" s="90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6"/>
      <c r="AZ397" s="120">
        <f>COUNTIF(U397:AY397,"A")</f>
      </c>
      <c r="BA397" s="121">
        <f>COUNTIF(U397:AY397,"F")</f>
      </c>
      <c r="BB397" s="119">
        <f>COUNTIF(U397:AY397,"E")</f>
      </c>
    </row>
    <row r="398" spans="1:54" x14ac:dyDescent="0.2">
      <c r="A398" s="84"/>
      <c r="B398" s="85"/>
      <c r="C398" s="85"/>
      <c r="D398" s="85"/>
      <c r="E398" s="86"/>
      <c r="F398" s="16">
        <f>IF(E398="","",DATEDIF(E398,$I$7,"Y"))</f>
      </c>
      <c r="G398" s="85"/>
      <c r="H398" s="85"/>
      <c r="I398" s="87"/>
      <c r="J398" s="85"/>
      <c r="K398" s="85"/>
      <c r="L398" s="10"/>
      <c r="M398" s="10"/>
      <c r="N398" s="10"/>
      <c r="O398" s="10"/>
      <c r="P398" s="85"/>
      <c r="Q398" s="88"/>
      <c r="R398" s="3">
        <f>IFERROR(VLOOKUP(TablaAgosto[[#This Row],[BARRIO]],SECTOR!$A:$B,2,0),"")</f>
      </c>
      <c r="S398" s="89"/>
      <c r="T398" s="90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6"/>
      <c r="AZ398" s="120">
        <f>COUNTIF(U398:AY398,"A")</f>
      </c>
      <c r="BA398" s="121">
        <f>COUNTIF(U398:AY398,"F")</f>
      </c>
      <c r="BB398" s="119">
        <f>COUNTIF(U398:AY398,"E")</f>
      </c>
    </row>
    <row r="399" spans="1:54" x14ac:dyDescent="0.2">
      <c r="A399" s="84"/>
      <c r="B399" s="85"/>
      <c r="C399" s="85"/>
      <c r="D399" s="85"/>
      <c r="E399" s="86"/>
      <c r="F399" s="16">
        <f>IF(E399="","",DATEDIF(E399,$I$7,"Y"))</f>
      </c>
      <c r="G399" s="85"/>
      <c r="H399" s="85"/>
      <c r="I399" s="87"/>
      <c r="J399" s="85"/>
      <c r="K399" s="85"/>
      <c r="L399" s="10"/>
      <c r="M399" s="10"/>
      <c r="N399" s="10"/>
      <c r="O399" s="10"/>
      <c r="P399" s="85"/>
      <c r="Q399" s="88"/>
      <c r="R399" s="3">
        <f>IFERROR(VLOOKUP(TablaAgosto[[#This Row],[BARRIO]],SECTOR!$A:$B,2,0),"")</f>
      </c>
      <c r="S399" s="89"/>
      <c r="T399" s="90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6"/>
      <c r="AZ399" s="120">
        <f>COUNTIF(U399:AY399,"A")</f>
      </c>
      <c r="BA399" s="121">
        <f>COUNTIF(U399:AY399,"F")</f>
      </c>
      <c r="BB399" s="119">
        <f>COUNTIF(U399:AY399,"E")</f>
      </c>
    </row>
    <row r="400" spans="1:54" x14ac:dyDescent="0.2">
      <c r="A400" s="84"/>
      <c r="B400" s="85"/>
      <c r="C400" s="85"/>
      <c r="D400" s="85"/>
      <c r="E400" s="86"/>
      <c r="F400" s="16">
        <f>IF(E400="","",DATEDIF(E400,$I$7,"Y"))</f>
      </c>
      <c r="G400" s="85"/>
      <c r="H400" s="85"/>
      <c r="I400" s="87"/>
      <c r="J400" s="85"/>
      <c r="K400" s="85"/>
      <c r="L400" s="10"/>
      <c r="M400" s="10"/>
      <c r="N400" s="10"/>
      <c r="O400" s="10"/>
      <c r="P400" s="85"/>
      <c r="Q400" s="88"/>
      <c r="R400" s="3">
        <f>IFERROR(VLOOKUP(TablaAgosto[[#This Row],[BARRIO]],SECTOR!$A:$B,2,0),"")</f>
      </c>
      <c r="S400" s="89"/>
      <c r="T400" s="90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6"/>
      <c r="AZ400" s="120">
        <f>COUNTIF(U400:AY400,"A")</f>
      </c>
      <c r="BA400" s="121">
        <f>COUNTIF(U400:AY400,"F")</f>
      </c>
      <c r="BB400" s="119">
        <f>COUNTIF(U400:AY400,"E")</f>
      </c>
    </row>
    <row r="401" spans="1:54" x14ac:dyDescent="0.2">
      <c r="A401" s="84"/>
      <c r="B401" s="85"/>
      <c r="C401" s="85"/>
      <c r="D401" s="85"/>
      <c r="E401" s="86"/>
      <c r="F401" s="16">
        <f>IF(E401="","",DATEDIF(E401,$I$7,"Y"))</f>
      </c>
      <c r="G401" s="85"/>
      <c r="H401" s="85"/>
      <c r="I401" s="87"/>
      <c r="J401" s="85"/>
      <c r="K401" s="85"/>
      <c r="L401" s="10"/>
      <c r="M401" s="10"/>
      <c r="N401" s="10"/>
      <c r="O401" s="10"/>
      <c r="P401" s="85"/>
      <c r="Q401" s="88"/>
      <c r="R401" s="3">
        <f>IFERROR(VLOOKUP(TablaAgosto[[#This Row],[BARRIO]],SECTOR!$A:$B,2,0),"")</f>
      </c>
      <c r="S401" s="89"/>
      <c r="T401" s="90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6"/>
      <c r="AZ401" s="120">
        <f>COUNTIF(U401:AY401,"A")</f>
      </c>
      <c r="BA401" s="121">
        <f>COUNTIF(U401:AY401,"F")</f>
      </c>
      <c r="BB401" s="119">
        <f>COUNTIF(U401:AY401,"E")</f>
      </c>
    </row>
    <row r="402" spans="1:54" x14ac:dyDescent="0.2">
      <c r="A402" s="84"/>
      <c r="B402" s="85"/>
      <c r="C402" s="85"/>
      <c r="D402" s="85"/>
      <c r="E402" s="86"/>
      <c r="F402" s="16">
        <f>IF(E402="","",DATEDIF(E402,$I$7,"Y"))</f>
      </c>
      <c r="G402" s="85"/>
      <c r="H402" s="85"/>
      <c r="I402" s="87"/>
      <c r="J402" s="85"/>
      <c r="K402" s="85"/>
      <c r="L402" s="10"/>
      <c r="M402" s="10"/>
      <c r="N402" s="10"/>
      <c r="O402" s="10"/>
      <c r="P402" s="85"/>
      <c r="Q402" s="88"/>
      <c r="R402" s="3">
        <f>IFERROR(VLOOKUP(TablaAgosto[[#This Row],[BARRIO]],SECTOR!$A:$B,2,0),"")</f>
      </c>
      <c r="S402" s="89"/>
      <c r="T402" s="90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6"/>
      <c r="AZ402" s="120">
        <f>COUNTIF(U402:AY402,"A")</f>
      </c>
      <c r="BA402" s="121">
        <f>COUNTIF(U402:AY402,"F")</f>
      </c>
      <c r="BB402" s="119">
        <f>COUNTIF(U402:AY402,"E")</f>
      </c>
    </row>
    <row r="403" spans="1:54" x14ac:dyDescent="0.2">
      <c r="A403" s="84"/>
      <c r="B403" s="85"/>
      <c r="C403" s="85"/>
      <c r="D403" s="85"/>
      <c r="E403" s="86"/>
      <c r="F403" s="16">
        <f>IF(E403="","",DATEDIF(E403,$I$7,"Y"))</f>
      </c>
      <c r="G403" s="85"/>
      <c r="H403" s="85"/>
      <c r="I403" s="87"/>
      <c r="J403" s="85"/>
      <c r="K403" s="85"/>
      <c r="L403" s="10"/>
      <c r="M403" s="10"/>
      <c r="N403" s="10"/>
      <c r="O403" s="10"/>
      <c r="P403" s="85"/>
      <c r="Q403" s="88"/>
      <c r="R403" s="3">
        <f>IFERROR(VLOOKUP(TablaAgosto[[#This Row],[BARRIO]],SECTOR!$A:$B,2,0),"")</f>
      </c>
      <c r="S403" s="89"/>
      <c r="T403" s="90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6"/>
      <c r="AZ403" s="120">
        <f>COUNTIF(U403:AY403,"A")</f>
      </c>
      <c r="BA403" s="121">
        <f>COUNTIF(U403:AY403,"F")</f>
      </c>
      <c r="BB403" s="119">
        <f>COUNTIF(U403:AY403,"E")</f>
      </c>
    </row>
    <row r="404" spans="1:54" x14ac:dyDescent="0.2">
      <c r="A404" s="84"/>
      <c r="B404" s="85"/>
      <c r="C404" s="85"/>
      <c r="D404" s="85"/>
      <c r="E404" s="86"/>
      <c r="F404" s="16">
        <f>IF(E404="","",DATEDIF(E404,$I$7,"Y"))</f>
      </c>
      <c r="G404" s="85"/>
      <c r="H404" s="85"/>
      <c r="I404" s="87"/>
      <c r="J404" s="85"/>
      <c r="K404" s="85"/>
      <c r="L404" s="10"/>
      <c r="M404" s="10"/>
      <c r="N404" s="10"/>
      <c r="O404" s="10"/>
      <c r="P404" s="85"/>
      <c r="Q404" s="88"/>
      <c r="R404" s="3">
        <f>IFERROR(VLOOKUP(TablaAgosto[[#This Row],[BARRIO]],SECTOR!$A:$B,2,0),"")</f>
      </c>
      <c r="S404" s="89"/>
      <c r="T404" s="90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6"/>
      <c r="AZ404" s="120">
        <f>COUNTIF(U404:AY404,"A")</f>
      </c>
      <c r="BA404" s="121">
        <f>COUNTIF(U404:AY404,"F")</f>
      </c>
      <c r="BB404" s="119">
        <f>COUNTIF(U404:AY404,"E")</f>
      </c>
    </row>
    <row r="405" spans="1:54" x14ac:dyDescent="0.2">
      <c r="A405" s="84"/>
      <c r="B405" s="85"/>
      <c r="C405" s="85"/>
      <c r="D405" s="85"/>
      <c r="E405" s="86"/>
      <c r="F405" s="16">
        <f>IF(E405="","",DATEDIF(E405,$I$7,"Y"))</f>
      </c>
      <c r="G405" s="85"/>
      <c r="H405" s="85"/>
      <c r="I405" s="87"/>
      <c r="J405" s="85"/>
      <c r="K405" s="85"/>
      <c r="L405" s="10"/>
      <c r="M405" s="10"/>
      <c r="N405" s="10"/>
      <c r="O405" s="10"/>
      <c r="P405" s="85"/>
      <c r="Q405" s="88"/>
      <c r="R405" s="3">
        <f>IFERROR(VLOOKUP(TablaAgosto[[#This Row],[BARRIO]],SECTOR!$A:$B,2,0),"")</f>
      </c>
      <c r="S405" s="89"/>
      <c r="T405" s="90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6"/>
      <c r="AZ405" s="120">
        <f>COUNTIF(U405:AY405,"A")</f>
      </c>
      <c r="BA405" s="121">
        <f>COUNTIF(U405:AY405,"F")</f>
      </c>
      <c r="BB405" s="119">
        <f>COUNTIF(U405:AY405,"E")</f>
      </c>
    </row>
    <row r="406" spans="1:54" x14ac:dyDescent="0.2">
      <c r="A406" s="84"/>
      <c r="B406" s="85"/>
      <c r="C406" s="85"/>
      <c r="D406" s="85"/>
      <c r="E406" s="86"/>
      <c r="F406" s="16">
        <f>IF(E406="","",DATEDIF(E406,$I$7,"Y"))</f>
      </c>
      <c r="G406" s="85"/>
      <c r="H406" s="85"/>
      <c r="I406" s="87"/>
      <c r="J406" s="85"/>
      <c r="K406" s="85"/>
      <c r="L406" s="10"/>
      <c r="M406" s="10"/>
      <c r="N406" s="10"/>
      <c r="O406" s="10"/>
      <c r="P406" s="85"/>
      <c r="Q406" s="88"/>
      <c r="R406" s="3">
        <f>IFERROR(VLOOKUP(TablaAgosto[[#This Row],[BARRIO]],SECTOR!$A:$B,2,0),"")</f>
      </c>
      <c r="S406" s="89"/>
      <c r="T406" s="90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6"/>
      <c r="AZ406" s="120">
        <f>COUNTIF(U406:AY406,"A")</f>
      </c>
      <c r="BA406" s="121">
        <f>COUNTIF(U406:AY406,"F")</f>
      </c>
      <c r="BB406" s="119">
        <f>COUNTIF(U406:AY406,"E")</f>
      </c>
    </row>
    <row r="407" spans="1:54" x14ac:dyDescent="0.2">
      <c r="A407" s="84"/>
      <c r="B407" s="85"/>
      <c r="C407" s="85"/>
      <c r="D407" s="85"/>
      <c r="E407" s="86"/>
      <c r="F407" s="16">
        <f>IF(E407="","",DATEDIF(E407,$I$7,"Y"))</f>
      </c>
      <c r="G407" s="85"/>
      <c r="H407" s="85"/>
      <c r="I407" s="87"/>
      <c r="J407" s="85"/>
      <c r="K407" s="85"/>
      <c r="L407" s="10"/>
      <c r="M407" s="10"/>
      <c r="N407" s="10"/>
      <c r="O407" s="10"/>
      <c r="P407" s="85"/>
      <c r="Q407" s="88"/>
      <c r="R407" s="3">
        <f>IFERROR(VLOOKUP(TablaAgosto[[#This Row],[BARRIO]],SECTOR!$A:$B,2,0),"")</f>
      </c>
      <c r="S407" s="89"/>
      <c r="T407" s="90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6"/>
      <c r="AZ407" s="120">
        <f>COUNTIF(U407:AY407,"A")</f>
      </c>
      <c r="BA407" s="121">
        <f>COUNTIF(U407:AY407,"F")</f>
      </c>
      <c r="BB407" s="119">
        <f>COUNTIF(U407:AY407,"E")</f>
      </c>
    </row>
    <row r="408" spans="1:54" x14ac:dyDescent="0.2">
      <c r="A408" s="84"/>
      <c r="B408" s="85"/>
      <c r="C408" s="85"/>
      <c r="D408" s="85"/>
      <c r="E408" s="86"/>
      <c r="F408" s="16">
        <f>IF(E408="","",DATEDIF(E408,$I$7,"Y"))</f>
      </c>
      <c r="G408" s="85"/>
      <c r="H408" s="85"/>
      <c r="I408" s="87"/>
      <c r="J408" s="85"/>
      <c r="K408" s="85"/>
      <c r="L408" s="10"/>
      <c r="M408" s="10"/>
      <c r="N408" s="10"/>
      <c r="O408" s="10"/>
      <c r="P408" s="85"/>
      <c r="Q408" s="88"/>
      <c r="R408" s="3">
        <f>IFERROR(VLOOKUP(TablaAgosto[[#This Row],[BARRIO]],SECTOR!$A:$B,2,0),"")</f>
      </c>
      <c r="S408" s="89"/>
      <c r="T408" s="90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6"/>
      <c r="AZ408" s="120">
        <f>COUNTIF(U408:AY408,"A")</f>
      </c>
      <c r="BA408" s="121">
        <f>COUNTIF(U408:AY408,"F")</f>
      </c>
      <c r="BB408" s="119">
        <f>COUNTIF(U408:AY408,"E")</f>
      </c>
    </row>
    <row r="409" spans="1:54" x14ac:dyDescent="0.2">
      <c r="A409" s="84"/>
      <c r="B409" s="85"/>
      <c r="C409" s="85"/>
      <c r="D409" s="85"/>
      <c r="E409" s="86"/>
      <c r="F409" s="16">
        <f>IF(E409="","",DATEDIF(E409,$I$7,"Y"))</f>
      </c>
      <c r="G409" s="85"/>
      <c r="H409" s="85"/>
      <c r="I409" s="87"/>
      <c r="J409" s="85"/>
      <c r="K409" s="85"/>
      <c r="L409" s="10"/>
      <c r="M409" s="10"/>
      <c r="N409" s="10"/>
      <c r="O409" s="10"/>
      <c r="P409" s="85"/>
      <c r="Q409" s="88"/>
      <c r="R409" s="3">
        <f>IFERROR(VLOOKUP(TablaAgosto[[#This Row],[BARRIO]],SECTOR!$A:$B,2,0),"")</f>
      </c>
      <c r="S409" s="89"/>
      <c r="T409" s="90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6"/>
      <c r="AZ409" s="120">
        <f>COUNTIF(U409:AY409,"A")</f>
      </c>
      <c r="BA409" s="121">
        <f>COUNTIF(U409:AY409,"F")</f>
      </c>
      <c r="BB409" s="119">
        <f>COUNTIF(U409:AY409,"E")</f>
      </c>
    </row>
    <row r="410" spans="1:54" x14ac:dyDescent="0.2">
      <c r="A410" s="84"/>
      <c r="B410" s="85"/>
      <c r="C410" s="85"/>
      <c r="D410" s="85"/>
      <c r="E410" s="86"/>
      <c r="F410" s="16">
        <f>IF(E410="","",DATEDIF(E410,$I$7,"Y"))</f>
      </c>
      <c r="G410" s="85"/>
      <c r="H410" s="85"/>
      <c r="I410" s="87"/>
      <c r="J410" s="85"/>
      <c r="K410" s="85"/>
      <c r="L410" s="10"/>
      <c r="M410" s="10"/>
      <c r="N410" s="10"/>
      <c r="O410" s="10"/>
      <c r="P410" s="85"/>
      <c r="Q410" s="88"/>
      <c r="R410" s="3">
        <f>IFERROR(VLOOKUP(TablaAgosto[[#This Row],[BARRIO]],SECTOR!$A:$B,2,0),"")</f>
      </c>
      <c r="S410" s="89"/>
      <c r="T410" s="90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6"/>
      <c r="AZ410" s="120">
        <f>COUNTIF(U410:AY410,"A")</f>
      </c>
      <c r="BA410" s="121">
        <f>COUNTIF(U410:AY410,"F")</f>
      </c>
      <c r="BB410" s="119">
        <f>COUNTIF(U410:AY410,"E")</f>
      </c>
    </row>
    <row r="411" spans="1:54" x14ac:dyDescent="0.2">
      <c r="A411" s="84"/>
      <c r="B411" s="85"/>
      <c r="C411" s="85"/>
      <c r="D411" s="85"/>
      <c r="E411" s="86"/>
      <c r="F411" s="16">
        <f>IF(E411="","",DATEDIF(E411,$I$7,"Y"))</f>
      </c>
      <c r="G411" s="85"/>
      <c r="H411" s="85"/>
      <c r="I411" s="87"/>
      <c r="J411" s="85"/>
      <c r="K411" s="85"/>
      <c r="L411" s="10"/>
      <c r="M411" s="10"/>
      <c r="N411" s="10"/>
      <c r="O411" s="10"/>
      <c r="P411" s="85"/>
      <c r="Q411" s="88"/>
      <c r="R411" s="3">
        <f>IFERROR(VLOOKUP(TablaAgosto[[#This Row],[BARRIO]],SECTOR!$A:$B,2,0),"")</f>
      </c>
      <c r="S411" s="89"/>
      <c r="T411" s="90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6"/>
      <c r="AZ411" s="120">
        <f>COUNTIF(U411:AY411,"A")</f>
      </c>
      <c r="BA411" s="121">
        <f>COUNTIF(U411:AY411,"F")</f>
      </c>
      <c r="BB411" s="119">
        <f>COUNTIF(U411:AY411,"E")</f>
      </c>
    </row>
    <row r="412" spans="1:54" x14ac:dyDescent="0.2">
      <c r="A412" s="84"/>
      <c r="B412" s="85"/>
      <c r="C412" s="85"/>
      <c r="D412" s="85"/>
      <c r="E412" s="86"/>
      <c r="F412" s="16">
        <f>IF(E412="","",DATEDIF(E412,$I$7,"Y"))</f>
      </c>
      <c r="G412" s="85"/>
      <c r="H412" s="85"/>
      <c r="I412" s="87"/>
      <c r="J412" s="85"/>
      <c r="K412" s="85"/>
      <c r="L412" s="10"/>
      <c r="M412" s="10"/>
      <c r="N412" s="10"/>
      <c r="O412" s="10"/>
      <c r="P412" s="85"/>
      <c r="Q412" s="88"/>
      <c r="R412" s="3">
        <f>IFERROR(VLOOKUP(TablaAgosto[[#This Row],[BARRIO]],SECTOR!$A:$B,2,0),"")</f>
      </c>
      <c r="S412" s="89"/>
      <c r="T412" s="90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6"/>
      <c r="AZ412" s="120">
        <f>COUNTIF(U412:AY412,"A")</f>
      </c>
      <c r="BA412" s="121">
        <f>COUNTIF(U412:AY412,"F")</f>
      </c>
      <c r="BB412" s="119">
        <f>COUNTIF(U412:AY412,"E")</f>
      </c>
    </row>
    <row r="413" spans="1:54" x14ac:dyDescent="0.2">
      <c r="A413" s="84"/>
      <c r="B413" s="85"/>
      <c r="C413" s="85"/>
      <c r="D413" s="85"/>
      <c r="E413" s="86"/>
      <c r="F413" s="16">
        <f>IF(E413="","",DATEDIF(E413,$I$7,"Y"))</f>
      </c>
      <c r="G413" s="85"/>
      <c r="H413" s="85"/>
      <c r="I413" s="87"/>
      <c r="J413" s="85"/>
      <c r="K413" s="85"/>
      <c r="L413" s="10"/>
      <c r="M413" s="10"/>
      <c r="N413" s="10"/>
      <c r="O413" s="10"/>
      <c r="P413" s="85"/>
      <c r="Q413" s="88"/>
      <c r="R413" s="3">
        <f>IFERROR(VLOOKUP(TablaAgosto[[#This Row],[BARRIO]],SECTOR!$A:$B,2,0),"")</f>
      </c>
      <c r="S413" s="89"/>
      <c r="T413" s="90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6"/>
      <c r="AZ413" s="120">
        <f>COUNTIF(U413:AY413,"A")</f>
      </c>
      <c r="BA413" s="121">
        <f>COUNTIF(U413:AY413,"F")</f>
      </c>
      <c r="BB413" s="119">
        <f>COUNTIF(U413:AY413,"E")</f>
      </c>
    </row>
    <row r="414" spans="1:54" x14ac:dyDescent="0.2">
      <c r="A414" s="84"/>
      <c r="B414" s="85"/>
      <c r="C414" s="85"/>
      <c r="D414" s="85"/>
      <c r="E414" s="86"/>
      <c r="F414" s="16">
        <f>IF(E414="","",DATEDIF(E414,$I$7,"Y"))</f>
      </c>
      <c r="G414" s="85"/>
      <c r="H414" s="85"/>
      <c r="I414" s="87"/>
      <c r="J414" s="85"/>
      <c r="K414" s="85"/>
      <c r="L414" s="10"/>
      <c r="M414" s="10"/>
      <c r="N414" s="10"/>
      <c r="O414" s="10"/>
      <c r="P414" s="85"/>
      <c r="Q414" s="88"/>
      <c r="R414" s="3">
        <f>IFERROR(VLOOKUP(TablaAgosto[[#This Row],[BARRIO]],SECTOR!$A:$B,2,0),"")</f>
      </c>
      <c r="S414" s="89"/>
      <c r="T414" s="90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6"/>
      <c r="AZ414" s="120">
        <f>COUNTIF(U414:AY414,"A")</f>
      </c>
      <c r="BA414" s="121">
        <f>COUNTIF(U414:AY414,"F")</f>
      </c>
      <c r="BB414" s="119">
        <f>COUNTIF(U414:AY414,"E")</f>
      </c>
    </row>
    <row r="415" spans="1:54" x14ac:dyDescent="0.2">
      <c r="A415" s="84"/>
      <c r="B415" s="85"/>
      <c r="C415" s="85"/>
      <c r="D415" s="85"/>
      <c r="E415" s="86"/>
      <c r="F415" s="16">
        <f>IF(E415="","",DATEDIF(E415,$I$7,"Y"))</f>
      </c>
      <c r="G415" s="85"/>
      <c r="H415" s="85"/>
      <c r="I415" s="87"/>
      <c r="J415" s="85"/>
      <c r="K415" s="85"/>
      <c r="L415" s="10"/>
      <c r="M415" s="10"/>
      <c r="N415" s="10"/>
      <c r="O415" s="10"/>
      <c r="P415" s="85"/>
      <c r="Q415" s="88"/>
      <c r="R415" s="3">
        <f>IFERROR(VLOOKUP(TablaAgosto[[#This Row],[BARRIO]],SECTOR!$A:$B,2,0),"")</f>
      </c>
      <c r="S415" s="89"/>
      <c r="T415" s="90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6"/>
      <c r="AZ415" s="120">
        <f>COUNTIF(U415:AY415,"A")</f>
      </c>
      <c r="BA415" s="121">
        <f>COUNTIF(U415:AY415,"F")</f>
      </c>
      <c r="BB415" s="119">
        <f>COUNTIF(U415:AY415,"E")</f>
      </c>
    </row>
    <row r="416" spans="1:54" x14ac:dyDescent="0.2">
      <c r="A416" s="84"/>
      <c r="B416" s="85"/>
      <c r="C416" s="85"/>
      <c r="D416" s="85"/>
      <c r="E416" s="86"/>
      <c r="F416" s="16">
        <f>IF(E416="","",DATEDIF(E416,$I$7,"Y"))</f>
      </c>
      <c r="G416" s="85"/>
      <c r="H416" s="85"/>
      <c r="I416" s="87"/>
      <c r="J416" s="85"/>
      <c r="K416" s="85"/>
      <c r="L416" s="10"/>
      <c r="M416" s="10"/>
      <c r="N416" s="10"/>
      <c r="O416" s="10"/>
      <c r="P416" s="85"/>
      <c r="Q416" s="88"/>
      <c r="R416" s="3">
        <f>IFERROR(VLOOKUP(TablaAgosto[[#This Row],[BARRIO]],SECTOR!$A:$B,2,0),"")</f>
      </c>
      <c r="S416" s="89"/>
      <c r="T416" s="90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6"/>
      <c r="AZ416" s="120">
        <f>COUNTIF(U416:AY416,"A")</f>
      </c>
      <c r="BA416" s="121">
        <f>COUNTIF(U416:AY416,"F")</f>
      </c>
      <c r="BB416" s="119">
        <f>COUNTIF(U416:AY416,"E")</f>
      </c>
    </row>
    <row r="417" spans="1:54" x14ac:dyDescent="0.2">
      <c r="A417" s="84"/>
      <c r="B417" s="85"/>
      <c r="C417" s="85"/>
      <c r="D417" s="85"/>
      <c r="E417" s="86"/>
      <c r="F417" s="16">
        <f>IF(E417="","",DATEDIF(E417,$I$7,"Y"))</f>
      </c>
      <c r="G417" s="85"/>
      <c r="H417" s="85"/>
      <c r="I417" s="87"/>
      <c r="J417" s="85"/>
      <c r="K417" s="85"/>
      <c r="L417" s="10"/>
      <c r="M417" s="10"/>
      <c r="N417" s="10"/>
      <c r="O417" s="10"/>
      <c r="P417" s="85"/>
      <c r="Q417" s="88"/>
      <c r="R417" s="3">
        <f>IFERROR(VLOOKUP(TablaAgosto[[#This Row],[BARRIO]],SECTOR!$A:$B,2,0),"")</f>
      </c>
      <c r="S417" s="89"/>
      <c r="T417" s="90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6"/>
      <c r="AZ417" s="120">
        <f>COUNTIF(U417:AY417,"A")</f>
      </c>
      <c r="BA417" s="121">
        <f>COUNTIF(U417:AY417,"F")</f>
      </c>
      <c r="BB417" s="119">
        <f>COUNTIF(U417:AY417,"E")</f>
      </c>
    </row>
    <row r="418" spans="1:54" x14ac:dyDescent="0.2">
      <c r="A418" s="84"/>
      <c r="B418" s="85"/>
      <c r="C418" s="85"/>
      <c r="D418" s="85"/>
      <c r="E418" s="86"/>
      <c r="F418" s="16">
        <f>IF(E418="","",DATEDIF(E418,$I$7,"Y"))</f>
      </c>
      <c r="G418" s="85"/>
      <c r="H418" s="85"/>
      <c r="I418" s="87"/>
      <c r="J418" s="85"/>
      <c r="K418" s="85"/>
      <c r="L418" s="10"/>
      <c r="M418" s="10"/>
      <c r="N418" s="10"/>
      <c r="O418" s="10"/>
      <c r="P418" s="85"/>
      <c r="Q418" s="88"/>
      <c r="R418" s="3">
        <f>IFERROR(VLOOKUP(TablaAgosto[[#This Row],[BARRIO]],SECTOR!$A:$B,2,0),"")</f>
      </c>
      <c r="S418" s="89"/>
      <c r="T418" s="90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6"/>
      <c r="AZ418" s="120">
        <f>COUNTIF(U418:AY418,"A")</f>
      </c>
      <c r="BA418" s="121">
        <f>COUNTIF(U418:AY418,"F")</f>
      </c>
      <c r="BB418" s="119">
        <f>COUNTIF(U418:AY418,"E")</f>
      </c>
    </row>
    <row r="419" spans="1:54" x14ac:dyDescent="0.2">
      <c r="A419" s="84"/>
      <c r="B419" s="85"/>
      <c r="C419" s="85"/>
      <c r="D419" s="85"/>
      <c r="E419" s="86"/>
      <c r="F419" s="16">
        <f>IF(E419="","",DATEDIF(E419,$I$7,"Y"))</f>
      </c>
      <c r="G419" s="85"/>
      <c r="H419" s="85"/>
      <c r="I419" s="87"/>
      <c r="J419" s="85"/>
      <c r="K419" s="85"/>
      <c r="L419" s="10"/>
      <c r="M419" s="10"/>
      <c r="N419" s="10"/>
      <c r="O419" s="10"/>
      <c r="P419" s="85"/>
      <c r="Q419" s="88"/>
      <c r="R419" s="3">
        <f>IFERROR(VLOOKUP(TablaAgosto[[#This Row],[BARRIO]],SECTOR!$A:$B,2,0),"")</f>
      </c>
      <c r="S419" s="89"/>
      <c r="T419" s="90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6"/>
      <c r="AZ419" s="120">
        <f>COUNTIF(U419:AY419,"A")</f>
      </c>
      <c r="BA419" s="121">
        <f>COUNTIF(U419:AY419,"F")</f>
      </c>
      <c r="BB419" s="119">
        <f>COUNTIF(U419:AY419,"E")</f>
      </c>
    </row>
    <row r="420" spans="1:54" x14ac:dyDescent="0.2">
      <c r="A420" s="84"/>
      <c r="B420" s="85"/>
      <c r="C420" s="85"/>
      <c r="D420" s="85"/>
      <c r="E420" s="86"/>
      <c r="F420" s="16">
        <f>IF(E420="","",DATEDIF(E420,$I$7,"Y"))</f>
      </c>
      <c r="G420" s="85"/>
      <c r="H420" s="85"/>
      <c r="I420" s="87"/>
      <c r="J420" s="85"/>
      <c r="K420" s="85"/>
      <c r="L420" s="10"/>
      <c r="M420" s="10"/>
      <c r="N420" s="10"/>
      <c r="O420" s="10"/>
      <c r="P420" s="85"/>
      <c r="Q420" s="88"/>
      <c r="R420" s="3">
        <f>IFERROR(VLOOKUP(TablaAgosto[[#This Row],[BARRIO]],SECTOR!$A:$B,2,0),"")</f>
      </c>
      <c r="S420" s="89"/>
      <c r="T420" s="90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6"/>
      <c r="AZ420" s="120">
        <f>COUNTIF(U420:AY420,"A")</f>
      </c>
      <c r="BA420" s="121">
        <f>COUNTIF(U420:AY420,"F")</f>
      </c>
      <c r="BB420" s="119">
        <f>COUNTIF(U420:AY420,"E")</f>
      </c>
    </row>
    <row r="421" spans="1:54" x14ac:dyDescent="0.2">
      <c r="A421" s="84"/>
      <c r="B421" s="85"/>
      <c r="C421" s="85"/>
      <c r="D421" s="85"/>
      <c r="E421" s="86"/>
      <c r="F421" s="16">
        <f>IF(E421="","",DATEDIF(E421,$I$7,"Y"))</f>
      </c>
      <c r="G421" s="85"/>
      <c r="H421" s="85"/>
      <c r="I421" s="87"/>
      <c r="J421" s="85"/>
      <c r="K421" s="85"/>
      <c r="L421" s="10"/>
      <c r="M421" s="10"/>
      <c r="N421" s="10"/>
      <c r="O421" s="10"/>
      <c r="P421" s="85"/>
      <c r="Q421" s="88"/>
      <c r="R421" s="3">
        <f>IFERROR(VLOOKUP(TablaAgosto[[#This Row],[BARRIO]],SECTOR!$A:$B,2,0),"")</f>
      </c>
      <c r="S421" s="89"/>
      <c r="T421" s="90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6"/>
      <c r="AZ421" s="120">
        <f>COUNTIF(U421:AY421,"A")</f>
      </c>
      <c r="BA421" s="121">
        <f>COUNTIF(U421:AY421,"F")</f>
      </c>
      <c r="BB421" s="119">
        <f>COUNTIF(U421:AY421,"E")</f>
      </c>
    </row>
    <row r="422" spans="1:54" x14ac:dyDescent="0.2">
      <c r="A422" s="84"/>
      <c r="B422" s="85"/>
      <c r="C422" s="85"/>
      <c r="D422" s="85"/>
      <c r="E422" s="86"/>
      <c r="F422" s="16">
        <f>IF(E422="","",DATEDIF(E422,$I$7,"Y"))</f>
      </c>
      <c r="G422" s="85"/>
      <c r="H422" s="85"/>
      <c r="I422" s="87"/>
      <c r="J422" s="85"/>
      <c r="K422" s="85"/>
      <c r="L422" s="10"/>
      <c r="M422" s="10"/>
      <c r="N422" s="10"/>
      <c r="O422" s="10"/>
      <c r="P422" s="85"/>
      <c r="Q422" s="88"/>
      <c r="R422" s="3">
        <f>IFERROR(VLOOKUP(TablaAgosto[[#This Row],[BARRIO]],SECTOR!$A:$B,2,0),"")</f>
      </c>
      <c r="S422" s="89"/>
      <c r="T422" s="90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6"/>
      <c r="AZ422" s="120">
        <f>COUNTIF(U422:AY422,"A")</f>
      </c>
      <c r="BA422" s="121">
        <f>COUNTIF(U422:AY422,"F")</f>
      </c>
      <c r="BB422" s="119">
        <f>COUNTIF(U422:AY422,"E")</f>
      </c>
    </row>
    <row r="423" spans="1:54" x14ac:dyDescent="0.2">
      <c r="A423" s="84"/>
      <c r="B423" s="85"/>
      <c r="C423" s="85"/>
      <c r="D423" s="85"/>
      <c r="E423" s="86"/>
      <c r="F423" s="16">
        <f>IF(E423="","",DATEDIF(E423,$I$7,"Y"))</f>
      </c>
      <c r="G423" s="85"/>
      <c r="H423" s="85"/>
      <c r="I423" s="87"/>
      <c r="J423" s="85"/>
      <c r="K423" s="85"/>
      <c r="L423" s="10"/>
      <c r="M423" s="10"/>
      <c r="N423" s="10"/>
      <c r="O423" s="10"/>
      <c r="P423" s="85"/>
      <c r="Q423" s="88"/>
      <c r="R423" s="3">
        <f>IFERROR(VLOOKUP(TablaAgosto[[#This Row],[BARRIO]],SECTOR!$A:$B,2,0),"")</f>
      </c>
      <c r="S423" s="89"/>
      <c r="T423" s="90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6"/>
      <c r="AZ423" s="120">
        <f>COUNTIF(U423:AY423,"A")</f>
      </c>
      <c r="BA423" s="121">
        <f>COUNTIF(U423:AY423,"F")</f>
      </c>
      <c r="BB423" s="119">
        <f>COUNTIF(U423:AY423,"E")</f>
      </c>
    </row>
    <row r="424" spans="1:54" x14ac:dyDescent="0.2">
      <c r="A424" s="84"/>
      <c r="B424" s="85"/>
      <c r="C424" s="85"/>
      <c r="D424" s="85"/>
      <c r="E424" s="86"/>
      <c r="F424" s="16">
        <f>IF(E424="","",DATEDIF(E424,$I$7,"Y"))</f>
      </c>
      <c r="G424" s="85"/>
      <c r="H424" s="85"/>
      <c r="I424" s="87"/>
      <c r="J424" s="85"/>
      <c r="K424" s="85"/>
      <c r="L424" s="10"/>
      <c r="M424" s="10"/>
      <c r="N424" s="10"/>
      <c r="O424" s="10"/>
      <c r="P424" s="85"/>
      <c r="Q424" s="88"/>
      <c r="R424" s="3">
        <f>IFERROR(VLOOKUP(TablaAgosto[[#This Row],[BARRIO]],SECTOR!$A:$B,2,0),"")</f>
      </c>
      <c r="S424" s="89"/>
      <c r="T424" s="90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6"/>
      <c r="AZ424" s="120">
        <f>COUNTIF(U424:AY424,"A")</f>
      </c>
      <c r="BA424" s="121">
        <f>COUNTIF(U424:AY424,"F")</f>
      </c>
      <c r="BB424" s="119">
        <f>COUNTIF(U424:AY424,"E")</f>
      </c>
    </row>
    <row r="425" spans="1:54" x14ac:dyDescent="0.2">
      <c r="A425" s="84"/>
      <c r="B425" s="85"/>
      <c r="C425" s="85"/>
      <c r="D425" s="85"/>
      <c r="E425" s="86"/>
      <c r="F425" s="16">
        <f>IF(E425="","",DATEDIF(E425,$I$7,"Y"))</f>
      </c>
      <c r="G425" s="85"/>
      <c r="H425" s="85"/>
      <c r="I425" s="87"/>
      <c r="J425" s="85"/>
      <c r="K425" s="85"/>
      <c r="L425" s="10"/>
      <c r="M425" s="10"/>
      <c r="N425" s="10"/>
      <c r="O425" s="10"/>
      <c r="P425" s="85"/>
      <c r="Q425" s="88"/>
      <c r="R425" s="3">
        <f>IFERROR(VLOOKUP(TablaAgosto[[#This Row],[BARRIO]],SECTOR!$A:$B,2,0),"")</f>
      </c>
      <c r="S425" s="89"/>
      <c r="T425" s="90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6"/>
      <c r="AZ425" s="120">
        <f>COUNTIF(U425:AY425,"A")</f>
      </c>
      <c r="BA425" s="121">
        <f>COUNTIF(U425:AY425,"F")</f>
      </c>
      <c r="BB425" s="119">
        <f>COUNTIF(U425:AY425,"E")</f>
      </c>
    </row>
    <row r="426" spans="1:54" x14ac:dyDescent="0.2">
      <c r="A426" s="84"/>
      <c r="B426" s="85"/>
      <c r="C426" s="85"/>
      <c r="D426" s="85"/>
      <c r="E426" s="86"/>
      <c r="F426" s="16">
        <f>IF(E426="","",DATEDIF(E426,$I$7,"Y"))</f>
      </c>
      <c r="G426" s="85"/>
      <c r="H426" s="85"/>
      <c r="I426" s="87"/>
      <c r="J426" s="85"/>
      <c r="K426" s="85"/>
      <c r="L426" s="10"/>
      <c r="M426" s="10"/>
      <c r="N426" s="10"/>
      <c r="O426" s="10"/>
      <c r="P426" s="85"/>
      <c r="Q426" s="88"/>
      <c r="R426" s="3">
        <f>IFERROR(VLOOKUP(TablaAgosto[[#This Row],[BARRIO]],SECTOR!$A:$B,2,0),"")</f>
      </c>
      <c r="S426" s="89"/>
      <c r="T426" s="90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6"/>
      <c r="AZ426" s="120">
        <f>COUNTIF(U426:AY426,"A")</f>
      </c>
      <c r="BA426" s="121">
        <f>COUNTIF(U426:AY426,"F")</f>
      </c>
      <c r="BB426" s="119">
        <f>COUNTIF(U426:AY426,"E")</f>
      </c>
    </row>
    <row r="427" spans="1:54" x14ac:dyDescent="0.2">
      <c r="A427" s="84"/>
      <c r="B427" s="85"/>
      <c r="C427" s="85"/>
      <c r="D427" s="85"/>
      <c r="E427" s="86"/>
      <c r="F427" s="16">
        <f>IF(E427="","",DATEDIF(E427,$I$7,"Y"))</f>
      </c>
      <c r="G427" s="85"/>
      <c r="H427" s="85"/>
      <c r="I427" s="87"/>
      <c r="J427" s="85"/>
      <c r="K427" s="85"/>
      <c r="L427" s="10"/>
      <c r="M427" s="10"/>
      <c r="N427" s="10"/>
      <c r="O427" s="10"/>
      <c r="P427" s="85"/>
      <c r="Q427" s="88"/>
      <c r="R427" s="3">
        <f>IFERROR(VLOOKUP(TablaAgosto[[#This Row],[BARRIO]],SECTOR!$A:$B,2,0),"")</f>
      </c>
      <c r="S427" s="89"/>
      <c r="T427" s="90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6"/>
      <c r="AZ427" s="120">
        <f>COUNTIF(U427:AY427,"A")</f>
      </c>
      <c r="BA427" s="121">
        <f>COUNTIF(U427:AY427,"F")</f>
      </c>
      <c r="BB427" s="119">
        <f>COUNTIF(U427:AY427,"E")</f>
      </c>
    </row>
    <row r="428" spans="1:54" x14ac:dyDescent="0.2">
      <c r="A428" s="84"/>
      <c r="B428" s="85"/>
      <c r="C428" s="85"/>
      <c r="D428" s="85"/>
      <c r="E428" s="86"/>
      <c r="F428" s="16">
        <f>IF(E428="","",DATEDIF(E428,$I$7,"Y"))</f>
      </c>
      <c r="G428" s="85"/>
      <c r="H428" s="85"/>
      <c r="I428" s="87"/>
      <c r="J428" s="85"/>
      <c r="K428" s="85"/>
      <c r="L428" s="10"/>
      <c r="M428" s="10"/>
      <c r="N428" s="10"/>
      <c r="O428" s="10"/>
      <c r="P428" s="85"/>
      <c r="Q428" s="88"/>
      <c r="R428" s="3">
        <f>IFERROR(VLOOKUP(TablaAgosto[[#This Row],[BARRIO]],SECTOR!$A:$B,2,0),"")</f>
      </c>
      <c r="S428" s="89"/>
      <c r="T428" s="90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6"/>
      <c r="AZ428" s="120">
        <f>COUNTIF(U428:AY428,"A")</f>
      </c>
      <c r="BA428" s="121">
        <f>COUNTIF(U428:AY428,"F")</f>
      </c>
      <c r="BB428" s="119">
        <f>COUNTIF(U428:AY428,"E")</f>
      </c>
    </row>
    <row r="429" spans="1:54" x14ac:dyDescent="0.2">
      <c r="A429" s="84"/>
      <c r="B429" s="85"/>
      <c r="C429" s="85"/>
      <c r="D429" s="85"/>
      <c r="E429" s="86"/>
      <c r="F429" s="16">
        <f>IF(E429="","",DATEDIF(E429,$I$7,"Y"))</f>
      </c>
      <c r="G429" s="85"/>
      <c r="H429" s="85"/>
      <c r="I429" s="87"/>
      <c r="J429" s="85"/>
      <c r="K429" s="85"/>
      <c r="L429" s="10"/>
      <c r="M429" s="10"/>
      <c r="N429" s="10"/>
      <c r="O429" s="10"/>
      <c r="P429" s="85"/>
      <c r="Q429" s="88"/>
      <c r="R429" s="3">
        <f>IFERROR(VLOOKUP(TablaAgosto[[#This Row],[BARRIO]],SECTOR!$A:$B,2,0),"")</f>
      </c>
      <c r="S429" s="89"/>
      <c r="T429" s="90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6"/>
      <c r="AZ429" s="120">
        <f>COUNTIF(U429:AY429,"A")</f>
      </c>
      <c r="BA429" s="121">
        <f>COUNTIF(U429:AY429,"F")</f>
      </c>
      <c r="BB429" s="119">
        <f>COUNTIF(U429:AY429,"E")</f>
      </c>
    </row>
    <row r="430" spans="1:54" x14ac:dyDescent="0.2">
      <c r="A430" s="84"/>
      <c r="B430" s="85"/>
      <c r="C430" s="85"/>
      <c r="D430" s="85"/>
      <c r="E430" s="86"/>
      <c r="F430" s="16">
        <f>IF(E430="","",DATEDIF(E430,$I$7,"Y"))</f>
      </c>
      <c r="G430" s="85"/>
      <c r="H430" s="85"/>
      <c r="I430" s="87"/>
      <c r="J430" s="85"/>
      <c r="K430" s="85"/>
      <c r="L430" s="10"/>
      <c r="M430" s="10"/>
      <c r="N430" s="10"/>
      <c r="O430" s="10"/>
      <c r="P430" s="85"/>
      <c r="Q430" s="88"/>
      <c r="R430" s="3">
        <f>IFERROR(VLOOKUP(TablaAgosto[[#This Row],[BARRIO]],SECTOR!$A:$B,2,0),"")</f>
      </c>
      <c r="S430" s="89"/>
      <c r="T430" s="90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6"/>
      <c r="AZ430" s="120">
        <f>COUNTIF(U430:AY430,"A")</f>
      </c>
      <c r="BA430" s="121">
        <f>COUNTIF(U430:AY430,"F")</f>
      </c>
      <c r="BB430" s="119">
        <f>COUNTIF(U430:AY430,"E")</f>
      </c>
    </row>
    <row r="431" spans="1:54" x14ac:dyDescent="0.2">
      <c r="A431" s="84"/>
      <c r="B431" s="85"/>
      <c r="C431" s="85"/>
      <c r="D431" s="85"/>
      <c r="E431" s="86"/>
      <c r="F431" s="16">
        <f>IF(E431="","",DATEDIF(E431,$I$7,"Y"))</f>
      </c>
      <c r="G431" s="85"/>
      <c r="H431" s="85"/>
      <c r="I431" s="87"/>
      <c r="J431" s="85"/>
      <c r="K431" s="85"/>
      <c r="L431" s="10"/>
      <c r="M431" s="10"/>
      <c r="N431" s="10"/>
      <c r="O431" s="10"/>
      <c r="P431" s="85"/>
      <c r="Q431" s="88"/>
      <c r="R431" s="3">
        <f>IFERROR(VLOOKUP(TablaAgosto[[#This Row],[BARRIO]],SECTOR!$A:$B,2,0),"")</f>
      </c>
      <c r="S431" s="89"/>
      <c r="T431" s="90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6"/>
      <c r="AZ431" s="120">
        <f>COUNTIF(U431:AY431,"A")</f>
      </c>
      <c r="BA431" s="121">
        <f>COUNTIF(U431:AY431,"F")</f>
      </c>
      <c r="BB431" s="119">
        <f>COUNTIF(U431:AY431,"E")</f>
      </c>
    </row>
    <row r="432" spans="1:54" x14ac:dyDescent="0.2">
      <c r="A432" s="84"/>
      <c r="B432" s="85"/>
      <c r="C432" s="85"/>
      <c r="D432" s="85"/>
      <c r="E432" s="86"/>
      <c r="F432" s="16">
        <f>IF(E432="","",DATEDIF(E432,$I$7,"Y"))</f>
      </c>
      <c r="G432" s="85"/>
      <c r="H432" s="85"/>
      <c r="I432" s="87"/>
      <c r="J432" s="85"/>
      <c r="K432" s="85"/>
      <c r="L432" s="10"/>
      <c r="M432" s="10"/>
      <c r="N432" s="10"/>
      <c r="O432" s="10"/>
      <c r="P432" s="85"/>
      <c r="Q432" s="88"/>
      <c r="R432" s="3">
        <f>IFERROR(VLOOKUP(TablaAgosto[[#This Row],[BARRIO]],SECTOR!$A:$B,2,0),"")</f>
      </c>
      <c r="S432" s="89"/>
      <c r="T432" s="90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6"/>
      <c r="AZ432" s="120">
        <f>COUNTIF(U432:AY432,"A")</f>
      </c>
      <c r="BA432" s="121">
        <f>COUNTIF(U432:AY432,"F")</f>
      </c>
      <c r="BB432" s="119">
        <f>COUNTIF(U432:AY432,"E")</f>
      </c>
    </row>
    <row r="433" spans="1:54" x14ac:dyDescent="0.2">
      <c r="A433" s="84"/>
      <c r="B433" s="85"/>
      <c r="C433" s="85"/>
      <c r="D433" s="85"/>
      <c r="E433" s="86"/>
      <c r="F433" s="16">
        <f>IF(E433="","",DATEDIF(E433,$I$7,"Y"))</f>
      </c>
      <c r="G433" s="85"/>
      <c r="H433" s="85"/>
      <c r="I433" s="87"/>
      <c r="J433" s="85"/>
      <c r="K433" s="85"/>
      <c r="L433" s="10"/>
      <c r="M433" s="10"/>
      <c r="N433" s="10"/>
      <c r="O433" s="10"/>
      <c r="P433" s="85"/>
      <c r="Q433" s="88"/>
      <c r="R433" s="3">
        <f>IFERROR(VLOOKUP(TablaAgosto[[#This Row],[BARRIO]],SECTOR!$A:$B,2,0),"")</f>
      </c>
      <c r="S433" s="89"/>
      <c r="T433" s="90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6"/>
      <c r="AZ433" s="120">
        <f>COUNTIF(U433:AY433,"A")</f>
      </c>
      <c r="BA433" s="121">
        <f>COUNTIF(U433:AY433,"F")</f>
      </c>
      <c r="BB433" s="119">
        <f>COUNTIF(U433:AY433,"E")</f>
      </c>
    </row>
    <row r="434" spans="1:54" x14ac:dyDescent="0.2">
      <c r="A434" s="84"/>
      <c r="B434" s="85"/>
      <c r="C434" s="85"/>
      <c r="D434" s="85"/>
      <c r="E434" s="86"/>
      <c r="F434" s="16">
        <f>IF(E434="","",DATEDIF(E434,$I$7,"Y"))</f>
      </c>
      <c r="G434" s="85"/>
      <c r="H434" s="85"/>
      <c r="I434" s="87"/>
      <c r="J434" s="85"/>
      <c r="K434" s="85"/>
      <c r="L434" s="10"/>
      <c r="M434" s="10"/>
      <c r="N434" s="10"/>
      <c r="O434" s="10"/>
      <c r="P434" s="85"/>
      <c r="Q434" s="88"/>
      <c r="R434" s="3">
        <f>IFERROR(VLOOKUP(TablaAgosto[[#This Row],[BARRIO]],SECTOR!$A:$B,2,0),"")</f>
      </c>
      <c r="S434" s="89"/>
      <c r="T434" s="90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6"/>
      <c r="AZ434" s="120">
        <f>COUNTIF(U434:AY434,"A")</f>
      </c>
      <c r="BA434" s="121">
        <f>COUNTIF(U434:AY434,"F")</f>
      </c>
      <c r="BB434" s="119">
        <f>COUNTIF(U434:AY434,"E")</f>
      </c>
    </row>
    <row r="435" spans="1:54" x14ac:dyDescent="0.2">
      <c r="A435" s="84"/>
      <c r="B435" s="85"/>
      <c r="C435" s="85"/>
      <c r="D435" s="85"/>
      <c r="E435" s="86"/>
      <c r="F435" s="16">
        <f>IF(E435="","",DATEDIF(E435,$I$7,"Y"))</f>
      </c>
      <c r="G435" s="85"/>
      <c r="H435" s="85"/>
      <c r="I435" s="87"/>
      <c r="J435" s="85"/>
      <c r="K435" s="85"/>
      <c r="L435" s="10"/>
      <c r="M435" s="10"/>
      <c r="N435" s="10"/>
      <c r="O435" s="10"/>
      <c r="P435" s="85"/>
      <c r="Q435" s="88"/>
      <c r="R435" s="3">
        <f>IFERROR(VLOOKUP(TablaAgosto[[#This Row],[BARRIO]],SECTOR!$A:$B,2,0),"")</f>
      </c>
      <c r="S435" s="89"/>
      <c r="T435" s="90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6"/>
      <c r="AZ435" s="120">
        <f>COUNTIF(U435:AY435,"A")</f>
      </c>
      <c r="BA435" s="121">
        <f>COUNTIF(U435:AY435,"F")</f>
      </c>
      <c r="BB435" s="119">
        <f>COUNTIF(U435:AY435,"E")</f>
      </c>
    </row>
    <row r="436" spans="1:54" x14ac:dyDescent="0.2">
      <c r="A436" s="84"/>
      <c r="B436" s="85"/>
      <c r="C436" s="85"/>
      <c r="D436" s="85"/>
      <c r="E436" s="86"/>
      <c r="F436" s="16">
        <f>IF(E436="","",DATEDIF(E436,$I$7,"Y"))</f>
      </c>
      <c r="G436" s="85"/>
      <c r="H436" s="85"/>
      <c r="I436" s="87"/>
      <c r="J436" s="85"/>
      <c r="K436" s="85"/>
      <c r="L436" s="10"/>
      <c r="M436" s="10"/>
      <c r="N436" s="10"/>
      <c r="O436" s="10"/>
      <c r="P436" s="85"/>
      <c r="Q436" s="88"/>
      <c r="R436" s="3">
        <f>IFERROR(VLOOKUP(TablaAgosto[[#This Row],[BARRIO]],SECTOR!$A:$B,2,0),"")</f>
      </c>
      <c r="S436" s="89"/>
      <c r="T436" s="90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6"/>
      <c r="AZ436" s="120">
        <f>COUNTIF(U436:AY436,"A")</f>
      </c>
      <c r="BA436" s="121">
        <f>COUNTIF(U436:AY436,"F")</f>
      </c>
      <c r="BB436" s="119">
        <f>COUNTIF(U436:AY436,"E")</f>
      </c>
    </row>
    <row r="437" spans="1:54" x14ac:dyDescent="0.2">
      <c r="A437" s="84"/>
      <c r="B437" s="85"/>
      <c r="C437" s="85"/>
      <c r="D437" s="85"/>
      <c r="E437" s="86"/>
      <c r="F437" s="16">
        <f>IF(E437="","",DATEDIF(E437,$I$7,"Y"))</f>
      </c>
      <c r="G437" s="85"/>
      <c r="H437" s="85"/>
      <c r="I437" s="87"/>
      <c r="J437" s="85"/>
      <c r="K437" s="85"/>
      <c r="L437" s="10"/>
      <c r="M437" s="10"/>
      <c r="N437" s="10"/>
      <c r="O437" s="10"/>
      <c r="P437" s="85"/>
      <c r="Q437" s="88"/>
      <c r="R437" s="3">
        <f>IFERROR(VLOOKUP(TablaAgosto[[#This Row],[BARRIO]],SECTOR!$A:$B,2,0),"")</f>
      </c>
      <c r="S437" s="89"/>
      <c r="T437" s="90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6"/>
      <c r="AZ437" s="120">
        <f>COUNTIF(U437:AY437,"A")</f>
      </c>
      <c r="BA437" s="121">
        <f>COUNTIF(U437:AY437,"F")</f>
      </c>
      <c r="BB437" s="119">
        <f>COUNTIF(U437:AY437,"E")</f>
      </c>
    </row>
    <row r="438" spans="1:54" x14ac:dyDescent="0.2">
      <c r="A438" s="84"/>
      <c r="B438" s="85"/>
      <c r="C438" s="85"/>
      <c r="D438" s="85"/>
      <c r="E438" s="86"/>
      <c r="F438" s="16">
        <f>IF(E438="","",DATEDIF(E438,$I$7,"Y"))</f>
      </c>
      <c r="G438" s="85"/>
      <c r="H438" s="85"/>
      <c r="I438" s="87"/>
      <c r="J438" s="85"/>
      <c r="K438" s="85"/>
      <c r="L438" s="10"/>
      <c r="M438" s="10"/>
      <c r="N438" s="10"/>
      <c r="O438" s="10"/>
      <c r="P438" s="85"/>
      <c r="Q438" s="88"/>
      <c r="R438" s="3">
        <f>IFERROR(VLOOKUP(TablaAgosto[[#This Row],[BARRIO]],SECTOR!$A:$B,2,0),"")</f>
      </c>
      <c r="S438" s="89"/>
      <c r="T438" s="90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6"/>
      <c r="AZ438" s="120">
        <f>COUNTIF(U438:AY438,"A")</f>
      </c>
      <c r="BA438" s="121">
        <f>COUNTIF(U438:AY438,"F")</f>
      </c>
      <c r="BB438" s="119">
        <f>COUNTIF(U438:AY438,"E")</f>
      </c>
    </row>
    <row r="439" spans="1:54" x14ac:dyDescent="0.2">
      <c r="A439" s="84"/>
      <c r="B439" s="85"/>
      <c r="C439" s="85"/>
      <c r="D439" s="85"/>
      <c r="E439" s="86"/>
      <c r="F439" s="16">
        <f>IF(E439="","",DATEDIF(E439,$I$7,"Y"))</f>
      </c>
      <c r="G439" s="85"/>
      <c r="H439" s="85"/>
      <c r="I439" s="87"/>
      <c r="J439" s="85"/>
      <c r="K439" s="85"/>
      <c r="L439" s="10"/>
      <c r="M439" s="10"/>
      <c r="N439" s="10"/>
      <c r="O439" s="10"/>
      <c r="P439" s="85"/>
      <c r="Q439" s="88"/>
      <c r="R439" s="3">
        <f>IFERROR(VLOOKUP(TablaAgosto[[#This Row],[BARRIO]],SECTOR!$A:$B,2,0),"")</f>
      </c>
      <c r="S439" s="89"/>
      <c r="T439" s="90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6"/>
      <c r="AZ439" s="120">
        <f>COUNTIF(U439:AY439,"A")</f>
      </c>
      <c r="BA439" s="121">
        <f>COUNTIF(U439:AY439,"F")</f>
      </c>
      <c r="BB439" s="119">
        <f>COUNTIF(U439:AY439,"E")</f>
      </c>
    </row>
    <row r="440" spans="1:54" x14ac:dyDescent="0.2">
      <c r="A440" s="84"/>
      <c r="B440" s="85"/>
      <c r="C440" s="85"/>
      <c r="D440" s="85"/>
      <c r="E440" s="86"/>
      <c r="F440" s="16">
        <f>IF(E440="","",DATEDIF(E440,$I$7,"Y"))</f>
      </c>
      <c r="G440" s="85"/>
      <c r="H440" s="85"/>
      <c r="I440" s="87"/>
      <c r="J440" s="85"/>
      <c r="K440" s="85"/>
      <c r="L440" s="10"/>
      <c r="M440" s="10"/>
      <c r="N440" s="10"/>
      <c r="O440" s="10"/>
      <c r="P440" s="85"/>
      <c r="Q440" s="88"/>
      <c r="R440" s="3">
        <f>IFERROR(VLOOKUP(TablaAgosto[[#This Row],[BARRIO]],SECTOR!$A:$B,2,0),"")</f>
      </c>
      <c r="S440" s="89"/>
      <c r="T440" s="90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6"/>
      <c r="AZ440" s="120">
        <f>COUNTIF(U440:AY440,"A")</f>
      </c>
      <c r="BA440" s="121">
        <f>COUNTIF(U440:AY440,"F")</f>
      </c>
      <c r="BB440" s="119">
        <f>COUNTIF(U440:AY440,"E")</f>
      </c>
    </row>
    <row r="441" spans="1:54" x14ac:dyDescent="0.2">
      <c r="A441" s="84"/>
      <c r="B441" s="85"/>
      <c r="C441" s="85"/>
      <c r="D441" s="85"/>
      <c r="E441" s="86"/>
      <c r="F441" s="16">
        <f>IF(E441="","",DATEDIF(E441,$I$7,"Y"))</f>
      </c>
      <c r="G441" s="85"/>
      <c r="H441" s="85"/>
      <c r="I441" s="87"/>
      <c r="J441" s="85"/>
      <c r="K441" s="85"/>
      <c r="L441" s="10"/>
      <c r="M441" s="10"/>
      <c r="N441" s="10"/>
      <c r="O441" s="10"/>
      <c r="P441" s="85"/>
      <c r="Q441" s="88"/>
      <c r="R441" s="3">
        <f>IFERROR(VLOOKUP(TablaAgosto[[#This Row],[BARRIO]],SECTOR!$A:$B,2,0),"")</f>
      </c>
      <c r="S441" s="89"/>
      <c r="T441" s="90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6"/>
      <c r="AZ441" s="120">
        <f>COUNTIF(U441:AY441,"A")</f>
      </c>
      <c r="BA441" s="121">
        <f>COUNTIF(U441:AY441,"F")</f>
      </c>
      <c r="BB441" s="119">
        <f>COUNTIF(U441:AY441,"E")</f>
      </c>
    </row>
    <row r="442" spans="1:54" x14ac:dyDescent="0.2">
      <c r="A442" s="84"/>
      <c r="B442" s="85"/>
      <c r="C442" s="85"/>
      <c r="D442" s="85"/>
      <c r="E442" s="86"/>
      <c r="F442" s="16">
        <f>IF(E442="","",DATEDIF(E442,$I$7,"Y"))</f>
      </c>
      <c r="G442" s="85"/>
      <c r="H442" s="85"/>
      <c r="I442" s="87"/>
      <c r="J442" s="85"/>
      <c r="K442" s="85"/>
      <c r="L442" s="10"/>
      <c r="M442" s="10"/>
      <c r="N442" s="10"/>
      <c r="O442" s="10"/>
      <c r="P442" s="85"/>
      <c r="Q442" s="88"/>
      <c r="R442" s="3">
        <f>IFERROR(VLOOKUP(TablaAgosto[[#This Row],[BARRIO]],SECTOR!$A:$B,2,0),"")</f>
      </c>
      <c r="S442" s="89"/>
      <c r="T442" s="90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6"/>
      <c r="AZ442" s="120">
        <f>COUNTIF(U442:AY442,"A")</f>
      </c>
      <c r="BA442" s="121">
        <f>COUNTIF(U442:AY442,"F")</f>
      </c>
      <c r="BB442" s="119">
        <f>COUNTIF(U442:AY442,"E")</f>
      </c>
    </row>
    <row r="443" spans="1:54" x14ac:dyDescent="0.2">
      <c r="A443" s="84"/>
      <c r="B443" s="85"/>
      <c r="C443" s="85"/>
      <c r="D443" s="85"/>
      <c r="E443" s="86"/>
      <c r="F443" s="16">
        <f>IF(E443="","",DATEDIF(E443,$I$7,"Y"))</f>
      </c>
      <c r="G443" s="85"/>
      <c r="H443" s="85"/>
      <c r="I443" s="87"/>
      <c r="J443" s="85"/>
      <c r="K443" s="85"/>
      <c r="L443" s="10"/>
      <c r="M443" s="10"/>
      <c r="N443" s="10"/>
      <c r="O443" s="10"/>
      <c r="P443" s="85"/>
      <c r="Q443" s="88"/>
      <c r="R443" s="3">
        <f>IFERROR(VLOOKUP(TablaAgosto[[#This Row],[BARRIO]],SECTOR!$A:$B,2,0),"")</f>
      </c>
      <c r="S443" s="89"/>
      <c r="T443" s="90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6"/>
      <c r="AZ443" s="120">
        <f>COUNTIF(U443:AY443,"A")</f>
      </c>
      <c r="BA443" s="121">
        <f>COUNTIF(U443:AY443,"F")</f>
      </c>
      <c r="BB443" s="119">
        <f>COUNTIF(U443:AY443,"E")</f>
      </c>
    </row>
    <row r="444" spans="1:54" x14ac:dyDescent="0.2">
      <c r="A444" s="84"/>
      <c r="B444" s="85"/>
      <c r="C444" s="85"/>
      <c r="D444" s="85"/>
      <c r="E444" s="86"/>
      <c r="F444" s="16">
        <f>IF(E444="","",DATEDIF(E444,$I$7,"Y"))</f>
      </c>
      <c r="G444" s="85"/>
      <c r="H444" s="85"/>
      <c r="I444" s="87"/>
      <c r="J444" s="85"/>
      <c r="K444" s="85"/>
      <c r="L444" s="10"/>
      <c r="M444" s="10"/>
      <c r="N444" s="10"/>
      <c r="O444" s="10"/>
      <c r="P444" s="85"/>
      <c r="Q444" s="88"/>
      <c r="R444" s="3">
        <f>IFERROR(VLOOKUP(TablaAgosto[[#This Row],[BARRIO]],SECTOR!$A:$B,2,0),"")</f>
      </c>
      <c r="S444" s="89"/>
      <c r="T444" s="90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6"/>
      <c r="AZ444" s="120">
        <f>COUNTIF(U444:AY444,"A")</f>
      </c>
      <c r="BA444" s="121">
        <f>COUNTIF(U444:AY444,"F")</f>
      </c>
      <c r="BB444" s="119">
        <f>COUNTIF(U444:AY444,"E")</f>
      </c>
    </row>
    <row r="445" spans="1:54" x14ac:dyDescent="0.2">
      <c r="A445" s="84"/>
      <c r="B445" s="85"/>
      <c r="C445" s="85"/>
      <c r="D445" s="85"/>
      <c r="E445" s="86"/>
      <c r="F445" s="16">
        <f>IF(E445="","",DATEDIF(E445,$I$7,"Y"))</f>
      </c>
      <c r="G445" s="85"/>
      <c r="H445" s="85"/>
      <c r="I445" s="87"/>
      <c r="J445" s="85"/>
      <c r="K445" s="85"/>
      <c r="L445" s="10"/>
      <c r="M445" s="10"/>
      <c r="N445" s="10"/>
      <c r="O445" s="10"/>
      <c r="P445" s="85"/>
      <c r="Q445" s="88"/>
      <c r="R445" s="3">
        <f>IFERROR(VLOOKUP(TablaAgosto[[#This Row],[BARRIO]],SECTOR!$A:$B,2,0),"")</f>
      </c>
      <c r="S445" s="89"/>
      <c r="T445" s="90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6"/>
      <c r="AZ445" s="120">
        <f>COUNTIF(U445:AY445,"A")</f>
      </c>
      <c r="BA445" s="121">
        <f>COUNTIF(U445:AY445,"F")</f>
      </c>
      <c r="BB445" s="119">
        <f>COUNTIF(U445:AY445,"E")</f>
      </c>
    </row>
    <row r="446" spans="1:54" x14ac:dyDescent="0.2">
      <c r="A446" s="84"/>
      <c r="B446" s="85"/>
      <c r="C446" s="85"/>
      <c r="D446" s="85"/>
      <c r="E446" s="86"/>
      <c r="F446" s="16">
        <f>IF(E446="","",DATEDIF(E446,$I$7,"Y"))</f>
      </c>
      <c r="G446" s="85"/>
      <c r="H446" s="85"/>
      <c r="I446" s="87"/>
      <c r="J446" s="85"/>
      <c r="K446" s="85"/>
      <c r="L446" s="10"/>
      <c r="M446" s="10"/>
      <c r="N446" s="10"/>
      <c r="O446" s="10"/>
      <c r="P446" s="85"/>
      <c r="Q446" s="88"/>
      <c r="R446" s="3">
        <f>IFERROR(VLOOKUP(TablaAgosto[[#This Row],[BARRIO]],SECTOR!$A:$B,2,0),"")</f>
      </c>
      <c r="S446" s="89"/>
      <c r="T446" s="90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6"/>
      <c r="AZ446" s="120">
        <f>COUNTIF(U446:AY446,"A")</f>
      </c>
      <c r="BA446" s="121">
        <f>COUNTIF(U446:AY446,"F")</f>
      </c>
      <c r="BB446" s="119">
        <f>COUNTIF(U446:AY446,"E")</f>
      </c>
    </row>
    <row r="447" spans="1:54" x14ac:dyDescent="0.2">
      <c r="A447" s="84"/>
      <c r="B447" s="85"/>
      <c r="C447" s="85"/>
      <c r="D447" s="85"/>
      <c r="E447" s="86"/>
      <c r="F447" s="16">
        <f>IF(E447="","",DATEDIF(E447,$I$7,"Y"))</f>
      </c>
      <c r="G447" s="85"/>
      <c r="H447" s="85"/>
      <c r="I447" s="87"/>
      <c r="J447" s="85"/>
      <c r="K447" s="85"/>
      <c r="L447" s="10"/>
      <c r="M447" s="10"/>
      <c r="N447" s="10"/>
      <c r="O447" s="10"/>
      <c r="P447" s="85"/>
      <c r="Q447" s="88"/>
      <c r="R447" s="3">
        <f>IFERROR(VLOOKUP(TablaAgosto[[#This Row],[BARRIO]],SECTOR!$A:$B,2,0),"")</f>
      </c>
      <c r="S447" s="89"/>
      <c r="T447" s="90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6"/>
      <c r="AZ447" s="120">
        <f>COUNTIF(U447:AY447,"A")</f>
      </c>
      <c r="BA447" s="121">
        <f>COUNTIF(U447:AY447,"F")</f>
      </c>
      <c r="BB447" s="119">
        <f>COUNTIF(U447:AY447,"E")</f>
      </c>
    </row>
    <row r="448" spans="1:54" x14ac:dyDescent="0.2">
      <c r="A448" s="84"/>
      <c r="B448" s="85"/>
      <c r="C448" s="85"/>
      <c r="D448" s="85"/>
      <c r="E448" s="86"/>
      <c r="F448" s="16">
        <f>IF(E448="","",DATEDIF(E448,$I$7,"Y"))</f>
      </c>
      <c r="G448" s="85"/>
      <c r="H448" s="85"/>
      <c r="I448" s="87"/>
      <c r="J448" s="85"/>
      <c r="K448" s="85"/>
      <c r="L448" s="10"/>
      <c r="M448" s="10"/>
      <c r="N448" s="10"/>
      <c r="O448" s="10"/>
      <c r="P448" s="85"/>
      <c r="Q448" s="88"/>
      <c r="R448" s="3">
        <f>IFERROR(VLOOKUP(TablaAgosto[[#This Row],[BARRIO]],SECTOR!$A:$B,2,0),"")</f>
      </c>
      <c r="S448" s="89"/>
      <c r="T448" s="90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6"/>
      <c r="AZ448" s="120">
        <f>COUNTIF(U448:AY448,"A")</f>
      </c>
      <c r="BA448" s="121">
        <f>COUNTIF(U448:AY448,"F")</f>
      </c>
      <c r="BB448" s="119">
        <f>COUNTIF(U448:AY448,"E")</f>
      </c>
    </row>
    <row r="449" spans="1:54" x14ac:dyDescent="0.2">
      <c r="A449" s="84"/>
      <c r="B449" s="85"/>
      <c r="C449" s="85"/>
      <c r="D449" s="85"/>
      <c r="E449" s="86"/>
      <c r="F449" s="16">
        <f>IF(E449="","",DATEDIF(E449,$I$7,"Y"))</f>
      </c>
      <c r="G449" s="85"/>
      <c r="H449" s="85"/>
      <c r="I449" s="87"/>
      <c r="J449" s="85"/>
      <c r="K449" s="85"/>
      <c r="L449" s="10"/>
      <c r="M449" s="10"/>
      <c r="N449" s="10"/>
      <c r="O449" s="10"/>
      <c r="P449" s="85"/>
      <c r="Q449" s="88"/>
      <c r="R449" s="3">
        <f>IFERROR(VLOOKUP(TablaAgosto[[#This Row],[BARRIO]],SECTOR!$A:$B,2,0),"")</f>
      </c>
      <c r="S449" s="89"/>
      <c r="T449" s="90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6"/>
      <c r="AZ449" s="120">
        <f>COUNTIF(U449:AY449,"A")</f>
      </c>
      <c r="BA449" s="121">
        <f>COUNTIF(U449:AY449,"F")</f>
      </c>
      <c r="BB449" s="119">
        <f>COUNTIF(U449:AY449,"E")</f>
      </c>
    </row>
    <row r="450" spans="1:54" x14ac:dyDescent="0.2">
      <c r="A450" s="84"/>
      <c r="B450" s="85"/>
      <c r="C450" s="85"/>
      <c r="D450" s="85"/>
      <c r="E450" s="86"/>
      <c r="F450" s="16">
        <f>IF(E450="","",DATEDIF(E450,$I$7,"Y"))</f>
      </c>
      <c r="G450" s="85"/>
      <c r="H450" s="85"/>
      <c r="I450" s="87"/>
      <c r="J450" s="85"/>
      <c r="K450" s="85"/>
      <c r="L450" s="10"/>
      <c r="M450" s="10"/>
      <c r="N450" s="10"/>
      <c r="O450" s="10"/>
      <c r="P450" s="85"/>
      <c r="Q450" s="88"/>
      <c r="R450" s="3">
        <f>IFERROR(VLOOKUP(TablaAgosto[[#This Row],[BARRIO]],SECTOR!$A:$B,2,0),"")</f>
      </c>
      <c r="S450" s="89"/>
      <c r="T450" s="90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6"/>
      <c r="AZ450" s="120">
        <f>COUNTIF(U450:AY450,"A")</f>
      </c>
      <c r="BA450" s="121">
        <f>COUNTIF(U450:AY450,"F")</f>
      </c>
      <c r="BB450" s="119">
        <f>COUNTIF(U450:AY450,"E")</f>
      </c>
    </row>
    <row r="451" spans="1:54" x14ac:dyDescent="0.2">
      <c r="A451" s="84"/>
      <c r="B451" s="85"/>
      <c r="C451" s="85"/>
      <c r="D451" s="85"/>
      <c r="E451" s="86"/>
      <c r="F451" s="16">
        <f>IF(E451="","",DATEDIF(E451,$I$7,"Y"))</f>
      </c>
      <c r="G451" s="85"/>
      <c r="H451" s="85"/>
      <c r="I451" s="87"/>
      <c r="J451" s="85"/>
      <c r="K451" s="85"/>
      <c r="L451" s="10"/>
      <c r="M451" s="10"/>
      <c r="N451" s="10"/>
      <c r="O451" s="10"/>
      <c r="P451" s="85"/>
      <c r="Q451" s="88"/>
      <c r="R451" s="3">
        <f>IFERROR(VLOOKUP(TablaAgosto[[#This Row],[BARRIO]],SECTOR!$A:$B,2,0),"")</f>
      </c>
      <c r="S451" s="89"/>
      <c r="T451" s="90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6"/>
      <c r="AZ451" s="120">
        <f>COUNTIF(U451:AY451,"A")</f>
      </c>
      <c r="BA451" s="121">
        <f>COUNTIF(U451:AY451,"F")</f>
      </c>
      <c r="BB451" s="119">
        <f>COUNTIF(U451:AY451,"E")</f>
      </c>
    </row>
    <row r="452" spans="1:54" x14ac:dyDescent="0.2">
      <c r="A452" s="84"/>
      <c r="B452" s="85"/>
      <c r="C452" s="85"/>
      <c r="D452" s="85"/>
      <c r="E452" s="86"/>
      <c r="F452" s="16">
        <f>IF(E452="","",DATEDIF(E452,$I$7,"Y"))</f>
      </c>
      <c r="G452" s="85"/>
      <c r="H452" s="85"/>
      <c r="I452" s="87"/>
      <c r="J452" s="85"/>
      <c r="K452" s="85"/>
      <c r="L452" s="10"/>
      <c r="M452" s="10"/>
      <c r="N452" s="10"/>
      <c r="O452" s="10"/>
      <c r="P452" s="85"/>
      <c r="Q452" s="88"/>
      <c r="R452" s="3">
        <f>IFERROR(VLOOKUP(TablaAgosto[[#This Row],[BARRIO]],SECTOR!$A:$B,2,0),"")</f>
      </c>
      <c r="S452" s="89"/>
      <c r="T452" s="90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6"/>
      <c r="AZ452" s="120">
        <f>COUNTIF(U452:AY452,"A")</f>
      </c>
      <c r="BA452" s="121">
        <f>COUNTIF(U452:AY452,"F")</f>
      </c>
      <c r="BB452" s="119">
        <f>COUNTIF(U452:AY452,"E")</f>
      </c>
    </row>
    <row r="453" spans="1:54" x14ac:dyDescent="0.2">
      <c r="A453" s="84"/>
      <c r="B453" s="85"/>
      <c r="C453" s="85"/>
      <c r="D453" s="85"/>
      <c r="E453" s="86"/>
      <c r="F453" s="16">
        <f>IF(E453="","",DATEDIF(E453,$I$7,"Y"))</f>
      </c>
      <c r="G453" s="85"/>
      <c r="H453" s="85"/>
      <c r="I453" s="87"/>
      <c r="J453" s="85"/>
      <c r="K453" s="85"/>
      <c r="L453" s="10"/>
      <c r="M453" s="10"/>
      <c r="N453" s="10"/>
      <c r="O453" s="10"/>
      <c r="P453" s="85"/>
      <c r="Q453" s="88"/>
      <c r="R453" s="3">
        <f>IFERROR(VLOOKUP(TablaAgosto[[#This Row],[BARRIO]],SECTOR!$A:$B,2,0),"")</f>
      </c>
      <c r="S453" s="89"/>
      <c r="T453" s="90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6"/>
      <c r="AZ453" s="120">
        <f>COUNTIF(U453:AY453,"A")</f>
      </c>
      <c r="BA453" s="121">
        <f>COUNTIF(U453:AY453,"F")</f>
      </c>
      <c r="BB453" s="119">
        <f>COUNTIF(U453:AY453,"E")</f>
      </c>
    </row>
    <row r="454" spans="1:54" x14ac:dyDescent="0.2">
      <c r="A454" s="84"/>
      <c r="B454" s="85"/>
      <c r="C454" s="85"/>
      <c r="D454" s="85"/>
      <c r="E454" s="86"/>
      <c r="F454" s="16">
        <f>IF(E454="","",DATEDIF(E454,$I$7,"Y"))</f>
      </c>
      <c r="G454" s="85"/>
      <c r="H454" s="85"/>
      <c r="I454" s="87"/>
      <c r="J454" s="85"/>
      <c r="K454" s="85"/>
      <c r="L454" s="10"/>
      <c r="M454" s="10"/>
      <c r="N454" s="10"/>
      <c r="O454" s="10"/>
      <c r="P454" s="85"/>
      <c r="Q454" s="88"/>
      <c r="R454" s="3">
        <f>IFERROR(VLOOKUP(TablaAgosto[[#This Row],[BARRIO]],SECTOR!$A:$B,2,0),"")</f>
      </c>
      <c r="S454" s="89"/>
      <c r="T454" s="90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6"/>
      <c r="AZ454" s="120">
        <f>COUNTIF(U454:AY454,"A")</f>
      </c>
      <c r="BA454" s="121">
        <f>COUNTIF(U454:AY454,"F")</f>
      </c>
      <c r="BB454" s="119">
        <f>COUNTIF(U454:AY454,"E")</f>
      </c>
    </row>
    <row r="455" spans="1:54" x14ac:dyDescent="0.2">
      <c r="A455" s="84"/>
      <c r="B455" s="85"/>
      <c r="C455" s="85"/>
      <c r="D455" s="85"/>
      <c r="E455" s="86"/>
      <c r="F455" s="16">
        <f>IF(E455="","",DATEDIF(E455,$I$7,"Y"))</f>
      </c>
      <c r="G455" s="85"/>
      <c r="H455" s="85"/>
      <c r="I455" s="87"/>
      <c r="J455" s="85"/>
      <c r="K455" s="85"/>
      <c r="L455" s="10"/>
      <c r="M455" s="10"/>
      <c r="N455" s="10"/>
      <c r="O455" s="10"/>
      <c r="P455" s="85"/>
      <c r="Q455" s="88"/>
      <c r="R455" s="3">
        <f>IFERROR(VLOOKUP(TablaAgosto[[#This Row],[BARRIO]],SECTOR!$A:$B,2,0),"")</f>
      </c>
      <c r="S455" s="89"/>
      <c r="T455" s="90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6"/>
      <c r="AZ455" s="120">
        <f>COUNTIF(U455:AY455,"A")</f>
      </c>
      <c r="BA455" s="121">
        <f>COUNTIF(U455:AY455,"F")</f>
      </c>
      <c r="BB455" s="119">
        <f>COUNTIF(U455:AY455,"E")</f>
      </c>
    </row>
    <row r="456" spans="1:54" x14ac:dyDescent="0.2">
      <c r="A456" s="84"/>
      <c r="B456" s="85"/>
      <c r="C456" s="85"/>
      <c r="D456" s="85"/>
      <c r="E456" s="86"/>
      <c r="F456" s="16">
        <f>IF(E456="","",DATEDIF(E456,$I$7,"Y"))</f>
      </c>
      <c r="G456" s="85"/>
      <c r="H456" s="85"/>
      <c r="I456" s="87"/>
      <c r="J456" s="85"/>
      <c r="K456" s="85"/>
      <c r="L456" s="10"/>
      <c r="M456" s="10"/>
      <c r="N456" s="10"/>
      <c r="O456" s="10"/>
      <c r="P456" s="85"/>
      <c r="Q456" s="88"/>
      <c r="R456" s="3">
        <f>IFERROR(VLOOKUP(TablaAgosto[[#This Row],[BARRIO]],SECTOR!$A:$B,2,0),"")</f>
      </c>
      <c r="S456" s="89"/>
      <c r="T456" s="90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6"/>
      <c r="AZ456" s="120">
        <f>COUNTIF(U456:AY456,"A")</f>
      </c>
      <c r="BA456" s="121">
        <f>COUNTIF(U456:AY456,"F")</f>
      </c>
      <c r="BB456" s="119">
        <f>COUNTIF(U456:AY456,"E")</f>
      </c>
    </row>
    <row r="457" spans="1:54" x14ac:dyDescent="0.2">
      <c r="A457" s="84"/>
      <c r="B457" s="85"/>
      <c r="C457" s="85"/>
      <c r="D457" s="85"/>
      <c r="E457" s="86"/>
      <c r="F457" s="16">
        <f>IF(E457="","",DATEDIF(E457,$I$7,"Y"))</f>
      </c>
      <c r="G457" s="85"/>
      <c r="H457" s="85"/>
      <c r="I457" s="87"/>
      <c r="J457" s="85"/>
      <c r="K457" s="85"/>
      <c r="L457" s="10"/>
      <c r="M457" s="10"/>
      <c r="N457" s="10"/>
      <c r="O457" s="10"/>
      <c r="P457" s="85"/>
      <c r="Q457" s="88"/>
      <c r="R457" s="3">
        <f>IFERROR(VLOOKUP(TablaAgosto[[#This Row],[BARRIO]],SECTOR!$A:$B,2,0),"")</f>
      </c>
      <c r="S457" s="89"/>
      <c r="T457" s="90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6"/>
      <c r="AZ457" s="120">
        <f>COUNTIF(U457:AY457,"A")</f>
      </c>
      <c r="BA457" s="121">
        <f>COUNTIF(U457:AY457,"F")</f>
      </c>
      <c r="BB457" s="119">
        <f>COUNTIF(U457:AY457,"E")</f>
      </c>
    </row>
    <row r="458" spans="1:54" x14ac:dyDescent="0.2">
      <c r="A458" s="84"/>
      <c r="B458" s="85"/>
      <c r="C458" s="85"/>
      <c r="D458" s="85"/>
      <c r="E458" s="86"/>
      <c r="F458" s="16">
        <f>IF(E458="","",DATEDIF(E458,$I$7,"Y"))</f>
      </c>
      <c r="G458" s="85"/>
      <c r="H458" s="85"/>
      <c r="I458" s="87"/>
      <c r="J458" s="85"/>
      <c r="K458" s="85"/>
      <c r="L458" s="10"/>
      <c r="M458" s="10"/>
      <c r="N458" s="10"/>
      <c r="O458" s="10"/>
      <c r="P458" s="85"/>
      <c r="Q458" s="88"/>
      <c r="R458" s="3">
        <f>IFERROR(VLOOKUP(TablaAgosto[[#This Row],[BARRIO]],SECTOR!$A:$B,2,0),"")</f>
      </c>
      <c r="S458" s="89"/>
      <c r="T458" s="90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6"/>
      <c r="AZ458" s="120">
        <f>COUNTIF(U458:AY458,"A")</f>
      </c>
      <c r="BA458" s="121">
        <f>COUNTIF(U458:AY458,"F")</f>
      </c>
      <c r="BB458" s="119">
        <f>COUNTIF(U458:AY458,"E")</f>
      </c>
    </row>
    <row r="459" spans="1:54" x14ac:dyDescent="0.2">
      <c r="A459" s="84"/>
      <c r="B459" s="85"/>
      <c r="C459" s="85"/>
      <c r="D459" s="85"/>
      <c r="E459" s="86"/>
      <c r="F459" s="16">
        <f>IF(E459="","",DATEDIF(E459,$I$7,"Y"))</f>
      </c>
      <c r="G459" s="85"/>
      <c r="H459" s="85"/>
      <c r="I459" s="87"/>
      <c r="J459" s="85"/>
      <c r="K459" s="85"/>
      <c r="L459" s="10"/>
      <c r="M459" s="10"/>
      <c r="N459" s="10"/>
      <c r="O459" s="10"/>
      <c r="P459" s="85"/>
      <c r="Q459" s="88"/>
      <c r="R459" s="3">
        <f>IFERROR(VLOOKUP(TablaAgosto[[#This Row],[BARRIO]],SECTOR!$A:$B,2,0),"")</f>
      </c>
      <c r="S459" s="89"/>
      <c r="T459" s="90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6"/>
      <c r="AZ459" s="120">
        <f>COUNTIF(U459:AY459,"A")</f>
      </c>
      <c r="BA459" s="121">
        <f>COUNTIF(U459:AY459,"F")</f>
      </c>
      <c r="BB459" s="119">
        <f>COUNTIF(U459:AY459,"E")</f>
      </c>
    </row>
    <row r="460" spans="1:54" x14ac:dyDescent="0.2">
      <c r="A460" s="84"/>
      <c r="B460" s="85"/>
      <c r="C460" s="85"/>
      <c r="D460" s="85"/>
      <c r="E460" s="86"/>
      <c r="F460" s="16">
        <f>IF(E460="","",DATEDIF(E460,$I$7,"Y"))</f>
      </c>
      <c r="G460" s="85"/>
      <c r="H460" s="85"/>
      <c r="I460" s="87"/>
      <c r="J460" s="85"/>
      <c r="K460" s="85"/>
      <c r="L460" s="10"/>
      <c r="M460" s="10"/>
      <c r="N460" s="10"/>
      <c r="O460" s="10"/>
      <c r="P460" s="85"/>
      <c r="Q460" s="88"/>
      <c r="R460" s="3">
        <f>IFERROR(VLOOKUP(TablaAgosto[[#This Row],[BARRIO]],SECTOR!$A:$B,2,0),"")</f>
      </c>
      <c r="S460" s="89"/>
      <c r="T460" s="90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6"/>
      <c r="AZ460" s="120">
        <f>COUNTIF(U460:AY460,"A")</f>
      </c>
      <c r="BA460" s="121">
        <f>COUNTIF(U460:AY460,"F")</f>
      </c>
      <c r="BB460" s="119">
        <f>COUNTIF(U460:AY460,"E")</f>
      </c>
    </row>
    <row r="461" spans="1:54" x14ac:dyDescent="0.2">
      <c r="A461" s="84"/>
      <c r="B461" s="85"/>
      <c r="C461" s="85"/>
      <c r="D461" s="85"/>
      <c r="E461" s="86"/>
      <c r="F461" s="16">
        <f>IF(E461="","",DATEDIF(E461,$I$7,"Y"))</f>
      </c>
      <c r="G461" s="85"/>
      <c r="H461" s="85"/>
      <c r="I461" s="87"/>
      <c r="J461" s="85"/>
      <c r="K461" s="85"/>
      <c r="L461" s="10"/>
      <c r="M461" s="10"/>
      <c r="N461" s="10"/>
      <c r="O461" s="10"/>
      <c r="P461" s="85"/>
      <c r="Q461" s="88"/>
      <c r="R461" s="3">
        <f>IFERROR(VLOOKUP(TablaAgosto[[#This Row],[BARRIO]],SECTOR!$A:$B,2,0),"")</f>
      </c>
      <c r="S461" s="89"/>
      <c r="T461" s="90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6"/>
      <c r="AZ461" s="120">
        <f>COUNTIF(U461:AY461,"A")</f>
      </c>
      <c r="BA461" s="121">
        <f>COUNTIF(U461:AY461,"F")</f>
      </c>
      <c r="BB461" s="119">
        <f>COUNTIF(U461:AY461,"E")</f>
      </c>
    </row>
    <row r="462" spans="1:54" x14ac:dyDescent="0.2">
      <c r="A462" s="84"/>
      <c r="B462" s="85"/>
      <c r="C462" s="85"/>
      <c r="D462" s="85"/>
      <c r="E462" s="86"/>
      <c r="F462" s="16">
        <f>IF(E462="","",DATEDIF(E462,$I$7,"Y"))</f>
      </c>
      <c r="G462" s="85"/>
      <c r="H462" s="85"/>
      <c r="I462" s="87"/>
      <c r="J462" s="85"/>
      <c r="K462" s="85"/>
      <c r="L462" s="10"/>
      <c r="M462" s="10"/>
      <c r="N462" s="10"/>
      <c r="O462" s="10"/>
      <c r="P462" s="85"/>
      <c r="Q462" s="88"/>
      <c r="R462" s="3">
        <f>IFERROR(VLOOKUP(TablaAgosto[[#This Row],[BARRIO]],SECTOR!$A:$B,2,0),"")</f>
      </c>
      <c r="S462" s="89"/>
      <c r="T462" s="90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6"/>
      <c r="AZ462" s="120">
        <f>COUNTIF(U462:AY462,"A")</f>
      </c>
      <c r="BA462" s="121">
        <f>COUNTIF(U462:AY462,"F")</f>
      </c>
      <c r="BB462" s="119">
        <f>COUNTIF(U462:AY462,"E")</f>
      </c>
    </row>
    <row r="463" spans="1:54" x14ac:dyDescent="0.2">
      <c r="A463" s="84"/>
      <c r="B463" s="85"/>
      <c r="C463" s="85"/>
      <c r="D463" s="85"/>
      <c r="E463" s="86"/>
      <c r="F463" s="16">
        <f>IF(E463="","",DATEDIF(E463,$I$7,"Y"))</f>
      </c>
      <c r="G463" s="85"/>
      <c r="H463" s="85"/>
      <c r="I463" s="87"/>
      <c r="J463" s="85"/>
      <c r="K463" s="85"/>
      <c r="L463" s="10"/>
      <c r="M463" s="10"/>
      <c r="N463" s="10"/>
      <c r="O463" s="10"/>
      <c r="P463" s="85"/>
      <c r="Q463" s="88"/>
      <c r="R463" s="3">
        <f>IFERROR(VLOOKUP(TablaAgosto[[#This Row],[BARRIO]],SECTOR!$A:$B,2,0),"")</f>
      </c>
      <c r="S463" s="89"/>
      <c r="T463" s="90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6"/>
      <c r="AZ463" s="120">
        <f>COUNTIF(U463:AY463,"A")</f>
      </c>
      <c r="BA463" s="121">
        <f>COUNTIF(U463:AY463,"F")</f>
      </c>
      <c r="BB463" s="119">
        <f>COUNTIF(U463:AY463,"E")</f>
      </c>
    </row>
    <row r="464" spans="1:54" x14ac:dyDescent="0.2">
      <c r="A464" s="84"/>
      <c r="B464" s="85"/>
      <c r="C464" s="85"/>
      <c r="D464" s="85"/>
      <c r="E464" s="86"/>
      <c r="F464" s="16">
        <f>IF(E464="","",DATEDIF(E464,$I$7,"Y"))</f>
      </c>
      <c r="G464" s="85"/>
      <c r="H464" s="85"/>
      <c r="I464" s="87"/>
      <c r="J464" s="85"/>
      <c r="K464" s="85"/>
      <c r="L464" s="10"/>
      <c r="M464" s="10"/>
      <c r="N464" s="10"/>
      <c r="O464" s="10"/>
      <c r="P464" s="85"/>
      <c r="Q464" s="88"/>
      <c r="R464" s="3">
        <f>IFERROR(VLOOKUP(TablaAgosto[[#This Row],[BARRIO]],SECTOR!$A:$B,2,0),"")</f>
      </c>
      <c r="S464" s="89"/>
      <c r="T464" s="90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6"/>
      <c r="AZ464" s="120">
        <f>COUNTIF(U464:AY464,"A")</f>
      </c>
      <c r="BA464" s="121">
        <f>COUNTIF(U464:AY464,"F")</f>
      </c>
      <c r="BB464" s="119">
        <f>COUNTIF(U464:AY464,"E")</f>
      </c>
    </row>
    <row r="465" spans="1:54" x14ac:dyDescent="0.2">
      <c r="A465" s="84"/>
      <c r="B465" s="85"/>
      <c r="C465" s="85"/>
      <c r="D465" s="85"/>
      <c r="E465" s="86"/>
      <c r="F465" s="16">
        <f>IF(E465="","",DATEDIF(E465,$I$7,"Y"))</f>
      </c>
      <c r="G465" s="85"/>
      <c r="H465" s="85"/>
      <c r="I465" s="87"/>
      <c r="J465" s="85"/>
      <c r="K465" s="85"/>
      <c r="L465" s="10"/>
      <c r="M465" s="10"/>
      <c r="N465" s="10"/>
      <c r="O465" s="10"/>
      <c r="P465" s="85"/>
      <c r="Q465" s="88"/>
      <c r="R465" s="3">
        <f>IFERROR(VLOOKUP(TablaAgosto[[#This Row],[BARRIO]],SECTOR!$A:$B,2,0),"")</f>
      </c>
      <c r="S465" s="89"/>
      <c r="T465" s="90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6"/>
      <c r="AZ465" s="120">
        <f>COUNTIF(U465:AY465,"A")</f>
      </c>
      <c r="BA465" s="121">
        <f>COUNTIF(U465:AY465,"F")</f>
      </c>
      <c r="BB465" s="119">
        <f>COUNTIF(U465:AY465,"E")</f>
      </c>
    </row>
    <row r="466" spans="1:54" x14ac:dyDescent="0.2">
      <c r="A466" s="84"/>
      <c r="B466" s="85"/>
      <c r="C466" s="85"/>
      <c r="D466" s="85"/>
      <c r="E466" s="86"/>
      <c r="F466" s="16">
        <f>IF(E466="","",DATEDIF(E466,$I$7,"Y"))</f>
      </c>
      <c r="G466" s="85"/>
      <c r="H466" s="85"/>
      <c r="I466" s="87"/>
      <c r="J466" s="85"/>
      <c r="K466" s="85"/>
      <c r="L466" s="10"/>
      <c r="M466" s="10"/>
      <c r="N466" s="10"/>
      <c r="O466" s="10"/>
      <c r="P466" s="85"/>
      <c r="Q466" s="88"/>
      <c r="R466" s="3">
        <f>IFERROR(VLOOKUP(TablaAgosto[[#This Row],[BARRIO]],SECTOR!$A:$B,2,0),"")</f>
      </c>
      <c r="S466" s="89"/>
      <c r="T466" s="90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6"/>
      <c r="AZ466" s="120">
        <f>COUNTIF(U466:AY466,"A")</f>
      </c>
      <c r="BA466" s="121">
        <f>COUNTIF(U466:AY466,"F")</f>
      </c>
      <c r="BB466" s="119">
        <f>COUNTIF(U466:AY466,"E")</f>
      </c>
    </row>
    <row r="467" spans="1:54" x14ac:dyDescent="0.2">
      <c r="A467" s="84"/>
      <c r="B467" s="85"/>
      <c r="C467" s="85"/>
      <c r="D467" s="85"/>
      <c r="E467" s="86"/>
      <c r="F467" s="16">
        <f>IF(E467="","",DATEDIF(E467,$I$7,"Y"))</f>
      </c>
      <c r="G467" s="85"/>
      <c r="H467" s="85"/>
      <c r="I467" s="87"/>
      <c r="J467" s="85"/>
      <c r="K467" s="85"/>
      <c r="L467" s="10"/>
      <c r="M467" s="10"/>
      <c r="N467" s="10"/>
      <c r="O467" s="10"/>
      <c r="P467" s="85"/>
      <c r="Q467" s="88"/>
      <c r="R467" s="3">
        <f>IFERROR(VLOOKUP(TablaAgosto[[#This Row],[BARRIO]],SECTOR!$A:$B,2,0),"")</f>
      </c>
      <c r="S467" s="89"/>
      <c r="T467" s="90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6"/>
      <c r="AZ467" s="120">
        <f>COUNTIF(U467:AY467,"A")</f>
      </c>
      <c r="BA467" s="121">
        <f>COUNTIF(U467:AY467,"F")</f>
      </c>
      <c r="BB467" s="119">
        <f>COUNTIF(U467:AY467,"E")</f>
      </c>
    </row>
    <row r="468" spans="1:54" x14ac:dyDescent="0.2">
      <c r="A468" s="84"/>
      <c r="B468" s="85"/>
      <c r="C468" s="85"/>
      <c r="D468" s="85"/>
      <c r="E468" s="86"/>
      <c r="F468" s="16">
        <f>IF(E468="","",DATEDIF(E468,$I$7,"Y"))</f>
      </c>
      <c r="G468" s="85"/>
      <c r="H468" s="85"/>
      <c r="I468" s="87"/>
      <c r="J468" s="85"/>
      <c r="K468" s="85"/>
      <c r="L468" s="10"/>
      <c r="M468" s="10"/>
      <c r="N468" s="10"/>
      <c r="O468" s="10"/>
      <c r="P468" s="85"/>
      <c r="Q468" s="88"/>
      <c r="R468" s="3">
        <f>IFERROR(VLOOKUP(TablaAgosto[[#This Row],[BARRIO]],SECTOR!$A:$B,2,0),"")</f>
      </c>
      <c r="S468" s="89"/>
      <c r="T468" s="90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6"/>
      <c r="AZ468" s="120">
        <f>COUNTIF(U468:AY468,"A")</f>
      </c>
      <c r="BA468" s="121">
        <f>COUNTIF(U468:AY468,"F")</f>
      </c>
      <c r="BB468" s="119">
        <f>COUNTIF(U468:AY468,"E")</f>
      </c>
    </row>
    <row r="469" spans="1:54" x14ac:dyDescent="0.2">
      <c r="A469" s="84"/>
      <c r="B469" s="85"/>
      <c r="C469" s="85"/>
      <c r="D469" s="85"/>
      <c r="E469" s="86"/>
      <c r="F469" s="16">
        <f>IF(E469="","",DATEDIF(E469,$I$7,"Y"))</f>
      </c>
      <c r="G469" s="85"/>
      <c r="H469" s="85"/>
      <c r="I469" s="87"/>
      <c r="J469" s="85"/>
      <c r="K469" s="85"/>
      <c r="L469" s="10"/>
      <c r="M469" s="10"/>
      <c r="N469" s="10"/>
      <c r="O469" s="10"/>
      <c r="P469" s="85"/>
      <c r="Q469" s="88"/>
      <c r="R469" s="3">
        <f>IFERROR(VLOOKUP(TablaAgosto[[#This Row],[BARRIO]],SECTOR!$A:$B,2,0),"")</f>
      </c>
      <c r="S469" s="89"/>
      <c r="T469" s="90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6"/>
      <c r="AZ469" s="120">
        <f>COUNTIF(U469:AY469,"A")</f>
      </c>
      <c r="BA469" s="121">
        <f>COUNTIF(U469:AY469,"F")</f>
      </c>
      <c r="BB469" s="119">
        <f>COUNTIF(U469:AY469,"E")</f>
      </c>
    </row>
    <row r="470" spans="1:54" x14ac:dyDescent="0.2">
      <c r="A470" s="84"/>
      <c r="B470" s="85"/>
      <c r="C470" s="85"/>
      <c r="D470" s="85"/>
      <c r="E470" s="86"/>
      <c r="F470" s="16">
        <f>IF(E470="","",DATEDIF(E470,$I$7,"Y"))</f>
      </c>
      <c r="G470" s="85"/>
      <c r="H470" s="85"/>
      <c r="I470" s="87"/>
      <c r="J470" s="85"/>
      <c r="K470" s="85"/>
      <c r="L470" s="10"/>
      <c r="M470" s="10"/>
      <c r="N470" s="10"/>
      <c r="O470" s="10"/>
      <c r="P470" s="85"/>
      <c r="Q470" s="88"/>
      <c r="R470" s="3">
        <f>IFERROR(VLOOKUP(TablaAgosto[[#This Row],[BARRIO]],SECTOR!$A:$B,2,0),"")</f>
      </c>
      <c r="S470" s="89"/>
      <c r="T470" s="90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6"/>
      <c r="AZ470" s="120">
        <f>COUNTIF(U470:AY470,"A")</f>
      </c>
      <c r="BA470" s="121">
        <f>COUNTIF(U470:AY470,"F")</f>
      </c>
      <c r="BB470" s="119">
        <f>COUNTIF(U470:AY470,"E")</f>
      </c>
    </row>
    <row r="471" spans="1:54" x14ac:dyDescent="0.2">
      <c r="A471" s="84"/>
      <c r="B471" s="85"/>
      <c r="C471" s="85"/>
      <c r="D471" s="85"/>
      <c r="E471" s="86"/>
      <c r="F471" s="16">
        <f>IF(E471="","",DATEDIF(E471,$I$7,"Y"))</f>
      </c>
      <c r="G471" s="85"/>
      <c r="H471" s="85"/>
      <c r="I471" s="87"/>
      <c r="J471" s="85"/>
      <c r="K471" s="85"/>
      <c r="L471" s="10"/>
      <c r="M471" s="10"/>
      <c r="N471" s="10"/>
      <c r="O471" s="10"/>
      <c r="P471" s="85"/>
      <c r="Q471" s="88"/>
      <c r="R471" s="3">
        <f>IFERROR(VLOOKUP(TablaAgosto[[#This Row],[BARRIO]],SECTOR!$A:$B,2,0),"")</f>
      </c>
      <c r="S471" s="89"/>
      <c r="T471" s="90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6"/>
      <c r="AZ471" s="120">
        <f>COUNTIF(U471:AY471,"A")</f>
      </c>
      <c r="BA471" s="121">
        <f>COUNTIF(U471:AY471,"F")</f>
      </c>
      <c r="BB471" s="119">
        <f>COUNTIF(U471:AY471,"E")</f>
      </c>
    </row>
    <row r="472" spans="1:54" x14ac:dyDescent="0.2">
      <c r="A472" s="84"/>
      <c r="B472" s="85"/>
      <c r="C472" s="85"/>
      <c r="D472" s="85"/>
      <c r="E472" s="86"/>
      <c r="F472" s="16">
        <f>IF(E472="","",DATEDIF(E472,$I$7,"Y"))</f>
      </c>
      <c r="G472" s="85"/>
      <c r="H472" s="85"/>
      <c r="I472" s="87"/>
      <c r="J472" s="85"/>
      <c r="K472" s="85"/>
      <c r="L472" s="10"/>
      <c r="M472" s="10"/>
      <c r="N472" s="10"/>
      <c r="O472" s="10"/>
      <c r="P472" s="85"/>
      <c r="Q472" s="88"/>
      <c r="R472" s="3">
        <f>IFERROR(VLOOKUP(TablaAgosto[[#This Row],[BARRIO]],SECTOR!$A:$B,2,0),"")</f>
      </c>
      <c r="S472" s="89"/>
      <c r="T472" s="90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6"/>
      <c r="AZ472" s="120">
        <f>COUNTIF(U472:AY472,"A")</f>
      </c>
      <c r="BA472" s="121">
        <f>COUNTIF(U472:AY472,"F")</f>
      </c>
      <c r="BB472" s="119">
        <f>COUNTIF(U472:AY472,"E")</f>
      </c>
    </row>
    <row r="473" spans="1:54" x14ac:dyDescent="0.2">
      <c r="A473" s="84"/>
      <c r="B473" s="85"/>
      <c r="C473" s="85"/>
      <c r="D473" s="85"/>
      <c r="E473" s="86"/>
      <c r="F473" s="16">
        <f>IF(E473="","",DATEDIF(E473,$I$7,"Y"))</f>
      </c>
      <c r="G473" s="85"/>
      <c r="H473" s="85"/>
      <c r="I473" s="87"/>
      <c r="J473" s="85"/>
      <c r="K473" s="85"/>
      <c r="L473" s="10"/>
      <c r="M473" s="10"/>
      <c r="N473" s="10"/>
      <c r="O473" s="10"/>
      <c r="P473" s="85"/>
      <c r="Q473" s="88"/>
      <c r="R473" s="3">
        <f>IFERROR(VLOOKUP(TablaAgosto[[#This Row],[BARRIO]],SECTOR!$A:$B,2,0),"")</f>
      </c>
      <c r="S473" s="89"/>
      <c r="T473" s="90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6"/>
      <c r="AZ473" s="120">
        <f>COUNTIF(U473:AY473,"A")</f>
      </c>
      <c r="BA473" s="121">
        <f>COUNTIF(U473:AY473,"F")</f>
      </c>
      <c r="BB473" s="119">
        <f>COUNTIF(U473:AY473,"E")</f>
      </c>
    </row>
    <row r="474" spans="1:54" x14ac:dyDescent="0.2">
      <c r="A474" s="84"/>
      <c r="B474" s="85"/>
      <c r="C474" s="85"/>
      <c r="D474" s="85"/>
      <c r="E474" s="86"/>
      <c r="F474" s="16">
        <f>IF(E474="","",DATEDIF(E474,$I$7,"Y"))</f>
      </c>
      <c r="G474" s="85"/>
      <c r="H474" s="85"/>
      <c r="I474" s="87"/>
      <c r="J474" s="85"/>
      <c r="K474" s="85"/>
      <c r="L474" s="10"/>
      <c r="M474" s="10"/>
      <c r="N474" s="10"/>
      <c r="O474" s="10"/>
      <c r="P474" s="85"/>
      <c r="Q474" s="88"/>
      <c r="R474" s="3">
        <f>IFERROR(VLOOKUP(TablaAgosto[[#This Row],[BARRIO]],SECTOR!$A:$B,2,0),"")</f>
      </c>
      <c r="S474" s="89"/>
      <c r="T474" s="90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6"/>
      <c r="AZ474" s="120">
        <f>COUNTIF(U474:AY474,"A")</f>
      </c>
      <c r="BA474" s="121">
        <f>COUNTIF(U474:AY474,"F")</f>
      </c>
      <c r="BB474" s="119">
        <f>COUNTIF(U474:AY474,"E")</f>
      </c>
    </row>
    <row r="475" spans="1:54" x14ac:dyDescent="0.2">
      <c r="A475" s="84"/>
      <c r="B475" s="85"/>
      <c r="C475" s="85"/>
      <c r="D475" s="85"/>
      <c r="E475" s="86"/>
      <c r="F475" s="16">
        <f>IF(E475="","",DATEDIF(E475,$I$7,"Y"))</f>
      </c>
      <c r="G475" s="85"/>
      <c r="H475" s="85"/>
      <c r="I475" s="87"/>
      <c r="J475" s="85"/>
      <c r="K475" s="85"/>
      <c r="L475" s="10"/>
      <c r="M475" s="10"/>
      <c r="N475" s="10"/>
      <c r="O475" s="10"/>
      <c r="P475" s="85"/>
      <c r="Q475" s="88"/>
      <c r="R475" s="3">
        <f>IFERROR(VLOOKUP(TablaAgosto[[#This Row],[BARRIO]],SECTOR!$A:$B,2,0),"")</f>
      </c>
      <c r="S475" s="89"/>
      <c r="T475" s="90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6"/>
      <c r="AZ475" s="120">
        <f>COUNTIF(U475:AY475,"A")</f>
      </c>
      <c r="BA475" s="121">
        <f>COUNTIF(U475:AY475,"F")</f>
      </c>
      <c r="BB475" s="119">
        <f>COUNTIF(U475:AY475,"E")</f>
      </c>
    </row>
    <row r="476" spans="1:54" x14ac:dyDescent="0.2">
      <c r="A476" s="84"/>
      <c r="B476" s="85"/>
      <c r="C476" s="85"/>
      <c r="D476" s="85"/>
      <c r="E476" s="86"/>
      <c r="F476" s="16">
        <f>IF(E476="","",DATEDIF(E476,$I$7,"Y"))</f>
      </c>
      <c r="G476" s="85"/>
      <c r="H476" s="85"/>
      <c r="I476" s="87"/>
      <c r="J476" s="85"/>
      <c r="K476" s="85"/>
      <c r="L476" s="10"/>
      <c r="M476" s="10"/>
      <c r="N476" s="10"/>
      <c r="O476" s="10"/>
      <c r="P476" s="85"/>
      <c r="Q476" s="88"/>
      <c r="R476" s="3">
        <f>IFERROR(VLOOKUP(TablaAgosto[[#This Row],[BARRIO]],SECTOR!$A:$B,2,0),"")</f>
      </c>
      <c r="S476" s="89"/>
      <c r="T476" s="90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6"/>
      <c r="AZ476" s="120">
        <f>COUNTIF(U476:AY476,"A")</f>
      </c>
      <c r="BA476" s="121">
        <f>COUNTIF(U476:AY476,"F")</f>
      </c>
      <c r="BB476" s="119">
        <f>COUNTIF(U476:AY476,"E")</f>
      </c>
    </row>
    <row r="477" spans="1:54" x14ac:dyDescent="0.2">
      <c r="A477" s="84"/>
      <c r="B477" s="85"/>
      <c r="C477" s="85"/>
      <c r="D477" s="85"/>
      <c r="E477" s="86"/>
      <c r="F477" s="16">
        <f>IF(E477="","",DATEDIF(E477,$I$7,"Y"))</f>
      </c>
      <c r="G477" s="85"/>
      <c r="H477" s="85"/>
      <c r="I477" s="87"/>
      <c r="J477" s="85"/>
      <c r="K477" s="85"/>
      <c r="L477" s="10"/>
      <c r="M477" s="10"/>
      <c r="N477" s="10"/>
      <c r="O477" s="10"/>
      <c r="P477" s="85"/>
      <c r="Q477" s="88"/>
      <c r="R477" s="3">
        <f>IFERROR(VLOOKUP(TablaAgosto[[#This Row],[BARRIO]],SECTOR!$A:$B,2,0),"")</f>
      </c>
      <c r="S477" s="89"/>
      <c r="T477" s="90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6"/>
      <c r="AZ477" s="120">
        <f>COUNTIF(U477:AY477,"A")</f>
      </c>
      <c r="BA477" s="121">
        <f>COUNTIF(U477:AY477,"F")</f>
      </c>
      <c r="BB477" s="119">
        <f>COUNTIF(U477:AY477,"E")</f>
      </c>
    </row>
    <row r="478" spans="1:54" x14ac:dyDescent="0.2">
      <c r="A478" s="84"/>
      <c r="B478" s="85"/>
      <c r="C478" s="85"/>
      <c r="D478" s="85"/>
      <c r="E478" s="86"/>
      <c r="F478" s="16">
        <f>IF(E478="","",DATEDIF(E478,$I$7,"Y"))</f>
      </c>
      <c r="G478" s="85"/>
      <c r="H478" s="85"/>
      <c r="I478" s="87"/>
      <c r="J478" s="85"/>
      <c r="K478" s="85"/>
      <c r="L478" s="10"/>
      <c r="M478" s="10"/>
      <c r="N478" s="10"/>
      <c r="O478" s="10"/>
      <c r="P478" s="85"/>
      <c r="Q478" s="88"/>
      <c r="R478" s="3">
        <f>IFERROR(VLOOKUP(TablaAgosto[[#This Row],[BARRIO]],SECTOR!$A:$B,2,0),"")</f>
      </c>
      <c r="S478" s="89"/>
      <c r="T478" s="90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6"/>
      <c r="AZ478" s="120">
        <f>COUNTIF(U478:AY478,"A")</f>
      </c>
      <c r="BA478" s="121">
        <f>COUNTIF(U478:AY478,"F")</f>
      </c>
      <c r="BB478" s="119">
        <f>COUNTIF(U478:AY478,"E")</f>
      </c>
    </row>
    <row r="479" spans="1:54" x14ac:dyDescent="0.2">
      <c r="A479" s="84"/>
      <c r="B479" s="85"/>
      <c r="C479" s="85"/>
      <c r="D479" s="85"/>
      <c r="E479" s="86"/>
      <c r="F479" s="16">
        <f>IF(E479="","",DATEDIF(E479,$I$7,"Y"))</f>
      </c>
      <c r="G479" s="85"/>
      <c r="H479" s="85"/>
      <c r="I479" s="87"/>
      <c r="J479" s="85"/>
      <c r="K479" s="85"/>
      <c r="L479" s="10"/>
      <c r="M479" s="10"/>
      <c r="N479" s="10"/>
      <c r="O479" s="10"/>
      <c r="P479" s="85"/>
      <c r="Q479" s="88"/>
      <c r="R479" s="3">
        <f>IFERROR(VLOOKUP(TablaAgosto[[#This Row],[BARRIO]],SECTOR!$A:$B,2,0),"")</f>
      </c>
      <c r="S479" s="89"/>
      <c r="T479" s="90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6"/>
      <c r="AZ479" s="120">
        <f>COUNTIF(U479:AY479,"A")</f>
      </c>
      <c r="BA479" s="121">
        <f>COUNTIF(U479:AY479,"F")</f>
      </c>
      <c r="BB479" s="119">
        <f>COUNTIF(U479:AY479,"E")</f>
      </c>
    </row>
    <row r="480" spans="1:54" x14ac:dyDescent="0.2">
      <c r="A480" s="84"/>
      <c r="B480" s="85"/>
      <c r="C480" s="85"/>
      <c r="D480" s="85"/>
      <c r="E480" s="86"/>
      <c r="F480" s="16">
        <f>IF(E480="","",DATEDIF(E480,$I$7,"Y"))</f>
      </c>
      <c r="G480" s="85"/>
      <c r="H480" s="85"/>
      <c r="I480" s="87"/>
      <c r="J480" s="85"/>
      <c r="K480" s="85"/>
      <c r="L480" s="10"/>
      <c r="M480" s="10"/>
      <c r="N480" s="10"/>
      <c r="O480" s="10"/>
      <c r="P480" s="85"/>
      <c r="Q480" s="88"/>
      <c r="R480" s="3">
        <f>IFERROR(VLOOKUP(TablaAgosto[[#This Row],[BARRIO]],SECTOR!$A:$B,2,0),"")</f>
      </c>
      <c r="S480" s="89"/>
      <c r="T480" s="90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6"/>
      <c r="AZ480" s="120">
        <f>COUNTIF(U480:AY480,"A")</f>
      </c>
      <c r="BA480" s="121">
        <f>COUNTIF(U480:AY480,"F")</f>
      </c>
      <c r="BB480" s="119">
        <f>COUNTIF(U480:AY480,"E")</f>
      </c>
    </row>
    <row r="481" spans="1:54" x14ac:dyDescent="0.2">
      <c r="A481" s="84"/>
      <c r="B481" s="85"/>
      <c r="C481" s="85"/>
      <c r="D481" s="85"/>
      <c r="E481" s="86"/>
      <c r="F481" s="16">
        <f>IF(E481="","",DATEDIF(E481,$I$7,"Y"))</f>
      </c>
      <c r="G481" s="85"/>
      <c r="H481" s="85"/>
      <c r="I481" s="87"/>
      <c r="J481" s="85"/>
      <c r="K481" s="85"/>
      <c r="L481" s="10"/>
      <c r="M481" s="10"/>
      <c r="N481" s="10"/>
      <c r="O481" s="10"/>
      <c r="P481" s="85"/>
      <c r="Q481" s="88"/>
      <c r="R481" s="3">
        <f>IFERROR(VLOOKUP(TablaAgosto[[#This Row],[BARRIO]],SECTOR!$A:$B,2,0),"")</f>
      </c>
      <c r="S481" s="89"/>
      <c r="T481" s="90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6"/>
      <c r="AZ481" s="120">
        <f>COUNTIF(U481:AY481,"A")</f>
      </c>
      <c r="BA481" s="121">
        <f>COUNTIF(U481:AY481,"F")</f>
      </c>
      <c r="BB481" s="119">
        <f>COUNTIF(U481:AY481,"E")</f>
      </c>
    </row>
    <row r="482" spans="1:54" x14ac:dyDescent="0.2">
      <c r="A482" s="84"/>
      <c r="B482" s="85"/>
      <c r="C482" s="85"/>
      <c r="D482" s="85"/>
      <c r="E482" s="86"/>
      <c r="F482" s="16">
        <f>IF(E482="","",DATEDIF(E482,$I$7,"Y"))</f>
      </c>
      <c r="G482" s="85"/>
      <c r="H482" s="85"/>
      <c r="I482" s="87"/>
      <c r="J482" s="85"/>
      <c r="K482" s="85"/>
      <c r="L482" s="10"/>
      <c r="M482" s="10"/>
      <c r="N482" s="10"/>
      <c r="O482" s="10"/>
      <c r="P482" s="85"/>
      <c r="Q482" s="88"/>
      <c r="R482" s="3">
        <f>IFERROR(VLOOKUP(TablaAgosto[[#This Row],[BARRIO]],SECTOR!$A:$B,2,0),"")</f>
      </c>
      <c r="S482" s="89"/>
      <c r="T482" s="90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6"/>
      <c r="AZ482" s="120">
        <f>COUNTIF(U482:AY482,"A")</f>
      </c>
      <c r="BA482" s="121">
        <f>COUNTIF(U482:AY482,"F")</f>
      </c>
      <c r="BB482" s="119">
        <f>COUNTIF(U482:AY482,"E")</f>
      </c>
    </row>
    <row r="483" spans="1:54" x14ac:dyDescent="0.2">
      <c r="A483" s="84"/>
      <c r="B483" s="85"/>
      <c r="C483" s="85"/>
      <c r="D483" s="85"/>
      <c r="E483" s="86"/>
      <c r="F483" s="16">
        <f>IF(E483="","",DATEDIF(E483,$I$7,"Y"))</f>
      </c>
      <c r="G483" s="85"/>
      <c r="H483" s="85"/>
      <c r="I483" s="87"/>
      <c r="J483" s="85"/>
      <c r="K483" s="85"/>
      <c r="L483" s="10"/>
      <c r="M483" s="10"/>
      <c r="N483" s="10"/>
      <c r="O483" s="10"/>
      <c r="P483" s="85"/>
      <c r="Q483" s="88"/>
      <c r="R483" s="3">
        <f>IFERROR(VLOOKUP(TablaAgosto[[#This Row],[BARRIO]],SECTOR!$A:$B,2,0),"")</f>
      </c>
      <c r="S483" s="89"/>
      <c r="T483" s="90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6"/>
      <c r="AZ483" s="120">
        <f>COUNTIF(U483:AY483,"A")</f>
      </c>
      <c r="BA483" s="121">
        <f>COUNTIF(U483:AY483,"F")</f>
      </c>
      <c r="BB483" s="119">
        <f>COUNTIF(U483:AY483,"E")</f>
      </c>
    </row>
    <row r="484" spans="1:54" x14ac:dyDescent="0.2">
      <c r="A484" s="84"/>
      <c r="B484" s="85"/>
      <c r="C484" s="85"/>
      <c r="D484" s="85"/>
      <c r="E484" s="86"/>
      <c r="F484" s="16">
        <f>IF(E484="","",DATEDIF(E484,$I$7,"Y"))</f>
      </c>
      <c r="G484" s="85"/>
      <c r="H484" s="85"/>
      <c r="I484" s="87"/>
      <c r="J484" s="85"/>
      <c r="K484" s="85"/>
      <c r="L484" s="10"/>
      <c r="M484" s="10"/>
      <c r="N484" s="10"/>
      <c r="O484" s="10"/>
      <c r="P484" s="85"/>
      <c r="Q484" s="88"/>
      <c r="R484" s="3">
        <f>IFERROR(VLOOKUP(TablaAgosto[[#This Row],[BARRIO]],SECTOR!$A:$B,2,0),"")</f>
      </c>
      <c r="S484" s="89"/>
      <c r="T484" s="90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6"/>
      <c r="AZ484" s="120">
        <f>COUNTIF(U484:AY484,"A")</f>
      </c>
      <c r="BA484" s="121">
        <f>COUNTIF(U484:AY484,"F")</f>
      </c>
      <c r="BB484" s="119">
        <f>COUNTIF(U484:AY484,"E")</f>
      </c>
    </row>
    <row r="485" spans="1:54" x14ac:dyDescent="0.2">
      <c r="A485" s="84"/>
      <c r="B485" s="85"/>
      <c r="C485" s="85"/>
      <c r="D485" s="85"/>
      <c r="E485" s="86"/>
      <c r="F485" s="16">
        <f>IF(E485="","",DATEDIF(E485,$I$7,"Y"))</f>
      </c>
      <c r="G485" s="85"/>
      <c r="H485" s="85"/>
      <c r="I485" s="87"/>
      <c r="J485" s="85"/>
      <c r="K485" s="85"/>
      <c r="L485" s="10"/>
      <c r="M485" s="10"/>
      <c r="N485" s="10"/>
      <c r="O485" s="10"/>
      <c r="P485" s="85"/>
      <c r="Q485" s="88"/>
      <c r="R485" s="3">
        <f>IFERROR(VLOOKUP(TablaAgosto[[#This Row],[BARRIO]],SECTOR!$A:$B,2,0),"")</f>
      </c>
      <c r="S485" s="89"/>
      <c r="T485" s="90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6"/>
      <c r="AZ485" s="120">
        <f>COUNTIF(U485:AY485,"A")</f>
      </c>
      <c r="BA485" s="121">
        <f>COUNTIF(U485:AY485,"F")</f>
      </c>
      <c r="BB485" s="119">
        <f>COUNTIF(U485:AY485,"E")</f>
      </c>
    </row>
    <row r="486" spans="1:54" x14ac:dyDescent="0.2">
      <c r="A486" s="84"/>
      <c r="B486" s="85"/>
      <c r="C486" s="85"/>
      <c r="D486" s="85"/>
      <c r="E486" s="86"/>
      <c r="F486" s="16">
        <f>IF(E486="","",DATEDIF(E486,$I$7,"Y"))</f>
      </c>
      <c r="G486" s="85"/>
      <c r="H486" s="85"/>
      <c r="I486" s="87"/>
      <c r="J486" s="85"/>
      <c r="K486" s="85"/>
      <c r="L486" s="10"/>
      <c r="M486" s="10"/>
      <c r="N486" s="10"/>
      <c r="O486" s="10"/>
      <c r="P486" s="85"/>
      <c r="Q486" s="88"/>
      <c r="R486" s="3">
        <f>IFERROR(VLOOKUP(TablaAgosto[[#This Row],[BARRIO]],SECTOR!$A:$B,2,0),"")</f>
      </c>
      <c r="S486" s="89"/>
      <c r="T486" s="90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6"/>
      <c r="AZ486" s="120">
        <f>COUNTIF(U486:AY486,"A")</f>
      </c>
      <c r="BA486" s="121">
        <f>COUNTIF(U486:AY486,"F")</f>
      </c>
      <c r="BB486" s="119">
        <f>COUNTIF(U486:AY486,"E")</f>
      </c>
    </row>
    <row r="487" spans="1:54" x14ac:dyDescent="0.2">
      <c r="A487" s="84"/>
      <c r="B487" s="85"/>
      <c r="C487" s="85"/>
      <c r="D487" s="85"/>
      <c r="E487" s="86"/>
      <c r="F487" s="16">
        <f>IF(E487="","",DATEDIF(E487,$I$7,"Y"))</f>
      </c>
      <c r="G487" s="85"/>
      <c r="H487" s="85"/>
      <c r="I487" s="87"/>
      <c r="J487" s="85"/>
      <c r="K487" s="85"/>
      <c r="L487" s="10"/>
      <c r="M487" s="10"/>
      <c r="N487" s="10"/>
      <c r="O487" s="10"/>
      <c r="P487" s="85"/>
      <c r="Q487" s="88"/>
      <c r="R487" s="3">
        <f>IFERROR(VLOOKUP(TablaAgosto[[#This Row],[BARRIO]],SECTOR!$A:$B,2,0),"")</f>
      </c>
      <c r="S487" s="89"/>
      <c r="T487" s="90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6"/>
      <c r="AZ487" s="120">
        <f>COUNTIF(U487:AY487,"A")</f>
      </c>
      <c r="BA487" s="121">
        <f>COUNTIF(U487:AY487,"F")</f>
      </c>
      <c r="BB487" s="119">
        <f>COUNTIF(U487:AY487,"E")</f>
      </c>
    </row>
    <row r="488" spans="1:54" x14ac:dyDescent="0.2">
      <c r="A488" s="84"/>
      <c r="B488" s="85"/>
      <c r="C488" s="85"/>
      <c r="D488" s="85"/>
      <c r="E488" s="86"/>
      <c r="F488" s="16">
        <f>IF(E488="","",DATEDIF(E488,$I$7,"Y"))</f>
      </c>
      <c r="G488" s="85"/>
      <c r="H488" s="85"/>
      <c r="I488" s="87"/>
      <c r="J488" s="85"/>
      <c r="K488" s="85"/>
      <c r="L488" s="10"/>
      <c r="M488" s="10"/>
      <c r="N488" s="10"/>
      <c r="O488" s="10"/>
      <c r="P488" s="85"/>
      <c r="Q488" s="88"/>
      <c r="R488" s="3">
        <f>IFERROR(VLOOKUP(TablaAgosto[[#This Row],[BARRIO]],SECTOR!$A:$B,2,0),"")</f>
      </c>
      <c r="S488" s="89"/>
      <c r="T488" s="90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6"/>
      <c r="AZ488" s="120">
        <f>COUNTIF(U488:AY488,"A")</f>
      </c>
      <c r="BA488" s="121">
        <f>COUNTIF(U488:AY488,"F")</f>
      </c>
      <c r="BB488" s="119">
        <f>COUNTIF(U488:AY488,"E")</f>
      </c>
    </row>
    <row r="489" spans="1:54" x14ac:dyDescent="0.2">
      <c r="A489" s="84"/>
      <c r="B489" s="85"/>
      <c r="C489" s="85"/>
      <c r="D489" s="85"/>
      <c r="E489" s="86"/>
      <c r="F489" s="16">
        <f>IF(E489="","",DATEDIF(E489,$I$7,"Y"))</f>
      </c>
      <c r="G489" s="85"/>
      <c r="H489" s="85"/>
      <c r="I489" s="87"/>
      <c r="J489" s="85"/>
      <c r="K489" s="85"/>
      <c r="L489" s="10"/>
      <c r="M489" s="10"/>
      <c r="N489" s="10"/>
      <c r="O489" s="10"/>
      <c r="P489" s="85"/>
      <c r="Q489" s="88"/>
      <c r="R489" s="3">
        <f>IFERROR(VLOOKUP(TablaAgosto[[#This Row],[BARRIO]],SECTOR!$A:$B,2,0),"")</f>
      </c>
      <c r="S489" s="89"/>
      <c r="T489" s="90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6"/>
      <c r="AZ489" s="120">
        <f>COUNTIF(U489:AY489,"A")</f>
      </c>
      <c r="BA489" s="121">
        <f>COUNTIF(U489:AY489,"F")</f>
      </c>
      <c r="BB489" s="119">
        <f>COUNTIF(U489:AY489,"E")</f>
      </c>
    </row>
    <row r="490" spans="1:54" x14ac:dyDescent="0.2">
      <c r="A490" s="84"/>
      <c r="B490" s="85"/>
      <c r="C490" s="85"/>
      <c r="D490" s="85"/>
      <c r="E490" s="86"/>
      <c r="F490" s="16">
        <f>IF(E490="","",DATEDIF(E490,$I$7,"Y"))</f>
      </c>
      <c r="G490" s="85"/>
      <c r="H490" s="85"/>
      <c r="I490" s="87"/>
      <c r="J490" s="85"/>
      <c r="K490" s="85"/>
      <c r="L490" s="10"/>
      <c r="M490" s="10"/>
      <c r="N490" s="10"/>
      <c r="O490" s="10"/>
      <c r="P490" s="85"/>
      <c r="Q490" s="88"/>
      <c r="R490" s="3">
        <f>IFERROR(VLOOKUP(TablaAgosto[[#This Row],[BARRIO]],SECTOR!$A:$B,2,0),"")</f>
      </c>
      <c r="S490" s="89"/>
      <c r="T490" s="90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6"/>
      <c r="AZ490" s="120">
        <f>COUNTIF(U490:AY490,"A")</f>
      </c>
      <c r="BA490" s="121">
        <f>COUNTIF(U490:AY490,"F")</f>
      </c>
      <c r="BB490" s="119">
        <f>COUNTIF(U490:AY490,"E")</f>
      </c>
    </row>
    <row r="491" spans="1:54" x14ac:dyDescent="0.2">
      <c r="A491" s="84"/>
      <c r="B491" s="85"/>
      <c r="C491" s="85"/>
      <c r="D491" s="85"/>
      <c r="E491" s="86"/>
      <c r="F491" s="16">
        <f>IF(E491="","",DATEDIF(E491,$I$7,"Y"))</f>
      </c>
      <c r="G491" s="85"/>
      <c r="H491" s="85"/>
      <c r="I491" s="87"/>
      <c r="J491" s="85"/>
      <c r="K491" s="85"/>
      <c r="L491" s="10"/>
      <c r="M491" s="10"/>
      <c r="N491" s="10"/>
      <c r="O491" s="10"/>
      <c r="P491" s="85"/>
      <c r="Q491" s="88"/>
      <c r="R491" s="3">
        <f>IFERROR(VLOOKUP(TablaAgosto[[#This Row],[BARRIO]],SECTOR!$A:$B,2,0),"")</f>
      </c>
      <c r="S491" s="89"/>
      <c r="T491" s="90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6"/>
      <c r="AZ491" s="120">
        <f>COUNTIF(U491:AY491,"A")</f>
      </c>
      <c r="BA491" s="121">
        <f>COUNTIF(U491:AY491,"F")</f>
      </c>
      <c r="BB491" s="119">
        <f>COUNTIF(U491:AY491,"E")</f>
      </c>
    </row>
    <row r="492" spans="1:54" x14ac:dyDescent="0.2">
      <c r="A492" s="84"/>
      <c r="B492" s="85"/>
      <c r="C492" s="85"/>
      <c r="D492" s="85"/>
      <c r="E492" s="86"/>
      <c r="F492" s="16">
        <f>IF(E492="","",DATEDIF(E492,$I$7,"Y"))</f>
      </c>
      <c r="G492" s="85"/>
      <c r="H492" s="85"/>
      <c r="I492" s="87"/>
      <c r="J492" s="85"/>
      <c r="K492" s="85"/>
      <c r="L492" s="10"/>
      <c r="M492" s="10"/>
      <c r="N492" s="10"/>
      <c r="O492" s="10"/>
      <c r="P492" s="85"/>
      <c r="Q492" s="88"/>
      <c r="R492" s="3">
        <f>IFERROR(VLOOKUP(TablaAgosto[[#This Row],[BARRIO]],SECTOR!$A:$B,2,0),"")</f>
      </c>
      <c r="S492" s="89"/>
      <c r="T492" s="90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6"/>
      <c r="AZ492" s="120">
        <f>COUNTIF(U492:AY492,"A")</f>
      </c>
      <c r="BA492" s="121">
        <f>COUNTIF(U492:AY492,"F")</f>
      </c>
      <c r="BB492" s="119">
        <f>COUNTIF(U492:AY492,"E")</f>
      </c>
    </row>
    <row r="493" spans="1:54" x14ac:dyDescent="0.2">
      <c r="A493" s="84"/>
      <c r="B493" s="85"/>
      <c r="C493" s="85"/>
      <c r="D493" s="85"/>
      <c r="E493" s="86"/>
      <c r="F493" s="16">
        <f>IF(E493="","",DATEDIF(E493,$I$7,"Y"))</f>
      </c>
      <c r="G493" s="85"/>
      <c r="H493" s="85"/>
      <c r="I493" s="87"/>
      <c r="J493" s="85"/>
      <c r="K493" s="85"/>
      <c r="L493" s="10"/>
      <c r="M493" s="10"/>
      <c r="N493" s="10"/>
      <c r="O493" s="10"/>
      <c r="P493" s="85"/>
      <c r="Q493" s="88"/>
      <c r="R493" s="3">
        <f>IFERROR(VLOOKUP(TablaAgosto[[#This Row],[BARRIO]],SECTOR!$A:$B,2,0),"")</f>
      </c>
      <c r="S493" s="89"/>
      <c r="T493" s="90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6"/>
      <c r="AZ493" s="120">
        <f>COUNTIF(U493:AY493,"A")</f>
      </c>
      <c r="BA493" s="121">
        <f>COUNTIF(U493:AY493,"F")</f>
      </c>
      <c r="BB493" s="119">
        <f>COUNTIF(U493:AY493,"E")</f>
      </c>
    </row>
    <row r="494" spans="1:54" x14ac:dyDescent="0.2">
      <c r="A494" s="84"/>
      <c r="B494" s="85"/>
      <c r="C494" s="85"/>
      <c r="D494" s="85"/>
      <c r="E494" s="86"/>
      <c r="F494" s="16">
        <f>IF(E494="","",DATEDIF(E494,$I$7,"Y"))</f>
      </c>
      <c r="G494" s="85"/>
      <c r="H494" s="85"/>
      <c r="I494" s="87"/>
      <c r="J494" s="85"/>
      <c r="K494" s="85"/>
      <c r="L494" s="10"/>
      <c r="M494" s="10"/>
      <c r="N494" s="10"/>
      <c r="O494" s="10"/>
      <c r="P494" s="85"/>
      <c r="Q494" s="88"/>
      <c r="R494" s="3">
        <f>IFERROR(VLOOKUP(TablaAgosto[[#This Row],[BARRIO]],SECTOR!$A:$B,2,0),"")</f>
      </c>
      <c r="S494" s="89"/>
      <c r="T494" s="90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6"/>
      <c r="AZ494" s="120">
        <f>COUNTIF(U494:AY494,"A")</f>
      </c>
      <c r="BA494" s="121">
        <f>COUNTIF(U494:AY494,"F")</f>
      </c>
      <c r="BB494" s="119">
        <f>COUNTIF(U494:AY494,"E")</f>
      </c>
    </row>
    <row r="495" spans="1:54" x14ac:dyDescent="0.2">
      <c r="A495" s="84"/>
      <c r="B495" s="85"/>
      <c r="C495" s="85"/>
      <c r="D495" s="85"/>
      <c r="E495" s="86"/>
      <c r="F495" s="16">
        <f>IF(E495="","",DATEDIF(E495,$I$7,"Y"))</f>
      </c>
      <c r="G495" s="85"/>
      <c r="H495" s="85"/>
      <c r="I495" s="87"/>
      <c r="J495" s="85"/>
      <c r="K495" s="85"/>
      <c r="L495" s="10"/>
      <c r="M495" s="10"/>
      <c r="N495" s="10"/>
      <c r="O495" s="10"/>
      <c r="P495" s="85"/>
      <c r="Q495" s="88"/>
      <c r="R495" s="3">
        <f>IFERROR(VLOOKUP(TablaAgosto[[#This Row],[BARRIO]],SECTOR!$A:$B,2,0),"")</f>
      </c>
      <c r="S495" s="89"/>
      <c r="T495" s="90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6"/>
      <c r="AZ495" s="120">
        <f>COUNTIF(U495:AY495,"A")</f>
      </c>
      <c r="BA495" s="121">
        <f>COUNTIF(U495:AY495,"F")</f>
      </c>
      <c r="BB495" s="119">
        <f>COUNTIF(U495:AY495,"E")</f>
      </c>
    </row>
    <row r="496" spans="1:54" x14ac:dyDescent="0.2">
      <c r="A496" s="84"/>
      <c r="B496" s="85"/>
      <c r="C496" s="85"/>
      <c r="D496" s="85"/>
      <c r="E496" s="86"/>
      <c r="F496" s="16">
        <f>IF(E496="","",DATEDIF(E496,$I$7,"Y"))</f>
      </c>
      <c r="G496" s="85"/>
      <c r="H496" s="85"/>
      <c r="I496" s="87"/>
      <c r="J496" s="85"/>
      <c r="K496" s="85"/>
      <c r="L496" s="10"/>
      <c r="M496" s="10"/>
      <c r="N496" s="10"/>
      <c r="O496" s="10"/>
      <c r="P496" s="85"/>
      <c r="Q496" s="88"/>
      <c r="R496" s="3">
        <f>IFERROR(VLOOKUP(TablaAgosto[[#This Row],[BARRIO]],SECTOR!$A:$B,2,0),"")</f>
      </c>
      <c r="S496" s="89"/>
      <c r="T496" s="90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6"/>
      <c r="AZ496" s="120">
        <f>COUNTIF(U496:AY496,"A")</f>
      </c>
      <c r="BA496" s="121">
        <f>COUNTIF(U496:AY496,"F")</f>
      </c>
      <c r="BB496" s="119">
        <f>COUNTIF(U496:AY496,"E")</f>
      </c>
    </row>
    <row r="497" spans="1:54" x14ac:dyDescent="0.2">
      <c r="A497" s="84"/>
      <c r="B497" s="85"/>
      <c r="C497" s="85"/>
      <c r="D497" s="85"/>
      <c r="E497" s="86"/>
      <c r="F497" s="16">
        <f>IF(E497="","",DATEDIF(E497,$I$7,"Y"))</f>
      </c>
      <c r="G497" s="85"/>
      <c r="H497" s="85"/>
      <c r="I497" s="87"/>
      <c r="J497" s="85"/>
      <c r="K497" s="85"/>
      <c r="L497" s="10"/>
      <c r="M497" s="10"/>
      <c r="N497" s="10"/>
      <c r="O497" s="10"/>
      <c r="P497" s="85"/>
      <c r="Q497" s="88"/>
      <c r="R497" s="3">
        <f>IFERROR(VLOOKUP(TablaAgosto[[#This Row],[BARRIO]],SECTOR!$A:$B,2,0),"")</f>
      </c>
      <c r="S497" s="89"/>
      <c r="T497" s="90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6"/>
      <c r="AZ497" s="120">
        <f>COUNTIF(U497:AY497,"A")</f>
      </c>
      <c r="BA497" s="121">
        <f>COUNTIF(U497:AY497,"F")</f>
      </c>
      <c r="BB497" s="119">
        <f>COUNTIF(U497:AY497,"E")</f>
      </c>
    </row>
    <row r="498" spans="1:54" x14ac:dyDescent="0.2">
      <c r="A498" s="84"/>
      <c r="B498" s="85"/>
      <c r="C498" s="85"/>
      <c r="D498" s="85"/>
      <c r="E498" s="86"/>
      <c r="F498" s="16">
        <f>IF(E498="","",DATEDIF(E498,$I$7,"Y"))</f>
      </c>
      <c r="G498" s="85"/>
      <c r="H498" s="85"/>
      <c r="I498" s="87"/>
      <c r="J498" s="85"/>
      <c r="K498" s="85"/>
      <c r="L498" s="10"/>
      <c r="M498" s="10"/>
      <c r="N498" s="10"/>
      <c r="O498" s="10"/>
      <c r="P498" s="85"/>
      <c r="Q498" s="88"/>
      <c r="R498" s="3">
        <f>IFERROR(VLOOKUP(TablaAgosto[[#This Row],[BARRIO]],SECTOR!$A:$B,2,0),"")</f>
      </c>
      <c r="S498" s="89"/>
      <c r="T498" s="90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6"/>
      <c r="AZ498" s="120">
        <f>COUNTIF(U498:AY498,"A")</f>
      </c>
      <c r="BA498" s="121">
        <f>COUNTIF(U498:AY498,"F")</f>
      </c>
      <c r="BB498" s="119">
        <f>COUNTIF(U498:AY498,"E")</f>
      </c>
    </row>
    <row r="499" spans="1:54" x14ac:dyDescent="0.2">
      <c r="A499" s="84"/>
      <c r="B499" s="85"/>
      <c r="C499" s="85"/>
      <c r="D499" s="85"/>
      <c r="E499" s="86"/>
      <c r="F499" s="16">
        <f>IF(E499="","",DATEDIF(E499,$I$7,"Y"))</f>
      </c>
      <c r="G499" s="85"/>
      <c r="H499" s="85"/>
      <c r="I499" s="87"/>
      <c r="J499" s="85"/>
      <c r="K499" s="85"/>
      <c r="L499" s="10"/>
      <c r="M499" s="10"/>
      <c r="N499" s="10"/>
      <c r="O499" s="10"/>
      <c r="P499" s="85"/>
      <c r="Q499" s="88"/>
      <c r="R499" s="3">
        <f>IFERROR(VLOOKUP(TablaAgosto[[#This Row],[BARRIO]],SECTOR!$A:$B,2,0),"")</f>
      </c>
      <c r="S499" s="89"/>
      <c r="T499" s="90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6"/>
      <c r="AZ499" s="120">
        <f>COUNTIF(U499:AY499,"A")</f>
      </c>
      <c r="BA499" s="121">
        <f>COUNTIF(U499:AY499,"F")</f>
      </c>
      <c r="BB499" s="119">
        <f>COUNTIF(U499:AY499,"E")</f>
      </c>
    </row>
    <row r="500" spans="1:54" x14ac:dyDescent="0.2">
      <c r="A500" s="84"/>
      <c r="B500" s="85"/>
      <c r="C500" s="85"/>
      <c r="D500" s="85"/>
      <c r="E500" s="86"/>
      <c r="F500" s="16">
        <f>IF(E500="","",DATEDIF(E500,$I$7,"Y"))</f>
      </c>
      <c r="G500" s="85"/>
      <c r="H500" s="85"/>
      <c r="I500" s="87"/>
      <c r="J500" s="85"/>
      <c r="K500" s="85"/>
      <c r="L500" s="10"/>
      <c r="M500" s="10"/>
      <c r="N500" s="10"/>
      <c r="O500" s="10"/>
      <c r="P500" s="85"/>
      <c r="Q500" s="88"/>
      <c r="R500" s="3">
        <f>IFERROR(VLOOKUP(TablaAgosto[[#This Row],[BARRIO]],SECTOR!$A:$B,2,0),"")</f>
      </c>
      <c r="S500" s="89"/>
      <c r="T500" s="90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6"/>
      <c r="AZ500" s="120">
        <f>COUNTIF(U500:AY500,"A")</f>
      </c>
      <c r="BA500" s="121">
        <f>COUNTIF(U500:AY500,"F")</f>
      </c>
      <c r="BB500" s="119">
        <f>COUNTIF(U500:AY500,"E")</f>
      </c>
    </row>
    <row r="501" spans="1:54" x14ac:dyDescent="0.2">
      <c r="A501" s="84"/>
      <c r="B501" s="85"/>
      <c r="C501" s="85"/>
      <c r="D501" s="85"/>
      <c r="E501" s="86"/>
      <c r="F501" s="16">
        <f>IF(E501="","",DATEDIF(E501,$I$7,"Y"))</f>
      </c>
      <c r="G501" s="85"/>
      <c r="H501" s="85"/>
      <c r="I501" s="87"/>
      <c r="J501" s="85"/>
      <c r="K501" s="85"/>
      <c r="L501" s="10"/>
      <c r="M501" s="10"/>
      <c r="N501" s="10"/>
      <c r="O501" s="10"/>
      <c r="P501" s="85"/>
      <c r="Q501" s="88"/>
      <c r="R501" s="3">
        <f>IFERROR(VLOOKUP(TablaAgosto[[#This Row],[BARRIO]],SECTOR!$A:$B,2,0),"")</f>
      </c>
      <c r="S501" s="89"/>
      <c r="T501" s="90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6"/>
      <c r="AZ501" s="120">
        <f>COUNTIF(U501:AY501,"A")</f>
      </c>
      <c r="BA501" s="121">
        <f>COUNTIF(U501:AY501,"F")</f>
      </c>
      <c r="BB501" s="119">
        <f>COUNTIF(U501:AY501,"E")</f>
      </c>
    </row>
    <row r="502" spans="1:54" x14ac:dyDescent="0.2">
      <c r="A502" s="84"/>
      <c r="B502" s="85"/>
      <c r="C502" s="85"/>
      <c r="D502" s="85"/>
      <c r="E502" s="86"/>
      <c r="F502" s="16">
        <f>IF(E502="","",DATEDIF(E502,$I$7,"Y"))</f>
      </c>
      <c r="G502" s="85"/>
      <c r="H502" s="85"/>
      <c r="I502" s="87"/>
      <c r="J502" s="85"/>
      <c r="K502" s="85"/>
      <c r="L502" s="10"/>
      <c r="M502" s="10"/>
      <c r="N502" s="10"/>
      <c r="O502" s="10"/>
      <c r="P502" s="85"/>
      <c r="Q502" s="88"/>
      <c r="R502" s="3">
        <f>IFERROR(VLOOKUP(TablaAgosto[[#This Row],[BARRIO]],SECTOR!$A:$B,2,0),"")</f>
      </c>
      <c r="S502" s="89"/>
      <c r="T502" s="90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6"/>
      <c r="AZ502" s="120">
        <f>COUNTIF(U502:AY502,"A")</f>
      </c>
      <c r="BA502" s="121">
        <f>COUNTIF(U502:AY502,"F")</f>
      </c>
      <c r="BB502" s="119">
        <f>COUNTIF(U502:AY502,"E")</f>
      </c>
    </row>
    <row r="503" spans="1:54" x14ac:dyDescent="0.2">
      <c r="A503" s="84"/>
      <c r="B503" s="85"/>
      <c r="C503" s="85"/>
      <c r="D503" s="85"/>
      <c r="E503" s="86"/>
      <c r="F503" s="16">
        <f>IF(E503="","",DATEDIF(E503,$I$7,"Y"))</f>
      </c>
      <c r="G503" s="85"/>
      <c r="H503" s="85"/>
      <c r="I503" s="87"/>
      <c r="J503" s="85"/>
      <c r="K503" s="85"/>
      <c r="L503" s="10"/>
      <c r="M503" s="10"/>
      <c r="N503" s="10"/>
      <c r="O503" s="10"/>
      <c r="P503" s="85"/>
      <c r="Q503" s="88"/>
      <c r="R503" s="3">
        <f>IFERROR(VLOOKUP(TablaAgosto[[#This Row],[BARRIO]],SECTOR!$A:$B,2,0),"")</f>
      </c>
      <c r="S503" s="89"/>
      <c r="T503" s="90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6"/>
      <c r="AZ503" s="120">
        <f>COUNTIF(U503:AY503,"A")</f>
      </c>
      <c r="BA503" s="121">
        <f>COUNTIF(U503:AY503,"F")</f>
      </c>
      <c r="BB503" s="119">
        <f>COUNTIF(U503:AY503,"E")</f>
      </c>
    </row>
    <row r="504" spans="1:54" x14ac:dyDescent="0.2">
      <c r="A504" s="100"/>
      <c r="B504" s="101"/>
      <c r="C504" s="101"/>
      <c r="D504" s="101"/>
      <c r="E504" s="102"/>
      <c r="F504" s="31">
        <f>IF(E504="","",DATEDIF(E504,$I$7,"Y"))</f>
      </c>
      <c r="G504" s="101"/>
      <c r="H504" s="101"/>
      <c r="I504" s="103"/>
      <c r="J504" s="101"/>
      <c r="K504" s="101"/>
      <c r="L504" s="10"/>
      <c r="M504" s="10"/>
      <c r="N504" s="10"/>
      <c r="O504" s="10"/>
      <c r="P504" s="101"/>
      <c r="Q504" s="91"/>
      <c r="R504" s="14">
        <f>IFERROR(VLOOKUP(TablaAgosto[[#This Row],[BARRIO]],SECTOR!$A:$B,2,0),"")</f>
      </c>
      <c r="S504" s="104"/>
      <c r="T504" s="10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7"/>
      <c r="AZ504" s="120">
        <f>COUNTIF(U504:AY504,"A")</f>
      </c>
      <c r="BA504" s="121">
        <f>COUNTIF(U504:AY504,"F")</f>
      </c>
      <c r="BB504" s="118">
        <f>COUNTIF(U504:AY504,"E")</f>
      </c>
    </row>
  </sheetData>
  <sheetProtection sheet="1" objects="1" scenarios="1" autoFilter="0"/>
  <mergeCells count="137">
    <mergeCell ref="B2:B5"/>
    <mergeCell ref="C2:I2"/>
    <mergeCell ref="C3:G3"/>
    <mergeCell ref="C4:G4"/>
    <mergeCell ref="C5:G5"/>
    <mergeCell ref="B7:C7"/>
    <mergeCell ref="D7:G7"/>
    <mergeCell ref="W7:AE7"/>
    <mergeCell ref="AG7:AH7"/>
    <mergeCell ref="AI7:AM7"/>
    <mergeCell ref="AO7:AQ7"/>
    <mergeCell ref="B8:C8"/>
    <mergeCell ref="D8:G8"/>
    <mergeCell ref="S8:T8"/>
    <mergeCell ref="W8:AA8"/>
    <mergeCell ref="AB8:AC8"/>
    <mergeCell ref="AD8:AH8"/>
    <mergeCell ref="AK8:AR8"/>
    <mergeCell ref="AS8:BB8"/>
    <mergeCell ref="B9:C9"/>
    <mergeCell ref="D9:G9"/>
    <mergeCell ref="W9:Y9"/>
    <mergeCell ref="Z9:AA9"/>
    <mergeCell ref="AD9:AF9"/>
    <mergeCell ref="AG9:AH9"/>
    <mergeCell ref="AK9:AL9"/>
    <mergeCell ref="AM9:AN9"/>
    <mergeCell ref="AO9:AP9"/>
    <mergeCell ref="AQ9:AR9"/>
    <mergeCell ref="AS9:BB9"/>
    <mergeCell ref="B10:C10"/>
    <mergeCell ref="D10:G10"/>
    <mergeCell ref="W10:Y10"/>
    <mergeCell ref="Z10:AA10"/>
    <mergeCell ref="AD10:AF10"/>
    <mergeCell ref="AG10:AH10"/>
    <mergeCell ref="AK10:AL10"/>
    <mergeCell ref="AM10:AN10"/>
    <mergeCell ref="AO10:AP10"/>
    <mergeCell ref="AQ10:AR10"/>
    <mergeCell ref="AS10:BB10"/>
    <mergeCell ref="W11:Y11"/>
    <mergeCell ref="Z11:AA11"/>
    <mergeCell ref="AD11:AF11"/>
    <mergeCell ref="AG11:AH11"/>
    <mergeCell ref="AK11:AL11"/>
    <mergeCell ref="AM11:AN11"/>
    <mergeCell ref="AO11:AP11"/>
    <mergeCell ref="AQ11:AR11"/>
    <mergeCell ref="AS11:BB13"/>
    <mergeCell ref="AQ12:AR12"/>
    <mergeCell ref="AQ13:AR13"/>
    <mergeCell ref="B12:B18"/>
    <mergeCell ref="C12:I12"/>
    <mergeCell ref="W12:Y12"/>
    <mergeCell ref="Z12:AA12"/>
    <mergeCell ref="AD12:AF12"/>
    <mergeCell ref="AG12:AH12"/>
    <mergeCell ref="AK12:AL12"/>
    <mergeCell ref="AM12:AN12"/>
    <mergeCell ref="AO12:AP12"/>
    <mergeCell ref="F13:G13"/>
    <mergeCell ref="O13:Q13"/>
    <mergeCell ref="W13:Y13"/>
    <mergeCell ref="Z13:AA13"/>
    <mergeCell ref="AD13:AF13"/>
    <mergeCell ref="AG13:AH13"/>
    <mergeCell ref="AK13:AL13"/>
    <mergeCell ref="AM13:AN13"/>
    <mergeCell ref="AO13:AP13"/>
    <mergeCell ref="C14:C15"/>
    <mergeCell ref="D14:D15"/>
    <mergeCell ref="F14:G15"/>
    <mergeCell ref="H14:H15"/>
    <mergeCell ref="I14:I15"/>
    <mergeCell ref="K14:K15"/>
    <mergeCell ref="L14:L15"/>
    <mergeCell ref="AX15:BA16"/>
    <mergeCell ref="C16:I16"/>
    <mergeCell ref="K16:K17"/>
    <mergeCell ref="L16:L17"/>
    <mergeCell ref="O16:P16"/>
    <mergeCell ref="W16:Y16"/>
    <mergeCell ref="AM14:AN14"/>
    <mergeCell ref="AO14:AP14"/>
    <mergeCell ref="AQ14:AR14"/>
    <mergeCell ref="AV14:AW14"/>
    <mergeCell ref="O15:P15"/>
    <mergeCell ref="W15:Y15"/>
    <mergeCell ref="Z15:AA15"/>
    <mergeCell ref="AD15:AF15"/>
    <mergeCell ref="AG15:AH15"/>
    <mergeCell ref="AK15:AL15"/>
    <mergeCell ref="O14:P14"/>
    <mergeCell ref="W14:Y14"/>
    <mergeCell ref="Z14:AA14"/>
    <mergeCell ref="AD14:AF14"/>
    <mergeCell ref="AG14:AH14"/>
    <mergeCell ref="AK14:AL14"/>
    <mergeCell ref="Z16:AA16"/>
    <mergeCell ref="AD16:AF16"/>
    <mergeCell ref="AG16:AH16"/>
    <mergeCell ref="AK16:AL16"/>
    <mergeCell ref="AM16:AN16"/>
    <mergeCell ref="AV16:AW16"/>
    <mergeCell ref="AM15:AN15"/>
    <mergeCell ref="AO15:AP15"/>
    <mergeCell ref="AQ15:AR15"/>
    <mergeCell ref="AV15:AW15"/>
    <mergeCell ref="AD17:AF17"/>
    <mergeCell ref="AG17:AH17"/>
    <mergeCell ref="AN17:AP17"/>
    <mergeCell ref="AV17:AW17"/>
    <mergeCell ref="AX17:AZ17"/>
    <mergeCell ref="C18:D18"/>
    <mergeCell ref="E18:G18"/>
    <mergeCell ref="H18:I18"/>
    <mergeCell ref="O18:P18"/>
    <mergeCell ref="W18:Y18"/>
    <mergeCell ref="C17:D17"/>
    <mergeCell ref="E17:G17"/>
    <mergeCell ref="H17:I17"/>
    <mergeCell ref="O17:P17"/>
    <mergeCell ref="W17:Y17"/>
    <mergeCell ref="Z17:AA17"/>
    <mergeCell ref="U21:AY22"/>
    <mergeCell ref="AZ21:BB22"/>
    <mergeCell ref="Z18:AA18"/>
    <mergeCell ref="AN18:AP18"/>
    <mergeCell ref="AV18:AW18"/>
    <mergeCell ref="AX18:AZ18"/>
    <mergeCell ref="K19:L19"/>
    <mergeCell ref="O19:P19"/>
    <mergeCell ref="W19:Y19"/>
    <mergeCell ref="Z19:AA19"/>
    <mergeCell ref="AV19:AW19"/>
    <mergeCell ref="AX19:AZ19"/>
  </mergeCells>
  <dataValidations count="12">
    <dataValidation type="custom" allowBlank="1" showInputMessage="1" showErrorMessage="1" errorTitle="SÓLO MAYÚSCULA" sqref="S24:S504">
      <formula1>EXACT(S24, UPPER(S24))</formula1>
    </dataValidation>
    <dataValidation type="custom" allowBlank="1" showInputMessage="1" showErrorMessage="1" errorTitle="SÓLO MAÚSCULA" sqref="P24:P504">
      <formula1>EXACT(P24, UPPER(P24))</formula1>
    </dataValidation>
    <dataValidation type="custom" allowBlank="1" showInputMessage="1" showErrorMessage="1" errorTitle="ERROR" error="SÓLO MAYÚSCULAS" sqref="B24:D504 J24:J504">
      <formula1>EXACT(B24, UPPER(B24))</formula1>
    </dataValidation>
    <dataValidation type="list" allowBlank="1" showInputMessage="1" showErrorMessage="1" sqref="N24:N504">
      <formula1>"SI, NO"</formula1>
    </dataValidation>
    <dataValidation type="list" allowBlank="1" showInputMessage="1" showErrorMessage="1" sqref="G24:G504">
      <formula1>"R.C, T.I, C.C, C.E, PPT, PEP, NES"</formula1>
    </dataValidation>
    <dataValidation type="list" allowBlank="1" showInputMessage="1" showErrorMessage="1" sqref="I24:I504">
      <formula1>"HOMBRE, MUJER"</formula1>
    </dataValidation>
    <dataValidation type="list" allowBlank="1" showInputMessage="1" showErrorMessage="1" sqref="L24:L504">
      <formula1>"OLFATIVA Y TACTO, MENTAL, MOVILIDAD, MULTIPLE, ORAL, PSICOSOCIAL, VISUAL, VOZ Y HABLA, NO SABE NOMBRARLA, N/A"</formula1>
    </dataValidation>
    <dataValidation type="list" allowBlank="1" showInputMessage="1" showErrorMessage="1" sqref="M24:M504">
      <formula1>"HETEROSEXUAL, LESBIANA, ASEXUAL, BISEXUAL, GAY, INTERSEXUAL, NO BINARIO, PANSEXUAL, QUEER, TRANSEXUAL O TRANSGÉNERO, OTRO"</formula1>
    </dataValidation>
    <dataValidation type="list" allowBlank="1" showInputMessage="1" showErrorMessage="1" sqref="O24:O504">
      <formula1>"AFROCOLOMBIANO, INDÍGENA, MESTIZO, MULATO, NO SABE NO RESPONDE, OTRO, PALENQUERO, RAIZAL, ROM GITANO"</formula1>
    </dataValidation>
    <dataValidation type="list" allowBlank="1" showInputMessage="1" showErrorMessage="1" sqref="O23">
      <formula1>"AFRO, INDIGENA, MESTIZA"</formula1>
    </dataValidation>
    <dataValidation type="list" allowBlank="1" showErrorMessage="1" sqref="AI7">
      <formula1>$BH$11:$BH$23</formula1>
    </dataValidation>
    <dataValidation type="list" allowBlank="1" showInputMessage="1" showErrorMessage="1" sqref="Q24:Q504">
      <formula1>SECTOR!$A$2:$A$83</formula1>
    </dataValidation>
  </dataValidations>
  <pageMargins left="0.7" right="0.7" top="0.75" bottom="0.75" header="0.3" footer="0.3"/>
  <pageSetup orientation="portrait"/>
  <ignoredErrors>
    <ignoredError sqref="O23" listDataValidation="1"/>
  </ignoredErrors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2:BB504"/>
  <sheetViews>
    <sheetView showGridLines="0" zoomScaleNormal="100" workbookViewId="0">
      <selection activeCell="A24" sqref="A24"/>
    </sheetView>
  </sheetViews>
  <sheetFormatPr defaultColWidth="9.14453125" defaultRowHeight="15" x14ac:dyDescent="0.2"/>
  <cols>
    <col min="1" max="1" width="6.1875" style="34" customWidth="1"/>
    <col min="2" max="2" width="21.7890625" style="34" customWidth="1"/>
    <col min="3" max="3" width="21.65625" style="34" customWidth="1"/>
    <col min="4" max="4" width="21.7890625" style="34" customWidth="1"/>
    <col min="5" max="5" width="19.50390625" style="34" customWidth="1"/>
    <col min="6" max="6" width="11.1640625" style="34" customWidth="1"/>
    <col min="7" max="7" width="11.56640625" style="34" customWidth="1"/>
    <col min="8" max="8" width="18.4296875" style="34" customWidth="1"/>
    <col min="9" max="9" width="22.59765625" style="34" customWidth="1"/>
    <col min="10" max="10" width="35.109375" style="34" customWidth="1"/>
    <col min="11" max="11" width="11.43359375" style="34" customWidth="1"/>
    <col min="12" max="12" width="16.8125" style="34" customWidth="1"/>
    <col min="13" max="14" width="10.22265625" style="34" customWidth="1"/>
    <col min="15" max="15" width="23.9453125" style="34" bestFit="1" customWidth="1"/>
    <col min="16" max="16" width="23.40625" style="34" customWidth="1"/>
    <col min="17" max="17" width="18.0234375" style="34" customWidth="1"/>
    <col min="18" max="18" width="16.6796875" style="34" customWidth="1"/>
    <col min="19" max="19" width="18.6953125" style="34" bestFit="1" customWidth="1"/>
    <col min="20" max="20" width="17.62109375" style="34" customWidth="1"/>
    <col min="21" max="35" width="5.91796875" style="34" customWidth="1"/>
    <col min="36" max="36" width="6.05078125" style="34" customWidth="1"/>
    <col min="37" max="54" width="5.91796875" style="34" customWidth="1"/>
    <col min="55" max="55" width="9.14453125" style="34"/>
    <col min="56" max="56" width="13.5859375" style="34" bestFit="1" customWidth="1"/>
    <col min="57" max="59" width="10.76171875" style="34" bestFit="1" customWidth="1"/>
    <col min="60" max="16384" width="9.14453125" style="34"/>
  </cols>
  <sheetData>
    <row r="2" spans="1:54" x14ac:dyDescent="0.2">
      <c r="B2" s="244"/>
      <c r="C2" s="247" t="s">
        <v>0</v>
      </c>
      <c r="D2" s="248"/>
      <c r="E2" s="248"/>
      <c r="F2" s="248"/>
      <c r="G2" s="248"/>
      <c r="H2" s="248"/>
      <c r="I2" s="249"/>
    </row>
    <row r="3" spans="1:54" x14ac:dyDescent="0.2">
      <c r="B3" s="245"/>
      <c r="C3" s="250" t="s">
        <v>1</v>
      </c>
      <c r="D3" s="251"/>
      <c r="E3" s="251"/>
      <c r="F3" s="251"/>
      <c r="G3" s="252"/>
      <c r="H3" s="35" t="s">
        <v>2</v>
      </c>
      <c r="I3" s="35" t="s">
        <v>3</v>
      </c>
    </row>
    <row r="4" spans="1:54" x14ac:dyDescent="0.2">
      <c r="B4" s="245"/>
      <c r="C4" s="250" t="s">
        <v>4</v>
      </c>
      <c r="D4" s="251"/>
      <c r="E4" s="251"/>
      <c r="F4" s="251"/>
      <c r="G4" s="252"/>
      <c r="H4" s="35" t="s">
        <v>5</v>
      </c>
      <c r="I4" s="36" t="s">
        <v>6</v>
      </c>
    </row>
    <row r="5" spans="1:54" ht="60" customHeight="1" x14ac:dyDescent="0.2">
      <c r="B5" s="246"/>
      <c r="C5" s="253" t="s">
        <v>7</v>
      </c>
      <c r="D5" s="254"/>
      <c r="E5" s="254"/>
      <c r="F5" s="254"/>
      <c r="G5" s="255"/>
      <c r="H5" s="35" t="s">
        <v>8</v>
      </c>
      <c r="I5" s="37">
        <v>46073</v>
      </c>
    </row>
    <row r="7" spans="1:54" ht="22.5" customHeight="1" x14ac:dyDescent="0.2">
      <c r="A7" s="13"/>
      <c r="B7" s="256" t="s">
        <v>9</v>
      </c>
      <c r="C7" s="257"/>
      <c r="D7" s="230"/>
      <c r="E7" s="231"/>
      <c r="F7" s="231"/>
      <c r="G7" s="232"/>
      <c r="H7" s="38"/>
      <c r="I7" s="39"/>
      <c r="J7" s="40"/>
      <c r="K7" s="40"/>
      <c r="L7" s="12"/>
      <c r="M7" s="12"/>
      <c r="N7" s="12"/>
      <c r="O7" s="12"/>
      <c r="P7" s="12"/>
      <c r="Q7" s="12"/>
      <c r="R7" s="12"/>
      <c r="S7" s="12"/>
      <c r="T7" s="41"/>
      <c r="U7" s="42"/>
      <c r="V7" s="42"/>
      <c r="W7" s="258"/>
      <c r="X7" s="258"/>
      <c r="Y7" s="258"/>
      <c r="Z7" s="258"/>
      <c r="AA7" s="258"/>
      <c r="AB7" s="258"/>
      <c r="AC7" s="258"/>
      <c r="AD7" s="258"/>
      <c r="AE7" s="258"/>
      <c r="AF7" s="13"/>
      <c r="AG7" s="234"/>
      <c r="AH7" s="152"/>
      <c r="AI7" s="233"/>
      <c r="AJ7" s="152"/>
      <c r="AK7" s="152"/>
      <c r="AL7" s="152"/>
      <c r="AM7" s="152"/>
      <c r="AN7" s="13"/>
      <c r="AO7" s="234"/>
      <c r="AP7" s="152"/>
      <c r="AQ7" s="152"/>
      <c r="AR7" s="44"/>
      <c r="AS7" s="45"/>
      <c r="AT7" s="45"/>
      <c r="AU7" s="45"/>
      <c r="AV7" s="45"/>
      <c r="AW7" s="45"/>
      <c r="AX7" s="45"/>
      <c r="AY7" s="12"/>
      <c r="AZ7" s="13"/>
      <c r="BA7" s="13"/>
      <c r="BB7" s="13"/>
    </row>
    <row r="8" spans="1:54" ht="21.75" customHeight="1" x14ac:dyDescent="0.2">
      <c r="A8" s="13"/>
      <c r="B8" s="235" t="s">
        <v>10</v>
      </c>
      <c r="C8" s="236"/>
      <c r="D8" s="223"/>
      <c r="E8" s="224"/>
      <c r="F8" s="224"/>
      <c r="G8" s="225"/>
      <c r="H8" s="11"/>
      <c r="I8" s="11"/>
      <c r="J8" s="11"/>
      <c r="K8" s="11"/>
      <c r="L8" s="12"/>
      <c r="M8" s="12"/>
      <c r="N8" s="12"/>
      <c r="O8" s="12"/>
      <c r="P8" s="12"/>
      <c r="Q8" s="12"/>
      <c r="R8" s="12"/>
      <c r="S8" s="237" t="s">
        <v>11</v>
      </c>
      <c r="T8" s="238"/>
      <c r="U8" s="13"/>
      <c r="V8" s="13"/>
      <c r="W8" s="239" t="s">
        <v>12</v>
      </c>
      <c r="X8" s="239"/>
      <c r="Y8" s="239"/>
      <c r="Z8" s="239"/>
      <c r="AA8" s="239"/>
      <c r="AB8" s="240"/>
      <c r="AC8" s="152"/>
      <c r="AD8" s="241" t="s">
        <v>13</v>
      </c>
      <c r="AE8" s="241"/>
      <c r="AF8" s="241"/>
      <c r="AG8" s="241"/>
      <c r="AH8" s="241"/>
      <c r="AI8" s="12"/>
      <c r="AJ8" s="12"/>
      <c r="AK8" s="242" t="s">
        <v>14</v>
      </c>
      <c r="AL8" s="243"/>
      <c r="AM8" s="243"/>
      <c r="AN8" s="243"/>
      <c r="AO8" s="243"/>
      <c r="AP8" s="243"/>
      <c r="AQ8" s="243"/>
      <c r="AR8" s="243"/>
      <c r="AS8" s="183"/>
      <c r="AT8" s="183"/>
      <c r="AU8" s="183"/>
      <c r="AV8" s="183"/>
      <c r="AW8" s="183"/>
      <c r="AX8" s="183"/>
      <c r="AY8" s="183"/>
      <c r="AZ8" s="183"/>
      <c r="BA8" s="183"/>
      <c r="BB8" s="183"/>
    </row>
    <row r="9" spans="1:54" ht="20.25" customHeight="1" x14ac:dyDescent="0.2">
      <c r="A9" s="13"/>
      <c r="B9" s="228" t="s">
        <v>15</v>
      </c>
      <c r="C9" s="229"/>
      <c r="D9" s="230"/>
      <c r="E9" s="231"/>
      <c r="F9" s="231"/>
      <c r="G9" s="232"/>
      <c r="H9" s="13"/>
      <c r="I9" s="13"/>
      <c r="J9" s="12"/>
      <c r="K9" s="12"/>
      <c r="L9" s="12"/>
      <c r="M9" s="12"/>
      <c r="N9" s="12"/>
      <c r="O9" s="12"/>
      <c r="P9" s="12"/>
      <c r="Q9" s="12"/>
      <c r="R9" s="12"/>
      <c r="S9" s="46" t="s">
        <v>16</v>
      </c>
      <c r="T9" s="114">
        <f>COUNTIFS(TablaSeptiembre[TIPO DISCAPACIDAD], S9)</f>
      </c>
      <c r="U9" s="13"/>
      <c r="V9" s="13"/>
      <c r="W9" s="164" t="s">
        <v>17</v>
      </c>
      <c r="X9" s="164"/>
      <c r="Y9" s="164"/>
      <c r="Z9" s="147">
        <f>COUNTIFS(TablaSeptiembre[ORI. SEXUAL], W9)</f>
      </c>
      <c r="AA9" s="148"/>
      <c r="AB9" s="13"/>
      <c r="AC9" s="13"/>
      <c r="AD9" s="164" t="s">
        <v>18</v>
      </c>
      <c r="AE9" s="164"/>
      <c r="AF9" s="164"/>
      <c r="AG9" s="165">
        <f>COUNTIFS(TablaSeptiembre[[ETNIA ]], AD9)</f>
      </c>
      <c r="AH9" s="165"/>
      <c r="AI9" s="12"/>
      <c r="AJ9" s="12"/>
      <c r="AK9" s="226">
        <v>1</v>
      </c>
      <c r="AL9" s="226"/>
      <c r="AM9" s="202">
        <f>COUNTIFS(TablaSeptiembre[[ COMUNA]], AK9)</f>
      </c>
      <c r="AN9" s="202"/>
      <c r="AO9" s="227">
        <v>3</v>
      </c>
      <c r="AP9" s="227"/>
      <c r="AQ9" s="218">
        <f>COUNTIFS(TablaSeptiembre[[ COMUNA]], AO9)</f>
      </c>
      <c r="AR9" s="218"/>
      <c r="AS9" s="183"/>
      <c r="AT9" s="183"/>
      <c r="AU9" s="183"/>
      <c r="AV9" s="183"/>
      <c r="AW9" s="183"/>
      <c r="AX9" s="183"/>
      <c r="AY9" s="183"/>
      <c r="AZ9" s="183"/>
      <c r="BA9" s="183"/>
      <c r="BB9" s="183"/>
    </row>
    <row r="10" spans="1:54" ht="21.75" customHeight="1" x14ac:dyDescent="0.2">
      <c r="A10" s="13"/>
      <c r="B10" s="221" t="s">
        <v>19</v>
      </c>
      <c r="C10" s="222"/>
      <c r="D10" s="223"/>
      <c r="E10" s="224"/>
      <c r="F10" s="224"/>
      <c r="G10" s="225"/>
      <c r="H10" s="13"/>
      <c r="I10" s="13"/>
      <c r="J10" s="12"/>
      <c r="K10" s="12"/>
      <c r="L10" s="12"/>
      <c r="M10" s="12"/>
      <c r="N10" s="12"/>
      <c r="O10" s="12"/>
      <c r="P10" s="12"/>
      <c r="Q10" s="12"/>
      <c r="R10" s="12"/>
      <c r="S10" s="47" t="s">
        <v>20</v>
      </c>
      <c r="T10" s="115">
        <f>COUNTIFS(TablaSeptiembre[TIPO DISCAPACIDAD], S10)</f>
      </c>
      <c r="U10" s="13"/>
      <c r="V10" s="13"/>
      <c r="W10" s="164" t="s">
        <v>21</v>
      </c>
      <c r="X10" s="164"/>
      <c r="Y10" s="164"/>
      <c r="Z10" s="147">
        <f>COUNTIFS(TablaSeptiembre[ORI. SEXUAL], W10)</f>
      </c>
      <c r="AA10" s="148"/>
      <c r="AB10" s="13"/>
      <c r="AC10" s="13"/>
      <c r="AD10" s="164" t="s">
        <v>22</v>
      </c>
      <c r="AE10" s="164"/>
      <c r="AF10" s="164"/>
      <c r="AG10" s="165">
        <f>COUNTIFS(TablaSeptiembre[[ETNIA ]], AD10)</f>
      </c>
      <c r="AH10" s="165"/>
      <c r="AI10" s="12"/>
      <c r="AJ10" s="12"/>
      <c r="AK10" s="226">
        <v>2</v>
      </c>
      <c r="AL10" s="226"/>
      <c r="AM10" s="202">
        <f>COUNTIFS(TablaSeptiembre[[ COMUNA]], AK10)</f>
      </c>
      <c r="AN10" s="202"/>
      <c r="AO10" s="227">
        <v>4</v>
      </c>
      <c r="AP10" s="227"/>
      <c r="AQ10" s="218">
        <f>COUNTIFS(TablaSeptiembre[[ COMUNA]], AO10)</f>
      </c>
      <c r="AR10" s="218"/>
      <c r="AS10" s="183"/>
      <c r="AT10" s="183"/>
      <c r="AU10" s="183"/>
      <c r="AV10" s="183"/>
      <c r="AW10" s="183"/>
      <c r="AX10" s="183"/>
      <c r="AY10" s="183"/>
      <c r="AZ10" s="183"/>
      <c r="BA10" s="183"/>
      <c r="BB10" s="183"/>
    </row>
    <row r="11" spans="1:54" ht="26.25" customHeight="1" x14ac:dyDescent="0.2">
      <c r="A11" s="13"/>
      <c r="B11" s="13"/>
      <c r="C11" s="33"/>
      <c r="D11" s="33"/>
      <c r="E11" s="33"/>
      <c r="F11" s="33"/>
      <c r="G11" s="33"/>
      <c r="H11" s="33"/>
      <c r="I11" s="33"/>
      <c r="J11" s="33"/>
      <c r="K11" s="33"/>
      <c r="L11" s="12"/>
      <c r="M11" s="12"/>
      <c r="N11" s="12"/>
      <c r="O11" s="12"/>
      <c r="P11" s="12"/>
      <c r="Q11" s="12"/>
      <c r="R11" s="12"/>
      <c r="S11" s="47" t="s">
        <v>23</v>
      </c>
      <c r="T11" s="115">
        <f>COUNTIFS(TablaSeptiembre[TIPO DISCAPACIDAD], S11)</f>
      </c>
      <c r="U11" s="13"/>
      <c r="V11" s="13"/>
      <c r="W11" s="164" t="s">
        <v>24</v>
      </c>
      <c r="X11" s="164"/>
      <c r="Y11" s="164"/>
      <c r="Z11" s="147">
        <f>COUNTIFS(TablaSeptiembre[ORI. SEXUAL], W11)</f>
      </c>
      <c r="AA11" s="148"/>
      <c r="AB11" s="13"/>
      <c r="AC11" s="13"/>
      <c r="AD11" s="164" t="s">
        <v>25</v>
      </c>
      <c r="AE11" s="164"/>
      <c r="AF11" s="164"/>
      <c r="AG11" s="165">
        <f>COUNTIFS(TablaSeptiembre[[ETNIA ]], AD11)</f>
      </c>
      <c r="AH11" s="165"/>
      <c r="AI11" s="13"/>
      <c r="AJ11" s="13"/>
      <c r="AK11" s="201" t="s">
        <v>26</v>
      </c>
      <c r="AL11" s="201"/>
      <c r="AM11" s="202">
        <f>COUNTIFS(TablaSeptiembre[[ COMUNA]], AK11)</f>
      </c>
      <c r="AN11" s="202"/>
      <c r="AO11" s="219" t="s">
        <v>27</v>
      </c>
      <c r="AP11" s="219"/>
      <c r="AQ11" s="218">
        <f>COUNTIFS(TablaSeptiembre[[ COMUNA]], AO11)</f>
      </c>
      <c r="AR11" s="218"/>
      <c r="AS11" s="220"/>
      <c r="AT11" s="220"/>
      <c r="AU11" s="220"/>
      <c r="AV11" s="220"/>
      <c r="AW11" s="220"/>
      <c r="AX11" s="220"/>
      <c r="AY11" s="220"/>
      <c r="AZ11" s="220"/>
      <c r="BA11" s="220"/>
      <c r="BB11" s="220"/>
    </row>
    <row r="12" spans="1:54" ht="26.25" customHeight="1" thickBot="1" x14ac:dyDescent="0.25">
      <c r="A12" s="13"/>
      <c r="B12" s="195" t="s">
        <v>28</v>
      </c>
      <c r="C12" s="198" t="s">
        <v>29</v>
      </c>
      <c r="D12" s="199"/>
      <c r="E12" s="199"/>
      <c r="F12" s="199"/>
      <c r="G12" s="199"/>
      <c r="H12" s="199"/>
      <c r="I12" s="200"/>
      <c r="L12" s="12"/>
      <c r="M12" s="12"/>
      <c r="N12" s="12"/>
      <c r="O12" s="12"/>
      <c r="P12" s="12"/>
      <c r="Q12" s="12"/>
      <c r="R12" s="12"/>
      <c r="S12" s="48" t="s">
        <v>30</v>
      </c>
      <c r="T12" s="115">
        <f>COUNTIFS(TablaSeptiembre[TIPO DISCAPACIDAD], S12)</f>
      </c>
      <c r="U12" s="13"/>
      <c r="V12" s="13"/>
      <c r="W12" s="164" t="s">
        <v>31</v>
      </c>
      <c r="X12" s="164"/>
      <c r="Y12" s="164"/>
      <c r="Z12" s="147">
        <f>COUNTIFS(TablaSeptiembre[ORI. SEXUAL], W12)</f>
      </c>
      <c r="AA12" s="148"/>
      <c r="AB12" s="13"/>
      <c r="AC12" s="13"/>
      <c r="AD12" s="164" t="s">
        <v>32</v>
      </c>
      <c r="AE12" s="164"/>
      <c r="AF12" s="164"/>
      <c r="AG12" s="165">
        <f>COUNTIFS(TablaSeptiembre[[ETNIA ]], AD12)</f>
      </c>
      <c r="AH12" s="165"/>
      <c r="AI12" s="49"/>
      <c r="AJ12" s="49"/>
      <c r="AK12" s="201" t="s">
        <v>33</v>
      </c>
      <c r="AL12" s="201"/>
      <c r="AM12" s="202">
        <f>COUNTIFS(TablaSeptiembre[[ COMUNA]], AK12)</f>
      </c>
      <c r="AN12" s="202"/>
      <c r="AO12" s="180"/>
      <c r="AP12" s="180"/>
      <c r="AQ12" s="183"/>
      <c r="AR12" s="183"/>
      <c r="AS12" s="220"/>
      <c r="AT12" s="220"/>
      <c r="AU12" s="220"/>
      <c r="AV12" s="220"/>
      <c r="AW12" s="220"/>
      <c r="AX12" s="220"/>
      <c r="AY12" s="220"/>
      <c r="AZ12" s="220"/>
      <c r="BA12" s="220"/>
      <c r="BB12" s="220"/>
    </row>
    <row r="13" spans="1:54" ht="29.25" customHeight="1" thickBot="1" x14ac:dyDescent="0.25">
      <c r="B13" s="196"/>
      <c r="C13" s="50" t="s">
        <v>34</v>
      </c>
      <c r="D13" s="51" t="s">
        <v>35</v>
      </c>
      <c r="E13" s="51" t="s">
        <v>36</v>
      </c>
      <c r="F13" s="203" t="s">
        <v>37</v>
      </c>
      <c r="G13" s="204"/>
      <c r="H13" s="52" t="s">
        <v>38</v>
      </c>
      <c r="I13" s="53" t="s">
        <v>39</v>
      </c>
      <c r="K13" s="54"/>
      <c r="L13" s="55"/>
      <c r="M13" s="12"/>
      <c r="N13" s="12"/>
      <c r="O13" s="205" t="s">
        <v>40</v>
      </c>
      <c r="P13" s="206"/>
      <c r="Q13" s="207"/>
      <c r="R13" s="56"/>
      <c r="S13" s="57" t="s">
        <v>41</v>
      </c>
      <c r="T13" s="115">
        <f>COUNTIFS(TablaSeptiembre[TIPO DISCAPACIDAD], S13)</f>
      </c>
      <c r="U13" s="56"/>
      <c r="V13" s="56"/>
      <c r="W13" s="160" t="s">
        <v>42</v>
      </c>
      <c r="X13" s="160"/>
      <c r="Y13" s="160"/>
      <c r="Z13" s="147">
        <f>COUNTIFS(TablaSeptiembre[ORI. SEXUAL], W13)</f>
      </c>
      <c r="AA13" s="148"/>
      <c r="AB13" s="58"/>
      <c r="AC13" s="59"/>
      <c r="AD13" s="208" t="s">
        <v>43</v>
      </c>
      <c r="AE13" s="208"/>
      <c r="AF13" s="208"/>
      <c r="AG13" s="165">
        <f>COUNTIFS(TablaSeptiembre[[ETNIA ]], AD13)</f>
      </c>
      <c r="AH13" s="165"/>
      <c r="AI13" s="56"/>
      <c r="AJ13" s="56"/>
      <c r="AK13" s="209"/>
      <c r="AL13" s="209"/>
      <c r="AM13" s="182"/>
      <c r="AN13" s="182"/>
      <c r="AO13" s="180"/>
      <c r="AP13" s="180"/>
      <c r="AQ13" s="183"/>
      <c r="AR13" s="183"/>
      <c r="AS13" s="220"/>
      <c r="AT13" s="220"/>
      <c r="AU13" s="220"/>
      <c r="AV13" s="220"/>
      <c r="AW13" s="220"/>
      <c r="AX13" s="220"/>
      <c r="AY13" s="220"/>
      <c r="AZ13" s="220"/>
      <c r="BA13" s="220"/>
      <c r="BB13" s="220"/>
    </row>
    <row r="14" spans="1:54" ht="19.5" customHeight="1" thickBot="1" x14ac:dyDescent="0.25">
      <c r="A14" s="13"/>
      <c r="B14" s="196"/>
      <c r="C14" s="210"/>
      <c r="D14" s="210"/>
      <c r="E14" s="8"/>
      <c r="F14" s="212"/>
      <c r="G14" s="213"/>
      <c r="H14" s="210"/>
      <c r="I14" s="210"/>
      <c r="K14" s="216" t="s">
        <v>44</v>
      </c>
      <c r="L14" s="184">
        <f>COUNTIFS(TablaSeptiembre[SEXO], K14)</f>
      </c>
      <c r="M14" s="12"/>
      <c r="N14" s="12"/>
      <c r="O14" s="158" t="s">
        <v>45</v>
      </c>
      <c r="P14" s="159"/>
      <c r="Q14" s="116">
        <f>COUNTIFS(TablaSeptiembre[EDAD], "&lt;6")</f>
      </c>
      <c r="R14" s="56"/>
      <c r="S14" s="47" t="s">
        <v>46</v>
      </c>
      <c r="T14" s="115">
        <f>COUNTIFS(TablaSeptiembre[TIPO DISCAPACIDAD], S14)</f>
      </c>
      <c r="U14" s="60"/>
      <c r="V14" s="56"/>
      <c r="W14" s="160" t="s">
        <v>47</v>
      </c>
      <c r="X14" s="160"/>
      <c r="Y14" s="160"/>
      <c r="Z14" s="147">
        <f>COUNTIFS(TablaSeptiembre[ORI. SEXUAL], W14)</f>
      </c>
      <c r="AA14" s="148"/>
      <c r="AB14" s="13"/>
      <c r="AC14" s="13"/>
      <c r="AD14" s="164" t="s">
        <v>48</v>
      </c>
      <c r="AE14" s="164"/>
      <c r="AF14" s="164"/>
      <c r="AG14" s="165">
        <f>COUNTIFS(TablaSeptiembre[[ETNIA ]], AD14)</f>
      </c>
      <c r="AH14" s="165"/>
      <c r="AI14" s="56"/>
      <c r="AJ14" s="56"/>
      <c r="AK14" s="194"/>
      <c r="AL14" s="194"/>
      <c r="AM14" s="182"/>
      <c r="AN14" s="182"/>
      <c r="AO14" s="180"/>
      <c r="AP14" s="180"/>
      <c r="AQ14" s="183"/>
      <c r="AR14" s="183"/>
      <c r="AV14" s="151"/>
      <c r="AW14" s="152"/>
      <c r="BB14" s="13"/>
    </row>
    <row r="15" spans="1:54" ht="19.5" customHeight="1" thickBot="1" x14ac:dyDescent="0.25">
      <c r="A15" s="13"/>
      <c r="B15" s="196"/>
      <c r="C15" s="211"/>
      <c r="D15" s="211"/>
      <c r="E15" s="9"/>
      <c r="F15" s="214"/>
      <c r="G15" s="215"/>
      <c r="H15" s="211"/>
      <c r="I15" s="211"/>
      <c r="K15" s="217"/>
      <c r="L15" s="185"/>
      <c r="M15" s="12"/>
      <c r="N15" s="12"/>
      <c r="O15" s="192" t="s">
        <v>49</v>
      </c>
      <c r="P15" s="193"/>
      <c r="Q15" s="116">
        <f>COUNTIFS(TablaSeptiembre[EDAD], "&gt;5", TablaSeptiembre[EDAD], "&lt;11")</f>
      </c>
      <c r="R15" s="56"/>
      <c r="S15" s="57" t="s">
        <v>50</v>
      </c>
      <c r="T15" s="115">
        <f>COUNTIFS(TablaSeptiembre[TIPO DISCAPACIDAD], S15)</f>
      </c>
      <c r="U15" s="60"/>
      <c r="V15" s="56"/>
      <c r="W15" s="160" t="s">
        <v>51</v>
      </c>
      <c r="X15" s="160"/>
      <c r="Y15" s="160"/>
      <c r="Z15" s="147">
        <f>COUNTIFS(TablaSeptiembre[ORI. SEXUAL], W15)</f>
      </c>
      <c r="AA15" s="148"/>
      <c r="AB15" s="58"/>
      <c r="AC15" s="59"/>
      <c r="AD15" s="179" t="s">
        <v>52</v>
      </c>
      <c r="AE15" s="179"/>
      <c r="AF15" s="179"/>
      <c r="AG15" s="165">
        <f>COUNTIFS(TablaSeptiembre[[ETNIA ]], AD15)</f>
      </c>
      <c r="AH15" s="165"/>
      <c r="AI15" s="56"/>
      <c r="AJ15" s="56"/>
      <c r="AK15" s="180"/>
      <c r="AL15" s="181"/>
      <c r="AM15" s="182"/>
      <c r="AN15" s="182"/>
      <c r="AO15" s="180"/>
      <c r="AP15" s="180"/>
      <c r="AQ15" s="183"/>
      <c r="AR15" s="183"/>
      <c r="AV15" s="151"/>
      <c r="AW15" s="152"/>
      <c r="AX15" s="186" t="s">
        <v>53</v>
      </c>
      <c r="AY15" s="186"/>
      <c r="AZ15" s="186"/>
      <c r="BA15" s="186"/>
      <c r="BB15" s="13"/>
    </row>
    <row r="16" spans="1:54" ht="19.5" customHeight="1" thickBot="1" x14ac:dyDescent="0.25">
      <c r="A16" s="13"/>
      <c r="B16" s="196"/>
      <c r="C16" s="187" t="s">
        <v>54</v>
      </c>
      <c r="D16" s="188"/>
      <c r="E16" s="188"/>
      <c r="F16" s="188"/>
      <c r="G16" s="188"/>
      <c r="H16" s="188"/>
      <c r="I16" s="189"/>
      <c r="K16" s="190" t="s">
        <v>55</v>
      </c>
      <c r="L16" s="184">
        <f>COUNTIFS(TablaSeptiembre[SEXO], K16)</f>
      </c>
      <c r="M16" s="12"/>
      <c r="N16" s="12"/>
      <c r="O16" s="158" t="s">
        <v>56</v>
      </c>
      <c r="P16" s="159"/>
      <c r="Q16" s="116">
        <f>COUNTIFS(TablaSeptiembre[EDAD], "&gt;10", TablaSeptiembre[EDAD], "&lt;15")</f>
      </c>
      <c r="R16" s="56"/>
      <c r="S16" s="47" t="s">
        <v>57</v>
      </c>
      <c r="T16" s="115">
        <f>COUNTIFS(TablaSeptiembre[TIPO DISCAPACIDAD], S16)</f>
      </c>
      <c r="U16" s="60"/>
      <c r="V16" s="56"/>
      <c r="W16" s="160" t="s">
        <v>58</v>
      </c>
      <c r="X16" s="160"/>
      <c r="Y16" s="160"/>
      <c r="Z16" s="147">
        <f>COUNTIFS(TablaSeptiembre[ORI. SEXUAL], W16)</f>
      </c>
      <c r="AA16" s="148"/>
      <c r="AB16" s="58"/>
      <c r="AC16" s="59"/>
      <c r="AD16" s="179" t="s">
        <v>59</v>
      </c>
      <c r="AE16" s="179"/>
      <c r="AF16" s="179"/>
      <c r="AG16" s="165">
        <f>COUNTIFS(TablaSeptiembre[[ETNIA ]], AD16)</f>
      </c>
      <c r="AH16" s="165"/>
      <c r="AI16" s="56"/>
      <c r="AJ16" s="56"/>
      <c r="AK16" s="180"/>
      <c r="AL16" s="180"/>
      <c r="AM16" s="181"/>
      <c r="AN16" s="181"/>
      <c r="AO16" s="56"/>
      <c r="AP16" s="56"/>
      <c r="AQ16" s="33"/>
      <c r="AV16" s="151"/>
      <c r="AW16" s="152"/>
      <c r="AX16" s="186"/>
      <c r="AY16" s="186"/>
      <c r="AZ16" s="186"/>
      <c r="BA16" s="186"/>
      <c r="BB16" s="13"/>
    </row>
    <row r="17" spans="1:54" ht="19.5" customHeight="1" thickBot="1" x14ac:dyDescent="0.25">
      <c r="A17" s="13"/>
      <c r="B17" s="196"/>
      <c r="C17" s="175" t="s">
        <v>60</v>
      </c>
      <c r="D17" s="176"/>
      <c r="E17" s="175" t="s">
        <v>61</v>
      </c>
      <c r="F17" s="177"/>
      <c r="G17" s="176"/>
      <c r="H17" s="175" t="s">
        <v>62</v>
      </c>
      <c r="I17" s="176"/>
      <c r="K17" s="191"/>
      <c r="L17" s="185"/>
      <c r="M17" s="12"/>
      <c r="N17" s="12"/>
      <c r="O17" s="158" t="s">
        <v>63</v>
      </c>
      <c r="P17" s="159"/>
      <c r="Q17" s="116">
        <f>COUNTIFS(TablaSeptiembre[EDAD], "&gt;14", TablaSeptiembre[EDAD], "&lt;20")</f>
      </c>
      <c r="R17" s="56"/>
      <c r="S17" s="57" t="s">
        <v>64</v>
      </c>
      <c r="T17" s="115">
        <f>COUNTIFS(TablaSeptiembre[TIPO DISCAPACIDAD], S17)</f>
      </c>
      <c r="U17" s="61"/>
      <c r="V17" s="60"/>
      <c r="W17" s="178" t="s">
        <v>65</v>
      </c>
      <c r="X17" s="178"/>
      <c r="Y17" s="178"/>
      <c r="Z17" s="147">
        <f>COUNTIFS(TablaSeptiembre[ORI. SEXUAL], W17)</f>
      </c>
      <c r="AA17" s="148"/>
      <c r="AB17" s="13"/>
      <c r="AC17" s="13"/>
      <c r="AD17" s="164" t="s">
        <v>66</v>
      </c>
      <c r="AE17" s="164"/>
      <c r="AF17" s="164"/>
      <c r="AG17" s="165">
        <f>COUNTIFS(TablaSeptiembre[[ETNIA ]], AD17)</f>
      </c>
      <c r="AH17" s="165"/>
      <c r="AI17" s="56"/>
      <c r="AJ17" s="56"/>
      <c r="AK17" s="56"/>
      <c r="AL17" s="56"/>
      <c r="AM17" s="56"/>
      <c r="AN17" s="149"/>
      <c r="AO17" s="150"/>
      <c r="AP17" s="150"/>
      <c r="AQ17" s="33"/>
      <c r="AV17" s="151"/>
      <c r="AW17" s="152"/>
      <c r="AX17" s="166" t="s">
        <v>67</v>
      </c>
      <c r="AY17" s="167"/>
      <c r="AZ17" s="168"/>
      <c r="BA17" s="62" t="s">
        <v>68</v>
      </c>
      <c r="BB17" s="13"/>
    </row>
    <row r="18" spans="1:54" ht="19.5" customHeight="1" thickBot="1" x14ac:dyDescent="0.25">
      <c r="A18" s="13"/>
      <c r="B18" s="197"/>
      <c r="C18" s="169"/>
      <c r="D18" s="170"/>
      <c r="E18" s="169"/>
      <c r="F18" s="171"/>
      <c r="G18" s="170"/>
      <c r="H18" s="169"/>
      <c r="I18" s="170"/>
      <c r="L18" s="12"/>
      <c r="M18" s="12"/>
      <c r="N18" s="12"/>
      <c r="O18" s="158" t="s">
        <v>69</v>
      </c>
      <c r="P18" s="159"/>
      <c r="Q18" s="116">
        <f>COUNTIFS(TablaSeptiembre[EDAD], "&gt;19", TablaSeptiembre[EDAD], "&lt;60")</f>
      </c>
      <c r="R18" s="56"/>
      <c r="S18" s="47" t="s">
        <v>70</v>
      </c>
      <c r="T18" s="115">
        <f>COUNTIFS(TablaSeptiembre[TIPO DISCAPACIDAD], S18)</f>
      </c>
      <c r="U18" s="60"/>
      <c r="V18" s="56"/>
      <c r="W18" s="172" t="s">
        <v>71</v>
      </c>
      <c r="X18" s="173"/>
      <c r="Y18" s="174"/>
      <c r="Z18" s="147">
        <f>COUNTIFS(TablaSeptiembre[ORI. SEXUAL], W18)</f>
      </c>
      <c r="AA18" s="148"/>
      <c r="AB18" s="13"/>
      <c r="AC18" s="13"/>
      <c r="AD18" s="13"/>
      <c r="AE18" s="13"/>
      <c r="AF18" s="13"/>
      <c r="AG18" s="13"/>
      <c r="AH18" s="60"/>
      <c r="AI18" s="56"/>
      <c r="AJ18" s="56"/>
      <c r="AK18" s="56"/>
      <c r="AL18" s="56"/>
      <c r="AM18" s="56"/>
      <c r="AN18" s="149"/>
      <c r="AO18" s="150"/>
      <c r="AP18" s="150"/>
      <c r="AQ18" s="33"/>
      <c r="AV18" s="151"/>
      <c r="AW18" s="152"/>
      <c r="AX18" s="153" t="s">
        <v>72</v>
      </c>
      <c r="AY18" s="154"/>
      <c r="AZ18" s="155"/>
      <c r="BA18" s="63" t="s">
        <v>73</v>
      </c>
      <c r="BB18" s="13"/>
    </row>
    <row r="19" spans="1:54" ht="19.5" customHeight="1" thickBot="1" x14ac:dyDescent="0.25">
      <c r="A19" s="13"/>
      <c r="B19" s="64"/>
      <c r="C19" s="43"/>
      <c r="D19" s="43"/>
      <c r="E19" s="43"/>
      <c r="F19" s="65"/>
      <c r="G19" s="66"/>
      <c r="H19" s="66"/>
      <c r="I19" s="66"/>
      <c r="J19" s="66"/>
      <c r="K19" s="156" t="s">
        <v>74</v>
      </c>
      <c r="L19" s="157"/>
      <c r="M19" s="12"/>
      <c r="N19" s="12"/>
      <c r="O19" s="158" t="s">
        <v>75</v>
      </c>
      <c r="P19" s="159"/>
      <c r="Q19" s="116">
        <f>COUNTIFS(TablaSeptiembre[EDAD], "&gt;59")</f>
      </c>
      <c r="R19" s="56"/>
      <c r="U19" s="60"/>
      <c r="V19" s="56"/>
      <c r="W19" s="160" t="s">
        <v>66</v>
      </c>
      <c r="X19" s="160"/>
      <c r="Y19" s="160"/>
      <c r="Z19" s="147">
        <f>COUNTIFS(TablaSeptiembre[ORI. SEXUAL], W19)</f>
      </c>
      <c r="AA19" s="148"/>
      <c r="AB19" s="13"/>
      <c r="AC19" s="13"/>
      <c r="AD19" s="13"/>
      <c r="AE19" s="13"/>
      <c r="AF19" s="13"/>
      <c r="AG19" s="13"/>
      <c r="AH19" s="67"/>
      <c r="AI19" s="68"/>
      <c r="AJ19" s="68" t="s">
        <v>76</v>
      </c>
      <c r="AK19" s="68"/>
      <c r="AL19" s="68"/>
      <c r="AM19" s="68"/>
      <c r="AN19" s="68"/>
      <c r="AO19" s="68"/>
      <c r="AP19" s="68"/>
      <c r="AQ19" s="33"/>
      <c r="AV19" s="151"/>
      <c r="AW19" s="152"/>
      <c r="AX19" s="161" t="s">
        <v>77</v>
      </c>
      <c r="AY19" s="162"/>
      <c r="AZ19" s="163"/>
      <c r="BA19" s="69" t="s">
        <v>78</v>
      </c>
      <c r="BB19" s="13"/>
    </row>
    <row r="20" spans="1:54" ht="20.25" customHeight="1" thickBot="1" x14ac:dyDescent="0.25">
      <c r="A20" s="13"/>
      <c r="B20" s="33"/>
      <c r="C20" s="33"/>
      <c r="D20" s="33"/>
      <c r="E20" s="33"/>
      <c r="F20" s="65"/>
      <c r="G20" s="66"/>
      <c r="H20" s="66"/>
      <c r="I20" s="66"/>
      <c r="J20" s="66"/>
      <c r="K20" s="70" t="s">
        <v>79</v>
      </c>
      <c r="L20" s="117">
        <f>COUNTIF(TablaSeptiembre[VICTIMA CONF. ARMADO], K20)</f>
      </c>
      <c r="M20" s="12"/>
      <c r="N20" s="12"/>
      <c r="O20" s="12"/>
      <c r="P20" s="12"/>
      <c r="Q20" s="12"/>
      <c r="R20" s="12"/>
      <c r="S20" s="12"/>
      <c r="T20" s="3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68"/>
      <c r="AI20" s="68"/>
      <c r="AJ20" s="68"/>
      <c r="AK20" s="68"/>
      <c r="AL20" s="68"/>
      <c r="AM20" s="68"/>
      <c r="AN20" s="68"/>
      <c r="AO20" s="68"/>
      <c r="AP20" s="68"/>
      <c r="AQ20" s="33"/>
      <c r="AR20" s="33"/>
      <c r="AS20" s="33"/>
      <c r="AT20" s="33"/>
      <c r="AU20" s="33"/>
      <c r="AV20" s="33"/>
      <c r="AW20" s="33"/>
      <c r="AX20" s="33"/>
      <c r="AY20" s="33"/>
      <c r="AZ20" s="13"/>
      <c r="BA20" s="13"/>
      <c r="BB20" s="13"/>
    </row>
    <row r="21" spans="1:54" ht="18.75" customHeight="1" thickBot="1" x14ac:dyDescent="0.25">
      <c r="A21" s="13"/>
      <c r="B21" s="13"/>
      <c r="C21" s="33"/>
      <c r="D21" s="33"/>
      <c r="E21" s="33"/>
      <c r="F21" s="33"/>
      <c r="G21" s="33"/>
      <c r="H21" s="33"/>
      <c r="I21" s="33"/>
      <c r="J21" s="33"/>
      <c r="K21" s="71" t="s">
        <v>80</v>
      </c>
      <c r="L21" s="117">
        <f>COUNTIF(TablaSeptiembre[VICTIMA CONF. ARMADO], K21)</f>
      </c>
      <c r="M21" s="12"/>
      <c r="N21" s="12"/>
      <c r="O21" s="12"/>
      <c r="P21" s="12"/>
      <c r="Q21" s="12"/>
      <c r="R21" s="12"/>
      <c r="S21" s="12"/>
      <c r="T21" s="33"/>
      <c r="U21" s="135" t="s">
        <v>141</v>
      </c>
      <c r="V21" s="136"/>
      <c r="W21" s="136"/>
      <c r="X21" s="136"/>
      <c r="Y21" s="136"/>
      <c r="Z21" s="136"/>
      <c r="AA21" s="136"/>
      <c r="AB21" s="136"/>
      <c r="AC21" s="136"/>
      <c r="AD21" s="136"/>
      <c r="AE21" s="136"/>
      <c r="AF21" s="136"/>
      <c r="AG21" s="136"/>
      <c r="AH21" s="136"/>
      <c r="AI21" s="136"/>
      <c r="AJ21" s="136"/>
      <c r="AK21" s="136"/>
      <c r="AL21" s="136"/>
      <c r="AM21" s="136"/>
      <c r="AN21" s="136"/>
      <c r="AO21" s="136"/>
      <c r="AP21" s="136"/>
      <c r="AQ21" s="136"/>
      <c r="AR21" s="136"/>
      <c r="AS21" s="136"/>
      <c r="AT21" s="136"/>
      <c r="AU21" s="136"/>
      <c r="AV21" s="136"/>
      <c r="AW21" s="136"/>
      <c r="AX21" s="136"/>
      <c r="AY21" s="137"/>
      <c r="AZ21" s="141" t="s">
        <v>81</v>
      </c>
      <c r="BA21" s="142"/>
      <c r="BB21" s="143"/>
    </row>
    <row r="22" spans="1:54" ht="15" customHeight="1" thickBot="1" x14ac:dyDescent="0.25">
      <c r="A22" s="13"/>
      <c r="B22" s="13"/>
      <c r="C22" s="33"/>
      <c r="D22" s="33"/>
      <c r="E22" s="33"/>
      <c r="F22" s="33"/>
      <c r="G22" s="33"/>
      <c r="H22" s="33"/>
      <c r="I22" s="33"/>
      <c r="J22" s="33"/>
      <c r="K22" s="33"/>
      <c r="L22" s="72"/>
      <c r="M22" s="72"/>
      <c r="N22" s="72"/>
      <c r="O22" s="72"/>
      <c r="P22" s="72"/>
      <c r="Q22" s="12"/>
      <c r="R22" s="12"/>
      <c r="S22" s="12"/>
      <c r="T22" s="73"/>
      <c r="U22" s="138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  <c r="AF22" s="139"/>
      <c r="AG22" s="139"/>
      <c r="AH22" s="139"/>
      <c r="AI22" s="139"/>
      <c r="AJ22" s="139"/>
      <c r="AK22" s="139"/>
      <c r="AL22" s="139"/>
      <c r="AM22" s="139"/>
      <c r="AN22" s="139"/>
      <c r="AO22" s="139"/>
      <c r="AP22" s="139"/>
      <c r="AQ22" s="139"/>
      <c r="AR22" s="139"/>
      <c r="AS22" s="139"/>
      <c r="AT22" s="139"/>
      <c r="AU22" s="139"/>
      <c r="AV22" s="139"/>
      <c r="AW22" s="139"/>
      <c r="AX22" s="139"/>
      <c r="AY22" s="140"/>
      <c r="AZ22" s="144"/>
      <c r="BA22" s="145"/>
      <c r="BB22" s="146"/>
    </row>
    <row r="23" spans="1:54" ht="42" customHeight="1" x14ac:dyDescent="0.2">
      <c r="A23" s="74" t="s">
        <v>82</v>
      </c>
      <c r="B23" s="108" t="s">
        <v>83</v>
      </c>
      <c r="C23" s="108" t="s">
        <v>84</v>
      </c>
      <c r="D23" s="108" t="s">
        <v>85</v>
      </c>
      <c r="E23" s="108" t="s">
        <v>86</v>
      </c>
      <c r="F23" s="109" t="s">
        <v>87</v>
      </c>
      <c r="G23" s="110" t="s">
        <v>88</v>
      </c>
      <c r="H23" s="109" t="s">
        <v>89</v>
      </c>
      <c r="I23" s="111" t="s">
        <v>90</v>
      </c>
      <c r="J23" s="112" t="s">
        <v>91</v>
      </c>
      <c r="K23" s="75" t="s">
        <v>92</v>
      </c>
      <c r="L23" s="76" t="s">
        <v>93</v>
      </c>
      <c r="M23" s="77" t="s">
        <v>94</v>
      </c>
      <c r="N23" s="78" t="s">
        <v>95</v>
      </c>
      <c r="O23" s="79" t="s">
        <v>96</v>
      </c>
      <c r="P23" s="113" t="s">
        <v>97</v>
      </c>
      <c r="Q23" s="80" t="s">
        <v>98</v>
      </c>
      <c r="R23" s="80" t="s">
        <v>99</v>
      </c>
      <c r="S23" s="80" t="s">
        <v>100</v>
      </c>
      <c r="T23" s="81" t="s">
        <v>101</v>
      </c>
      <c r="U23" s="28" t="s">
        <v>102</v>
      </c>
      <c r="V23" s="28" t="s">
        <v>103</v>
      </c>
      <c r="W23" s="27" t="s">
        <v>104</v>
      </c>
      <c r="X23" s="122" t="s">
        <v>105</v>
      </c>
      <c r="Y23" s="26" t="s">
        <v>106</v>
      </c>
      <c r="Z23" s="26" t="s">
        <v>107</v>
      </c>
      <c r="AA23" s="28" t="s">
        <v>108</v>
      </c>
      <c r="AB23" s="28" t="s">
        <v>109</v>
      </c>
      <c r="AC23" s="28" t="s">
        <v>110</v>
      </c>
      <c r="AD23" s="26" t="s">
        <v>111</v>
      </c>
      <c r="AE23" s="122" t="s">
        <v>112</v>
      </c>
      <c r="AF23" s="26" t="s">
        <v>113</v>
      </c>
      <c r="AG23" s="122" t="s">
        <v>114</v>
      </c>
      <c r="AH23" s="26" t="s">
        <v>115</v>
      </c>
      <c r="AI23" s="28" t="s">
        <v>116</v>
      </c>
      <c r="AJ23" s="28" t="s">
        <v>117</v>
      </c>
      <c r="AK23" s="28" t="s">
        <v>118</v>
      </c>
      <c r="AL23" s="122" t="s">
        <v>119</v>
      </c>
      <c r="AM23" s="26" t="s">
        <v>120</v>
      </c>
      <c r="AN23" s="122" t="s">
        <v>121</v>
      </c>
      <c r="AO23" s="122" t="s">
        <v>122</v>
      </c>
      <c r="AP23" s="28" t="s">
        <v>123</v>
      </c>
      <c r="AQ23" s="125" t="s">
        <v>124</v>
      </c>
      <c r="AR23" s="29" t="s">
        <v>125</v>
      </c>
      <c r="AS23" s="123" t="s">
        <v>126</v>
      </c>
      <c r="AT23" s="26" t="s">
        <v>127</v>
      </c>
      <c r="AU23" s="122" t="s">
        <v>128</v>
      </c>
      <c r="AV23" s="122" t="s">
        <v>129</v>
      </c>
      <c r="AW23" s="28" t="s">
        <v>130</v>
      </c>
      <c r="AX23" s="124" t="s">
        <v>131</v>
      </c>
      <c r="AY23" s="122" t="s">
        <v>132</v>
      </c>
      <c r="AZ23" s="82" t="s">
        <v>68</v>
      </c>
      <c r="BA23" s="82" t="s">
        <v>73</v>
      </c>
      <c r="BB23" s="83" t="s">
        <v>78</v>
      </c>
    </row>
    <row r="24" spans="1:54" ht="15.75" customHeight="1" x14ac:dyDescent="0.2">
      <c r="A24" s="84"/>
      <c r="B24" s="85"/>
      <c r="C24" s="85"/>
      <c r="D24" s="85"/>
      <c r="E24" s="86"/>
      <c r="F24" s="16">
        <f>IF(E24="","",DATEDIF(E24,$I$7,"Y"))</f>
      </c>
      <c r="G24" s="85"/>
      <c r="H24" s="85"/>
      <c r="I24" s="87"/>
      <c r="J24" s="85"/>
      <c r="K24" s="85"/>
      <c r="L24" s="2"/>
      <c r="M24" s="2"/>
      <c r="N24" s="2"/>
      <c r="O24" s="2"/>
      <c r="P24" s="85"/>
      <c r="Q24" s="88"/>
      <c r="R24" s="3">
        <f>IFERROR(VLOOKUP(TablaSeptiembre[[#This Row],[BARRIO]],SECTOR!$A:$B,2,0),"")</f>
      </c>
      <c r="S24" s="89"/>
      <c r="T24" s="90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17">
        <f>COUNTIF(U24:AY24,"A")</f>
      </c>
      <c r="BA24" s="17">
        <f>COUNTIF(U24:AY24,"F")</f>
      </c>
      <c r="BB24" s="17">
        <f>COUNTIF(U24:AY24,"E")</f>
      </c>
    </row>
    <row r="25" spans="1:54" ht="15.75" customHeight="1" x14ac:dyDescent="0.2">
      <c r="A25" s="84"/>
      <c r="B25" s="85"/>
      <c r="C25" s="85"/>
      <c r="D25" s="85"/>
      <c r="E25" s="86"/>
      <c r="F25" s="16">
        <f>IF(E25="","",DATEDIF(E25,$I$7,"Y"))</f>
      </c>
      <c r="G25" s="85"/>
      <c r="H25" s="85"/>
      <c r="I25" s="87"/>
      <c r="J25" s="85"/>
      <c r="K25" s="85"/>
      <c r="L25" s="2"/>
      <c r="M25" s="2"/>
      <c r="N25" s="1"/>
      <c r="O25" s="1"/>
      <c r="P25" s="85"/>
      <c r="Q25" s="88"/>
      <c r="R25" s="3">
        <f>IFERROR(VLOOKUP(TablaSeptiembre[[#This Row],[BARRIO]],SECTOR!$A:$B,2,0),"")</f>
      </c>
      <c r="S25" s="89"/>
      <c r="T25" s="90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17">
        <f>COUNTIF(U25:AY25,"A")</f>
      </c>
      <c r="BA25" s="17">
        <f>COUNTIF(U25:AY25,"F")</f>
      </c>
      <c r="BB25" s="17">
        <f>COUNTIF(U25:AY25,"E")</f>
      </c>
    </row>
    <row r="26" spans="1:54" ht="15.75" customHeight="1" x14ac:dyDescent="0.2">
      <c r="A26" s="84"/>
      <c r="B26" s="85"/>
      <c r="C26" s="85"/>
      <c r="D26" s="85"/>
      <c r="E26" s="86"/>
      <c r="F26" s="16">
        <f>IF(E26="","",DATEDIF(E26,$I$7,"Y"))</f>
      </c>
      <c r="G26" s="85"/>
      <c r="H26" s="85"/>
      <c r="I26" s="87"/>
      <c r="J26" s="85"/>
      <c r="K26" s="85"/>
      <c r="L26" s="2"/>
      <c r="M26" s="2"/>
      <c r="N26" s="1"/>
      <c r="O26" s="1"/>
      <c r="P26" s="85"/>
      <c r="Q26" s="88"/>
      <c r="R26" s="3">
        <f>IFERROR(VLOOKUP(TablaSeptiembre[[#This Row],[BARRIO]],SECTOR!$A:$B,2,0),"")</f>
      </c>
      <c r="S26" s="89"/>
      <c r="T26" s="90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17">
        <f>COUNTIF(U26:AY26,"A")</f>
      </c>
      <c r="BA26" s="17">
        <f>COUNTIF(U26:AY26,"F")</f>
      </c>
      <c r="BB26" s="17">
        <f>COUNTIF(U26:AY26,"E")</f>
      </c>
    </row>
    <row r="27" spans="1:54" ht="15.75" customHeight="1" x14ac:dyDescent="0.2">
      <c r="A27" s="84"/>
      <c r="B27" s="85"/>
      <c r="C27" s="85"/>
      <c r="D27" s="85"/>
      <c r="E27" s="86"/>
      <c r="F27" s="16">
        <f>IF(E27="","",DATEDIF(E27,$I$7,"Y"))</f>
      </c>
      <c r="G27" s="85"/>
      <c r="H27" s="85"/>
      <c r="I27" s="87"/>
      <c r="J27" s="85"/>
      <c r="K27" s="85"/>
      <c r="L27" s="2"/>
      <c r="M27" s="2"/>
      <c r="N27" s="1"/>
      <c r="O27" s="1"/>
      <c r="P27" s="85"/>
      <c r="Q27" s="88"/>
      <c r="R27" s="3">
        <f>IFERROR(VLOOKUP(TablaSeptiembre[[#This Row],[BARRIO]],SECTOR!$A:$B,2,0),"")</f>
      </c>
      <c r="S27" s="89"/>
      <c r="T27" s="90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17">
        <f>COUNTIF(U27:AY27,"A")</f>
      </c>
      <c r="BA27" s="17">
        <f>COUNTIF(U27:AY27,"F")</f>
      </c>
      <c r="BB27" s="17">
        <f>COUNTIF(U27:AY27,"E")</f>
      </c>
    </row>
    <row r="28" spans="1:54" ht="15.75" customHeight="1" x14ac:dyDescent="0.2">
      <c r="A28" s="84"/>
      <c r="B28" s="85"/>
      <c r="C28" s="85"/>
      <c r="D28" s="85"/>
      <c r="E28" s="86"/>
      <c r="F28" s="16">
        <f>IF(E28="","",DATEDIF(E28,$I$7,"Y"))</f>
      </c>
      <c r="G28" s="85"/>
      <c r="H28" s="85"/>
      <c r="I28" s="87"/>
      <c r="J28" s="85"/>
      <c r="K28" s="85"/>
      <c r="L28" s="2"/>
      <c r="M28" s="2"/>
      <c r="N28" s="1"/>
      <c r="O28" s="1"/>
      <c r="P28" s="85"/>
      <c r="Q28" s="88"/>
      <c r="R28" s="3">
        <f>IFERROR(VLOOKUP(TablaSeptiembre[[#This Row],[BARRIO]],SECTOR!$A:$B,2,0),"")</f>
      </c>
      <c r="S28" s="89"/>
      <c r="T28" s="90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17">
        <f>COUNTIF(U28:AY28,"A")</f>
      </c>
      <c r="BA28" s="17">
        <f>COUNTIF(U28:AY28,"F")</f>
      </c>
      <c r="BB28" s="17">
        <f>COUNTIF(U28:AY28,"E")</f>
      </c>
    </row>
    <row r="29" spans="1:54" ht="15.75" customHeight="1" x14ac:dyDescent="0.2">
      <c r="A29" s="84"/>
      <c r="B29" s="85"/>
      <c r="C29" s="85"/>
      <c r="D29" s="85"/>
      <c r="E29" s="86"/>
      <c r="F29" s="16">
        <f>IF(E29="","",DATEDIF(E29,$I$7,"Y"))</f>
      </c>
      <c r="G29" s="85"/>
      <c r="H29" s="85"/>
      <c r="I29" s="87"/>
      <c r="J29" s="85"/>
      <c r="K29" s="85"/>
      <c r="L29" s="2"/>
      <c r="M29" s="2"/>
      <c r="N29" s="1"/>
      <c r="O29" s="1"/>
      <c r="P29" s="85"/>
      <c r="Q29" s="88"/>
      <c r="R29" s="3">
        <f>IFERROR(VLOOKUP(TablaSeptiembre[[#This Row],[BARRIO]],SECTOR!$A:$B,2,0),"")</f>
      </c>
      <c r="S29" s="89"/>
      <c r="T29" s="90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17">
        <f>COUNTIF(U29:AY29,"A")</f>
      </c>
      <c r="BA29" s="17">
        <f>COUNTIF(U29:AY29,"F")</f>
      </c>
      <c r="BB29" s="17">
        <f>COUNTIF(U29:AY29,"E")</f>
      </c>
    </row>
    <row r="30" spans="1:54" ht="15.75" customHeight="1" x14ac:dyDescent="0.2">
      <c r="A30" s="84"/>
      <c r="B30" s="85"/>
      <c r="C30" s="85"/>
      <c r="D30" s="85"/>
      <c r="E30" s="86"/>
      <c r="F30" s="16">
        <f>IF(E30="","",DATEDIF(E30,$I$7,"Y"))</f>
      </c>
      <c r="G30" s="85"/>
      <c r="H30" s="85"/>
      <c r="I30" s="87"/>
      <c r="J30" s="85"/>
      <c r="K30" s="85"/>
      <c r="L30" s="2"/>
      <c r="M30" s="2"/>
      <c r="N30" s="1"/>
      <c r="O30" s="1"/>
      <c r="P30" s="85"/>
      <c r="Q30" s="88"/>
      <c r="R30" s="3">
        <f>IFERROR(VLOOKUP(TablaSeptiembre[[#This Row],[BARRIO]],SECTOR!$A:$B,2,0),"")</f>
      </c>
      <c r="S30" s="89"/>
      <c r="T30" s="90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17">
        <f>COUNTIF(U30:AY30,"A")</f>
      </c>
      <c r="BA30" s="17">
        <f>COUNTIF(U30:AY30,"F")</f>
      </c>
      <c r="BB30" s="17">
        <f>COUNTIF(U30:AY30,"E")</f>
      </c>
    </row>
    <row r="31" spans="1:54" ht="15.75" customHeight="1" x14ac:dyDescent="0.2">
      <c r="A31" s="84"/>
      <c r="B31" s="85"/>
      <c r="C31" s="85"/>
      <c r="D31" s="85"/>
      <c r="E31" s="86"/>
      <c r="F31" s="16">
        <f>IF(E31="","",DATEDIF(E31,$I$7,"Y"))</f>
      </c>
      <c r="G31" s="85"/>
      <c r="H31" s="85"/>
      <c r="I31" s="87"/>
      <c r="J31" s="85"/>
      <c r="K31" s="85"/>
      <c r="L31" s="2"/>
      <c r="M31" s="2"/>
      <c r="N31" s="1"/>
      <c r="O31" s="1"/>
      <c r="P31" s="85"/>
      <c r="Q31" s="88"/>
      <c r="R31" s="3">
        <f>IFERROR(VLOOKUP(TablaSeptiembre[[#This Row],[BARRIO]],SECTOR!$A:$B,2,0),"")</f>
      </c>
      <c r="S31" s="89"/>
      <c r="T31" s="90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17">
        <f>COUNTIF(U31:AY31,"A")</f>
      </c>
      <c r="BA31" s="17">
        <f>COUNTIF(U31:AY31,"F")</f>
      </c>
      <c r="BB31" s="17">
        <f>COUNTIF(U31:AY31,"E")</f>
      </c>
    </row>
    <row r="32" spans="1:54" ht="15.75" customHeight="1" x14ac:dyDescent="0.2">
      <c r="A32" s="84"/>
      <c r="B32" s="85"/>
      <c r="C32" s="85"/>
      <c r="D32" s="85"/>
      <c r="E32" s="86"/>
      <c r="F32" s="16">
        <f>IF(E32="","",DATEDIF(E32,$I$7,"Y"))</f>
      </c>
      <c r="G32" s="85"/>
      <c r="H32" s="85"/>
      <c r="I32" s="87"/>
      <c r="J32" s="85"/>
      <c r="K32" s="85"/>
      <c r="L32" s="2"/>
      <c r="M32" s="2"/>
      <c r="N32" s="1"/>
      <c r="O32" s="1"/>
      <c r="P32" s="85"/>
      <c r="Q32" s="88"/>
      <c r="R32" s="3">
        <f>IFERROR(VLOOKUP(TablaSeptiembre[[#This Row],[BARRIO]],SECTOR!$A:$B,2,0),"")</f>
      </c>
      <c r="S32" s="89"/>
      <c r="T32" s="90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17">
        <f>COUNTIF(U32:AY32,"A")</f>
      </c>
      <c r="BA32" s="17">
        <f>COUNTIF(U32:AY32,"F")</f>
      </c>
      <c r="BB32" s="17">
        <f>COUNTIF(U32:AY32,"E")</f>
      </c>
    </row>
    <row r="33" spans="1:54" ht="15.75" customHeight="1" x14ac:dyDescent="0.2">
      <c r="A33" s="84"/>
      <c r="B33" s="85"/>
      <c r="C33" s="85"/>
      <c r="D33" s="85"/>
      <c r="E33" s="86"/>
      <c r="F33" s="16">
        <f>IF(E33="","",DATEDIF(E33,$I$7,"Y"))</f>
      </c>
      <c r="G33" s="85"/>
      <c r="H33" s="85"/>
      <c r="I33" s="87"/>
      <c r="J33" s="85"/>
      <c r="K33" s="85"/>
      <c r="L33" s="2"/>
      <c r="M33" s="2"/>
      <c r="N33" s="1"/>
      <c r="O33" s="1"/>
      <c r="P33" s="85"/>
      <c r="Q33" s="88"/>
      <c r="R33" s="3">
        <f>IFERROR(VLOOKUP(TablaSeptiembre[[#This Row],[BARRIO]],SECTOR!$A:$B,2,0),"")</f>
      </c>
      <c r="S33" s="89"/>
      <c r="T33" s="90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17">
        <f>COUNTIF(U33:AY33,"A")</f>
      </c>
      <c r="BA33" s="17">
        <f>COUNTIF(U33:AY33,"F")</f>
      </c>
      <c r="BB33" s="17">
        <f>COUNTIF(U33:AY33,"E")</f>
      </c>
    </row>
    <row r="34" spans="1:54" ht="15.75" customHeight="1" x14ac:dyDescent="0.2">
      <c r="A34" s="84"/>
      <c r="B34" s="85"/>
      <c r="C34" s="85"/>
      <c r="D34" s="85"/>
      <c r="E34" s="86"/>
      <c r="F34" s="16">
        <f>IF(E34="","",DATEDIF(E34,$I$7,"Y"))</f>
      </c>
      <c r="G34" s="85"/>
      <c r="H34" s="85"/>
      <c r="I34" s="87"/>
      <c r="J34" s="85"/>
      <c r="K34" s="85"/>
      <c r="L34" s="2"/>
      <c r="M34" s="2"/>
      <c r="N34" s="1"/>
      <c r="O34" s="1"/>
      <c r="P34" s="85"/>
      <c r="Q34" s="88"/>
      <c r="R34" s="3">
        <f>IFERROR(VLOOKUP(TablaSeptiembre[[#This Row],[BARRIO]],SECTOR!$A:$B,2,0),"")</f>
      </c>
      <c r="S34" s="89"/>
      <c r="T34" s="90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17">
        <f>COUNTIF(U34:AY34,"A")</f>
      </c>
      <c r="BA34" s="17">
        <f>COUNTIF(U34:AY34,"F")</f>
      </c>
      <c r="BB34" s="17">
        <f>COUNTIF(U34:AY34,"E")</f>
      </c>
    </row>
    <row r="35" spans="1:54" ht="15.75" customHeight="1" x14ac:dyDescent="0.2">
      <c r="A35" s="84"/>
      <c r="B35" s="85"/>
      <c r="C35" s="85"/>
      <c r="D35" s="85"/>
      <c r="E35" s="86"/>
      <c r="F35" s="16">
        <f>IF(E35="","",DATEDIF(E35,$I$7,"Y"))</f>
      </c>
      <c r="G35" s="85"/>
      <c r="H35" s="85"/>
      <c r="I35" s="87"/>
      <c r="J35" s="85"/>
      <c r="K35" s="85"/>
      <c r="L35" s="2"/>
      <c r="M35" s="2"/>
      <c r="N35" s="1"/>
      <c r="O35" s="1"/>
      <c r="P35" s="85"/>
      <c r="Q35" s="88"/>
      <c r="R35" s="3">
        <f>IFERROR(VLOOKUP(TablaSeptiembre[[#This Row],[BARRIO]],SECTOR!$A:$B,2,0),"")</f>
      </c>
      <c r="S35" s="89"/>
      <c r="T35" s="90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17">
        <f>COUNTIF(U35:AY35,"A")</f>
      </c>
      <c r="BA35" s="17">
        <f>COUNTIF(U35:AY35,"F")</f>
      </c>
      <c r="BB35" s="17">
        <f>COUNTIF(U35:AY35,"E")</f>
      </c>
    </row>
    <row r="36" spans="1:54" ht="15.75" customHeight="1" x14ac:dyDescent="0.2">
      <c r="A36" s="84"/>
      <c r="B36" s="85"/>
      <c r="C36" s="85"/>
      <c r="D36" s="85"/>
      <c r="E36" s="86"/>
      <c r="F36" s="16">
        <f>IF(E36="","",DATEDIF(E36,$I$7,"Y"))</f>
      </c>
      <c r="G36" s="85"/>
      <c r="H36" s="85"/>
      <c r="I36" s="87"/>
      <c r="J36" s="85"/>
      <c r="K36" s="85"/>
      <c r="L36" s="2"/>
      <c r="M36" s="2"/>
      <c r="N36" s="1"/>
      <c r="O36" s="1"/>
      <c r="P36" s="85"/>
      <c r="Q36" s="88"/>
      <c r="R36" s="3">
        <f>IFERROR(VLOOKUP(TablaSeptiembre[[#This Row],[BARRIO]],SECTOR!$A:$B,2,0),"")</f>
      </c>
      <c r="S36" s="89"/>
      <c r="T36" s="90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17">
        <f>COUNTIF(U36:AY36,"A")</f>
      </c>
      <c r="BA36" s="17">
        <f>COUNTIF(U36:AY36,"F")</f>
      </c>
      <c r="BB36" s="17">
        <f>COUNTIF(U36:AY36,"E")</f>
      </c>
    </row>
    <row r="37" spans="1:54" ht="15.75" customHeight="1" x14ac:dyDescent="0.2">
      <c r="A37" s="84"/>
      <c r="B37" s="85"/>
      <c r="C37" s="85"/>
      <c r="D37" s="85"/>
      <c r="E37" s="86"/>
      <c r="F37" s="16">
        <f>IF(E37="","",DATEDIF(E37,$I$7,"Y"))</f>
      </c>
      <c r="G37" s="85"/>
      <c r="H37" s="85"/>
      <c r="I37" s="87"/>
      <c r="J37" s="85"/>
      <c r="K37" s="85"/>
      <c r="L37" s="2"/>
      <c r="M37" s="2"/>
      <c r="N37" s="1"/>
      <c r="O37" s="1"/>
      <c r="P37" s="85"/>
      <c r="Q37" s="88"/>
      <c r="R37" s="3">
        <f>IFERROR(VLOOKUP(TablaSeptiembre[[#This Row],[BARRIO]],SECTOR!$A:$B,2,0),"")</f>
      </c>
      <c r="S37" s="89"/>
      <c r="T37" s="90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17">
        <f>COUNTIF(U37:AY37,"A")</f>
      </c>
      <c r="BA37" s="17">
        <f>COUNTIF(U37:AY37,"F")</f>
      </c>
      <c r="BB37" s="17">
        <f>COUNTIF(U37:AY37,"E")</f>
      </c>
    </row>
    <row r="38" spans="1:54" ht="15.75" customHeight="1" x14ac:dyDescent="0.2">
      <c r="A38" s="84"/>
      <c r="B38" s="85"/>
      <c r="C38" s="85"/>
      <c r="D38" s="85"/>
      <c r="E38" s="86"/>
      <c r="F38" s="16">
        <f>IF(E38="","",DATEDIF(E38,$I$7,"Y"))</f>
      </c>
      <c r="G38" s="85"/>
      <c r="H38" s="85"/>
      <c r="I38" s="87"/>
      <c r="J38" s="85"/>
      <c r="K38" s="85"/>
      <c r="L38" s="2"/>
      <c r="M38" s="2"/>
      <c r="N38" s="1"/>
      <c r="O38" s="1"/>
      <c r="P38" s="85"/>
      <c r="Q38" s="88"/>
      <c r="R38" s="3">
        <f>IFERROR(VLOOKUP(TablaSeptiembre[[#This Row],[BARRIO]],SECTOR!$A:$B,2,0),"")</f>
      </c>
      <c r="S38" s="89"/>
      <c r="T38" s="90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17">
        <f>COUNTIF(U38:AY38,"A")</f>
      </c>
      <c r="BA38" s="17">
        <f>COUNTIF(U38:AY38,"F")</f>
      </c>
      <c r="BB38" s="17">
        <f>COUNTIF(U38:AY38,"E")</f>
      </c>
    </row>
    <row r="39" spans="1:54" ht="15.75" customHeight="1" x14ac:dyDescent="0.2">
      <c r="A39" s="84"/>
      <c r="B39" s="85"/>
      <c r="C39" s="85"/>
      <c r="D39" s="85"/>
      <c r="E39" s="86"/>
      <c r="F39" s="16">
        <f>IF(E39="","",DATEDIF(E39,$I$7,"Y"))</f>
      </c>
      <c r="G39" s="85"/>
      <c r="H39" s="85"/>
      <c r="I39" s="87"/>
      <c r="J39" s="85"/>
      <c r="K39" s="85"/>
      <c r="L39" s="2"/>
      <c r="M39" s="2"/>
      <c r="N39" s="1"/>
      <c r="O39" s="1"/>
      <c r="P39" s="85"/>
      <c r="Q39" s="88"/>
      <c r="R39" s="3">
        <f>IFERROR(VLOOKUP(TablaSeptiembre[[#This Row],[BARRIO]],SECTOR!$A:$B,2,0),"")</f>
      </c>
      <c r="S39" s="89"/>
      <c r="T39" s="90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17">
        <f>COUNTIF(U39:AY39,"A")</f>
      </c>
      <c r="BA39" s="17">
        <f>COUNTIF(U39:AY39,"F")</f>
      </c>
      <c r="BB39" s="17">
        <f>COUNTIF(U39:AY39,"E")</f>
      </c>
    </row>
    <row r="40" spans="1:54" ht="15.75" customHeight="1" x14ac:dyDescent="0.2">
      <c r="A40" s="84"/>
      <c r="B40" s="85"/>
      <c r="C40" s="85"/>
      <c r="D40" s="85"/>
      <c r="E40" s="86"/>
      <c r="F40" s="16">
        <f>IF(E40="","",DATEDIF(E40,$I$7,"Y"))</f>
      </c>
      <c r="G40" s="85"/>
      <c r="H40" s="85"/>
      <c r="I40" s="87"/>
      <c r="J40" s="85"/>
      <c r="K40" s="85"/>
      <c r="L40" s="2"/>
      <c r="M40" s="2"/>
      <c r="N40" s="1"/>
      <c r="O40" s="1"/>
      <c r="P40" s="85"/>
      <c r="Q40" s="88"/>
      <c r="R40" s="3">
        <f>IFERROR(VLOOKUP(TablaSeptiembre[[#This Row],[BARRIO]],SECTOR!$A:$B,2,0),"")</f>
      </c>
      <c r="S40" s="89"/>
      <c r="T40" s="90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17">
        <f>COUNTIF(U40:AY40,"A")</f>
      </c>
      <c r="BA40" s="17">
        <f>COUNTIF(U40:AY40,"F")</f>
      </c>
      <c r="BB40" s="17">
        <f>COUNTIF(U40:AY40,"E")</f>
      </c>
    </row>
    <row r="41" spans="1:54" ht="15.75" customHeight="1" x14ac:dyDescent="0.2">
      <c r="A41" s="84"/>
      <c r="B41" s="85"/>
      <c r="C41" s="85"/>
      <c r="D41" s="85"/>
      <c r="E41" s="86"/>
      <c r="F41" s="16">
        <f>IF(E41="","",DATEDIF(E41,$I$7,"Y"))</f>
      </c>
      <c r="G41" s="85"/>
      <c r="H41" s="85"/>
      <c r="I41" s="87"/>
      <c r="J41" s="85"/>
      <c r="K41" s="85"/>
      <c r="L41" s="2"/>
      <c r="M41" s="2"/>
      <c r="N41" s="1"/>
      <c r="O41" s="1"/>
      <c r="P41" s="85"/>
      <c r="Q41" s="88"/>
      <c r="R41" s="3">
        <f>IFERROR(VLOOKUP(TablaSeptiembre[[#This Row],[BARRIO]],SECTOR!$A:$B,2,0),"")</f>
      </c>
      <c r="S41" s="89"/>
      <c r="T41" s="90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17">
        <f>COUNTIF(U41:AY41,"A")</f>
      </c>
      <c r="BA41" s="17">
        <f>COUNTIF(U41:AY41,"F")</f>
      </c>
      <c r="BB41" s="17">
        <f>COUNTIF(U41:AY41,"E")</f>
      </c>
    </row>
    <row r="42" spans="1:54" ht="15.75" customHeight="1" x14ac:dyDescent="0.2">
      <c r="A42" s="84"/>
      <c r="B42" s="85"/>
      <c r="C42" s="85"/>
      <c r="D42" s="85"/>
      <c r="E42" s="86"/>
      <c r="F42" s="16">
        <f>IF(E42="","",DATEDIF(E42,$I$7,"Y"))</f>
      </c>
      <c r="G42" s="85"/>
      <c r="H42" s="85"/>
      <c r="I42" s="87"/>
      <c r="J42" s="85"/>
      <c r="K42" s="85"/>
      <c r="L42" s="2"/>
      <c r="M42" s="2"/>
      <c r="N42" s="1"/>
      <c r="O42" s="1"/>
      <c r="P42" s="85"/>
      <c r="Q42" s="88"/>
      <c r="R42" s="3">
        <f>IFERROR(VLOOKUP(TablaSeptiembre[[#This Row],[BARRIO]],SECTOR!$A:$B,2,0),"")</f>
      </c>
      <c r="S42" s="89"/>
      <c r="T42" s="90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17">
        <f>COUNTIF(U42:AY42,"A")</f>
      </c>
      <c r="BA42" s="17">
        <f>COUNTIF(U42:AY42,"F")</f>
      </c>
      <c r="BB42" s="17">
        <f>COUNTIF(U42:AY42,"E")</f>
      </c>
    </row>
    <row r="43" spans="1:54" ht="15.75" customHeight="1" x14ac:dyDescent="0.2">
      <c r="A43" s="84"/>
      <c r="B43" s="85"/>
      <c r="C43" s="85"/>
      <c r="D43" s="85"/>
      <c r="E43" s="86"/>
      <c r="F43" s="16">
        <f>IF(E43="","",DATEDIF(E43,$I$7,"Y"))</f>
      </c>
      <c r="G43" s="85"/>
      <c r="H43" s="85"/>
      <c r="I43" s="87"/>
      <c r="J43" s="85"/>
      <c r="K43" s="85"/>
      <c r="L43" s="2"/>
      <c r="M43" s="2"/>
      <c r="N43" s="1"/>
      <c r="O43" s="1"/>
      <c r="P43" s="85"/>
      <c r="Q43" s="88"/>
      <c r="R43" s="3">
        <f>IFERROR(VLOOKUP(TablaSeptiembre[[#This Row],[BARRIO]],SECTOR!$A:$B,2,0),"")</f>
      </c>
      <c r="S43" s="89"/>
      <c r="T43" s="90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17">
        <f>COUNTIF(U43:AY43,"A")</f>
      </c>
      <c r="BA43" s="17">
        <f>COUNTIF(U43:AY43,"F")</f>
      </c>
      <c r="BB43" s="17">
        <f>COUNTIF(U43:AY43,"E")</f>
      </c>
    </row>
    <row r="44" spans="1:54" ht="15.75" customHeight="1" x14ac:dyDescent="0.2">
      <c r="A44" s="84"/>
      <c r="B44" s="85"/>
      <c r="C44" s="85"/>
      <c r="D44" s="85"/>
      <c r="E44" s="86"/>
      <c r="F44" s="16">
        <f>IF(E44="","",DATEDIF(E44,$I$7,"Y"))</f>
      </c>
      <c r="G44" s="85"/>
      <c r="H44" s="85"/>
      <c r="I44" s="87"/>
      <c r="J44" s="85"/>
      <c r="K44" s="85"/>
      <c r="L44" s="2"/>
      <c r="M44" s="2"/>
      <c r="N44" s="1"/>
      <c r="O44" s="1"/>
      <c r="P44" s="85"/>
      <c r="Q44" s="88"/>
      <c r="R44" s="3">
        <f>IFERROR(VLOOKUP(TablaSeptiembre[[#This Row],[BARRIO]],SECTOR!$A:$B,2,0),"")</f>
      </c>
      <c r="S44" s="89"/>
      <c r="T44" s="90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17">
        <f>COUNTIF(U44:AY44,"A")</f>
      </c>
      <c r="BA44" s="17">
        <f>COUNTIF(U44:AY44,"F")</f>
      </c>
      <c r="BB44" s="17">
        <f>COUNTIF(U44:AY44,"E")</f>
      </c>
    </row>
    <row r="45" spans="1:54" ht="15.75" customHeight="1" x14ac:dyDescent="0.2">
      <c r="A45" s="84"/>
      <c r="B45" s="85"/>
      <c r="C45" s="85"/>
      <c r="D45" s="85"/>
      <c r="E45" s="86"/>
      <c r="F45" s="16">
        <f>IF(E45="","",DATEDIF(E45,$I$7,"Y"))</f>
      </c>
      <c r="G45" s="85"/>
      <c r="H45" s="85"/>
      <c r="I45" s="87"/>
      <c r="J45" s="85"/>
      <c r="K45" s="85"/>
      <c r="L45" s="2"/>
      <c r="M45" s="2"/>
      <c r="N45" s="1"/>
      <c r="O45" s="1"/>
      <c r="P45" s="85"/>
      <c r="Q45" s="88"/>
      <c r="R45" s="3">
        <f>IFERROR(VLOOKUP(TablaSeptiembre[[#This Row],[BARRIO]],SECTOR!$A:$B,2,0),"")</f>
      </c>
      <c r="S45" s="89"/>
      <c r="T45" s="90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17">
        <f>COUNTIF(U45:AY45,"A")</f>
      </c>
      <c r="BA45" s="17">
        <f>COUNTIF(U45:AY45,"F")</f>
      </c>
      <c r="BB45" s="17">
        <f>COUNTIF(U45:AY45,"E")</f>
      </c>
    </row>
    <row r="46" spans="1:54" ht="15.75" customHeight="1" x14ac:dyDescent="0.2">
      <c r="A46" s="84"/>
      <c r="B46" s="85"/>
      <c r="C46" s="85"/>
      <c r="D46" s="85"/>
      <c r="E46" s="86"/>
      <c r="F46" s="16">
        <f>IF(E46="","",DATEDIF(E46,$I$7,"Y"))</f>
      </c>
      <c r="G46" s="85"/>
      <c r="H46" s="85"/>
      <c r="I46" s="87"/>
      <c r="J46" s="85"/>
      <c r="K46" s="85"/>
      <c r="L46" s="2"/>
      <c r="M46" s="2"/>
      <c r="N46" s="1"/>
      <c r="O46" s="1"/>
      <c r="P46" s="85"/>
      <c r="Q46" s="88"/>
      <c r="R46" s="3">
        <f>IFERROR(VLOOKUP(TablaSeptiembre[[#This Row],[BARRIO]],SECTOR!$A:$B,2,0),"")</f>
      </c>
      <c r="S46" s="89"/>
      <c r="T46" s="90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17">
        <f>COUNTIF(U46:AY46,"A")</f>
      </c>
      <c r="BA46" s="17">
        <f>COUNTIF(U46:AY46,"F")</f>
      </c>
      <c r="BB46" s="17">
        <f>COUNTIF(U46:AY46,"E")</f>
      </c>
    </row>
    <row r="47" spans="1:54" ht="15.75" customHeight="1" x14ac:dyDescent="0.2">
      <c r="A47" s="84"/>
      <c r="B47" s="85"/>
      <c r="C47" s="85"/>
      <c r="D47" s="85"/>
      <c r="E47" s="86"/>
      <c r="F47" s="16">
        <f>IF(E47="","",DATEDIF(E47,$I$7,"Y"))</f>
      </c>
      <c r="G47" s="85"/>
      <c r="H47" s="85"/>
      <c r="I47" s="87"/>
      <c r="J47" s="85"/>
      <c r="K47" s="85"/>
      <c r="L47" s="2"/>
      <c r="M47" s="2"/>
      <c r="N47" s="1"/>
      <c r="O47" s="1"/>
      <c r="P47" s="85"/>
      <c r="Q47" s="88"/>
      <c r="R47" s="3">
        <f>IFERROR(VLOOKUP(TablaSeptiembre[[#This Row],[BARRIO]],SECTOR!$A:$B,2,0),"")</f>
      </c>
      <c r="S47" s="89"/>
      <c r="T47" s="90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17">
        <f>COUNTIF(U47:AY47,"A")</f>
      </c>
      <c r="BA47" s="17">
        <f>COUNTIF(U47:AY47,"F")</f>
      </c>
      <c r="BB47" s="17">
        <f>COUNTIF(U47:AY47,"E")</f>
      </c>
    </row>
    <row r="48" spans="1:54" ht="15.75" customHeight="1" x14ac:dyDescent="0.2">
      <c r="A48" s="84"/>
      <c r="B48" s="85"/>
      <c r="C48" s="85"/>
      <c r="D48" s="85"/>
      <c r="E48" s="86"/>
      <c r="F48" s="16">
        <f>IF(E48="","",DATEDIF(E48,$I$7,"Y"))</f>
      </c>
      <c r="G48" s="85"/>
      <c r="H48" s="85"/>
      <c r="I48" s="87"/>
      <c r="J48" s="85"/>
      <c r="K48" s="85"/>
      <c r="L48" s="2"/>
      <c r="M48" s="2"/>
      <c r="N48" s="1"/>
      <c r="O48" s="1"/>
      <c r="P48" s="85"/>
      <c r="Q48" s="88"/>
      <c r="R48" s="3">
        <f>IFERROR(VLOOKUP(TablaSeptiembre[[#This Row],[BARRIO]],SECTOR!$A:$B,2,0),"")</f>
      </c>
      <c r="S48" s="89"/>
      <c r="T48" s="90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17">
        <f>COUNTIF(U48:AY48,"A")</f>
      </c>
      <c r="BA48" s="17">
        <f>COUNTIF(U48:AY48,"F")</f>
      </c>
      <c r="BB48" s="17">
        <f>COUNTIF(U48:AY48,"E")</f>
      </c>
    </row>
    <row r="49" spans="1:54" ht="15.75" customHeight="1" x14ac:dyDescent="0.2">
      <c r="A49" s="84"/>
      <c r="B49" s="85"/>
      <c r="C49" s="85"/>
      <c r="D49" s="85"/>
      <c r="E49" s="86"/>
      <c r="F49" s="16">
        <f>IF(E49="","",DATEDIF(E49,$I$7,"Y"))</f>
      </c>
      <c r="G49" s="85"/>
      <c r="H49" s="85"/>
      <c r="I49" s="87"/>
      <c r="J49" s="85"/>
      <c r="K49" s="85"/>
      <c r="L49" s="2"/>
      <c r="M49" s="2"/>
      <c r="N49" s="1"/>
      <c r="O49" s="1"/>
      <c r="P49" s="85"/>
      <c r="Q49" s="88"/>
      <c r="R49" s="3">
        <f>IFERROR(VLOOKUP(TablaSeptiembre[[#This Row],[BARRIO]],SECTOR!$A:$B,2,0),"")</f>
      </c>
      <c r="S49" s="89"/>
      <c r="T49" s="90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17">
        <f>COUNTIF(U49:AY49,"A")</f>
      </c>
      <c r="BA49" s="17">
        <f>COUNTIF(U49:AY49,"F")</f>
      </c>
      <c r="BB49" s="17">
        <f>COUNTIF(U49:AY49,"E")</f>
      </c>
    </row>
    <row r="50" spans="1:54" ht="15.75" customHeight="1" x14ac:dyDescent="0.2">
      <c r="A50" s="84"/>
      <c r="B50" s="85"/>
      <c r="C50" s="85"/>
      <c r="D50" s="85"/>
      <c r="E50" s="86"/>
      <c r="F50" s="16">
        <f>IF(E50="","",DATEDIF(E50,$I$7,"Y"))</f>
      </c>
      <c r="G50" s="85"/>
      <c r="H50" s="85"/>
      <c r="I50" s="87"/>
      <c r="J50" s="85"/>
      <c r="K50" s="85"/>
      <c r="L50" s="2"/>
      <c r="M50" s="2"/>
      <c r="N50" s="1"/>
      <c r="O50" s="1"/>
      <c r="P50" s="85"/>
      <c r="Q50" s="88"/>
      <c r="R50" s="3">
        <f>IFERROR(VLOOKUP(TablaSeptiembre[[#This Row],[BARRIO]],SECTOR!$A:$B,2,0),"")</f>
      </c>
      <c r="S50" s="89"/>
      <c r="T50" s="90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17">
        <f>COUNTIF(U50:AY50,"A")</f>
      </c>
      <c r="BA50" s="17">
        <f>COUNTIF(U50:AY50,"F")</f>
      </c>
      <c r="BB50" s="17">
        <f>COUNTIF(U50:AY50,"E")</f>
      </c>
    </row>
    <row r="51" spans="1:54" ht="15.75" customHeight="1" x14ac:dyDescent="0.2">
      <c r="A51" s="84"/>
      <c r="B51" s="85"/>
      <c r="C51" s="85"/>
      <c r="D51" s="85"/>
      <c r="E51" s="86"/>
      <c r="F51" s="16">
        <f>IF(E51="","",DATEDIF(E51,$I$7,"Y"))</f>
      </c>
      <c r="G51" s="85"/>
      <c r="H51" s="85"/>
      <c r="I51" s="87"/>
      <c r="J51" s="85"/>
      <c r="K51" s="85"/>
      <c r="L51" s="2"/>
      <c r="M51" s="2"/>
      <c r="N51" s="1"/>
      <c r="O51" s="1"/>
      <c r="P51" s="85"/>
      <c r="Q51" s="88"/>
      <c r="R51" s="3">
        <f>IFERROR(VLOOKUP(TablaSeptiembre[[#This Row],[BARRIO]],SECTOR!$A:$B,2,0),"")</f>
      </c>
      <c r="S51" s="89"/>
      <c r="T51" s="90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17">
        <f>COUNTIF(U51:AY51,"A")</f>
      </c>
      <c r="BA51" s="17">
        <f>COUNTIF(U51:AY51,"F")</f>
      </c>
      <c r="BB51" s="17">
        <f>COUNTIF(U51:AY51,"E")</f>
      </c>
    </row>
    <row r="52" spans="1:54" ht="15.75" customHeight="1" x14ac:dyDescent="0.2">
      <c r="A52" s="84"/>
      <c r="B52" s="85"/>
      <c r="C52" s="85"/>
      <c r="D52" s="85"/>
      <c r="E52" s="86"/>
      <c r="F52" s="16">
        <f>IF(E52="","",DATEDIF(E52,$I$7,"Y"))</f>
      </c>
      <c r="G52" s="85"/>
      <c r="H52" s="85"/>
      <c r="I52" s="87"/>
      <c r="J52" s="85"/>
      <c r="K52" s="85"/>
      <c r="L52" s="2"/>
      <c r="M52" s="2"/>
      <c r="N52" s="1"/>
      <c r="O52" s="1"/>
      <c r="P52" s="85"/>
      <c r="Q52" s="88"/>
      <c r="R52" s="3">
        <f>IFERROR(VLOOKUP(TablaSeptiembre[[#This Row],[BARRIO]],SECTOR!$A:$B,2,0),"")</f>
      </c>
      <c r="S52" s="89"/>
      <c r="T52" s="90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17">
        <f>COUNTIF(U52:AY52,"A")</f>
      </c>
      <c r="BA52" s="17">
        <f>COUNTIF(U52:AY52,"F")</f>
      </c>
      <c r="BB52" s="17">
        <f>COUNTIF(U52:AY52,"E")</f>
      </c>
    </row>
    <row r="53" spans="1:54" ht="15.75" customHeight="1" x14ac:dyDescent="0.2">
      <c r="A53" s="84"/>
      <c r="B53" s="85"/>
      <c r="C53" s="85"/>
      <c r="D53" s="85"/>
      <c r="E53" s="86"/>
      <c r="F53" s="16">
        <f>IF(E53="","",DATEDIF(E53,$I$7,"Y"))</f>
      </c>
      <c r="G53" s="85"/>
      <c r="H53" s="85"/>
      <c r="I53" s="87"/>
      <c r="J53" s="85"/>
      <c r="K53" s="85"/>
      <c r="L53" s="2"/>
      <c r="M53" s="2"/>
      <c r="N53" s="1"/>
      <c r="O53" s="1"/>
      <c r="P53" s="85"/>
      <c r="Q53" s="88"/>
      <c r="R53" s="3">
        <f>IFERROR(VLOOKUP(TablaSeptiembre[[#This Row],[BARRIO]],SECTOR!$A:$B,2,0),"")</f>
      </c>
      <c r="S53" s="89"/>
      <c r="T53" s="90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17">
        <f>COUNTIF(U53:AY53,"A")</f>
      </c>
      <c r="BA53" s="17">
        <f>COUNTIF(U53:AY53,"F")</f>
      </c>
      <c r="BB53" s="17">
        <f>COUNTIF(U53:AY53,"E")</f>
      </c>
    </row>
    <row r="54" spans="1:54" ht="15.75" customHeight="1" x14ac:dyDescent="0.2">
      <c r="A54" s="84"/>
      <c r="B54" s="85"/>
      <c r="C54" s="85"/>
      <c r="D54" s="85"/>
      <c r="E54" s="86"/>
      <c r="F54" s="16">
        <f>IF(E54="","",DATEDIF(E54,$I$7,"Y"))</f>
      </c>
      <c r="G54" s="85"/>
      <c r="H54" s="85"/>
      <c r="I54" s="87"/>
      <c r="J54" s="85"/>
      <c r="K54" s="85"/>
      <c r="L54" s="2"/>
      <c r="M54" s="2"/>
      <c r="N54" s="1"/>
      <c r="O54" s="1"/>
      <c r="P54" s="85"/>
      <c r="Q54" s="88"/>
      <c r="R54" s="3">
        <f>IFERROR(VLOOKUP(TablaSeptiembre[[#This Row],[BARRIO]],SECTOR!$A:$B,2,0),"")</f>
      </c>
      <c r="S54" s="89"/>
      <c r="T54" s="90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17">
        <f>COUNTIF(U54:AY54,"A")</f>
      </c>
      <c r="BA54" s="17">
        <f>COUNTIF(U54:AY54,"F")</f>
      </c>
      <c r="BB54" s="17">
        <f>COUNTIF(U54:AY54,"E")</f>
      </c>
    </row>
    <row r="55" spans="1:54" ht="15.75" customHeight="1" x14ac:dyDescent="0.2">
      <c r="A55" s="84"/>
      <c r="B55" s="85"/>
      <c r="C55" s="85"/>
      <c r="D55" s="85"/>
      <c r="E55" s="86"/>
      <c r="F55" s="16">
        <f>IF(E55="","",DATEDIF(E55,$I$7,"Y"))</f>
      </c>
      <c r="G55" s="85"/>
      <c r="H55" s="85"/>
      <c r="I55" s="87"/>
      <c r="J55" s="85"/>
      <c r="K55" s="85"/>
      <c r="L55" s="2"/>
      <c r="M55" s="2"/>
      <c r="N55" s="1"/>
      <c r="O55" s="1"/>
      <c r="P55" s="85"/>
      <c r="Q55" s="88"/>
      <c r="R55" s="3">
        <f>IFERROR(VLOOKUP(TablaSeptiembre[[#This Row],[BARRIO]],SECTOR!$A:$B,2,0),"")</f>
      </c>
      <c r="S55" s="89"/>
      <c r="T55" s="90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17">
        <f>COUNTIF(U55:AY55,"A")</f>
      </c>
      <c r="BA55" s="17">
        <f>COUNTIF(U55:AY55,"F")</f>
      </c>
      <c r="BB55" s="17">
        <f>COUNTIF(U55:AY55,"E")</f>
      </c>
    </row>
    <row r="56" spans="1:54" ht="15.75" customHeight="1" x14ac:dyDescent="0.2">
      <c r="A56" s="84"/>
      <c r="B56" s="85"/>
      <c r="C56" s="85"/>
      <c r="D56" s="85"/>
      <c r="E56" s="86"/>
      <c r="F56" s="16">
        <f>IF(E56="","",DATEDIF(E56,$I$7,"Y"))</f>
      </c>
      <c r="G56" s="85"/>
      <c r="H56" s="85"/>
      <c r="I56" s="87"/>
      <c r="J56" s="85"/>
      <c r="K56" s="85"/>
      <c r="L56" s="2"/>
      <c r="M56" s="2"/>
      <c r="N56" s="1"/>
      <c r="O56" s="1"/>
      <c r="P56" s="85"/>
      <c r="Q56" s="88"/>
      <c r="R56" s="3">
        <f>IFERROR(VLOOKUP(TablaSeptiembre[[#This Row],[BARRIO]],SECTOR!$A:$B,2,0),"")</f>
      </c>
      <c r="S56" s="89"/>
      <c r="T56" s="90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17">
        <f>COUNTIF(U56:AY56,"A")</f>
      </c>
      <c r="BA56" s="17">
        <f>COUNTIF(U56:AY56,"F")</f>
      </c>
      <c r="BB56" s="17">
        <f>COUNTIF(U56:AY56,"E")</f>
      </c>
    </row>
    <row r="57" spans="1:54" ht="15.75" customHeight="1" x14ac:dyDescent="0.2">
      <c r="A57" s="84"/>
      <c r="B57" s="85"/>
      <c r="C57" s="85"/>
      <c r="D57" s="85"/>
      <c r="E57" s="86"/>
      <c r="F57" s="16">
        <f>IF(E57="","",DATEDIF(E57,$I$7,"Y"))</f>
      </c>
      <c r="G57" s="85"/>
      <c r="H57" s="85"/>
      <c r="I57" s="87"/>
      <c r="J57" s="85"/>
      <c r="K57" s="85"/>
      <c r="L57" s="2"/>
      <c r="M57" s="2"/>
      <c r="N57" s="1"/>
      <c r="O57" s="1"/>
      <c r="P57" s="85"/>
      <c r="Q57" s="88"/>
      <c r="R57" s="3">
        <f>IFERROR(VLOOKUP(TablaSeptiembre[[#This Row],[BARRIO]],SECTOR!$A:$B,2,0),"")</f>
      </c>
      <c r="S57" s="89"/>
      <c r="T57" s="90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17">
        <f>COUNTIF(U57:AY57,"A")</f>
      </c>
      <c r="BA57" s="17">
        <f>COUNTIF(U57:AY57,"F")</f>
      </c>
      <c r="BB57" s="17">
        <f>COUNTIF(U57:AY57,"E")</f>
      </c>
    </row>
    <row r="58" spans="1:54" ht="15.75" customHeight="1" x14ac:dyDescent="0.2">
      <c r="A58" s="84"/>
      <c r="B58" s="85"/>
      <c r="C58" s="85"/>
      <c r="D58" s="85"/>
      <c r="E58" s="86"/>
      <c r="F58" s="16">
        <f>IF(E58="","",DATEDIF(E58,$I$7,"Y"))</f>
      </c>
      <c r="G58" s="85"/>
      <c r="H58" s="85"/>
      <c r="I58" s="87"/>
      <c r="J58" s="85"/>
      <c r="K58" s="85"/>
      <c r="L58" s="2"/>
      <c r="M58" s="2"/>
      <c r="N58" s="1"/>
      <c r="O58" s="1"/>
      <c r="P58" s="85"/>
      <c r="Q58" s="88"/>
      <c r="R58" s="3">
        <f>IFERROR(VLOOKUP(TablaSeptiembre[[#This Row],[BARRIO]],SECTOR!$A:$B,2,0),"")</f>
      </c>
      <c r="S58" s="89"/>
      <c r="T58" s="90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17">
        <f>COUNTIF(U58:AY58,"A")</f>
      </c>
      <c r="BA58" s="17">
        <f>COUNTIF(U58:AY58,"F")</f>
      </c>
      <c r="BB58" s="17">
        <f>COUNTIF(U58:AY58,"E")</f>
      </c>
    </row>
    <row r="59" spans="1:54" ht="15.75" customHeight="1" x14ac:dyDescent="0.2">
      <c r="A59" s="84"/>
      <c r="B59" s="85"/>
      <c r="C59" s="85"/>
      <c r="D59" s="85"/>
      <c r="E59" s="86"/>
      <c r="F59" s="16">
        <f>IF(E59="","",DATEDIF(E59,$I$7,"Y"))</f>
      </c>
      <c r="G59" s="85"/>
      <c r="H59" s="85"/>
      <c r="I59" s="87"/>
      <c r="J59" s="85"/>
      <c r="K59" s="85"/>
      <c r="L59" s="2"/>
      <c r="M59" s="2"/>
      <c r="N59" s="1"/>
      <c r="O59" s="1"/>
      <c r="P59" s="85"/>
      <c r="Q59" s="88"/>
      <c r="R59" s="3">
        <f>IFERROR(VLOOKUP(TablaSeptiembre[[#This Row],[BARRIO]],SECTOR!$A:$B,2,0),"")</f>
      </c>
      <c r="S59" s="89"/>
      <c r="T59" s="90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17">
        <f>COUNTIF(U59:AY59,"A")</f>
      </c>
      <c r="BA59" s="17">
        <f>COUNTIF(U59:AY59,"F")</f>
      </c>
      <c r="BB59" s="17">
        <f>COUNTIF(U59:AY59,"E")</f>
      </c>
    </row>
    <row r="60" spans="1:54" ht="15.75" customHeight="1" x14ac:dyDescent="0.2">
      <c r="A60" s="84"/>
      <c r="B60" s="85"/>
      <c r="C60" s="85"/>
      <c r="D60" s="85"/>
      <c r="E60" s="86"/>
      <c r="F60" s="16">
        <f>IF(E60="","",DATEDIF(E60,$I$7,"Y"))</f>
      </c>
      <c r="G60" s="85"/>
      <c r="H60" s="85"/>
      <c r="I60" s="87"/>
      <c r="J60" s="85"/>
      <c r="K60" s="85"/>
      <c r="L60" s="2"/>
      <c r="M60" s="2"/>
      <c r="N60" s="1"/>
      <c r="O60" s="1"/>
      <c r="P60" s="85"/>
      <c r="Q60" s="88"/>
      <c r="R60" s="3">
        <f>IFERROR(VLOOKUP(TablaSeptiembre[[#This Row],[BARRIO]],SECTOR!$A:$B,2,0),"")</f>
      </c>
      <c r="S60" s="89"/>
      <c r="T60" s="90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17">
        <f>COUNTIF(U60:AY60,"A")</f>
      </c>
      <c r="BA60" s="17">
        <f>COUNTIF(U60:AY60,"F")</f>
      </c>
      <c r="BB60" s="17">
        <f>COUNTIF(U60:AY60,"E")</f>
      </c>
    </row>
    <row r="61" spans="1:54" ht="15.75" customHeight="1" x14ac:dyDescent="0.2">
      <c r="A61" s="84"/>
      <c r="B61" s="85"/>
      <c r="C61" s="85"/>
      <c r="D61" s="85"/>
      <c r="E61" s="86"/>
      <c r="F61" s="16">
        <f>IF(E61="","",DATEDIF(E61,$I$7,"Y"))</f>
      </c>
      <c r="G61" s="85"/>
      <c r="H61" s="85"/>
      <c r="I61" s="87"/>
      <c r="J61" s="85"/>
      <c r="K61" s="85"/>
      <c r="L61" s="2"/>
      <c r="M61" s="2"/>
      <c r="N61" s="1"/>
      <c r="O61" s="1"/>
      <c r="P61" s="85"/>
      <c r="Q61" s="88"/>
      <c r="R61" s="3">
        <f>IFERROR(VLOOKUP(TablaSeptiembre[[#This Row],[BARRIO]],SECTOR!$A:$B,2,0),"")</f>
      </c>
      <c r="S61" s="89"/>
      <c r="T61" s="90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17">
        <f>COUNTIF(U61:AY61,"A")</f>
      </c>
      <c r="BA61" s="17">
        <f>COUNTIF(U61:AY61,"F")</f>
      </c>
      <c r="BB61" s="17">
        <f>COUNTIF(U61:AY61,"E")</f>
      </c>
    </row>
    <row r="62" spans="1:54" ht="15.75" customHeight="1" x14ac:dyDescent="0.2">
      <c r="A62" s="84"/>
      <c r="B62" s="85"/>
      <c r="C62" s="85"/>
      <c r="D62" s="85"/>
      <c r="E62" s="86"/>
      <c r="F62" s="16">
        <f>IF(E62="","",DATEDIF(E62,$I$7,"Y"))</f>
      </c>
      <c r="G62" s="85"/>
      <c r="H62" s="85"/>
      <c r="I62" s="87"/>
      <c r="J62" s="85"/>
      <c r="K62" s="85"/>
      <c r="L62" s="2"/>
      <c r="M62" s="2"/>
      <c r="N62" s="1"/>
      <c r="O62" s="1"/>
      <c r="P62" s="85"/>
      <c r="Q62" s="88"/>
      <c r="R62" s="3">
        <f>IFERROR(VLOOKUP(TablaSeptiembre[[#This Row],[BARRIO]],SECTOR!$A:$B,2,0),"")</f>
      </c>
      <c r="S62" s="89"/>
      <c r="T62" s="90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17">
        <f>COUNTIF(U62:AY62,"A")</f>
      </c>
      <c r="BA62" s="17">
        <f>COUNTIF(U62:AY62,"F")</f>
      </c>
      <c r="BB62" s="17">
        <f>COUNTIF(U62:AY62,"E")</f>
      </c>
    </row>
    <row r="63" spans="1:54" ht="15.75" customHeight="1" x14ac:dyDescent="0.2">
      <c r="A63" s="84"/>
      <c r="B63" s="85"/>
      <c r="C63" s="85"/>
      <c r="D63" s="85"/>
      <c r="E63" s="86"/>
      <c r="F63" s="16">
        <f>IF(E63="","",DATEDIF(E63,$I$7,"Y"))</f>
      </c>
      <c r="G63" s="85"/>
      <c r="H63" s="85"/>
      <c r="I63" s="87"/>
      <c r="J63" s="85"/>
      <c r="K63" s="85"/>
      <c r="L63" s="2"/>
      <c r="M63" s="2"/>
      <c r="N63" s="1"/>
      <c r="O63" s="1"/>
      <c r="P63" s="85"/>
      <c r="Q63" s="88"/>
      <c r="R63" s="3">
        <f>IFERROR(VLOOKUP(TablaSeptiembre[[#This Row],[BARRIO]],SECTOR!$A:$B,2,0),"")</f>
      </c>
      <c r="S63" s="89"/>
      <c r="T63" s="90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17">
        <f>COUNTIF(U63:AY63,"A")</f>
      </c>
      <c r="BA63" s="17">
        <f>COUNTIF(U63:AY63,"F")</f>
      </c>
      <c r="BB63" s="17">
        <f>COUNTIF(U63:AY63,"E")</f>
      </c>
    </row>
    <row r="64" spans="1:54" ht="15.75" customHeight="1" x14ac:dyDescent="0.2">
      <c r="A64" s="84"/>
      <c r="B64" s="85"/>
      <c r="C64" s="85"/>
      <c r="D64" s="85"/>
      <c r="E64" s="86"/>
      <c r="F64" s="16">
        <f>IF(E64="","",DATEDIF(E64,$I$7,"Y"))</f>
      </c>
      <c r="G64" s="85"/>
      <c r="H64" s="85"/>
      <c r="I64" s="87"/>
      <c r="J64" s="85"/>
      <c r="K64" s="85"/>
      <c r="L64" s="2"/>
      <c r="M64" s="2"/>
      <c r="N64" s="1"/>
      <c r="O64" s="1"/>
      <c r="P64" s="85"/>
      <c r="Q64" s="88"/>
      <c r="R64" s="3">
        <f>IFERROR(VLOOKUP(TablaSeptiembre[[#This Row],[BARRIO]],SECTOR!$A:$B,2,0),"")</f>
      </c>
      <c r="S64" s="89"/>
      <c r="T64" s="90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17">
        <f>COUNTIF(U64:AY64,"A")</f>
      </c>
      <c r="BA64" s="17">
        <f>COUNTIF(U64:AY64,"F")</f>
      </c>
      <c r="BB64" s="17">
        <f>COUNTIF(U64:AY64,"E")</f>
      </c>
    </row>
    <row r="65" spans="1:54" ht="15.75" customHeight="1" x14ac:dyDescent="0.2">
      <c r="A65" s="84"/>
      <c r="B65" s="85"/>
      <c r="C65" s="85"/>
      <c r="D65" s="85"/>
      <c r="E65" s="86"/>
      <c r="F65" s="16">
        <f>IF(E65="","",DATEDIF(E65,$I$7,"Y"))</f>
      </c>
      <c r="G65" s="85"/>
      <c r="H65" s="85"/>
      <c r="I65" s="87"/>
      <c r="J65" s="85"/>
      <c r="K65" s="85"/>
      <c r="L65" s="2"/>
      <c r="M65" s="2"/>
      <c r="N65" s="1"/>
      <c r="O65" s="1"/>
      <c r="P65" s="85"/>
      <c r="Q65" s="88"/>
      <c r="R65" s="3">
        <f>IFERROR(VLOOKUP(TablaSeptiembre[[#This Row],[BARRIO]],SECTOR!$A:$B,2,0),"")</f>
      </c>
      <c r="S65" s="89"/>
      <c r="T65" s="90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17">
        <f>COUNTIF(U65:AY65,"A")</f>
      </c>
      <c r="BA65" s="17">
        <f>COUNTIF(U65:AY65,"F")</f>
      </c>
      <c r="BB65" s="17">
        <f>COUNTIF(U65:AY65,"E")</f>
      </c>
    </row>
    <row r="66" spans="1:54" ht="15.75" customHeight="1" x14ac:dyDescent="0.2">
      <c r="A66" s="84"/>
      <c r="B66" s="85"/>
      <c r="C66" s="85"/>
      <c r="D66" s="85"/>
      <c r="E66" s="86"/>
      <c r="F66" s="16">
        <f>IF(E66="","",DATEDIF(E66,$I$7,"Y"))</f>
      </c>
      <c r="G66" s="85"/>
      <c r="H66" s="85"/>
      <c r="I66" s="87"/>
      <c r="J66" s="85"/>
      <c r="K66" s="85"/>
      <c r="L66" s="2"/>
      <c r="M66" s="2"/>
      <c r="N66" s="1"/>
      <c r="O66" s="1"/>
      <c r="P66" s="85"/>
      <c r="Q66" s="88"/>
      <c r="R66" s="3">
        <f>IFERROR(VLOOKUP(TablaSeptiembre[[#This Row],[BARRIO]],SECTOR!$A:$B,2,0),"")</f>
      </c>
      <c r="S66" s="89"/>
      <c r="T66" s="90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17">
        <f>COUNTIF(U66:AY66,"A")</f>
      </c>
      <c r="BA66" s="17">
        <f>COUNTIF(U66:AY66,"F")</f>
      </c>
      <c r="BB66" s="17">
        <f>COUNTIF(U66:AY66,"E")</f>
      </c>
    </row>
    <row r="67" spans="1:54" ht="15.75" customHeight="1" x14ac:dyDescent="0.2">
      <c r="A67" s="84"/>
      <c r="B67" s="91"/>
      <c r="C67" s="91"/>
      <c r="D67" s="91"/>
      <c r="E67" s="92"/>
      <c r="F67" s="16">
        <f>IF(E67="","",DATEDIF(E67,$I$7,"Y"))</f>
      </c>
      <c r="G67" s="91"/>
      <c r="H67" s="91"/>
      <c r="I67" s="93"/>
      <c r="J67" s="91"/>
      <c r="K67" s="91"/>
      <c r="L67" s="2"/>
      <c r="M67" s="2"/>
      <c r="N67" s="1"/>
      <c r="O67" s="1"/>
      <c r="P67" s="85"/>
      <c r="Q67" s="88"/>
      <c r="R67" s="3">
        <f>IFERROR(VLOOKUP(TablaSeptiembre[[#This Row],[BARRIO]],SECTOR!$A:$B,2,0),"")</f>
      </c>
      <c r="S67" s="89"/>
      <c r="T67" s="90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17">
        <f>COUNTIF(U67:AY67,"A")</f>
      </c>
      <c r="BA67" s="17">
        <f>COUNTIF(U67:AY67,"F")</f>
      </c>
      <c r="BB67" s="17">
        <f>COUNTIF(U67:AY67,"E")</f>
      </c>
    </row>
    <row r="68" spans="1:54" ht="15.75" customHeight="1" x14ac:dyDescent="0.2">
      <c r="A68" s="84"/>
      <c r="B68" s="94"/>
      <c r="C68" s="94"/>
      <c r="D68" s="94"/>
      <c r="E68" s="95"/>
      <c r="F68" s="16">
        <f>IF(E68="","",DATEDIF(E68,$I$7,"Y"))</f>
      </c>
      <c r="G68" s="94"/>
      <c r="H68" s="94"/>
      <c r="I68" s="96"/>
      <c r="J68" s="94"/>
      <c r="K68" s="94"/>
      <c r="L68" s="2"/>
      <c r="M68" s="2"/>
      <c r="N68" s="1"/>
      <c r="O68" s="1"/>
      <c r="P68" s="85"/>
      <c r="Q68" s="88"/>
      <c r="R68" s="3">
        <f>IFERROR(VLOOKUP(TablaSeptiembre[[#This Row],[BARRIO]],SECTOR!$A:$B,2,0),"")</f>
      </c>
      <c r="S68" s="89"/>
      <c r="T68" s="90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17">
        <f>COUNTIF(U68:AY68,"A")</f>
      </c>
      <c r="BA68" s="17">
        <f>COUNTIF(U68:AY68,"F")</f>
      </c>
      <c r="BB68" s="17">
        <f>COUNTIF(U68:AY68,"E")</f>
      </c>
    </row>
    <row r="69" spans="1:54" ht="15.75" customHeight="1" x14ac:dyDescent="0.2">
      <c r="A69" s="84"/>
      <c r="B69" s="97"/>
      <c r="C69" s="97"/>
      <c r="D69" s="97"/>
      <c r="E69" s="98"/>
      <c r="F69" s="16">
        <f>IF(E69="","",DATEDIF(E69,$I$7,"Y"))</f>
      </c>
      <c r="G69" s="97"/>
      <c r="H69" s="97"/>
      <c r="I69" s="99"/>
      <c r="J69" s="97"/>
      <c r="K69" s="97"/>
      <c r="L69" s="2"/>
      <c r="M69" s="2"/>
      <c r="N69" s="1"/>
      <c r="O69" s="1"/>
      <c r="P69" s="85"/>
      <c r="Q69" s="88"/>
      <c r="R69" s="3">
        <f>IFERROR(VLOOKUP(TablaSeptiembre[[#This Row],[BARRIO]],SECTOR!$A:$B,2,0),"")</f>
      </c>
      <c r="S69" s="89"/>
      <c r="T69" s="90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5"/>
      <c r="AZ69" s="18">
        <f>COUNTIF(U69:AY69,"A")</f>
      </c>
      <c r="BA69" s="17">
        <f>COUNTIF(U69:AY69,"F")</f>
      </c>
      <c r="BB69" s="17">
        <f>COUNTIF(U69:AY69,"E")</f>
      </c>
    </row>
    <row r="70" spans="1:54" ht="15.75" customHeight="1" x14ac:dyDescent="0.2">
      <c r="A70" s="84"/>
      <c r="B70" s="97"/>
      <c r="C70" s="97"/>
      <c r="D70" s="97"/>
      <c r="E70" s="98"/>
      <c r="F70" s="16">
        <f>IF(E70="","",DATEDIF(E70,$I$7,"Y"))</f>
      </c>
      <c r="G70" s="97"/>
      <c r="H70" s="97"/>
      <c r="I70" s="99"/>
      <c r="J70" s="97"/>
      <c r="K70" s="97"/>
      <c r="L70" s="2"/>
      <c r="M70" s="2"/>
      <c r="N70" s="1"/>
      <c r="O70" s="1"/>
      <c r="P70" s="85"/>
      <c r="Q70" s="88"/>
      <c r="R70" s="3">
        <f>IFERROR(VLOOKUP(TablaSeptiembre[[#This Row],[BARRIO]],SECTOR!$A:$B,2,0),"")</f>
      </c>
      <c r="S70" s="89"/>
      <c r="T70" s="90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6"/>
      <c r="AZ70" s="19">
        <f>COUNTIF(U70:AY70,"A")</f>
      </c>
      <c r="BA70" s="17">
        <f>COUNTIF(U70:AY70,"F")</f>
      </c>
      <c r="BB70" s="17">
        <f>COUNTIF(U70:AY70,"E")</f>
      </c>
    </row>
    <row r="71" spans="1:54" ht="15.75" customHeight="1" x14ac:dyDescent="0.2">
      <c r="A71" s="84"/>
      <c r="B71" s="97"/>
      <c r="C71" s="97"/>
      <c r="D71" s="97"/>
      <c r="E71" s="98"/>
      <c r="F71" s="16">
        <f>IF(E71="","",DATEDIF(E71,$I$7,"Y"))</f>
      </c>
      <c r="G71" s="97"/>
      <c r="H71" s="97"/>
      <c r="I71" s="99"/>
      <c r="J71" s="97"/>
      <c r="K71" s="97"/>
      <c r="L71" s="2"/>
      <c r="M71" s="2"/>
      <c r="N71" s="1"/>
      <c r="O71" s="1"/>
      <c r="P71" s="85"/>
      <c r="Q71" s="88"/>
      <c r="R71" s="3">
        <f>IFERROR(VLOOKUP(TablaSeptiembre[[#This Row],[BARRIO]],SECTOR!$A:$B,2,0),"")</f>
      </c>
      <c r="S71" s="89"/>
      <c r="T71" s="90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6"/>
      <c r="AZ71" s="19">
        <f>COUNTIF(U71:AY71,"A")</f>
      </c>
      <c r="BA71" s="17">
        <f>COUNTIF(U71:AY71,"F")</f>
      </c>
      <c r="BB71" s="17">
        <f>COUNTIF(U71:AY71,"E")</f>
      </c>
    </row>
    <row r="72" spans="1:54" ht="15.75" customHeight="1" x14ac:dyDescent="0.2">
      <c r="A72" s="84"/>
      <c r="B72" s="97"/>
      <c r="C72" s="97"/>
      <c r="D72" s="97"/>
      <c r="E72" s="98"/>
      <c r="F72" s="16">
        <f>IF(E72="","",DATEDIF(E72,$I$7,"Y"))</f>
      </c>
      <c r="G72" s="97"/>
      <c r="H72" s="97"/>
      <c r="I72" s="99"/>
      <c r="J72" s="97"/>
      <c r="K72" s="97"/>
      <c r="L72" s="2"/>
      <c r="M72" s="2"/>
      <c r="N72" s="1"/>
      <c r="O72" s="1"/>
      <c r="P72" s="85"/>
      <c r="Q72" s="88"/>
      <c r="R72" s="3">
        <f>IFERROR(VLOOKUP(TablaSeptiembre[[#This Row],[BARRIO]],SECTOR!$A:$B,2,0),"")</f>
      </c>
      <c r="S72" s="89"/>
      <c r="T72" s="90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6"/>
      <c r="AZ72" s="19">
        <f>COUNTIF(U72:AY72,"A")</f>
      </c>
      <c r="BA72" s="17">
        <f>COUNTIF(U72:AY72,"F")</f>
      </c>
      <c r="BB72" s="17">
        <f>COUNTIF(U72:AY72,"E")</f>
      </c>
    </row>
    <row r="73" spans="1:54" ht="15.75" customHeight="1" x14ac:dyDescent="0.2">
      <c r="A73" s="84"/>
      <c r="B73" s="97"/>
      <c r="C73" s="97"/>
      <c r="D73" s="97"/>
      <c r="E73" s="98"/>
      <c r="F73" s="16">
        <f>IF(E73="","",DATEDIF(E73,$I$7,"Y"))</f>
      </c>
      <c r="G73" s="97"/>
      <c r="H73" s="97"/>
      <c r="I73" s="99"/>
      <c r="J73" s="97"/>
      <c r="K73" s="97"/>
      <c r="L73" s="2"/>
      <c r="M73" s="2"/>
      <c r="N73" s="1"/>
      <c r="O73" s="1"/>
      <c r="P73" s="85"/>
      <c r="Q73" s="88"/>
      <c r="R73" s="3">
        <f>IFERROR(VLOOKUP(TablaSeptiembre[[#This Row],[BARRIO]],SECTOR!$A:$B,2,0),"")</f>
      </c>
      <c r="S73" s="89"/>
      <c r="T73" s="90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6"/>
      <c r="AZ73" s="19">
        <f>COUNTIF(U73:AY73,"A")</f>
      </c>
      <c r="BA73" s="17">
        <f>COUNTIF(U73:AY73,"F")</f>
      </c>
      <c r="BB73" s="17">
        <f>COUNTIF(U73:AY73,"E")</f>
      </c>
    </row>
    <row r="74" spans="1:54" ht="15.75" customHeight="1" x14ac:dyDescent="0.2">
      <c r="A74" s="84"/>
      <c r="B74" s="97"/>
      <c r="C74" s="97"/>
      <c r="D74" s="97"/>
      <c r="E74" s="98"/>
      <c r="F74" s="16">
        <f>IF(E74="","",DATEDIF(E74,$I$7,"Y"))</f>
      </c>
      <c r="G74" s="97"/>
      <c r="H74" s="97"/>
      <c r="I74" s="99"/>
      <c r="J74" s="97"/>
      <c r="K74" s="97"/>
      <c r="L74" s="2"/>
      <c r="M74" s="2"/>
      <c r="N74" s="1"/>
      <c r="O74" s="1"/>
      <c r="P74" s="85"/>
      <c r="Q74" s="88"/>
      <c r="R74" s="3">
        <f>IFERROR(VLOOKUP(TablaSeptiembre[[#This Row],[BARRIO]],SECTOR!$A:$B,2,0),"")</f>
      </c>
      <c r="S74" s="89"/>
      <c r="T74" s="90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6"/>
      <c r="AZ74" s="19">
        <f>COUNTIF(U74:AY74,"A")</f>
      </c>
      <c r="BA74" s="17">
        <f>COUNTIF(U74:AY74,"F")</f>
      </c>
      <c r="BB74" s="17">
        <f>COUNTIF(U74:AY74,"E")</f>
      </c>
    </row>
    <row r="75" spans="1:54" ht="15.75" customHeight="1" x14ac:dyDescent="0.2">
      <c r="A75" s="84"/>
      <c r="B75" s="97"/>
      <c r="C75" s="97"/>
      <c r="D75" s="97"/>
      <c r="E75" s="98"/>
      <c r="F75" s="16">
        <f>IF(E75="","",DATEDIF(E75,$I$7,"Y"))</f>
      </c>
      <c r="G75" s="97"/>
      <c r="H75" s="97"/>
      <c r="I75" s="99"/>
      <c r="J75" s="97"/>
      <c r="K75" s="97"/>
      <c r="L75" s="2"/>
      <c r="M75" s="2"/>
      <c r="N75" s="1"/>
      <c r="O75" s="1"/>
      <c r="P75" s="85"/>
      <c r="Q75" s="88"/>
      <c r="R75" s="3">
        <f>IFERROR(VLOOKUP(TablaSeptiembre[[#This Row],[BARRIO]],SECTOR!$A:$B,2,0),"")</f>
      </c>
      <c r="S75" s="89"/>
      <c r="T75" s="90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6"/>
      <c r="AZ75" s="19">
        <f>COUNTIF(U75:AY75,"A")</f>
      </c>
      <c r="BA75" s="17">
        <f>COUNTIF(U75:AY75,"F")</f>
      </c>
      <c r="BB75" s="17">
        <f>COUNTIF(U75:AY75,"E")</f>
      </c>
    </row>
    <row r="76" spans="1:54" ht="15.75" customHeight="1" x14ac:dyDescent="0.2">
      <c r="A76" s="84"/>
      <c r="B76" s="97"/>
      <c r="C76" s="97"/>
      <c r="D76" s="97"/>
      <c r="E76" s="98"/>
      <c r="F76" s="16">
        <f>IF(E76="","",DATEDIF(E76,$I$7,"Y"))</f>
      </c>
      <c r="G76" s="97"/>
      <c r="H76" s="97"/>
      <c r="I76" s="99"/>
      <c r="J76" s="97"/>
      <c r="K76" s="97"/>
      <c r="L76" s="2"/>
      <c r="M76" s="2"/>
      <c r="N76" s="1"/>
      <c r="O76" s="1"/>
      <c r="P76" s="85"/>
      <c r="Q76" s="88"/>
      <c r="R76" s="3">
        <f>IFERROR(VLOOKUP(TablaSeptiembre[[#This Row],[BARRIO]],SECTOR!$A:$B,2,0),"")</f>
      </c>
      <c r="S76" s="89"/>
      <c r="T76" s="90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6"/>
      <c r="AZ76" s="19">
        <f>COUNTIF(U76:AY76,"A")</f>
      </c>
      <c r="BA76" s="17">
        <f>COUNTIF(U76:AY76,"F")</f>
      </c>
      <c r="BB76" s="17">
        <f>COUNTIF(U76:AY76,"E")</f>
      </c>
    </row>
    <row r="77" spans="1:54" ht="15.75" customHeight="1" x14ac:dyDescent="0.2">
      <c r="A77" s="84"/>
      <c r="B77" s="97"/>
      <c r="C77" s="97"/>
      <c r="D77" s="97"/>
      <c r="E77" s="98"/>
      <c r="F77" s="16">
        <f>IF(E77="","",DATEDIF(E77,$I$7,"Y"))</f>
      </c>
      <c r="G77" s="97"/>
      <c r="H77" s="97"/>
      <c r="I77" s="99"/>
      <c r="J77" s="97"/>
      <c r="K77" s="97"/>
      <c r="L77" s="2"/>
      <c r="M77" s="2"/>
      <c r="N77" s="1"/>
      <c r="O77" s="1"/>
      <c r="P77" s="85"/>
      <c r="Q77" s="88"/>
      <c r="R77" s="3">
        <f>IFERROR(VLOOKUP(TablaSeptiembre[[#This Row],[BARRIO]],SECTOR!$A:$B,2,0),"")</f>
      </c>
      <c r="S77" s="89"/>
      <c r="T77" s="90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6"/>
      <c r="AZ77" s="19">
        <f>COUNTIF(U77:AY77,"A")</f>
      </c>
      <c r="BA77" s="17">
        <f>COUNTIF(U77:AY77,"F")</f>
      </c>
      <c r="BB77" s="17">
        <f>COUNTIF(U77:AY77,"E")</f>
      </c>
    </row>
    <row r="78" spans="1:54" ht="15.75" customHeight="1" x14ac:dyDescent="0.2">
      <c r="A78" s="84"/>
      <c r="B78" s="97"/>
      <c r="C78" s="97"/>
      <c r="D78" s="97"/>
      <c r="E78" s="98"/>
      <c r="F78" s="16">
        <f>IF(E78="","",DATEDIF(E78,$I$7,"Y"))</f>
      </c>
      <c r="G78" s="97"/>
      <c r="H78" s="97"/>
      <c r="I78" s="99"/>
      <c r="J78" s="97"/>
      <c r="K78" s="97"/>
      <c r="L78" s="2"/>
      <c r="M78" s="2"/>
      <c r="N78" s="1"/>
      <c r="O78" s="1"/>
      <c r="P78" s="85"/>
      <c r="Q78" s="88"/>
      <c r="R78" s="3">
        <f>IFERROR(VLOOKUP(TablaSeptiembre[[#This Row],[BARRIO]],SECTOR!$A:$B,2,0),"")</f>
      </c>
      <c r="S78" s="89"/>
      <c r="T78" s="90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6"/>
      <c r="AZ78" s="19">
        <f>COUNTIF(U78:AY78,"A")</f>
      </c>
      <c r="BA78" s="17">
        <f>COUNTIF(U78:AY78,"F")</f>
      </c>
      <c r="BB78" s="17">
        <f>COUNTIF(U78:AY78,"E")</f>
      </c>
    </row>
    <row r="79" spans="1:54" ht="15.75" customHeight="1" x14ac:dyDescent="0.2">
      <c r="A79" s="84"/>
      <c r="B79" s="85"/>
      <c r="C79" s="85"/>
      <c r="D79" s="85"/>
      <c r="E79" s="86"/>
      <c r="F79" s="16">
        <f>IF(E79="","",DATEDIF(E79,$I$7,"Y"))</f>
      </c>
      <c r="G79" s="85"/>
      <c r="H79" s="85"/>
      <c r="I79" s="87"/>
      <c r="J79" s="85"/>
      <c r="K79" s="85"/>
      <c r="L79" s="2"/>
      <c r="M79" s="2"/>
      <c r="N79" s="1"/>
      <c r="O79" s="1"/>
      <c r="P79" s="85"/>
      <c r="Q79" s="88"/>
      <c r="R79" s="3">
        <f>IFERROR(VLOOKUP(TablaSeptiembre[[#This Row],[BARRIO]],SECTOR!$A:$B,2,0),"")</f>
      </c>
      <c r="S79" s="89"/>
      <c r="T79" s="90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6"/>
      <c r="AZ79" s="19">
        <f>COUNTIF(U79:AY79,"A")</f>
      </c>
      <c r="BA79" s="17">
        <f>COUNTIF(U79:AY79,"F")</f>
      </c>
      <c r="BB79" s="17">
        <f>COUNTIF(U79:AY79,"E")</f>
      </c>
    </row>
    <row r="80" spans="1:54" ht="15.75" customHeight="1" x14ac:dyDescent="0.2">
      <c r="A80" s="84"/>
      <c r="B80" s="85"/>
      <c r="C80" s="85"/>
      <c r="D80" s="85"/>
      <c r="E80" s="86"/>
      <c r="F80" s="16">
        <f>IF(E80="","",DATEDIF(E80,$I$7,"Y"))</f>
      </c>
      <c r="G80" s="85"/>
      <c r="H80" s="85"/>
      <c r="I80" s="87"/>
      <c r="J80" s="85"/>
      <c r="K80" s="85"/>
      <c r="L80" s="2"/>
      <c r="M80" s="2"/>
      <c r="N80" s="1"/>
      <c r="O80" s="1"/>
      <c r="P80" s="85"/>
      <c r="Q80" s="88"/>
      <c r="R80" s="3">
        <f>IFERROR(VLOOKUP(TablaSeptiembre[[#This Row],[BARRIO]],SECTOR!$A:$B,2,0),"")</f>
      </c>
      <c r="S80" s="89"/>
      <c r="T80" s="90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6"/>
      <c r="AZ80" s="19">
        <f>COUNTIF(U80:AY80,"A")</f>
      </c>
      <c r="BA80" s="17">
        <f>COUNTIF(U80:AY80,"F")</f>
      </c>
      <c r="BB80" s="17">
        <f>COUNTIF(U80:AY80,"E")</f>
      </c>
    </row>
    <row r="81" spans="1:54" ht="15.75" customHeight="1" x14ac:dyDescent="0.2">
      <c r="A81" s="84"/>
      <c r="B81" s="85"/>
      <c r="C81" s="85"/>
      <c r="D81" s="85"/>
      <c r="E81" s="86"/>
      <c r="F81" s="16">
        <f>IF(E81="","",DATEDIF(E81,$I$7,"Y"))</f>
      </c>
      <c r="G81" s="85"/>
      <c r="H81" s="85"/>
      <c r="I81" s="87"/>
      <c r="J81" s="85"/>
      <c r="K81" s="85"/>
      <c r="L81" s="2"/>
      <c r="M81" s="2"/>
      <c r="N81" s="1"/>
      <c r="O81" s="1"/>
      <c r="P81" s="85"/>
      <c r="Q81" s="88"/>
      <c r="R81" s="3">
        <f>IFERROR(VLOOKUP(TablaSeptiembre[[#This Row],[BARRIO]],SECTOR!$A:$B,2,0),"")</f>
      </c>
      <c r="S81" s="89"/>
      <c r="T81" s="90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6"/>
      <c r="AZ81" s="19">
        <f>COUNTIF(U81:AY81,"A")</f>
      </c>
      <c r="BA81" s="17">
        <f>COUNTIF(U81:AY81,"F")</f>
      </c>
      <c r="BB81" s="17">
        <f>COUNTIF(U81:AY81,"E")</f>
      </c>
    </row>
    <row r="82" spans="1:54" ht="15.75" customHeight="1" x14ac:dyDescent="0.2">
      <c r="A82" s="84"/>
      <c r="B82" s="85"/>
      <c r="C82" s="85"/>
      <c r="D82" s="85"/>
      <c r="E82" s="86"/>
      <c r="F82" s="16">
        <f>IF(E82="","",DATEDIF(E82,$I$7,"Y"))</f>
      </c>
      <c r="G82" s="85"/>
      <c r="H82" s="85"/>
      <c r="I82" s="87"/>
      <c r="J82" s="85"/>
      <c r="K82" s="85"/>
      <c r="L82" s="2"/>
      <c r="M82" s="2"/>
      <c r="N82" s="1"/>
      <c r="O82" s="1"/>
      <c r="P82" s="85"/>
      <c r="Q82" s="88"/>
      <c r="R82" s="3">
        <f>IFERROR(VLOOKUP(TablaSeptiembre[[#This Row],[BARRIO]],SECTOR!$A:$B,2,0),"")</f>
      </c>
      <c r="S82" s="89"/>
      <c r="T82" s="90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6"/>
      <c r="AZ82" s="19">
        <f>COUNTIF(U82:AY82,"A")</f>
      </c>
      <c r="BA82" s="17">
        <f>COUNTIF(U82:AY82,"F")</f>
      </c>
      <c r="BB82" s="17">
        <f>COUNTIF(U82:AY82,"E")</f>
      </c>
    </row>
    <row r="83" spans="1:54" ht="15.75" customHeight="1" x14ac:dyDescent="0.2">
      <c r="A83" s="84"/>
      <c r="B83" s="85"/>
      <c r="C83" s="85"/>
      <c r="D83" s="85"/>
      <c r="E83" s="86"/>
      <c r="F83" s="16">
        <f>IF(E83="","",DATEDIF(E83,$I$7,"Y"))</f>
      </c>
      <c r="G83" s="85"/>
      <c r="H83" s="85"/>
      <c r="I83" s="87"/>
      <c r="J83" s="85"/>
      <c r="K83" s="85"/>
      <c r="L83" s="2"/>
      <c r="M83" s="2"/>
      <c r="N83" s="1"/>
      <c r="O83" s="1"/>
      <c r="P83" s="85"/>
      <c r="Q83" s="88"/>
      <c r="R83" s="3">
        <f>IFERROR(VLOOKUP(TablaSeptiembre[[#This Row],[BARRIO]],SECTOR!$A:$B,2,0),"")</f>
      </c>
      <c r="S83" s="89"/>
      <c r="T83" s="90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6"/>
      <c r="AZ83" s="19">
        <f>COUNTIF(U83:AY83,"A")</f>
      </c>
      <c r="BA83" s="17">
        <f>COUNTIF(U83:AY83,"F")</f>
      </c>
      <c r="BB83" s="17">
        <f>COUNTIF(U83:AY83,"E")</f>
      </c>
    </row>
    <row r="84" spans="1:54" ht="15.75" customHeight="1" x14ac:dyDescent="0.2">
      <c r="A84" s="84"/>
      <c r="B84" s="85"/>
      <c r="C84" s="85"/>
      <c r="D84" s="85"/>
      <c r="E84" s="86"/>
      <c r="F84" s="16">
        <f>IF(E84="","",DATEDIF(E84,$I$7,"Y"))</f>
      </c>
      <c r="G84" s="85"/>
      <c r="H84" s="85"/>
      <c r="I84" s="87"/>
      <c r="J84" s="85"/>
      <c r="K84" s="85"/>
      <c r="L84" s="2"/>
      <c r="M84" s="2"/>
      <c r="N84" s="1"/>
      <c r="O84" s="1"/>
      <c r="P84" s="85"/>
      <c r="Q84" s="88"/>
      <c r="R84" s="3">
        <f>IFERROR(VLOOKUP(TablaSeptiembre[[#This Row],[BARRIO]],SECTOR!$A:$B,2,0),"")</f>
      </c>
      <c r="S84" s="89"/>
      <c r="T84" s="90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6"/>
      <c r="AZ84" s="19">
        <f>COUNTIF(U84:AY84,"A")</f>
      </c>
      <c r="BA84" s="17">
        <f>COUNTIF(U84:AY84,"F")</f>
      </c>
      <c r="BB84" s="17">
        <f>COUNTIF(U84:AY84,"E")</f>
      </c>
    </row>
    <row r="85" spans="1:54" ht="15.75" customHeight="1" x14ac:dyDescent="0.2">
      <c r="A85" s="84"/>
      <c r="B85" s="85"/>
      <c r="C85" s="85"/>
      <c r="D85" s="85"/>
      <c r="E85" s="86"/>
      <c r="F85" s="16">
        <f>IF(E85="","",DATEDIF(E85,$I$7,"Y"))</f>
      </c>
      <c r="G85" s="85"/>
      <c r="H85" s="85"/>
      <c r="I85" s="87"/>
      <c r="J85" s="85"/>
      <c r="K85" s="85"/>
      <c r="L85" s="2"/>
      <c r="M85" s="2"/>
      <c r="N85" s="1"/>
      <c r="O85" s="1"/>
      <c r="P85" s="85"/>
      <c r="Q85" s="88"/>
      <c r="R85" s="3">
        <f>IFERROR(VLOOKUP(TablaSeptiembre[[#This Row],[BARRIO]],SECTOR!$A:$B,2,0),"")</f>
      </c>
      <c r="S85" s="89"/>
      <c r="T85" s="90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6"/>
      <c r="AZ85" s="19">
        <f>COUNTIF(U85:AY85,"A")</f>
      </c>
      <c r="BA85" s="17">
        <f>COUNTIF(U85:AY85,"F")</f>
      </c>
      <c r="BB85" s="17">
        <f>COUNTIF(U85:AY85,"E")</f>
      </c>
    </row>
    <row r="86" spans="1:54" ht="15.75" customHeight="1" x14ac:dyDescent="0.2">
      <c r="A86" s="84"/>
      <c r="B86" s="85"/>
      <c r="C86" s="85"/>
      <c r="D86" s="85"/>
      <c r="E86" s="86"/>
      <c r="F86" s="16">
        <f>IF(E86="","",DATEDIF(E86,$I$7,"Y"))</f>
      </c>
      <c r="G86" s="85"/>
      <c r="H86" s="85"/>
      <c r="I86" s="87"/>
      <c r="J86" s="85"/>
      <c r="K86" s="85"/>
      <c r="L86" s="2"/>
      <c r="M86" s="2"/>
      <c r="N86" s="1"/>
      <c r="O86" s="1"/>
      <c r="P86" s="85"/>
      <c r="Q86" s="88"/>
      <c r="R86" s="3">
        <f>IFERROR(VLOOKUP(TablaSeptiembre[[#This Row],[BARRIO]],SECTOR!$A:$B,2,0),"")</f>
      </c>
      <c r="S86" s="89"/>
      <c r="T86" s="90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6"/>
      <c r="AZ86" s="19">
        <f>COUNTIF(U86:AY86,"A")</f>
      </c>
      <c r="BA86" s="17">
        <f>COUNTIF(U86:AY86,"F")</f>
      </c>
      <c r="BB86" s="17">
        <f>COUNTIF(U86:AY86,"E")</f>
      </c>
    </row>
    <row r="87" spans="1:54" ht="15.75" customHeight="1" x14ac:dyDescent="0.2">
      <c r="A87" s="84"/>
      <c r="B87" s="85"/>
      <c r="C87" s="85"/>
      <c r="D87" s="85"/>
      <c r="E87" s="86"/>
      <c r="F87" s="16">
        <f>IF(E87="","",DATEDIF(E87,$I$7,"Y"))</f>
      </c>
      <c r="G87" s="85"/>
      <c r="H87" s="85"/>
      <c r="I87" s="87"/>
      <c r="J87" s="85"/>
      <c r="K87" s="85"/>
      <c r="L87" s="2"/>
      <c r="M87" s="2"/>
      <c r="N87" s="1"/>
      <c r="O87" s="1"/>
      <c r="P87" s="85"/>
      <c r="Q87" s="88"/>
      <c r="R87" s="3">
        <f>IFERROR(VLOOKUP(TablaSeptiembre[[#This Row],[BARRIO]],SECTOR!$A:$B,2,0),"")</f>
      </c>
      <c r="S87" s="89"/>
      <c r="T87" s="90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6"/>
      <c r="AZ87" s="19">
        <f>COUNTIF(U87:AY87,"A")</f>
      </c>
      <c r="BA87" s="17">
        <f>COUNTIF(U87:AY87,"F")</f>
      </c>
      <c r="BB87" s="17">
        <f>COUNTIF(U87:AY87,"E")</f>
      </c>
    </row>
    <row r="88" spans="1:54" ht="15.75" customHeight="1" x14ac:dyDescent="0.2">
      <c r="A88" s="84"/>
      <c r="B88" s="85"/>
      <c r="C88" s="85"/>
      <c r="D88" s="85"/>
      <c r="E88" s="86"/>
      <c r="F88" s="16">
        <f>IF(E88="","",DATEDIF(E88,$I$7,"Y"))</f>
      </c>
      <c r="G88" s="85"/>
      <c r="H88" s="85"/>
      <c r="I88" s="87"/>
      <c r="J88" s="85"/>
      <c r="K88" s="85"/>
      <c r="L88" s="2"/>
      <c r="M88" s="2"/>
      <c r="N88" s="1"/>
      <c r="O88" s="1"/>
      <c r="P88" s="85"/>
      <c r="Q88" s="88"/>
      <c r="R88" s="3">
        <f>IFERROR(VLOOKUP(TablaSeptiembre[[#This Row],[BARRIO]],SECTOR!$A:$B,2,0),"")</f>
      </c>
      <c r="S88" s="89"/>
      <c r="T88" s="90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6"/>
      <c r="AZ88" s="19">
        <f>COUNTIF(U88:AY88,"A")</f>
      </c>
      <c r="BA88" s="17">
        <f>COUNTIF(U88:AY88,"F")</f>
      </c>
      <c r="BB88" s="17">
        <f>COUNTIF(U88:AY88,"E")</f>
      </c>
    </row>
    <row r="89" spans="1:54" ht="15.75" customHeight="1" x14ac:dyDescent="0.2">
      <c r="A89" s="84"/>
      <c r="B89" s="85"/>
      <c r="C89" s="85"/>
      <c r="D89" s="85"/>
      <c r="E89" s="86"/>
      <c r="F89" s="16">
        <f>IF(E89="","",DATEDIF(E89,$I$7,"Y"))</f>
      </c>
      <c r="G89" s="85"/>
      <c r="H89" s="85"/>
      <c r="I89" s="87"/>
      <c r="J89" s="85"/>
      <c r="K89" s="85"/>
      <c r="L89" s="2"/>
      <c r="M89" s="2"/>
      <c r="N89" s="1"/>
      <c r="O89" s="1"/>
      <c r="P89" s="85"/>
      <c r="Q89" s="88"/>
      <c r="R89" s="3">
        <f>IFERROR(VLOOKUP(TablaSeptiembre[[#This Row],[BARRIO]],SECTOR!$A:$B,2,0),"")</f>
      </c>
      <c r="S89" s="89"/>
      <c r="T89" s="90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6"/>
      <c r="AZ89" s="19">
        <f>COUNTIF(U89:AY89,"A")</f>
      </c>
      <c r="BA89" s="17">
        <f>COUNTIF(U89:AY89,"F")</f>
      </c>
      <c r="BB89" s="17">
        <f>COUNTIF(U89:AY89,"E")</f>
      </c>
    </row>
    <row r="90" spans="1:54" ht="15.75" customHeight="1" x14ac:dyDescent="0.2">
      <c r="A90" s="84"/>
      <c r="B90" s="85"/>
      <c r="C90" s="85"/>
      <c r="D90" s="85"/>
      <c r="E90" s="86"/>
      <c r="F90" s="16">
        <f>IF(E90="","",DATEDIF(E90,$I$7,"Y"))</f>
      </c>
      <c r="G90" s="85"/>
      <c r="H90" s="85"/>
      <c r="I90" s="87"/>
      <c r="J90" s="85"/>
      <c r="K90" s="85"/>
      <c r="L90" s="2"/>
      <c r="M90" s="2"/>
      <c r="N90" s="1"/>
      <c r="O90" s="1"/>
      <c r="P90" s="85"/>
      <c r="Q90" s="88"/>
      <c r="R90" s="3">
        <f>IFERROR(VLOOKUP(TablaSeptiembre[[#This Row],[BARRIO]],SECTOR!$A:$B,2,0),"")</f>
      </c>
      <c r="S90" s="89"/>
      <c r="T90" s="90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6"/>
      <c r="AZ90" s="19">
        <f>COUNTIF(U90:AY90,"A")</f>
      </c>
      <c r="BA90" s="17">
        <f>COUNTIF(U90:AY90,"F")</f>
      </c>
      <c r="BB90" s="17">
        <f>COUNTIF(U90:AY90,"E")</f>
      </c>
    </row>
    <row r="91" spans="1:54" ht="15.75" customHeight="1" x14ac:dyDescent="0.2">
      <c r="A91" s="84"/>
      <c r="B91" s="85"/>
      <c r="C91" s="85"/>
      <c r="D91" s="85"/>
      <c r="E91" s="86"/>
      <c r="F91" s="16">
        <f>IF(E91="","",DATEDIF(E91,$I$7,"Y"))</f>
      </c>
      <c r="G91" s="85"/>
      <c r="H91" s="85"/>
      <c r="I91" s="87"/>
      <c r="J91" s="85"/>
      <c r="K91" s="85"/>
      <c r="L91" s="2"/>
      <c r="M91" s="2"/>
      <c r="N91" s="1"/>
      <c r="O91" s="1"/>
      <c r="P91" s="85"/>
      <c r="Q91" s="88"/>
      <c r="R91" s="3">
        <f>IFERROR(VLOOKUP(TablaSeptiembre[[#This Row],[BARRIO]],SECTOR!$A:$B,2,0),"")</f>
      </c>
      <c r="S91" s="89"/>
      <c r="T91" s="90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6"/>
      <c r="AZ91" s="19">
        <f>COUNTIF(U91:AY91,"A")</f>
      </c>
      <c r="BA91" s="17">
        <f>COUNTIF(U91:AY91,"F")</f>
      </c>
      <c r="BB91" s="17">
        <f>COUNTIF(U91:AY91,"E")</f>
      </c>
    </row>
    <row r="92" spans="1:54" ht="15.75" customHeight="1" x14ac:dyDescent="0.2">
      <c r="A92" s="84"/>
      <c r="B92" s="85"/>
      <c r="C92" s="85"/>
      <c r="D92" s="85"/>
      <c r="E92" s="86"/>
      <c r="F92" s="16">
        <f>IF(E92="","",DATEDIF(E92,$I$7,"Y"))</f>
      </c>
      <c r="G92" s="85"/>
      <c r="H92" s="85"/>
      <c r="I92" s="87"/>
      <c r="J92" s="85"/>
      <c r="K92" s="85"/>
      <c r="L92" s="2"/>
      <c r="M92" s="2"/>
      <c r="N92" s="1"/>
      <c r="O92" s="1"/>
      <c r="P92" s="85"/>
      <c r="Q92" s="88"/>
      <c r="R92" s="3">
        <f>IFERROR(VLOOKUP(TablaSeptiembre[[#This Row],[BARRIO]],SECTOR!$A:$B,2,0),"")</f>
      </c>
      <c r="S92" s="89"/>
      <c r="T92" s="90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6"/>
      <c r="AZ92" s="19">
        <f>COUNTIF(U92:AY92,"A")</f>
      </c>
      <c r="BA92" s="17">
        <f>COUNTIF(U92:AY92,"F")</f>
      </c>
      <c r="BB92" s="17">
        <f>COUNTIF(U92:AY92,"E")</f>
      </c>
    </row>
    <row r="93" spans="1:54" ht="15.75" customHeight="1" x14ac:dyDescent="0.2">
      <c r="A93" s="84"/>
      <c r="B93" s="85"/>
      <c r="C93" s="85"/>
      <c r="D93" s="85"/>
      <c r="E93" s="86"/>
      <c r="F93" s="16">
        <f>IF(E93="","",DATEDIF(E93,$I$7,"Y"))</f>
      </c>
      <c r="G93" s="85"/>
      <c r="H93" s="85"/>
      <c r="I93" s="87"/>
      <c r="J93" s="85"/>
      <c r="K93" s="85"/>
      <c r="L93" s="2"/>
      <c r="M93" s="2"/>
      <c r="N93" s="1"/>
      <c r="O93" s="1"/>
      <c r="P93" s="85"/>
      <c r="Q93" s="88"/>
      <c r="R93" s="3">
        <f>IFERROR(VLOOKUP(TablaSeptiembre[[#This Row],[BARRIO]],SECTOR!$A:$B,2,0),"")</f>
      </c>
      <c r="S93" s="89"/>
      <c r="T93" s="90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6"/>
      <c r="AZ93" s="19">
        <f>COUNTIF(U93:AY93,"A")</f>
      </c>
      <c r="BA93" s="17">
        <f>COUNTIF(U93:AY93,"F")</f>
      </c>
      <c r="BB93" s="17">
        <f>COUNTIF(U93:AY93,"E")</f>
      </c>
    </row>
    <row r="94" spans="1:54" ht="15.75" customHeight="1" x14ac:dyDescent="0.2">
      <c r="A94" s="84"/>
      <c r="B94" s="85"/>
      <c r="C94" s="85"/>
      <c r="D94" s="85"/>
      <c r="E94" s="86"/>
      <c r="F94" s="16">
        <f>IF(E94="","",DATEDIF(E94,$I$7,"Y"))</f>
      </c>
      <c r="G94" s="85"/>
      <c r="H94" s="85"/>
      <c r="I94" s="87"/>
      <c r="J94" s="85"/>
      <c r="K94" s="85"/>
      <c r="L94" s="2"/>
      <c r="M94" s="2"/>
      <c r="N94" s="1"/>
      <c r="O94" s="1"/>
      <c r="P94" s="85"/>
      <c r="Q94" s="88"/>
      <c r="R94" s="3">
        <f>IFERROR(VLOOKUP(TablaSeptiembre[[#This Row],[BARRIO]],SECTOR!$A:$B,2,0),"")</f>
      </c>
      <c r="S94" s="89"/>
      <c r="T94" s="90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6"/>
      <c r="AZ94" s="19">
        <f>COUNTIF(U94:AY94,"A")</f>
      </c>
      <c r="BA94" s="17">
        <f>COUNTIF(U94:AY94,"F")</f>
      </c>
      <c r="BB94" s="17">
        <f>COUNTIF(U94:AY94,"E")</f>
      </c>
    </row>
    <row r="95" spans="1:54" ht="15.75" customHeight="1" x14ac:dyDescent="0.2">
      <c r="A95" s="84"/>
      <c r="B95" s="85"/>
      <c r="C95" s="85"/>
      <c r="D95" s="85"/>
      <c r="E95" s="86"/>
      <c r="F95" s="16">
        <f>IF(E95="","",DATEDIF(E95,$I$7,"Y"))</f>
      </c>
      <c r="G95" s="85"/>
      <c r="H95" s="85"/>
      <c r="I95" s="87"/>
      <c r="J95" s="85"/>
      <c r="K95" s="85"/>
      <c r="L95" s="2"/>
      <c r="M95" s="2"/>
      <c r="N95" s="1"/>
      <c r="O95" s="1"/>
      <c r="P95" s="85"/>
      <c r="Q95" s="88"/>
      <c r="R95" s="3">
        <f>IFERROR(VLOOKUP(TablaSeptiembre[[#This Row],[BARRIO]],SECTOR!$A:$B,2,0),"")</f>
      </c>
      <c r="S95" s="89"/>
      <c r="T95" s="90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6"/>
      <c r="AZ95" s="19">
        <f>COUNTIF(U95:AY95,"A")</f>
      </c>
      <c r="BA95" s="17">
        <f>COUNTIF(U95:AY95,"F")</f>
      </c>
      <c r="BB95" s="17">
        <f>COUNTIF(U95:AY95,"E")</f>
      </c>
    </row>
    <row r="96" spans="1:54" ht="15.75" customHeight="1" x14ac:dyDescent="0.2">
      <c r="A96" s="84"/>
      <c r="B96" s="85"/>
      <c r="C96" s="85"/>
      <c r="D96" s="85"/>
      <c r="E96" s="86"/>
      <c r="F96" s="16">
        <f>IF(E96="","",DATEDIF(E96,$I$7,"Y"))</f>
      </c>
      <c r="G96" s="85"/>
      <c r="H96" s="85"/>
      <c r="I96" s="87"/>
      <c r="J96" s="85"/>
      <c r="K96" s="85"/>
      <c r="L96" s="2"/>
      <c r="M96" s="2"/>
      <c r="N96" s="1"/>
      <c r="O96" s="1"/>
      <c r="P96" s="85"/>
      <c r="Q96" s="88"/>
      <c r="R96" s="3">
        <f>IFERROR(VLOOKUP(TablaSeptiembre[[#This Row],[BARRIO]],SECTOR!$A:$B,2,0),"")</f>
      </c>
      <c r="S96" s="89"/>
      <c r="T96" s="90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7"/>
      <c r="AZ96" s="30">
        <f>COUNTIF(U96:AY96,"A")</f>
      </c>
      <c r="BA96" s="17">
        <f>COUNTIF(U96:AY96,"F")</f>
      </c>
      <c r="BB96" s="17">
        <f>COUNTIF(U96:AY96,"E")</f>
      </c>
    </row>
    <row r="97" spans="1:54" ht="15.75" customHeight="1" x14ac:dyDescent="0.2">
      <c r="A97" s="84"/>
      <c r="B97" s="85"/>
      <c r="C97" s="85"/>
      <c r="D97" s="85"/>
      <c r="E97" s="86"/>
      <c r="F97" s="16">
        <f>IF(E97="","",DATEDIF(E97,$I$7,"Y"))</f>
      </c>
      <c r="G97" s="85"/>
      <c r="H97" s="85"/>
      <c r="I97" s="87"/>
      <c r="J97" s="85"/>
      <c r="K97" s="85"/>
      <c r="L97" s="2"/>
      <c r="M97" s="2"/>
      <c r="N97" s="1"/>
      <c r="O97" s="1"/>
      <c r="P97" s="85"/>
      <c r="Q97" s="88"/>
      <c r="R97" s="3">
        <f>IFERROR(VLOOKUP(TablaSeptiembre[[#This Row],[BARRIO]],SECTOR!$A:$B,2,0),"")</f>
      </c>
      <c r="S97" s="89"/>
      <c r="T97" s="90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6"/>
      <c r="AZ97" s="30">
        <f>COUNTIF(U97:AY97,"A")</f>
      </c>
      <c r="BA97" s="17">
        <f>COUNTIF(U97:AY97,"F")</f>
      </c>
      <c r="BB97" s="17">
        <f>COUNTIF(U97:AY97,"E")</f>
      </c>
    </row>
    <row r="98" spans="1:54" ht="15.75" customHeight="1" x14ac:dyDescent="0.2">
      <c r="A98" s="84"/>
      <c r="B98" s="85"/>
      <c r="C98" s="85"/>
      <c r="D98" s="85"/>
      <c r="E98" s="86"/>
      <c r="F98" s="16">
        <f>IF(E98="","",DATEDIF(E98,$I$7,"Y"))</f>
      </c>
      <c r="G98" s="85"/>
      <c r="H98" s="85"/>
      <c r="I98" s="87"/>
      <c r="J98" s="85"/>
      <c r="K98" s="85"/>
      <c r="L98" s="2"/>
      <c r="M98" s="2"/>
      <c r="N98" s="1"/>
      <c r="O98" s="1"/>
      <c r="P98" s="85"/>
      <c r="Q98" s="88"/>
      <c r="R98" s="3">
        <f>IFERROR(VLOOKUP(TablaSeptiembre[[#This Row],[BARRIO]],SECTOR!$A:$B,2,0),"")</f>
      </c>
      <c r="S98" s="89"/>
      <c r="T98" s="90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6"/>
      <c r="AZ98" s="30">
        <f>COUNTIF(U98:AY98,"A")</f>
      </c>
      <c r="BA98" s="17">
        <f>COUNTIF(U98:AY98,"F")</f>
      </c>
      <c r="BB98" s="17">
        <f>COUNTIF(U98:AY98,"E")</f>
      </c>
    </row>
    <row r="99" spans="1:54" ht="15.75" customHeight="1" x14ac:dyDescent="0.2">
      <c r="A99" s="84"/>
      <c r="B99" s="85"/>
      <c r="C99" s="85"/>
      <c r="D99" s="85"/>
      <c r="E99" s="86"/>
      <c r="F99" s="16">
        <f>IF(E99="","",DATEDIF(E99,$I$7,"Y"))</f>
      </c>
      <c r="G99" s="85"/>
      <c r="H99" s="85"/>
      <c r="I99" s="87"/>
      <c r="J99" s="85"/>
      <c r="K99" s="85"/>
      <c r="L99" s="2"/>
      <c r="M99" s="2"/>
      <c r="N99" s="1"/>
      <c r="O99" s="1"/>
      <c r="P99" s="85"/>
      <c r="Q99" s="88"/>
      <c r="R99" s="3">
        <f>IFERROR(VLOOKUP(TablaSeptiembre[[#This Row],[BARRIO]],SECTOR!$A:$B,2,0),"")</f>
      </c>
      <c r="S99" s="89"/>
      <c r="T99" s="90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6"/>
      <c r="AZ99" s="30">
        <f>COUNTIF(U99:AY99,"A")</f>
      </c>
      <c r="BA99" s="17">
        <f>COUNTIF(U99:AY99,"F")</f>
      </c>
      <c r="BB99" s="17">
        <f>COUNTIF(U99:AY99,"E")</f>
      </c>
    </row>
    <row r="100" spans="1:54" ht="15.75" customHeight="1" x14ac:dyDescent="0.2">
      <c r="A100" s="84"/>
      <c r="B100" s="85"/>
      <c r="C100" s="85"/>
      <c r="D100" s="85"/>
      <c r="E100" s="86"/>
      <c r="F100" s="16">
        <f>IF(E100="","",DATEDIF(E100,$I$7,"Y"))</f>
      </c>
      <c r="G100" s="85"/>
      <c r="H100" s="85"/>
      <c r="I100" s="87"/>
      <c r="J100" s="85"/>
      <c r="K100" s="85"/>
      <c r="L100" s="2"/>
      <c r="M100" s="2"/>
      <c r="N100" s="1"/>
      <c r="O100" s="1"/>
      <c r="P100" s="85"/>
      <c r="Q100" s="88"/>
      <c r="R100" s="3">
        <f>IFERROR(VLOOKUP(TablaSeptiembre[[#This Row],[BARRIO]],SECTOR!$A:$B,2,0),"")</f>
      </c>
      <c r="S100" s="89"/>
      <c r="T100" s="90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6"/>
      <c r="AZ100" s="30">
        <f>COUNTIF(U100:AY100,"A")</f>
      </c>
      <c r="BA100" s="17">
        <f>COUNTIF(U100:AY100,"F")</f>
      </c>
      <c r="BB100" s="17">
        <f>COUNTIF(U100:AY100,"E")</f>
      </c>
    </row>
    <row r="101" spans="1:54" ht="15.75" customHeight="1" x14ac:dyDescent="0.2">
      <c r="A101" s="84"/>
      <c r="B101" s="85"/>
      <c r="C101" s="85"/>
      <c r="D101" s="85"/>
      <c r="E101" s="86"/>
      <c r="F101" s="16">
        <f>IF(E101="","",DATEDIF(E101,$I$7,"Y"))</f>
      </c>
      <c r="G101" s="85"/>
      <c r="H101" s="85"/>
      <c r="I101" s="87"/>
      <c r="J101" s="85"/>
      <c r="K101" s="85"/>
      <c r="L101" s="2"/>
      <c r="M101" s="2"/>
      <c r="N101" s="1"/>
      <c r="O101" s="1"/>
      <c r="P101" s="85"/>
      <c r="Q101" s="88"/>
      <c r="R101" s="3">
        <f>IFERROR(VLOOKUP(TablaSeptiembre[[#This Row],[BARRIO]],SECTOR!$A:$B,2,0),"")</f>
      </c>
      <c r="S101" s="89"/>
      <c r="T101" s="90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6"/>
      <c r="AZ101" s="30">
        <f>COUNTIF(U101:AY101,"A")</f>
      </c>
      <c r="BA101" s="17">
        <f>COUNTIF(U101:AY101,"F")</f>
      </c>
      <c r="BB101" s="17">
        <f>COUNTIF(U101:AY101,"E")</f>
      </c>
    </row>
    <row r="102" spans="1:54" ht="15.75" customHeight="1" x14ac:dyDescent="0.2">
      <c r="A102" s="84"/>
      <c r="B102" s="85"/>
      <c r="C102" s="85"/>
      <c r="D102" s="85"/>
      <c r="E102" s="86"/>
      <c r="F102" s="16">
        <f>IF(E102="","",DATEDIF(E102,$I$7,"Y"))</f>
      </c>
      <c r="G102" s="85"/>
      <c r="H102" s="85"/>
      <c r="I102" s="87"/>
      <c r="J102" s="85"/>
      <c r="K102" s="85"/>
      <c r="L102" s="2"/>
      <c r="M102" s="2"/>
      <c r="N102" s="1"/>
      <c r="O102" s="1"/>
      <c r="P102" s="85"/>
      <c r="Q102" s="88"/>
      <c r="R102" s="3">
        <f>IFERROR(VLOOKUP(TablaSeptiembre[[#This Row],[BARRIO]],SECTOR!$A:$B,2,0),"")</f>
      </c>
      <c r="S102" s="89"/>
      <c r="T102" s="90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6"/>
      <c r="AZ102" s="30">
        <f>COUNTIF(U102:AY102,"A")</f>
      </c>
      <c r="BA102" s="17">
        <f>COUNTIF(U102:AY102,"F")</f>
      </c>
      <c r="BB102" s="17">
        <f>COUNTIF(U102:AY102,"E")</f>
      </c>
    </row>
    <row r="103" spans="1:54" ht="15.75" customHeight="1" x14ac:dyDescent="0.2">
      <c r="A103" s="84"/>
      <c r="B103" s="85"/>
      <c r="C103" s="85"/>
      <c r="D103" s="85"/>
      <c r="E103" s="86"/>
      <c r="F103" s="16">
        <f>IF(E103="","",DATEDIF(E103,$I$7,"Y"))</f>
      </c>
      <c r="G103" s="85"/>
      <c r="H103" s="85"/>
      <c r="I103" s="87"/>
      <c r="J103" s="85"/>
      <c r="K103" s="85"/>
      <c r="L103" s="2"/>
      <c r="M103" s="2"/>
      <c r="N103" s="1"/>
      <c r="O103" s="1"/>
      <c r="P103" s="85"/>
      <c r="Q103" s="88"/>
      <c r="R103" s="3">
        <f>IFERROR(VLOOKUP(TablaSeptiembre[[#This Row],[BARRIO]],SECTOR!$A:$B,2,0),"")</f>
      </c>
      <c r="S103" s="89"/>
      <c r="T103" s="90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6"/>
      <c r="AZ103" s="30">
        <f>COUNTIF(U103:AY103,"A")</f>
      </c>
      <c r="BA103" s="17">
        <f>COUNTIF(U103:AY103,"F")</f>
      </c>
      <c r="BB103" s="17">
        <f>COUNTIF(U103:AY103,"E")</f>
      </c>
    </row>
    <row r="104" spans="1:54" ht="15.75" customHeight="1" x14ac:dyDescent="0.2">
      <c r="A104" s="84"/>
      <c r="B104" s="85"/>
      <c r="C104" s="85"/>
      <c r="D104" s="85"/>
      <c r="E104" s="86"/>
      <c r="F104" s="16">
        <f>IF(E104="","",DATEDIF(E104,$I$7,"Y"))</f>
      </c>
      <c r="G104" s="85"/>
      <c r="H104" s="85"/>
      <c r="I104" s="87"/>
      <c r="J104" s="85"/>
      <c r="K104" s="85"/>
      <c r="L104" s="2"/>
      <c r="M104" s="2"/>
      <c r="N104" s="1"/>
      <c r="O104" s="1"/>
      <c r="P104" s="85"/>
      <c r="Q104" s="88"/>
      <c r="R104" s="3">
        <f>IFERROR(VLOOKUP(TablaSeptiembre[[#This Row],[BARRIO]],SECTOR!$A:$B,2,0),"")</f>
      </c>
      <c r="S104" s="89"/>
      <c r="T104" s="90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6"/>
      <c r="AZ104" s="30">
        <f>COUNTIF(U104:AY104,"A")</f>
      </c>
      <c r="BA104" s="17">
        <f>COUNTIF(U104:AY104,"F")</f>
      </c>
      <c r="BB104" s="17">
        <f>COUNTIF(U104:AY104,"E")</f>
      </c>
    </row>
    <row r="105" spans="1:54" ht="15.75" customHeight="1" x14ac:dyDescent="0.2">
      <c r="A105" s="84"/>
      <c r="B105" s="85"/>
      <c r="C105" s="85"/>
      <c r="D105" s="85"/>
      <c r="E105" s="86"/>
      <c r="F105" s="16">
        <f>IF(E105="","",DATEDIF(E105,$I$7,"Y"))</f>
      </c>
      <c r="G105" s="85"/>
      <c r="H105" s="85"/>
      <c r="I105" s="87"/>
      <c r="J105" s="85"/>
      <c r="K105" s="85"/>
      <c r="L105" s="2"/>
      <c r="M105" s="2"/>
      <c r="N105" s="1"/>
      <c r="O105" s="1"/>
      <c r="P105" s="85"/>
      <c r="Q105" s="88"/>
      <c r="R105" s="3">
        <f>IFERROR(VLOOKUP(TablaSeptiembre[[#This Row],[BARRIO]],SECTOR!$A:$B,2,0),"")</f>
      </c>
      <c r="S105" s="89"/>
      <c r="T105" s="90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6"/>
      <c r="AZ105" s="30">
        <f>COUNTIF(U105:AY105,"A")</f>
      </c>
      <c r="BA105" s="17">
        <f>COUNTIF(U105:AY105,"F")</f>
      </c>
      <c r="BB105" s="17">
        <f>COUNTIF(U105:AY105,"E")</f>
      </c>
    </row>
    <row r="106" spans="1:54" ht="15.75" customHeight="1" x14ac:dyDescent="0.2">
      <c r="A106" s="84"/>
      <c r="B106" s="85"/>
      <c r="C106" s="85"/>
      <c r="D106" s="85"/>
      <c r="E106" s="86"/>
      <c r="F106" s="16">
        <f>IF(E106="","",DATEDIF(E106,$I$7,"Y"))</f>
      </c>
      <c r="G106" s="85"/>
      <c r="H106" s="85"/>
      <c r="I106" s="87"/>
      <c r="J106" s="85"/>
      <c r="K106" s="85"/>
      <c r="L106" s="2"/>
      <c r="M106" s="2"/>
      <c r="N106" s="1"/>
      <c r="O106" s="1"/>
      <c r="P106" s="85"/>
      <c r="Q106" s="88"/>
      <c r="R106" s="3">
        <f>IFERROR(VLOOKUP(TablaSeptiembre[[#This Row],[BARRIO]],SECTOR!$A:$B,2,0),"")</f>
      </c>
      <c r="S106" s="89"/>
      <c r="T106" s="90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6"/>
      <c r="AZ106" s="30">
        <f>COUNTIF(U106:AY106,"A")</f>
      </c>
      <c r="BA106" s="17">
        <f>COUNTIF(U106:AY106,"F")</f>
      </c>
      <c r="BB106" s="17">
        <f>COUNTIF(U106:AY106,"E")</f>
      </c>
    </row>
    <row r="107" spans="1:54" ht="15.75" customHeight="1" x14ac:dyDescent="0.2">
      <c r="A107" s="84"/>
      <c r="B107" s="85"/>
      <c r="C107" s="85"/>
      <c r="D107" s="85"/>
      <c r="E107" s="86"/>
      <c r="F107" s="16">
        <f>IF(E107="","",DATEDIF(E107,$I$7,"Y"))</f>
      </c>
      <c r="G107" s="85"/>
      <c r="H107" s="85"/>
      <c r="I107" s="87"/>
      <c r="J107" s="85"/>
      <c r="K107" s="85"/>
      <c r="L107" s="2"/>
      <c r="M107" s="2"/>
      <c r="N107" s="1"/>
      <c r="O107" s="1"/>
      <c r="P107" s="85"/>
      <c r="Q107" s="88"/>
      <c r="R107" s="3">
        <f>IFERROR(VLOOKUP(TablaSeptiembre[[#This Row],[BARRIO]],SECTOR!$A:$B,2,0),"")</f>
      </c>
      <c r="S107" s="89"/>
      <c r="T107" s="90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6"/>
      <c r="AZ107" s="30">
        <f>COUNTIF(U107:AY107,"A")</f>
      </c>
      <c r="BA107" s="17">
        <f>COUNTIF(U107:AY107,"F")</f>
      </c>
      <c r="BB107" s="17">
        <f>COUNTIF(U107:AY107,"E")</f>
      </c>
    </row>
    <row r="108" spans="1:54" ht="15.75" customHeight="1" x14ac:dyDescent="0.2">
      <c r="A108" s="84"/>
      <c r="B108" s="85"/>
      <c r="C108" s="85"/>
      <c r="D108" s="85"/>
      <c r="E108" s="86"/>
      <c r="F108" s="16">
        <f>IF(E108="","",DATEDIF(E108,$I$7,"Y"))</f>
      </c>
      <c r="G108" s="85"/>
      <c r="H108" s="85"/>
      <c r="I108" s="87"/>
      <c r="J108" s="85"/>
      <c r="K108" s="85"/>
      <c r="L108" s="2"/>
      <c r="M108" s="2"/>
      <c r="N108" s="1"/>
      <c r="O108" s="1"/>
      <c r="P108" s="85"/>
      <c r="Q108" s="88"/>
      <c r="R108" s="3">
        <f>IFERROR(VLOOKUP(TablaSeptiembre[[#This Row],[BARRIO]],SECTOR!$A:$B,2,0),"")</f>
      </c>
      <c r="S108" s="89"/>
      <c r="T108" s="90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6"/>
      <c r="AZ108" s="30">
        <f>COUNTIF(U108:AY108,"A")</f>
      </c>
      <c r="BA108" s="17">
        <f>COUNTIF(U108:AY108,"F")</f>
      </c>
      <c r="BB108" s="17">
        <f>COUNTIF(U108:AY108,"E")</f>
      </c>
    </row>
    <row r="109" spans="1:54" ht="15.75" customHeight="1" x14ac:dyDescent="0.2">
      <c r="A109" s="84"/>
      <c r="B109" s="85"/>
      <c r="C109" s="85"/>
      <c r="D109" s="85"/>
      <c r="E109" s="86"/>
      <c r="F109" s="16">
        <f>IF(E109="","",DATEDIF(E109,$I$7,"Y"))</f>
      </c>
      <c r="G109" s="85"/>
      <c r="H109" s="85"/>
      <c r="I109" s="87"/>
      <c r="J109" s="85"/>
      <c r="K109" s="85"/>
      <c r="L109" s="2"/>
      <c r="M109" s="2"/>
      <c r="N109" s="1"/>
      <c r="O109" s="1"/>
      <c r="P109" s="85"/>
      <c r="Q109" s="88"/>
      <c r="R109" s="3">
        <f>IFERROR(VLOOKUP(TablaSeptiembre[[#This Row],[BARRIO]],SECTOR!$A:$B,2,0),"")</f>
      </c>
      <c r="S109" s="89"/>
      <c r="T109" s="90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6"/>
      <c r="AZ109" s="30">
        <f>COUNTIF(U109:AY109,"A")</f>
      </c>
      <c r="BA109" s="17">
        <f>COUNTIF(U109:AY109,"F")</f>
      </c>
      <c r="BB109" s="17">
        <f>COUNTIF(U109:AY109,"E")</f>
      </c>
    </row>
    <row r="110" spans="1:54" ht="15.75" customHeight="1" x14ac:dyDescent="0.2">
      <c r="A110" s="84"/>
      <c r="B110" s="85"/>
      <c r="C110" s="85"/>
      <c r="D110" s="85"/>
      <c r="E110" s="86"/>
      <c r="F110" s="16">
        <f>IF(E110="","",DATEDIF(E110,$I$7,"Y"))</f>
      </c>
      <c r="G110" s="85"/>
      <c r="H110" s="85"/>
      <c r="I110" s="87"/>
      <c r="J110" s="85"/>
      <c r="K110" s="85"/>
      <c r="L110" s="2"/>
      <c r="M110" s="2"/>
      <c r="N110" s="1"/>
      <c r="O110" s="1"/>
      <c r="P110" s="85"/>
      <c r="Q110" s="88"/>
      <c r="R110" s="3">
        <f>IFERROR(VLOOKUP(TablaSeptiembre[[#This Row],[BARRIO]],SECTOR!$A:$B,2,0),"")</f>
      </c>
      <c r="S110" s="89"/>
      <c r="T110" s="90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6"/>
      <c r="AZ110" s="30">
        <f>COUNTIF(U110:AY110,"A")</f>
      </c>
      <c r="BA110" s="17">
        <f>COUNTIF(U110:AY110,"F")</f>
      </c>
      <c r="BB110" s="17">
        <f>COUNTIF(U110:AY110,"E")</f>
      </c>
    </row>
    <row r="111" spans="1:54" ht="15.75" customHeight="1" x14ac:dyDescent="0.2">
      <c r="A111" s="84"/>
      <c r="B111" s="85"/>
      <c r="C111" s="85"/>
      <c r="D111" s="85"/>
      <c r="E111" s="86"/>
      <c r="F111" s="16">
        <f>IF(E111="","",DATEDIF(E111,$I$7,"Y"))</f>
      </c>
      <c r="G111" s="85"/>
      <c r="H111" s="85"/>
      <c r="I111" s="87"/>
      <c r="J111" s="85"/>
      <c r="K111" s="85"/>
      <c r="L111" s="2"/>
      <c r="M111" s="2"/>
      <c r="N111" s="1"/>
      <c r="O111" s="1"/>
      <c r="P111" s="85"/>
      <c r="Q111" s="88"/>
      <c r="R111" s="3">
        <f>IFERROR(VLOOKUP(TablaSeptiembre[[#This Row],[BARRIO]],SECTOR!$A:$B,2,0),"")</f>
      </c>
      <c r="S111" s="89"/>
      <c r="T111" s="90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6"/>
      <c r="AZ111" s="30">
        <f>COUNTIF(U111:AY111,"A")</f>
      </c>
      <c r="BA111" s="17">
        <f>COUNTIF(U111:AY111,"F")</f>
      </c>
      <c r="BB111" s="17">
        <f>COUNTIF(U111:AY111,"E")</f>
      </c>
    </row>
    <row r="112" spans="1:54" ht="15.75" customHeight="1" x14ac:dyDescent="0.2">
      <c r="A112" s="84"/>
      <c r="B112" s="85"/>
      <c r="C112" s="85"/>
      <c r="D112" s="85"/>
      <c r="E112" s="86"/>
      <c r="F112" s="16">
        <f>IF(E112="","",DATEDIF(E112,$I$7,"Y"))</f>
      </c>
      <c r="G112" s="85"/>
      <c r="H112" s="85"/>
      <c r="I112" s="87"/>
      <c r="J112" s="85"/>
      <c r="K112" s="85"/>
      <c r="L112" s="2"/>
      <c r="M112" s="2"/>
      <c r="N112" s="1"/>
      <c r="O112" s="1"/>
      <c r="P112" s="85"/>
      <c r="Q112" s="88"/>
      <c r="R112" s="3">
        <f>IFERROR(VLOOKUP(TablaSeptiembre[[#This Row],[BARRIO]],SECTOR!$A:$B,2,0),"")</f>
      </c>
      <c r="S112" s="89"/>
      <c r="T112" s="90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6"/>
      <c r="AZ112" s="30">
        <f>COUNTIF(U112:AY112,"A")</f>
      </c>
      <c r="BA112" s="17">
        <f>COUNTIF(U112:AY112,"F")</f>
      </c>
      <c r="BB112" s="17">
        <f>COUNTIF(U112:AY112,"E")</f>
      </c>
    </row>
    <row r="113" spans="1:54" ht="15.75" customHeight="1" x14ac:dyDescent="0.2">
      <c r="A113" s="84"/>
      <c r="B113" s="85"/>
      <c r="C113" s="85"/>
      <c r="D113" s="85"/>
      <c r="E113" s="86"/>
      <c r="F113" s="16">
        <f>IF(E113="","",DATEDIF(E113,$I$7,"Y"))</f>
      </c>
      <c r="G113" s="85"/>
      <c r="H113" s="85"/>
      <c r="I113" s="87"/>
      <c r="J113" s="85"/>
      <c r="K113" s="85"/>
      <c r="L113" s="2"/>
      <c r="M113" s="2"/>
      <c r="N113" s="1"/>
      <c r="O113" s="1"/>
      <c r="P113" s="85"/>
      <c r="Q113" s="88"/>
      <c r="R113" s="3">
        <f>IFERROR(VLOOKUP(TablaSeptiembre[[#This Row],[BARRIO]],SECTOR!$A:$B,2,0),"")</f>
      </c>
      <c r="S113" s="89"/>
      <c r="T113" s="90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6"/>
      <c r="AZ113" s="30">
        <f>COUNTIF(U113:AY113,"A")</f>
      </c>
      <c r="BA113" s="17">
        <f>COUNTIF(U113:AY113,"F")</f>
      </c>
      <c r="BB113" s="17">
        <f>COUNTIF(U113:AY113,"E")</f>
      </c>
    </row>
    <row r="114" spans="1:54" ht="15.75" customHeight="1" x14ac:dyDescent="0.2">
      <c r="A114" s="84"/>
      <c r="B114" s="85"/>
      <c r="C114" s="85"/>
      <c r="D114" s="85"/>
      <c r="E114" s="86"/>
      <c r="F114" s="16">
        <f>IF(E114="","",DATEDIF(E114,$I$7,"Y"))</f>
      </c>
      <c r="G114" s="85"/>
      <c r="H114" s="85"/>
      <c r="I114" s="87"/>
      <c r="J114" s="85"/>
      <c r="K114" s="85"/>
      <c r="L114" s="2"/>
      <c r="M114" s="2"/>
      <c r="N114" s="1"/>
      <c r="O114" s="1"/>
      <c r="P114" s="85"/>
      <c r="Q114" s="88"/>
      <c r="R114" s="3">
        <f>IFERROR(VLOOKUP(TablaSeptiembre[[#This Row],[BARRIO]],SECTOR!$A:$B,2,0),"")</f>
      </c>
      <c r="S114" s="89"/>
      <c r="T114" s="90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6"/>
      <c r="AZ114" s="30">
        <f>COUNTIF(U114:AY114,"A")</f>
      </c>
      <c r="BA114" s="17">
        <f>COUNTIF(U114:AY114,"F")</f>
      </c>
      <c r="BB114" s="17">
        <f>COUNTIF(U114:AY114,"E")</f>
      </c>
    </row>
    <row r="115" spans="1:54" ht="15.75" customHeight="1" x14ac:dyDescent="0.2">
      <c r="A115" s="84"/>
      <c r="B115" s="85"/>
      <c r="C115" s="85"/>
      <c r="D115" s="85"/>
      <c r="E115" s="86"/>
      <c r="F115" s="16">
        <f>IF(E115="","",DATEDIF(E115,$I$7,"Y"))</f>
      </c>
      <c r="G115" s="85"/>
      <c r="H115" s="85"/>
      <c r="I115" s="87"/>
      <c r="J115" s="85"/>
      <c r="K115" s="85"/>
      <c r="L115" s="2"/>
      <c r="M115" s="2"/>
      <c r="N115" s="1"/>
      <c r="O115" s="1"/>
      <c r="P115" s="85"/>
      <c r="Q115" s="88"/>
      <c r="R115" s="3">
        <f>IFERROR(VLOOKUP(TablaSeptiembre[[#This Row],[BARRIO]],SECTOR!$A:$B,2,0),"")</f>
      </c>
      <c r="S115" s="89"/>
      <c r="T115" s="90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6"/>
      <c r="AZ115" s="30">
        <f>COUNTIF(U115:AY115,"A")</f>
      </c>
      <c r="BA115" s="17">
        <f>COUNTIF(U115:AY115,"F")</f>
      </c>
      <c r="BB115" s="17">
        <f>COUNTIF(U115:AY115,"E")</f>
      </c>
    </row>
    <row r="116" spans="1:54" ht="15.75" customHeight="1" x14ac:dyDescent="0.2">
      <c r="A116" s="84"/>
      <c r="B116" s="85"/>
      <c r="C116" s="85"/>
      <c r="D116" s="85"/>
      <c r="E116" s="86"/>
      <c r="F116" s="16">
        <f>IF(E116="","",DATEDIF(E116,$I$7,"Y"))</f>
      </c>
      <c r="G116" s="85"/>
      <c r="H116" s="85"/>
      <c r="I116" s="87"/>
      <c r="J116" s="85"/>
      <c r="K116" s="85"/>
      <c r="L116" s="2"/>
      <c r="M116" s="2"/>
      <c r="N116" s="1"/>
      <c r="O116" s="1"/>
      <c r="P116" s="85"/>
      <c r="Q116" s="88"/>
      <c r="R116" s="3">
        <f>IFERROR(VLOOKUP(TablaSeptiembre[[#This Row],[BARRIO]],SECTOR!$A:$B,2,0),"")</f>
      </c>
      <c r="S116" s="89"/>
      <c r="T116" s="90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6"/>
      <c r="AZ116" s="30">
        <f>COUNTIF(U116:AY116,"A")</f>
      </c>
      <c r="BA116" s="17">
        <f>COUNTIF(U116:AY116,"F")</f>
      </c>
      <c r="BB116" s="17">
        <f>COUNTIF(U116:AY116,"E")</f>
      </c>
    </row>
    <row r="117" spans="1:54" ht="15.75" customHeight="1" x14ac:dyDescent="0.2">
      <c r="A117" s="84"/>
      <c r="B117" s="85"/>
      <c r="C117" s="85"/>
      <c r="D117" s="85"/>
      <c r="E117" s="86"/>
      <c r="F117" s="16">
        <f>IF(E117="","",DATEDIF(E117,$I$7,"Y"))</f>
      </c>
      <c r="G117" s="85"/>
      <c r="H117" s="85"/>
      <c r="I117" s="87"/>
      <c r="J117" s="85"/>
      <c r="K117" s="85"/>
      <c r="L117" s="2"/>
      <c r="M117" s="2"/>
      <c r="N117" s="1"/>
      <c r="O117" s="1"/>
      <c r="P117" s="85"/>
      <c r="Q117" s="88"/>
      <c r="R117" s="3">
        <f>IFERROR(VLOOKUP(TablaSeptiembre[[#This Row],[BARRIO]],SECTOR!$A:$B,2,0),"")</f>
      </c>
      <c r="S117" s="89"/>
      <c r="T117" s="90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6"/>
      <c r="AZ117" s="30">
        <f>COUNTIF(U117:AY117,"A")</f>
      </c>
      <c r="BA117" s="17">
        <f>COUNTIF(U117:AY117,"F")</f>
      </c>
      <c r="BB117" s="17">
        <f>COUNTIF(U117:AY117,"E")</f>
      </c>
    </row>
    <row r="118" spans="1:54" ht="15.75" customHeight="1" x14ac:dyDescent="0.2">
      <c r="A118" s="84"/>
      <c r="B118" s="85"/>
      <c r="C118" s="85"/>
      <c r="D118" s="85"/>
      <c r="E118" s="86"/>
      <c r="F118" s="16">
        <f>IF(E118="","",DATEDIF(E118,$I$7,"Y"))</f>
      </c>
      <c r="G118" s="85"/>
      <c r="H118" s="85"/>
      <c r="I118" s="87"/>
      <c r="J118" s="85"/>
      <c r="K118" s="85"/>
      <c r="L118" s="2"/>
      <c r="M118" s="2"/>
      <c r="N118" s="1"/>
      <c r="O118" s="1"/>
      <c r="P118" s="85"/>
      <c r="Q118" s="88"/>
      <c r="R118" s="3">
        <f>IFERROR(VLOOKUP(TablaSeptiembre[[#This Row],[BARRIO]],SECTOR!$A:$B,2,0),"")</f>
      </c>
      <c r="S118" s="89"/>
      <c r="T118" s="90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6"/>
      <c r="AZ118" s="30">
        <f>COUNTIF(U118:AY118,"A")</f>
      </c>
      <c r="BA118" s="17">
        <f>COUNTIF(U118:AY118,"F")</f>
      </c>
      <c r="BB118" s="17">
        <f>COUNTIF(U118:AY118,"E")</f>
      </c>
    </row>
    <row r="119" spans="1:54" ht="15.75" customHeight="1" x14ac:dyDescent="0.2">
      <c r="A119" s="84"/>
      <c r="B119" s="85"/>
      <c r="C119" s="85"/>
      <c r="D119" s="85"/>
      <c r="E119" s="86"/>
      <c r="F119" s="16">
        <f>IF(E119="","",DATEDIF(E119,$I$7,"Y"))</f>
      </c>
      <c r="G119" s="85"/>
      <c r="H119" s="85"/>
      <c r="I119" s="87"/>
      <c r="J119" s="85"/>
      <c r="K119" s="85"/>
      <c r="L119" s="2"/>
      <c r="M119" s="2"/>
      <c r="N119" s="1"/>
      <c r="O119" s="1"/>
      <c r="P119" s="85"/>
      <c r="Q119" s="88"/>
      <c r="R119" s="3">
        <f>IFERROR(VLOOKUP(TablaSeptiembre[[#This Row],[BARRIO]],SECTOR!$A:$B,2,0),"")</f>
      </c>
      <c r="S119" s="89"/>
      <c r="T119" s="90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6"/>
      <c r="AZ119" s="30">
        <f>COUNTIF(U119:AY119,"A")</f>
      </c>
      <c r="BA119" s="17">
        <f>COUNTIF(U119:AY119,"F")</f>
      </c>
      <c r="BB119" s="17">
        <f>COUNTIF(U119:AY119,"E")</f>
      </c>
    </row>
    <row r="120" spans="1:54" ht="15.75" customHeight="1" x14ac:dyDescent="0.2">
      <c r="A120" s="84"/>
      <c r="B120" s="85"/>
      <c r="C120" s="85"/>
      <c r="D120" s="85"/>
      <c r="E120" s="86"/>
      <c r="F120" s="16">
        <f>IF(E120="","",DATEDIF(E120,$I$7,"Y"))</f>
      </c>
      <c r="G120" s="85"/>
      <c r="H120" s="85"/>
      <c r="I120" s="87"/>
      <c r="J120" s="85"/>
      <c r="K120" s="85"/>
      <c r="L120" s="2"/>
      <c r="M120" s="2"/>
      <c r="N120" s="1"/>
      <c r="O120" s="1"/>
      <c r="P120" s="85"/>
      <c r="Q120" s="88"/>
      <c r="R120" s="3">
        <f>IFERROR(VLOOKUP(TablaSeptiembre[[#This Row],[BARRIO]],SECTOR!$A:$B,2,0),"")</f>
      </c>
      <c r="S120" s="89"/>
      <c r="T120" s="90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6"/>
      <c r="AZ120" s="30">
        <f>COUNTIF(U120:AY120,"A")</f>
      </c>
      <c r="BA120" s="17">
        <f>COUNTIF(U120:AY120,"F")</f>
      </c>
      <c r="BB120" s="17">
        <f>COUNTIF(U120:AY120,"E")</f>
      </c>
    </row>
    <row r="121" spans="1:54" ht="15.75" customHeight="1" x14ac:dyDescent="0.2">
      <c r="A121" s="84"/>
      <c r="B121" s="85"/>
      <c r="C121" s="85"/>
      <c r="D121" s="85"/>
      <c r="E121" s="86"/>
      <c r="F121" s="16">
        <f>IF(E121="","",DATEDIF(E121,$I$7,"Y"))</f>
      </c>
      <c r="G121" s="85"/>
      <c r="H121" s="85"/>
      <c r="I121" s="87"/>
      <c r="J121" s="85"/>
      <c r="K121" s="85"/>
      <c r="L121" s="2"/>
      <c r="M121" s="2"/>
      <c r="N121" s="1"/>
      <c r="O121" s="1"/>
      <c r="P121" s="85"/>
      <c r="Q121" s="88"/>
      <c r="R121" s="3">
        <f>IFERROR(VLOOKUP(TablaSeptiembre[[#This Row],[BARRIO]],SECTOR!$A:$B,2,0),"")</f>
      </c>
      <c r="S121" s="89"/>
      <c r="T121" s="90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6"/>
      <c r="AZ121" s="30">
        <f>COUNTIF(U121:AY121,"A")</f>
      </c>
      <c r="BA121" s="17">
        <f>COUNTIF(U121:AY121,"F")</f>
      </c>
      <c r="BB121" s="17">
        <f>COUNTIF(U121:AY121,"E")</f>
      </c>
    </row>
    <row r="122" spans="1:54" ht="15.75" customHeight="1" x14ac:dyDescent="0.2">
      <c r="A122" s="84"/>
      <c r="B122" s="85"/>
      <c r="C122" s="85"/>
      <c r="D122" s="85"/>
      <c r="E122" s="86"/>
      <c r="F122" s="16">
        <f>IF(E122="","",DATEDIF(E122,$I$7,"Y"))</f>
      </c>
      <c r="G122" s="85"/>
      <c r="H122" s="85"/>
      <c r="I122" s="87"/>
      <c r="J122" s="85"/>
      <c r="K122" s="85"/>
      <c r="L122" s="2"/>
      <c r="M122" s="2"/>
      <c r="N122" s="1"/>
      <c r="O122" s="1"/>
      <c r="P122" s="85"/>
      <c r="Q122" s="88"/>
      <c r="R122" s="3">
        <f>IFERROR(VLOOKUP(TablaSeptiembre[[#This Row],[BARRIO]],SECTOR!$A:$B,2,0),"")</f>
      </c>
      <c r="S122" s="89"/>
      <c r="T122" s="90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30">
        <f>COUNTIF(U122:AY122,"A")</f>
      </c>
      <c r="BA122" s="17">
        <f>COUNTIF(U122:AY122,"F")</f>
      </c>
      <c r="BB122" s="17">
        <f>COUNTIF(U122:AY122,"E")</f>
      </c>
    </row>
    <row r="123" spans="1:54" x14ac:dyDescent="0.2">
      <c r="A123" s="100"/>
      <c r="B123" s="101"/>
      <c r="C123" s="101"/>
      <c r="D123" s="101"/>
      <c r="E123" s="102"/>
      <c r="F123" s="16">
        <f>IF(E123="","",DATEDIF(E123,$I$7,"Y"))</f>
      </c>
      <c r="G123" s="101"/>
      <c r="H123" s="101"/>
      <c r="I123" s="103"/>
      <c r="J123" s="101"/>
      <c r="K123" s="101"/>
      <c r="L123" s="10"/>
      <c r="M123" s="10"/>
      <c r="N123" s="10"/>
      <c r="O123" s="10"/>
      <c r="P123" s="101"/>
      <c r="Q123" s="88"/>
      <c r="R123" s="3">
        <f>IFERROR(VLOOKUP(TablaSeptiembre[[#This Row],[BARRIO]],SECTOR!$A:$B,2,0),"")</f>
      </c>
      <c r="S123" s="104"/>
      <c r="T123" s="10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7"/>
      <c r="AZ123" s="30">
        <f>COUNTIF(U123:AY123,"A")</f>
      </c>
      <c r="BA123" s="32">
        <f>COUNTIF(U123:AY123,"F")</f>
      </c>
      <c r="BB123" s="118">
        <f>COUNTIF(U123:AY123,"E")</f>
      </c>
    </row>
    <row r="124" spans="1:54" x14ac:dyDescent="0.2">
      <c r="A124" s="100"/>
      <c r="B124" s="101"/>
      <c r="C124" s="101"/>
      <c r="D124" s="101"/>
      <c r="E124" s="102"/>
      <c r="F124" s="16">
        <f>IF(E124="","",DATEDIF(E124,$I$7,"Y"))</f>
      </c>
      <c r="G124" s="101"/>
      <c r="H124" s="101"/>
      <c r="I124" s="103"/>
      <c r="J124" s="101"/>
      <c r="K124" s="101"/>
      <c r="L124" s="10"/>
      <c r="M124" s="10"/>
      <c r="N124" s="10"/>
      <c r="O124" s="10"/>
      <c r="P124" s="101"/>
      <c r="Q124" s="88"/>
      <c r="R124" s="3">
        <f>IFERROR(VLOOKUP(TablaSeptiembre[[#This Row],[BARRIO]],SECTOR!$A:$B,2,0),"")</f>
      </c>
      <c r="S124" s="104"/>
      <c r="T124" s="10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7"/>
      <c r="AZ124" s="30">
        <f>COUNTIF(U124:AY124,"A")</f>
      </c>
      <c r="BA124" s="32">
        <f>COUNTIF(U124:AY124,"F")</f>
      </c>
      <c r="BB124" s="118">
        <f>COUNTIF(U124:AY124,"E")</f>
      </c>
    </row>
    <row r="125" spans="1:54" x14ac:dyDescent="0.2">
      <c r="A125" s="100"/>
      <c r="B125" s="106"/>
      <c r="C125" s="101"/>
      <c r="D125" s="101"/>
      <c r="E125" s="102"/>
      <c r="F125" s="16">
        <f>IF(E125="","",DATEDIF(E125,$I$7,"Y"))</f>
      </c>
      <c r="G125" s="101"/>
      <c r="H125" s="101"/>
      <c r="I125" s="103"/>
      <c r="J125" s="101"/>
      <c r="K125" s="101"/>
      <c r="L125" s="10"/>
      <c r="M125" s="10"/>
      <c r="N125" s="10"/>
      <c r="O125" s="10"/>
      <c r="P125" s="101"/>
      <c r="Q125" s="88"/>
      <c r="R125" s="3">
        <f>IFERROR(VLOOKUP(TablaSeptiembre[[#This Row],[BARRIO]],SECTOR!$A:$B,2,0),"")</f>
      </c>
      <c r="S125" s="104"/>
      <c r="T125" s="10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7"/>
      <c r="AZ125" s="30">
        <f>COUNTIF(U125:AY125,"A")</f>
      </c>
      <c r="BA125" s="32">
        <f>COUNTIF(U125:AY125,"F")</f>
      </c>
      <c r="BB125" s="118">
        <f>COUNTIF(U125:AY125,"E")</f>
      </c>
    </row>
    <row r="126" spans="1:54" x14ac:dyDescent="0.2">
      <c r="A126" s="84"/>
      <c r="B126" s="107"/>
      <c r="C126" s="85"/>
      <c r="D126" s="85"/>
      <c r="E126" s="86"/>
      <c r="F126" s="16">
        <f>IF(E126="","",DATEDIF(E126,$I$7,"Y"))</f>
      </c>
      <c r="G126" s="85"/>
      <c r="H126" s="85"/>
      <c r="I126" s="87"/>
      <c r="J126" s="85"/>
      <c r="K126" s="85"/>
      <c r="L126" s="10"/>
      <c r="M126" s="10"/>
      <c r="N126" s="10"/>
      <c r="O126" s="10"/>
      <c r="P126" s="85"/>
      <c r="Q126" s="88"/>
      <c r="R126" s="3">
        <f>IFERROR(VLOOKUP(TablaSeptiembre[[#This Row],[BARRIO]],SECTOR!$A:$B,2,0),"")</f>
      </c>
      <c r="S126" s="89"/>
      <c r="T126" s="90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6"/>
      <c r="AZ126" s="30">
        <f>COUNTIF(U126:AY126,"A")</f>
      </c>
      <c r="BA126" s="32">
        <f>COUNTIF(U126:AY126,"F")</f>
      </c>
      <c r="BB126" s="119">
        <f>COUNTIF(U126:AY126,"E")</f>
      </c>
    </row>
    <row r="127" spans="1:54" x14ac:dyDescent="0.2">
      <c r="A127" s="84"/>
      <c r="B127" s="107"/>
      <c r="C127" s="85"/>
      <c r="D127" s="85"/>
      <c r="E127" s="86"/>
      <c r="F127" s="16">
        <f>IF(E127="","",DATEDIF(E127,$I$7,"Y"))</f>
      </c>
      <c r="G127" s="85"/>
      <c r="H127" s="85"/>
      <c r="I127" s="87"/>
      <c r="J127" s="85"/>
      <c r="K127" s="85"/>
      <c r="L127" s="10"/>
      <c r="M127" s="10"/>
      <c r="N127" s="10"/>
      <c r="O127" s="10"/>
      <c r="P127" s="85"/>
      <c r="Q127" s="88"/>
      <c r="R127" s="3">
        <f>IFERROR(VLOOKUP(TablaSeptiembre[[#This Row],[BARRIO]],SECTOR!$A:$B,2,0),"")</f>
      </c>
      <c r="S127" s="89"/>
      <c r="T127" s="90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6"/>
      <c r="AZ127" s="120">
        <f>COUNTIF(U127:AY127,"A")</f>
      </c>
      <c r="BA127" s="121">
        <f>COUNTIF(U127:AY127,"F")</f>
      </c>
      <c r="BB127" s="119">
        <f>COUNTIF(U127:AY127,"E")</f>
      </c>
    </row>
    <row r="128" spans="1:54" x14ac:dyDescent="0.2">
      <c r="A128" s="84"/>
      <c r="B128" s="107"/>
      <c r="C128" s="85"/>
      <c r="D128" s="85"/>
      <c r="E128" s="86"/>
      <c r="F128" s="16">
        <f>IF(E128="","",DATEDIF(E128,$I$7,"Y"))</f>
      </c>
      <c r="G128" s="85"/>
      <c r="H128" s="85"/>
      <c r="I128" s="87"/>
      <c r="J128" s="85"/>
      <c r="K128" s="85"/>
      <c r="L128" s="10"/>
      <c r="M128" s="10"/>
      <c r="N128" s="10"/>
      <c r="O128" s="10"/>
      <c r="P128" s="85"/>
      <c r="Q128" s="88"/>
      <c r="R128" s="3">
        <f>IFERROR(VLOOKUP(TablaSeptiembre[[#This Row],[BARRIO]],SECTOR!$A:$B,2,0),"")</f>
      </c>
      <c r="S128" s="89"/>
      <c r="T128" s="90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6"/>
      <c r="AZ128" s="120">
        <f>COUNTIF(U128:AY128,"A")</f>
      </c>
      <c r="BA128" s="121">
        <f>COUNTIF(U128:AY128,"F")</f>
      </c>
      <c r="BB128" s="119">
        <f>COUNTIF(U128:AY128,"E")</f>
      </c>
    </row>
    <row r="129" spans="1:54" x14ac:dyDescent="0.2">
      <c r="A129" s="84"/>
      <c r="B129" s="107"/>
      <c r="C129" s="85"/>
      <c r="D129" s="85"/>
      <c r="E129" s="86"/>
      <c r="F129" s="16">
        <f>IF(E129="","",DATEDIF(E129,$I$7,"Y"))</f>
      </c>
      <c r="G129" s="85"/>
      <c r="H129" s="85"/>
      <c r="I129" s="87"/>
      <c r="J129" s="85"/>
      <c r="K129" s="85"/>
      <c r="L129" s="10"/>
      <c r="M129" s="10"/>
      <c r="N129" s="10"/>
      <c r="O129" s="10"/>
      <c r="P129" s="85"/>
      <c r="Q129" s="88"/>
      <c r="R129" s="3">
        <f>IFERROR(VLOOKUP(TablaSeptiembre[[#This Row],[BARRIO]],SECTOR!$A:$B,2,0),"")</f>
      </c>
      <c r="S129" s="89"/>
      <c r="T129" s="90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6"/>
      <c r="AZ129" s="120">
        <f>COUNTIF(U129:AY129,"A")</f>
      </c>
      <c r="BA129" s="121">
        <f>COUNTIF(U129:AY129,"F")</f>
      </c>
      <c r="BB129" s="119">
        <f>COUNTIF(U129:AY129,"E")</f>
      </c>
    </row>
    <row r="130" spans="1:54" x14ac:dyDescent="0.2">
      <c r="A130" s="84"/>
      <c r="B130" s="107"/>
      <c r="C130" s="85"/>
      <c r="D130" s="85"/>
      <c r="E130" s="86"/>
      <c r="F130" s="16">
        <f>IF(E130="","",DATEDIF(E130,$I$7,"Y"))</f>
      </c>
      <c r="G130" s="85"/>
      <c r="H130" s="85"/>
      <c r="I130" s="87"/>
      <c r="J130" s="85"/>
      <c r="K130" s="85"/>
      <c r="L130" s="10"/>
      <c r="M130" s="10"/>
      <c r="N130" s="10"/>
      <c r="O130" s="10"/>
      <c r="P130" s="85"/>
      <c r="Q130" s="88"/>
      <c r="R130" s="3">
        <f>IFERROR(VLOOKUP(TablaSeptiembre[[#This Row],[BARRIO]],SECTOR!$A:$B,2,0),"")</f>
      </c>
      <c r="S130" s="89"/>
      <c r="T130" s="90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6"/>
      <c r="AZ130" s="120">
        <f>COUNTIF(U130:AY130,"A")</f>
      </c>
      <c r="BA130" s="121">
        <f>COUNTIF(U130:AY130,"F")</f>
      </c>
      <c r="BB130" s="119">
        <f>COUNTIF(U130:AY130,"E")</f>
      </c>
    </row>
    <row r="131" spans="1:54" x14ac:dyDescent="0.2">
      <c r="A131" s="84"/>
      <c r="B131" s="107"/>
      <c r="C131" s="85"/>
      <c r="D131" s="85"/>
      <c r="E131" s="86"/>
      <c r="F131" s="16">
        <f>IF(E131="","",DATEDIF(E131,$I$7,"Y"))</f>
      </c>
      <c r="G131" s="85"/>
      <c r="H131" s="85"/>
      <c r="I131" s="87"/>
      <c r="J131" s="85"/>
      <c r="K131" s="85"/>
      <c r="L131" s="10"/>
      <c r="M131" s="10"/>
      <c r="N131" s="10"/>
      <c r="O131" s="10"/>
      <c r="P131" s="85"/>
      <c r="Q131" s="88"/>
      <c r="R131" s="3">
        <f>IFERROR(VLOOKUP(TablaSeptiembre[[#This Row],[BARRIO]],SECTOR!$A:$B,2,0),"")</f>
      </c>
      <c r="S131" s="89"/>
      <c r="T131" s="90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6"/>
      <c r="AZ131" s="120">
        <f>COUNTIF(U131:AY131,"A")</f>
      </c>
      <c r="BA131" s="121">
        <f>COUNTIF(U131:AY131,"F")</f>
      </c>
      <c r="BB131" s="119">
        <f>COUNTIF(U131:AY131,"E")</f>
      </c>
    </row>
    <row r="132" spans="1:54" x14ac:dyDescent="0.2">
      <c r="A132" s="84"/>
      <c r="B132" s="107"/>
      <c r="C132" s="85"/>
      <c r="D132" s="85"/>
      <c r="E132" s="86"/>
      <c r="F132" s="16">
        <f>IF(E132="","",DATEDIF(E132,$I$7,"Y"))</f>
      </c>
      <c r="G132" s="85"/>
      <c r="H132" s="85"/>
      <c r="I132" s="87"/>
      <c r="J132" s="85"/>
      <c r="K132" s="85"/>
      <c r="L132" s="10"/>
      <c r="M132" s="10"/>
      <c r="N132" s="10"/>
      <c r="O132" s="10"/>
      <c r="P132" s="85"/>
      <c r="Q132" s="88"/>
      <c r="R132" s="3">
        <f>IFERROR(VLOOKUP(TablaSeptiembre[[#This Row],[BARRIO]],SECTOR!$A:$B,2,0),"")</f>
      </c>
      <c r="S132" s="89"/>
      <c r="T132" s="90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6"/>
      <c r="AZ132" s="120">
        <f>COUNTIF(U132:AY132,"A")</f>
      </c>
      <c r="BA132" s="121">
        <f>COUNTIF(U132:AY132,"F")</f>
      </c>
      <c r="BB132" s="119">
        <f>COUNTIF(U132:AY132,"E")</f>
      </c>
    </row>
    <row r="133" spans="1:54" x14ac:dyDescent="0.2">
      <c r="A133" s="84"/>
      <c r="B133" s="107"/>
      <c r="C133" s="85"/>
      <c r="D133" s="85"/>
      <c r="E133" s="86"/>
      <c r="F133" s="16">
        <f>IF(E133="","",DATEDIF(E133,$I$7,"Y"))</f>
      </c>
      <c r="G133" s="85"/>
      <c r="H133" s="85"/>
      <c r="I133" s="87"/>
      <c r="J133" s="85"/>
      <c r="K133" s="85"/>
      <c r="L133" s="10"/>
      <c r="M133" s="10"/>
      <c r="N133" s="10"/>
      <c r="O133" s="10"/>
      <c r="P133" s="85"/>
      <c r="Q133" s="88"/>
      <c r="R133" s="3">
        <f>IFERROR(VLOOKUP(TablaSeptiembre[[#This Row],[BARRIO]],SECTOR!$A:$B,2,0),"")</f>
      </c>
      <c r="S133" s="89"/>
      <c r="T133" s="90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6"/>
      <c r="AZ133" s="120">
        <f>COUNTIF(U133:AY133,"A")</f>
      </c>
      <c r="BA133" s="121">
        <f>COUNTIF(U133:AY133,"F")</f>
      </c>
      <c r="BB133" s="119">
        <f>COUNTIF(U133:AY133,"E")</f>
      </c>
    </row>
    <row r="134" spans="1:54" x14ac:dyDescent="0.2">
      <c r="A134" s="84"/>
      <c r="B134" s="107"/>
      <c r="C134" s="85"/>
      <c r="D134" s="85"/>
      <c r="E134" s="86"/>
      <c r="F134" s="16">
        <f>IF(E134="","",DATEDIF(E134,$I$7,"Y"))</f>
      </c>
      <c r="G134" s="85"/>
      <c r="H134" s="85"/>
      <c r="I134" s="87"/>
      <c r="J134" s="85"/>
      <c r="K134" s="85"/>
      <c r="L134" s="10"/>
      <c r="M134" s="10"/>
      <c r="N134" s="10"/>
      <c r="O134" s="10"/>
      <c r="P134" s="85"/>
      <c r="Q134" s="88"/>
      <c r="R134" s="3">
        <f>IFERROR(VLOOKUP(TablaSeptiembre[[#This Row],[BARRIO]],SECTOR!$A:$B,2,0),"")</f>
      </c>
      <c r="S134" s="89"/>
      <c r="T134" s="90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6"/>
      <c r="AZ134" s="120">
        <f>COUNTIF(U134:AY134,"A")</f>
      </c>
      <c r="BA134" s="121">
        <f>COUNTIF(U134:AY134,"F")</f>
      </c>
      <c r="BB134" s="119">
        <f>COUNTIF(U134:AY134,"E")</f>
      </c>
    </row>
    <row r="135" spans="1:54" x14ac:dyDescent="0.2">
      <c r="A135" s="84"/>
      <c r="B135" s="107"/>
      <c r="C135" s="85"/>
      <c r="D135" s="85"/>
      <c r="E135" s="86"/>
      <c r="F135" s="16">
        <f>IF(E135="","",DATEDIF(E135,$I$7,"Y"))</f>
      </c>
      <c r="G135" s="85"/>
      <c r="H135" s="85"/>
      <c r="I135" s="87"/>
      <c r="J135" s="85"/>
      <c r="K135" s="85"/>
      <c r="L135" s="10"/>
      <c r="M135" s="10"/>
      <c r="N135" s="10"/>
      <c r="O135" s="10"/>
      <c r="P135" s="85"/>
      <c r="Q135" s="88"/>
      <c r="R135" s="3">
        <f>IFERROR(VLOOKUP(TablaSeptiembre[[#This Row],[BARRIO]],SECTOR!$A:$B,2,0),"")</f>
      </c>
      <c r="S135" s="89"/>
      <c r="T135" s="90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6"/>
      <c r="AZ135" s="120">
        <f>COUNTIF(U135:AY135,"A")</f>
      </c>
      <c r="BA135" s="121">
        <f>COUNTIF(U135:AY135,"F")</f>
      </c>
      <c r="BB135" s="119">
        <f>COUNTIF(U135:AY135,"E")</f>
      </c>
    </row>
    <row r="136" spans="1:54" x14ac:dyDescent="0.2">
      <c r="A136" s="84"/>
      <c r="B136" s="107"/>
      <c r="C136" s="85"/>
      <c r="D136" s="85"/>
      <c r="E136" s="86"/>
      <c r="F136" s="16">
        <f>IF(E136="","",DATEDIF(E136,$I$7,"Y"))</f>
      </c>
      <c r="G136" s="85"/>
      <c r="H136" s="85"/>
      <c r="I136" s="87"/>
      <c r="J136" s="85"/>
      <c r="K136" s="85"/>
      <c r="L136" s="10"/>
      <c r="M136" s="10"/>
      <c r="N136" s="10"/>
      <c r="O136" s="10"/>
      <c r="P136" s="85"/>
      <c r="Q136" s="88"/>
      <c r="R136" s="3">
        <f>IFERROR(VLOOKUP(TablaSeptiembre[[#This Row],[BARRIO]],SECTOR!$A:$B,2,0),"")</f>
      </c>
      <c r="S136" s="89"/>
      <c r="T136" s="90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6"/>
      <c r="AZ136" s="120">
        <f>COUNTIF(U136:AY136,"A")</f>
      </c>
      <c r="BA136" s="121">
        <f>COUNTIF(U136:AY136,"F")</f>
      </c>
      <c r="BB136" s="119">
        <f>COUNTIF(U136:AY136,"E")</f>
      </c>
    </row>
    <row r="137" spans="1:54" x14ac:dyDescent="0.2">
      <c r="A137" s="84"/>
      <c r="B137" s="107"/>
      <c r="C137" s="85"/>
      <c r="D137" s="85"/>
      <c r="E137" s="86"/>
      <c r="F137" s="16">
        <f>IF(E137="","",DATEDIF(E137,$I$7,"Y"))</f>
      </c>
      <c r="G137" s="85"/>
      <c r="H137" s="85"/>
      <c r="I137" s="87"/>
      <c r="J137" s="85"/>
      <c r="K137" s="85"/>
      <c r="L137" s="10"/>
      <c r="M137" s="10"/>
      <c r="N137" s="10"/>
      <c r="O137" s="10"/>
      <c r="P137" s="85"/>
      <c r="Q137" s="88"/>
      <c r="R137" s="3">
        <f>IFERROR(VLOOKUP(TablaSeptiembre[[#This Row],[BARRIO]],SECTOR!$A:$B,2,0),"")</f>
      </c>
      <c r="S137" s="89"/>
      <c r="T137" s="90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6"/>
      <c r="AZ137" s="120">
        <f>COUNTIF(U137:AY137,"A")</f>
      </c>
      <c r="BA137" s="121">
        <f>COUNTIF(U137:AY137,"F")</f>
      </c>
      <c r="BB137" s="119">
        <f>COUNTIF(U137:AY137,"E")</f>
      </c>
    </row>
    <row r="138" spans="1:54" x14ac:dyDescent="0.2">
      <c r="A138" s="84"/>
      <c r="B138" s="107"/>
      <c r="C138" s="85"/>
      <c r="D138" s="85"/>
      <c r="E138" s="86"/>
      <c r="F138" s="16">
        <f>IF(E138="","",DATEDIF(E138,$I$7,"Y"))</f>
      </c>
      <c r="G138" s="85"/>
      <c r="H138" s="85"/>
      <c r="I138" s="87"/>
      <c r="J138" s="85"/>
      <c r="K138" s="85"/>
      <c r="L138" s="10"/>
      <c r="M138" s="10"/>
      <c r="N138" s="10"/>
      <c r="O138" s="10"/>
      <c r="P138" s="85"/>
      <c r="Q138" s="88"/>
      <c r="R138" s="3">
        <f>IFERROR(VLOOKUP(TablaSeptiembre[[#This Row],[BARRIO]],SECTOR!$A:$B,2,0),"")</f>
      </c>
      <c r="S138" s="89"/>
      <c r="T138" s="90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6"/>
      <c r="AZ138" s="120">
        <f>COUNTIF(U138:AY138,"A")</f>
      </c>
      <c r="BA138" s="121">
        <f>COUNTIF(U138:AY138,"F")</f>
      </c>
      <c r="BB138" s="119">
        <f>COUNTIF(U138:AY138,"E")</f>
      </c>
    </row>
    <row r="139" spans="1:54" x14ac:dyDescent="0.2">
      <c r="A139" s="84"/>
      <c r="B139" s="107"/>
      <c r="C139" s="85"/>
      <c r="D139" s="85"/>
      <c r="E139" s="86"/>
      <c r="F139" s="16">
        <f>IF(E139="","",DATEDIF(E139,$I$7,"Y"))</f>
      </c>
      <c r="G139" s="85"/>
      <c r="H139" s="85"/>
      <c r="I139" s="87"/>
      <c r="J139" s="85"/>
      <c r="K139" s="85"/>
      <c r="L139" s="10"/>
      <c r="M139" s="10"/>
      <c r="N139" s="10"/>
      <c r="O139" s="10"/>
      <c r="P139" s="85"/>
      <c r="Q139" s="88"/>
      <c r="R139" s="3">
        <f>IFERROR(VLOOKUP(TablaSeptiembre[[#This Row],[BARRIO]],SECTOR!$A:$B,2,0),"")</f>
      </c>
      <c r="S139" s="89"/>
      <c r="T139" s="90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6"/>
      <c r="AZ139" s="120">
        <f>COUNTIF(U139:AY139,"A")</f>
      </c>
      <c r="BA139" s="121">
        <f>COUNTIF(U139:AY139,"F")</f>
      </c>
      <c r="BB139" s="119">
        <f>COUNTIF(U139:AY139,"E")</f>
      </c>
    </row>
    <row r="140" spans="1:54" x14ac:dyDescent="0.2">
      <c r="A140" s="84"/>
      <c r="B140" s="107"/>
      <c r="C140" s="85"/>
      <c r="D140" s="85"/>
      <c r="E140" s="86"/>
      <c r="F140" s="16">
        <f>IF(E140="","",DATEDIF(E140,$I$7,"Y"))</f>
      </c>
      <c r="G140" s="85"/>
      <c r="H140" s="85"/>
      <c r="I140" s="87"/>
      <c r="J140" s="85"/>
      <c r="K140" s="85"/>
      <c r="L140" s="10"/>
      <c r="M140" s="10"/>
      <c r="N140" s="10"/>
      <c r="O140" s="10"/>
      <c r="P140" s="85"/>
      <c r="Q140" s="88"/>
      <c r="R140" s="3">
        <f>IFERROR(VLOOKUP(TablaSeptiembre[[#This Row],[BARRIO]],SECTOR!$A:$B,2,0),"")</f>
      </c>
      <c r="S140" s="89"/>
      <c r="T140" s="90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6"/>
      <c r="AZ140" s="120">
        <f>COUNTIF(U140:AY140,"A")</f>
      </c>
      <c r="BA140" s="121">
        <f>COUNTIF(U140:AY140,"F")</f>
      </c>
      <c r="BB140" s="119">
        <f>COUNTIF(U140:AY140,"E")</f>
      </c>
    </row>
    <row r="141" spans="1:54" x14ac:dyDescent="0.2">
      <c r="A141" s="84"/>
      <c r="B141" s="107"/>
      <c r="C141" s="85"/>
      <c r="D141" s="85"/>
      <c r="E141" s="86"/>
      <c r="F141" s="16">
        <f>IF(E141="","",DATEDIF(E141,$I$7,"Y"))</f>
      </c>
      <c r="G141" s="85"/>
      <c r="H141" s="85"/>
      <c r="I141" s="87"/>
      <c r="J141" s="85"/>
      <c r="K141" s="85"/>
      <c r="L141" s="10"/>
      <c r="M141" s="10"/>
      <c r="N141" s="10"/>
      <c r="O141" s="10"/>
      <c r="P141" s="85"/>
      <c r="Q141" s="88"/>
      <c r="R141" s="3">
        <f>IFERROR(VLOOKUP(TablaSeptiembre[[#This Row],[BARRIO]],SECTOR!$A:$B,2,0),"")</f>
      </c>
      <c r="S141" s="89"/>
      <c r="T141" s="90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6"/>
      <c r="AZ141" s="120">
        <f>COUNTIF(U141:AY141,"A")</f>
      </c>
      <c r="BA141" s="121">
        <f>COUNTIF(U141:AY141,"F")</f>
      </c>
      <c r="BB141" s="119">
        <f>COUNTIF(U141:AY141,"E")</f>
      </c>
    </row>
    <row r="142" spans="1:54" x14ac:dyDescent="0.2">
      <c r="A142" s="84"/>
      <c r="B142" s="107"/>
      <c r="C142" s="85"/>
      <c r="D142" s="85"/>
      <c r="E142" s="86"/>
      <c r="F142" s="16">
        <f>IF(E142="","",DATEDIF(E142,$I$7,"Y"))</f>
      </c>
      <c r="G142" s="85"/>
      <c r="H142" s="85"/>
      <c r="I142" s="87"/>
      <c r="J142" s="85"/>
      <c r="K142" s="85"/>
      <c r="L142" s="10"/>
      <c r="M142" s="10"/>
      <c r="N142" s="10"/>
      <c r="O142" s="10"/>
      <c r="P142" s="85"/>
      <c r="Q142" s="88"/>
      <c r="R142" s="3">
        <f>IFERROR(VLOOKUP(TablaSeptiembre[[#This Row],[BARRIO]],SECTOR!$A:$B,2,0),"")</f>
      </c>
      <c r="S142" s="89"/>
      <c r="T142" s="90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6"/>
      <c r="AZ142" s="120">
        <f>COUNTIF(U142:AY142,"A")</f>
      </c>
      <c r="BA142" s="121">
        <f>COUNTIF(U142:AY142,"F")</f>
      </c>
      <c r="BB142" s="119">
        <f>COUNTIF(U142:AY142,"E")</f>
      </c>
    </row>
    <row r="143" spans="1:54" x14ac:dyDescent="0.2">
      <c r="A143" s="84"/>
      <c r="B143" s="107"/>
      <c r="C143" s="85"/>
      <c r="D143" s="85"/>
      <c r="E143" s="86"/>
      <c r="F143" s="16">
        <f>IF(E143="","",DATEDIF(E143,$I$7,"Y"))</f>
      </c>
      <c r="G143" s="85"/>
      <c r="H143" s="85"/>
      <c r="I143" s="87"/>
      <c r="J143" s="85"/>
      <c r="K143" s="85"/>
      <c r="L143" s="10"/>
      <c r="M143" s="10"/>
      <c r="N143" s="10"/>
      <c r="O143" s="10"/>
      <c r="P143" s="85"/>
      <c r="Q143" s="88"/>
      <c r="R143" s="3">
        <f>IFERROR(VLOOKUP(TablaSeptiembre[[#This Row],[BARRIO]],SECTOR!$A:$B,2,0),"")</f>
      </c>
      <c r="S143" s="89"/>
      <c r="T143" s="90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6"/>
      <c r="AZ143" s="120">
        <f>COUNTIF(U143:AY143,"A")</f>
      </c>
      <c r="BA143" s="121">
        <f>COUNTIF(U143:AY143,"F")</f>
      </c>
      <c r="BB143" s="119">
        <f>COUNTIF(U143:AY143,"E")</f>
      </c>
    </row>
    <row r="144" spans="1:54" x14ac:dyDescent="0.2">
      <c r="A144" s="84"/>
      <c r="B144" s="107"/>
      <c r="C144" s="85"/>
      <c r="D144" s="85"/>
      <c r="E144" s="86"/>
      <c r="F144" s="16">
        <f>IF(E144="","",DATEDIF(E144,$I$7,"Y"))</f>
      </c>
      <c r="G144" s="85"/>
      <c r="H144" s="85"/>
      <c r="I144" s="87"/>
      <c r="J144" s="85"/>
      <c r="K144" s="85"/>
      <c r="L144" s="10"/>
      <c r="M144" s="10"/>
      <c r="N144" s="10"/>
      <c r="O144" s="10"/>
      <c r="P144" s="85"/>
      <c r="Q144" s="88"/>
      <c r="R144" s="3">
        <f>IFERROR(VLOOKUP(TablaSeptiembre[[#This Row],[BARRIO]],SECTOR!$A:$B,2,0),"")</f>
      </c>
      <c r="S144" s="89"/>
      <c r="T144" s="90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6"/>
      <c r="AZ144" s="120">
        <f>COUNTIF(U144:AY144,"A")</f>
      </c>
      <c r="BA144" s="121">
        <f>COUNTIF(U144:AY144,"F")</f>
      </c>
      <c r="BB144" s="119">
        <f>COUNTIF(U144:AY144,"E")</f>
      </c>
    </row>
    <row r="145" spans="1:54" x14ac:dyDescent="0.2">
      <c r="A145" s="84"/>
      <c r="B145" s="107"/>
      <c r="C145" s="85"/>
      <c r="D145" s="85"/>
      <c r="E145" s="86"/>
      <c r="F145" s="16">
        <f>IF(E145="","",DATEDIF(E145,$I$7,"Y"))</f>
      </c>
      <c r="G145" s="85"/>
      <c r="H145" s="85"/>
      <c r="I145" s="87"/>
      <c r="J145" s="85"/>
      <c r="K145" s="85"/>
      <c r="L145" s="10"/>
      <c r="M145" s="10"/>
      <c r="N145" s="10"/>
      <c r="O145" s="10"/>
      <c r="P145" s="85"/>
      <c r="Q145" s="88"/>
      <c r="R145" s="3">
        <f>IFERROR(VLOOKUP(TablaSeptiembre[[#This Row],[BARRIO]],SECTOR!$A:$B,2,0),"")</f>
      </c>
      <c r="S145" s="89"/>
      <c r="T145" s="90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6"/>
      <c r="AZ145" s="120">
        <f>COUNTIF(U145:AY145,"A")</f>
      </c>
      <c r="BA145" s="121">
        <f>COUNTIF(U145:AY145,"F")</f>
      </c>
      <c r="BB145" s="119">
        <f>COUNTIF(U145:AY145,"E")</f>
      </c>
    </row>
    <row r="146" spans="1:54" x14ac:dyDescent="0.2">
      <c r="A146" s="84"/>
      <c r="B146" s="107"/>
      <c r="C146" s="85"/>
      <c r="D146" s="85"/>
      <c r="E146" s="86"/>
      <c r="F146" s="16">
        <f>IF(E146="","",DATEDIF(E146,$I$7,"Y"))</f>
      </c>
      <c r="G146" s="85"/>
      <c r="H146" s="85"/>
      <c r="I146" s="87"/>
      <c r="J146" s="85"/>
      <c r="K146" s="85"/>
      <c r="L146" s="10"/>
      <c r="M146" s="10"/>
      <c r="N146" s="10"/>
      <c r="O146" s="10"/>
      <c r="P146" s="85"/>
      <c r="Q146" s="88"/>
      <c r="R146" s="3">
        <f>IFERROR(VLOOKUP(TablaSeptiembre[[#This Row],[BARRIO]],SECTOR!$A:$B,2,0),"")</f>
      </c>
      <c r="S146" s="89"/>
      <c r="T146" s="90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6"/>
      <c r="AZ146" s="120">
        <f>COUNTIF(U146:AY146,"A")</f>
      </c>
      <c r="BA146" s="121">
        <f>COUNTIF(U146:AY146,"F")</f>
      </c>
      <c r="BB146" s="119">
        <f>COUNTIF(U146:AY146,"E")</f>
      </c>
    </row>
    <row r="147" spans="1:54" x14ac:dyDescent="0.2">
      <c r="A147" s="84"/>
      <c r="B147" s="107"/>
      <c r="C147" s="85"/>
      <c r="D147" s="85"/>
      <c r="E147" s="86"/>
      <c r="F147" s="16">
        <f>IF(E147="","",DATEDIF(E147,$I$7,"Y"))</f>
      </c>
      <c r="G147" s="85"/>
      <c r="H147" s="85"/>
      <c r="I147" s="87"/>
      <c r="J147" s="85"/>
      <c r="K147" s="85"/>
      <c r="L147" s="10"/>
      <c r="M147" s="10"/>
      <c r="N147" s="10"/>
      <c r="O147" s="10"/>
      <c r="P147" s="85"/>
      <c r="Q147" s="88"/>
      <c r="R147" s="3">
        <f>IFERROR(VLOOKUP(TablaSeptiembre[[#This Row],[BARRIO]],SECTOR!$A:$B,2,0),"")</f>
      </c>
      <c r="S147" s="89"/>
      <c r="T147" s="90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6"/>
      <c r="AZ147" s="120">
        <f>COUNTIF(U147:AY147,"A")</f>
      </c>
      <c r="BA147" s="121">
        <f>COUNTIF(U147:AY147,"F")</f>
      </c>
      <c r="BB147" s="119">
        <f>COUNTIF(U147:AY147,"E")</f>
      </c>
    </row>
    <row r="148" spans="1:54" x14ac:dyDescent="0.2">
      <c r="A148" s="84"/>
      <c r="B148" s="107"/>
      <c r="C148" s="85"/>
      <c r="D148" s="85"/>
      <c r="E148" s="86"/>
      <c r="F148" s="16">
        <f>IF(E148="","",DATEDIF(E148,$I$7,"Y"))</f>
      </c>
      <c r="G148" s="85"/>
      <c r="H148" s="85"/>
      <c r="I148" s="87"/>
      <c r="J148" s="85"/>
      <c r="K148" s="85"/>
      <c r="L148" s="10"/>
      <c r="M148" s="10"/>
      <c r="N148" s="10"/>
      <c r="O148" s="10"/>
      <c r="P148" s="85"/>
      <c r="Q148" s="88"/>
      <c r="R148" s="3">
        <f>IFERROR(VLOOKUP(TablaSeptiembre[[#This Row],[BARRIO]],SECTOR!$A:$B,2,0),"")</f>
      </c>
      <c r="S148" s="89"/>
      <c r="T148" s="90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6"/>
      <c r="AZ148" s="120">
        <f>COUNTIF(U148:AY148,"A")</f>
      </c>
      <c r="BA148" s="121">
        <f>COUNTIF(U148:AY148,"F")</f>
      </c>
      <c r="BB148" s="119">
        <f>COUNTIF(U148:AY148,"E")</f>
      </c>
    </row>
    <row r="149" spans="1:54" x14ac:dyDescent="0.2">
      <c r="A149" s="84"/>
      <c r="B149" s="107"/>
      <c r="C149" s="85"/>
      <c r="D149" s="85"/>
      <c r="E149" s="86"/>
      <c r="F149" s="16">
        <f>IF(E149="","",DATEDIF(E149,$I$7,"Y"))</f>
      </c>
      <c r="G149" s="85"/>
      <c r="H149" s="85"/>
      <c r="I149" s="87"/>
      <c r="J149" s="85"/>
      <c r="K149" s="85"/>
      <c r="L149" s="10"/>
      <c r="M149" s="10"/>
      <c r="N149" s="10"/>
      <c r="O149" s="10"/>
      <c r="P149" s="85"/>
      <c r="Q149" s="88"/>
      <c r="R149" s="3">
        <f>IFERROR(VLOOKUP(TablaSeptiembre[[#This Row],[BARRIO]],SECTOR!$A:$B,2,0),"")</f>
      </c>
      <c r="S149" s="89"/>
      <c r="T149" s="90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6"/>
      <c r="AZ149" s="120">
        <f>COUNTIF(U149:AY149,"A")</f>
      </c>
      <c r="BA149" s="121">
        <f>COUNTIF(U149:AY149,"F")</f>
      </c>
      <c r="BB149" s="119">
        <f>COUNTIF(U149:AY149,"E")</f>
      </c>
    </row>
    <row r="150" spans="1:54" x14ac:dyDescent="0.2">
      <c r="A150" s="84"/>
      <c r="B150" s="107"/>
      <c r="C150" s="85"/>
      <c r="D150" s="85"/>
      <c r="E150" s="86"/>
      <c r="F150" s="16">
        <f>IF(E150="","",DATEDIF(E150,$I$7,"Y"))</f>
      </c>
      <c r="G150" s="85"/>
      <c r="H150" s="85"/>
      <c r="I150" s="87"/>
      <c r="J150" s="85"/>
      <c r="K150" s="85"/>
      <c r="L150" s="10"/>
      <c r="M150" s="10"/>
      <c r="N150" s="10"/>
      <c r="O150" s="10"/>
      <c r="P150" s="85"/>
      <c r="Q150" s="88"/>
      <c r="R150" s="3">
        <f>IFERROR(VLOOKUP(TablaSeptiembre[[#This Row],[BARRIO]],SECTOR!$A:$B,2,0),"")</f>
      </c>
      <c r="S150" s="89"/>
      <c r="T150" s="90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6"/>
      <c r="AZ150" s="120">
        <f>COUNTIF(U150:AY150,"A")</f>
      </c>
      <c r="BA150" s="121">
        <f>COUNTIF(U150:AY150,"F")</f>
      </c>
      <c r="BB150" s="119">
        <f>COUNTIF(U150:AY150,"E")</f>
      </c>
    </row>
    <row r="151" spans="1:54" x14ac:dyDescent="0.2">
      <c r="A151" s="84"/>
      <c r="B151" s="107"/>
      <c r="C151" s="85"/>
      <c r="D151" s="85"/>
      <c r="E151" s="86"/>
      <c r="F151" s="16">
        <f>IF(E151="","",DATEDIF(E151,$I$7,"Y"))</f>
      </c>
      <c r="G151" s="85"/>
      <c r="H151" s="85"/>
      <c r="I151" s="87"/>
      <c r="J151" s="85"/>
      <c r="K151" s="85"/>
      <c r="L151" s="10"/>
      <c r="M151" s="10"/>
      <c r="N151" s="10"/>
      <c r="O151" s="10"/>
      <c r="P151" s="85"/>
      <c r="Q151" s="88"/>
      <c r="R151" s="3">
        <f>IFERROR(VLOOKUP(TablaSeptiembre[[#This Row],[BARRIO]],SECTOR!$A:$B,2,0),"")</f>
      </c>
      <c r="S151" s="89"/>
      <c r="T151" s="90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6"/>
      <c r="AZ151" s="120">
        <f>COUNTIF(U151:AY151,"A")</f>
      </c>
      <c r="BA151" s="121">
        <f>COUNTIF(U151:AY151,"F")</f>
      </c>
      <c r="BB151" s="119">
        <f>COUNTIF(U151:AY151,"E")</f>
      </c>
    </row>
    <row r="152" spans="1:54" x14ac:dyDescent="0.2">
      <c r="A152" s="84"/>
      <c r="B152" s="107"/>
      <c r="C152" s="85"/>
      <c r="D152" s="85"/>
      <c r="E152" s="86"/>
      <c r="F152" s="16">
        <f>IF(E152="","",DATEDIF(E152,$I$7,"Y"))</f>
      </c>
      <c r="G152" s="85"/>
      <c r="H152" s="85"/>
      <c r="I152" s="87"/>
      <c r="J152" s="85"/>
      <c r="K152" s="85"/>
      <c r="L152" s="10"/>
      <c r="M152" s="10"/>
      <c r="N152" s="10"/>
      <c r="O152" s="10"/>
      <c r="P152" s="85"/>
      <c r="Q152" s="88"/>
      <c r="R152" s="3">
        <f>IFERROR(VLOOKUP(TablaSeptiembre[[#This Row],[BARRIO]],SECTOR!$A:$B,2,0),"")</f>
      </c>
      <c r="S152" s="89"/>
      <c r="T152" s="90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6"/>
      <c r="AZ152" s="120">
        <f>COUNTIF(U152:AY152,"A")</f>
      </c>
      <c r="BA152" s="121">
        <f>COUNTIF(U152:AY152,"F")</f>
      </c>
      <c r="BB152" s="119">
        <f>COUNTIF(U152:AY152,"E")</f>
      </c>
    </row>
    <row r="153" spans="1:54" x14ac:dyDescent="0.2">
      <c r="A153" s="84"/>
      <c r="B153" s="107"/>
      <c r="C153" s="85"/>
      <c r="D153" s="85"/>
      <c r="E153" s="86"/>
      <c r="F153" s="16">
        <f>IF(E153="","",DATEDIF(E153,$I$7,"Y"))</f>
      </c>
      <c r="G153" s="85"/>
      <c r="H153" s="85"/>
      <c r="I153" s="87"/>
      <c r="J153" s="85"/>
      <c r="K153" s="85"/>
      <c r="L153" s="10"/>
      <c r="M153" s="10"/>
      <c r="N153" s="10"/>
      <c r="O153" s="10"/>
      <c r="P153" s="85"/>
      <c r="Q153" s="88"/>
      <c r="R153" s="3">
        <f>IFERROR(VLOOKUP(TablaSeptiembre[[#This Row],[BARRIO]],SECTOR!$A:$B,2,0),"")</f>
      </c>
      <c r="S153" s="89"/>
      <c r="T153" s="90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6"/>
      <c r="AZ153" s="120">
        <f>COUNTIF(U153:AY153,"A")</f>
      </c>
      <c r="BA153" s="121">
        <f>COUNTIF(U153:AY153,"F")</f>
      </c>
      <c r="BB153" s="119">
        <f>COUNTIF(U153:AY153,"E")</f>
      </c>
    </row>
    <row r="154" spans="1:54" x14ac:dyDescent="0.2">
      <c r="A154" s="84"/>
      <c r="B154" s="107"/>
      <c r="C154" s="85"/>
      <c r="D154" s="85"/>
      <c r="E154" s="86"/>
      <c r="F154" s="16">
        <f>IF(E154="","",DATEDIF(E154,$I$7,"Y"))</f>
      </c>
      <c r="G154" s="85"/>
      <c r="H154" s="85"/>
      <c r="I154" s="87"/>
      <c r="J154" s="85"/>
      <c r="K154" s="85"/>
      <c r="L154" s="10"/>
      <c r="M154" s="10"/>
      <c r="N154" s="10"/>
      <c r="O154" s="10"/>
      <c r="P154" s="85"/>
      <c r="Q154" s="88"/>
      <c r="R154" s="3">
        <f>IFERROR(VLOOKUP(TablaSeptiembre[[#This Row],[BARRIO]],SECTOR!$A:$B,2,0),"")</f>
      </c>
      <c r="S154" s="89"/>
      <c r="T154" s="90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6"/>
      <c r="AZ154" s="120">
        <f>COUNTIF(U154:AY154,"A")</f>
      </c>
      <c r="BA154" s="121">
        <f>COUNTIF(U154:AY154,"F")</f>
      </c>
      <c r="BB154" s="119">
        <f>COUNTIF(U154:AY154,"E")</f>
      </c>
    </row>
    <row r="155" spans="1:54" x14ac:dyDescent="0.2">
      <c r="A155" s="84"/>
      <c r="B155" s="107"/>
      <c r="C155" s="85"/>
      <c r="D155" s="85"/>
      <c r="E155" s="86"/>
      <c r="F155" s="16">
        <f>IF(E155="","",DATEDIF(E155,$I$7,"Y"))</f>
      </c>
      <c r="G155" s="85"/>
      <c r="H155" s="85"/>
      <c r="I155" s="87"/>
      <c r="J155" s="85"/>
      <c r="K155" s="85"/>
      <c r="L155" s="10"/>
      <c r="M155" s="10"/>
      <c r="N155" s="10"/>
      <c r="O155" s="10"/>
      <c r="P155" s="85"/>
      <c r="Q155" s="88"/>
      <c r="R155" s="3">
        <f>IFERROR(VLOOKUP(TablaSeptiembre[[#This Row],[BARRIO]],SECTOR!$A:$B,2,0),"")</f>
      </c>
      <c r="S155" s="89"/>
      <c r="T155" s="90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6"/>
      <c r="AZ155" s="120">
        <f>COUNTIF(U155:AY155,"A")</f>
      </c>
      <c r="BA155" s="121">
        <f>COUNTIF(U155:AY155,"F")</f>
      </c>
      <c r="BB155" s="119">
        <f>COUNTIF(U155:AY155,"E")</f>
      </c>
    </row>
    <row r="156" spans="1:54" x14ac:dyDescent="0.2">
      <c r="A156" s="84"/>
      <c r="B156" s="107"/>
      <c r="C156" s="85"/>
      <c r="D156" s="85"/>
      <c r="E156" s="86"/>
      <c r="F156" s="16">
        <f>IF(E156="","",DATEDIF(E156,$I$7,"Y"))</f>
      </c>
      <c r="G156" s="85"/>
      <c r="H156" s="85"/>
      <c r="I156" s="87"/>
      <c r="J156" s="85"/>
      <c r="K156" s="85"/>
      <c r="L156" s="10"/>
      <c r="M156" s="10"/>
      <c r="N156" s="10"/>
      <c r="O156" s="10"/>
      <c r="P156" s="85"/>
      <c r="Q156" s="88"/>
      <c r="R156" s="3">
        <f>IFERROR(VLOOKUP(TablaSeptiembre[[#This Row],[BARRIO]],SECTOR!$A:$B,2,0),"")</f>
      </c>
      <c r="S156" s="89"/>
      <c r="T156" s="90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6"/>
      <c r="AZ156" s="120">
        <f>COUNTIF(U156:AY156,"A")</f>
      </c>
      <c r="BA156" s="121">
        <f>COUNTIF(U156:AY156,"F")</f>
      </c>
      <c r="BB156" s="119">
        <f>COUNTIF(U156:AY156,"E")</f>
      </c>
    </row>
    <row r="157" spans="1:54" x14ac:dyDescent="0.2">
      <c r="A157" s="84"/>
      <c r="B157" s="107"/>
      <c r="C157" s="85"/>
      <c r="D157" s="85"/>
      <c r="E157" s="86"/>
      <c r="F157" s="16">
        <f>IF(E157="","",DATEDIF(E157,$I$7,"Y"))</f>
      </c>
      <c r="G157" s="85"/>
      <c r="H157" s="85"/>
      <c r="I157" s="87"/>
      <c r="J157" s="85"/>
      <c r="K157" s="85"/>
      <c r="L157" s="10"/>
      <c r="M157" s="10"/>
      <c r="N157" s="10"/>
      <c r="O157" s="10"/>
      <c r="P157" s="85"/>
      <c r="Q157" s="88"/>
      <c r="R157" s="3">
        <f>IFERROR(VLOOKUP(TablaSeptiembre[[#This Row],[BARRIO]],SECTOR!$A:$B,2,0),"")</f>
      </c>
      <c r="S157" s="89"/>
      <c r="T157" s="90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6"/>
      <c r="AZ157" s="120">
        <f>COUNTIF(U157:AY157,"A")</f>
      </c>
      <c r="BA157" s="121">
        <f>COUNTIF(U157:AY157,"F")</f>
      </c>
      <c r="BB157" s="119">
        <f>COUNTIF(U157:AY157,"E")</f>
      </c>
    </row>
    <row r="158" spans="1:54" x14ac:dyDescent="0.2">
      <c r="A158" s="84"/>
      <c r="B158" s="107"/>
      <c r="C158" s="85"/>
      <c r="D158" s="85"/>
      <c r="E158" s="86"/>
      <c r="F158" s="16">
        <f>IF(E158="","",DATEDIF(E158,$I$7,"Y"))</f>
      </c>
      <c r="G158" s="85"/>
      <c r="H158" s="85"/>
      <c r="I158" s="87"/>
      <c r="J158" s="85"/>
      <c r="K158" s="85"/>
      <c r="L158" s="10"/>
      <c r="M158" s="10"/>
      <c r="N158" s="10"/>
      <c r="O158" s="10"/>
      <c r="P158" s="85"/>
      <c r="Q158" s="88"/>
      <c r="R158" s="3">
        <f>IFERROR(VLOOKUP(TablaSeptiembre[[#This Row],[BARRIO]],SECTOR!$A:$B,2,0),"")</f>
      </c>
      <c r="S158" s="89"/>
      <c r="T158" s="90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6"/>
      <c r="AZ158" s="120">
        <f>COUNTIF(U158:AY158,"A")</f>
      </c>
      <c r="BA158" s="121">
        <f>COUNTIF(U158:AY158,"F")</f>
      </c>
      <c r="BB158" s="119">
        <f>COUNTIF(U158:AY158,"E")</f>
      </c>
    </row>
    <row r="159" spans="1:54" x14ac:dyDescent="0.2">
      <c r="A159" s="84"/>
      <c r="B159" s="107"/>
      <c r="C159" s="85"/>
      <c r="D159" s="85"/>
      <c r="E159" s="86"/>
      <c r="F159" s="16">
        <f>IF(E159="","",DATEDIF(E159,$I$7,"Y"))</f>
      </c>
      <c r="G159" s="85"/>
      <c r="H159" s="85"/>
      <c r="I159" s="87"/>
      <c r="J159" s="85"/>
      <c r="K159" s="85"/>
      <c r="L159" s="10"/>
      <c r="M159" s="10"/>
      <c r="N159" s="10"/>
      <c r="O159" s="10"/>
      <c r="P159" s="85"/>
      <c r="Q159" s="88"/>
      <c r="R159" s="3">
        <f>IFERROR(VLOOKUP(TablaSeptiembre[[#This Row],[BARRIO]],SECTOR!$A:$B,2,0),"")</f>
      </c>
      <c r="S159" s="89"/>
      <c r="T159" s="90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6"/>
      <c r="AZ159" s="120">
        <f>COUNTIF(U159:AY159,"A")</f>
      </c>
      <c r="BA159" s="121">
        <f>COUNTIF(U159:AY159,"F")</f>
      </c>
      <c r="BB159" s="119">
        <f>COUNTIF(U159:AY159,"E")</f>
      </c>
    </row>
    <row r="160" spans="1:54" x14ac:dyDescent="0.2">
      <c r="A160" s="84"/>
      <c r="B160" s="107"/>
      <c r="C160" s="85"/>
      <c r="D160" s="85"/>
      <c r="E160" s="86"/>
      <c r="F160" s="16">
        <f>IF(E160="","",DATEDIF(E160,$I$7,"Y"))</f>
      </c>
      <c r="G160" s="85"/>
      <c r="H160" s="85"/>
      <c r="I160" s="87"/>
      <c r="J160" s="85"/>
      <c r="K160" s="85"/>
      <c r="L160" s="10"/>
      <c r="M160" s="10"/>
      <c r="N160" s="10"/>
      <c r="O160" s="10"/>
      <c r="P160" s="85"/>
      <c r="Q160" s="88"/>
      <c r="R160" s="3">
        <f>IFERROR(VLOOKUP(TablaSeptiembre[[#This Row],[BARRIO]],SECTOR!$A:$B,2,0),"")</f>
      </c>
      <c r="S160" s="89"/>
      <c r="T160" s="90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6"/>
      <c r="AZ160" s="120">
        <f>COUNTIF(U160:AY160,"A")</f>
      </c>
      <c r="BA160" s="121">
        <f>COUNTIF(U160:AY160,"F")</f>
      </c>
      <c r="BB160" s="119">
        <f>COUNTIF(U160:AY160,"E")</f>
      </c>
    </row>
    <row r="161" spans="1:54" x14ac:dyDescent="0.2">
      <c r="A161" s="84"/>
      <c r="B161" s="107"/>
      <c r="C161" s="85"/>
      <c r="D161" s="85"/>
      <c r="E161" s="86"/>
      <c r="F161" s="16">
        <f>IF(E161="","",DATEDIF(E161,$I$7,"Y"))</f>
      </c>
      <c r="G161" s="85"/>
      <c r="H161" s="85"/>
      <c r="I161" s="87"/>
      <c r="J161" s="85"/>
      <c r="K161" s="85"/>
      <c r="L161" s="10"/>
      <c r="M161" s="10"/>
      <c r="N161" s="10"/>
      <c r="O161" s="10"/>
      <c r="P161" s="85"/>
      <c r="Q161" s="88"/>
      <c r="R161" s="3">
        <f>IFERROR(VLOOKUP(TablaSeptiembre[[#This Row],[BARRIO]],SECTOR!$A:$B,2,0),"")</f>
      </c>
      <c r="S161" s="89"/>
      <c r="T161" s="90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6"/>
      <c r="AZ161" s="120">
        <f>COUNTIF(U161:AY161,"A")</f>
      </c>
      <c r="BA161" s="121">
        <f>COUNTIF(U161:AY161,"F")</f>
      </c>
      <c r="BB161" s="119">
        <f>COUNTIF(U161:AY161,"E")</f>
      </c>
    </row>
    <row r="162" spans="1:54" x14ac:dyDescent="0.2">
      <c r="A162" s="84"/>
      <c r="B162" s="107"/>
      <c r="C162" s="85"/>
      <c r="D162" s="85"/>
      <c r="E162" s="86"/>
      <c r="F162" s="16">
        <f>IF(E162="","",DATEDIF(E162,$I$7,"Y"))</f>
      </c>
      <c r="G162" s="85"/>
      <c r="H162" s="85"/>
      <c r="I162" s="87"/>
      <c r="J162" s="85"/>
      <c r="K162" s="85"/>
      <c r="L162" s="10"/>
      <c r="M162" s="10"/>
      <c r="N162" s="10"/>
      <c r="O162" s="10"/>
      <c r="P162" s="85"/>
      <c r="Q162" s="88"/>
      <c r="R162" s="3">
        <f>IFERROR(VLOOKUP(TablaSeptiembre[[#This Row],[BARRIO]],SECTOR!$A:$B,2,0),"")</f>
      </c>
      <c r="S162" s="89"/>
      <c r="T162" s="90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6"/>
      <c r="AZ162" s="120">
        <f>COUNTIF(U162:AY162,"A")</f>
      </c>
      <c r="BA162" s="121">
        <f>COUNTIF(U162:AY162,"F")</f>
      </c>
      <c r="BB162" s="119">
        <f>COUNTIF(U162:AY162,"E")</f>
      </c>
    </row>
    <row r="163" spans="1:54" x14ac:dyDescent="0.2">
      <c r="A163" s="84"/>
      <c r="B163" s="107"/>
      <c r="C163" s="85"/>
      <c r="D163" s="85"/>
      <c r="E163" s="86"/>
      <c r="F163" s="16">
        <f>IF(E163="","",DATEDIF(E163,$I$7,"Y"))</f>
      </c>
      <c r="G163" s="85"/>
      <c r="H163" s="85"/>
      <c r="I163" s="87"/>
      <c r="J163" s="85"/>
      <c r="K163" s="85"/>
      <c r="L163" s="10"/>
      <c r="M163" s="10"/>
      <c r="N163" s="10"/>
      <c r="O163" s="10"/>
      <c r="P163" s="85"/>
      <c r="Q163" s="88"/>
      <c r="R163" s="3">
        <f>IFERROR(VLOOKUP(TablaSeptiembre[[#This Row],[BARRIO]],SECTOR!$A:$B,2,0),"")</f>
      </c>
      <c r="S163" s="89"/>
      <c r="T163" s="90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6"/>
      <c r="AZ163" s="120">
        <f>COUNTIF(U163:AY163,"A")</f>
      </c>
      <c r="BA163" s="121">
        <f>COUNTIF(U163:AY163,"F")</f>
      </c>
      <c r="BB163" s="119">
        <f>COUNTIF(U163:AY163,"E")</f>
      </c>
    </row>
    <row r="164" spans="1:54" x14ac:dyDescent="0.2">
      <c r="A164" s="84"/>
      <c r="B164" s="107"/>
      <c r="C164" s="85"/>
      <c r="D164" s="85"/>
      <c r="E164" s="86"/>
      <c r="F164" s="16">
        <f>IF(E164="","",DATEDIF(E164,$I$7,"Y"))</f>
      </c>
      <c r="G164" s="85"/>
      <c r="H164" s="85"/>
      <c r="I164" s="87"/>
      <c r="J164" s="85"/>
      <c r="K164" s="85"/>
      <c r="L164" s="10"/>
      <c r="M164" s="10"/>
      <c r="N164" s="10"/>
      <c r="O164" s="10"/>
      <c r="P164" s="85"/>
      <c r="Q164" s="88"/>
      <c r="R164" s="3">
        <f>IFERROR(VLOOKUP(TablaSeptiembre[[#This Row],[BARRIO]],SECTOR!$A:$B,2,0),"")</f>
      </c>
      <c r="S164" s="89"/>
      <c r="T164" s="90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6"/>
      <c r="AZ164" s="120">
        <f>COUNTIF(U164:AY164,"A")</f>
      </c>
      <c r="BA164" s="121">
        <f>COUNTIF(U164:AY164,"F")</f>
      </c>
      <c r="BB164" s="119">
        <f>COUNTIF(U164:AY164,"E")</f>
      </c>
    </row>
    <row r="165" spans="1:54" x14ac:dyDescent="0.2">
      <c r="A165" s="84"/>
      <c r="B165" s="107"/>
      <c r="C165" s="85"/>
      <c r="D165" s="85"/>
      <c r="E165" s="86"/>
      <c r="F165" s="16">
        <f>IF(E165="","",DATEDIF(E165,$I$7,"Y"))</f>
      </c>
      <c r="G165" s="85"/>
      <c r="H165" s="85"/>
      <c r="I165" s="87"/>
      <c r="J165" s="85"/>
      <c r="K165" s="85"/>
      <c r="L165" s="10"/>
      <c r="M165" s="10"/>
      <c r="N165" s="10"/>
      <c r="O165" s="10"/>
      <c r="P165" s="85"/>
      <c r="Q165" s="88"/>
      <c r="R165" s="3">
        <f>IFERROR(VLOOKUP(TablaSeptiembre[[#This Row],[BARRIO]],SECTOR!$A:$B,2,0),"")</f>
      </c>
      <c r="S165" s="89"/>
      <c r="T165" s="90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6"/>
      <c r="AZ165" s="120">
        <f>COUNTIF(U165:AY165,"A")</f>
      </c>
      <c r="BA165" s="121">
        <f>COUNTIF(U165:AY165,"F")</f>
      </c>
      <c r="BB165" s="119">
        <f>COUNTIF(U165:AY165,"E")</f>
      </c>
    </row>
    <row r="166" spans="1:54" x14ac:dyDescent="0.2">
      <c r="A166" s="84"/>
      <c r="B166" s="107"/>
      <c r="C166" s="85"/>
      <c r="D166" s="85"/>
      <c r="E166" s="86"/>
      <c r="F166" s="16">
        <f>IF(E166="","",DATEDIF(E166,$I$7,"Y"))</f>
      </c>
      <c r="G166" s="85"/>
      <c r="H166" s="85"/>
      <c r="I166" s="87"/>
      <c r="J166" s="85"/>
      <c r="K166" s="85"/>
      <c r="L166" s="10"/>
      <c r="M166" s="10"/>
      <c r="N166" s="10"/>
      <c r="O166" s="10"/>
      <c r="P166" s="85"/>
      <c r="Q166" s="88"/>
      <c r="R166" s="3">
        <f>IFERROR(VLOOKUP(TablaSeptiembre[[#This Row],[BARRIO]],SECTOR!$A:$B,2,0),"")</f>
      </c>
      <c r="S166" s="89"/>
      <c r="T166" s="90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6"/>
      <c r="AZ166" s="120">
        <f>COUNTIF(U166:AY166,"A")</f>
      </c>
      <c r="BA166" s="121">
        <f>COUNTIF(U166:AY166,"F")</f>
      </c>
      <c r="BB166" s="119">
        <f>COUNTIF(U166:AY166,"E")</f>
      </c>
    </row>
    <row r="167" spans="1:54" x14ac:dyDescent="0.2">
      <c r="A167" s="84"/>
      <c r="B167" s="107"/>
      <c r="C167" s="85"/>
      <c r="D167" s="85"/>
      <c r="E167" s="86"/>
      <c r="F167" s="16">
        <f>IF(E167="","",DATEDIF(E167,$I$7,"Y"))</f>
      </c>
      <c r="G167" s="85"/>
      <c r="H167" s="85"/>
      <c r="I167" s="87"/>
      <c r="J167" s="85"/>
      <c r="K167" s="85"/>
      <c r="L167" s="10"/>
      <c r="M167" s="10"/>
      <c r="N167" s="10"/>
      <c r="O167" s="10"/>
      <c r="P167" s="85"/>
      <c r="Q167" s="88"/>
      <c r="R167" s="3">
        <f>IFERROR(VLOOKUP(TablaSeptiembre[[#This Row],[BARRIO]],SECTOR!$A:$B,2,0),"")</f>
      </c>
      <c r="S167" s="89"/>
      <c r="T167" s="90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6"/>
      <c r="AZ167" s="120">
        <f>COUNTIF(U167:AY167,"A")</f>
      </c>
      <c r="BA167" s="121">
        <f>COUNTIF(U167:AY167,"F")</f>
      </c>
      <c r="BB167" s="119">
        <f>COUNTIF(U167:AY167,"E")</f>
      </c>
    </row>
    <row r="168" spans="1:54" x14ac:dyDescent="0.2">
      <c r="A168" s="84"/>
      <c r="B168" s="107"/>
      <c r="C168" s="85"/>
      <c r="D168" s="85"/>
      <c r="E168" s="86"/>
      <c r="F168" s="16">
        <f>IF(E168="","",DATEDIF(E168,$I$7,"Y"))</f>
      </c>
      <c r="G168" s="85"/>
      <c r="H168" s="85"/>
      <c r="I168" s="87"/>
      <c r="J168" s="85"/>
      <c r="K168" s="85"/>
      <c r="L168" s="2"/>
      <c r="M168" s="2"/>
      <c r="N168" s="10"/>
      <c r="O168" s="2"/>
      <c r="P168" s="85"/>
      <c r="Q168" s="88"/>
      <c r="R168" s="3">
        <f>IFERROR(VLOOKUP(TablaSeptiembre[[#This Row],[BARRIO]],SECTOR!$A:$B,2,0),"")</f>
      </c>
      <c r="S168" s="89"/>
      <c r="T168" s="90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6"/>
      <c r="AZ168" s="120">
        <f>COUNTIF(U168:AY168,"A")</f>
      </c>
      <c r="BA168" s="121">
        <f>COUNTIF(U168:AY168,"F")</f>
      </c>
      <c r="BB168" s="119">
        <f>COUNTIF(U168:AY168,"E")</f>
      </c>
    </row>
    <row r="169" spans="1:54" x14ac:dyDescent="0.2">
      <c r="A169" s="84"/>
      <c r="B169" s="85"/>
      <c r="C169" s="85"/>
      <c r="D169" s="85"/>
      <c r="E169" s="86"/>
      <c r="F169" s="16">
        <f>IF(E169="","",DATEDIF(E169,$I$7,"Y"))</f>
      </c>
      <c r="G169" s="85"/>
      <c r="H169" s="85"/>
      <c r="I169" s="87"/>
      <c r="J169" s="85"/>
      <c r="K169" s="85"/>
      <c r="L169" s="10"/>
      <c r="M169" s="10"/>
      <c r="N169" s="10"/>
      <c r="O169" s="10"/>
      <c r="P169" s="85"/>
      <c r="Q169" s="88"/>
      <c r="R169" s="3">
        <f>IFERROR(VLOOKUP(TablaSeptiembre[[#This Row],[BARRIO]],SECTOR!$A:$B,2,0),"")</f>
      </c>
      <c r="S169" s="89"/>
      <c r="T169" s="90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6"/>
      <c r="AZ169" s="30">
        <f>COUNTIF(U169:AY169,"A")</f>
      </c>
      <c r="BA169" s="32">
        <f>COUNTIF(U169:AY169,"F")</f>
      </c>
      <c r="BB169" s="119">
        <f>COUNTIF(U169:AY169,"E")</f>
      </c>
    </row>
    <row r="170" spans="1:54" x14ac:dyDescent="0.2">
      <c r="A170" s="84"/>
      <c r="B170" s="85"/>
      <c r="C170" s="85"/>
      <c r="D170" s="85"/>
      <c r="E170" s="86"/>
      <c r="F170" s="16">
        <f>IF(E170="","",DATEDIF(E170,$I$7,"Y"))</f>
      </c>
      <c r="G170" s="85"/>
      <c r="H170" s="85"/>
      <c r="I170" s="87"/>
      <c r="J170" s="85"/>
      <c r="K170" s="85"/>
      <c r="L170" s="10"/>
      <c r="M170" s="10"/>
      <c r="N170" s="10"/>
      <c r="O170" s="10"/>
      <c r="P170" s="85"/>
      <c r="Q170" s="88"/>
      <c r="R170" s="3">
        <f>IFERROR(VLOOKUP(TablaSeptiembre[[#This Row],[BARRIO]],SECTOR!$A:$B,2,0),"")</f>
      </c>
      <c r="S170" s="89"/>
      <c r="T170" s="90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6"/>
      <c r="AZ170" s="120">
        <f>COUNTIF(U170:AY170,"A")</f>
      </c>
      <c r="BA170" s="121">
        <f>COUNTIF(U170:AY170,"F")</f>
      </c>
      <c r="BB170" s="119">
        <f>COUNTIF(U170:AY170,"E")</f>
      </c>
    </row>
    <row r="171" spans="1:54" x14ac:dyDescent="0.2">
      <c r="A171" s="84"/>
      <c r="B171" s="85"/>
      <c r="C171" s="85"/>
      <c r="D171" s="85"/>
      <c r="E171" s="86"/>
      <c r="F171" s="16">
        <f>IF(E171="","",DATEDIF(E171,$I$7,"Y"))</f>
      </c>
      <c r="G171" s="85"/>
      <c r="H171" s="85"/>
      <c r="I171" s="87"/>
      <c r="J171" s="85"/>
      <c r="K171" s="85"/>
      <c r="L171" s="10"/>
      <c r="M171" s="10"/>
      <c r="N171" s="10"/>
      <c r="O171" s="10"/>
      <c r="P171" s="85"/>
      <c r="Q171" s="88"/>
      <c r="R171" s="3">
        <f>IFERROR(VLOOKUP(TablaSeptiembre[[#This Row],[BARRIO]],SECTOR!$A:$B,2,0),"")</f>
      </c>
      <c r="S171" s="89"/>
      <c r="T171" s="90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6"/>
      <c r="AZ171" s="120">
        <f>COUNTIF(U171:AY171,"A")</f>
      </c>
      <c r="BA171" s="121">
        <f>COUNTIF(U171:AY171,"F")</f>
      </c>
      <c r="BB171" s="119">
        <f>COUNTIF(U171:AY171,"E")</f>
      </c>
    </row>
    <row r="172" spans="1:54" x14ac:dyDescent="0.2">
      <c r="A172" s="84"/>
      <c r="B172" s="85"/>
      <c r="C172" s="85"/>
      <c r="D172" s="85"/>
      <c r="E172" s="86"/>
      <c r="F172" s="16">
        <f>IF(E172="","",DATEDIF(E172,$I$7,"Y"))</f>
      </c>
      <c r="G172" s="85"/>
      <c r="H172" s="85"/>
      <c r="I172" s="87"/>
      <c r="J172" s="85"/>
      <c r="K172" s="85"/>
      <c r="L172" s="10"/>
      <c r="M172" s="10"/>
      <c r="N172" s="10"/>
      <c r="O172" s="10"/>
      <c r="P172" s="85"/>
      <c r="Q172" s="88"/>
      <c r="R172" s="3">
        <f>IFERROR(VLOOKUP(TablaSeptiembre[[#This Row],[BARRIO]],SECTOR!$A:$B,2,0),"")</f>
      </c>
      <c r="S172" s="89"/>
      <c r="T172" s="90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6"/>
      <c r="AZ172" s="120">
        <f>COUNTIF(U172:AY172,"A")</f>
      </c>
      <c r="BA172" s="121">
        <f>COUNTIF(U172:AY172,"F")</f>
      </c>
      <c r="BB172" s="119">
        <f>COUNTIF(U172:AY172,"E")</f>
      </c>
    </row>
    <row r="173" spans="1:54" x14ac:dyDescent="0.2">
      <c r="A173" s="84"/>
      <c r="B173" s="85"/>
      <c r="C173" s="85"/>
      <c r="D173" s="85"/>
      <c r="E173" s="86"/>
      <c r="F173" s="16">
        <f>IF(E173="","",DATEDIF(E173,$I$7,"Y"))</f>
      </c>
      <c r="G173" s="85"/>
      <c r="H173" s="85"/>
      <c r="I173" s="87"/>
      <c r="J173" s="85"/>
      <c r="K173" s="85"/>
      <c r="L173" s="10"/>
      <c r="M173" s="10"/>
      <c r="N173" s="10"/>
      <c r="O173" s="10"/>
      <c r="P173" s="85"/>
      <c r="Q173" s="88"/>
      <c r="R173" s="3">
        <f>IFERROR(VLOOKUP(TablaSeptiembre[[#This Row],[BARRIO]],SECTOR!$A:$B,2,0),"")</f>
      </c>
      <c r="S173" s="89"/>
      <c r="T173" s="90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6"/>
      <c r="AZ173" s="120">
        <f>COUNTIF(U173:AY173,"A")</f>
      </c>
      <c r="BA173" s="121">
        <f>COUNTIF(U173:AY173,"F")</f>
      </c>
      <c r="BB173" s="119">
        <f>COUNTIF(U173:AY173,"E")</f>
      </c>
    </row>
    <row r="174" spans="1:54" x14ac:dyDescent="0.2">
      <c r="A174" s="84"/>
      <c r="B174" s="85"/>
      <c r="C174" s="85"/>
      <c r="D174" s="85"/>
      <c r="E174" s="86"/>
      <c r="F174" s="16">
        <f>IF(E174="","",DATEDIF(E174,$I$7,"Y"))</f>
      </c>
      <c r="G174" s="85"/>
      <c r="H174" s="85"/>
      <c r="I174" s="87"/>
      <c r="J174" s="85"/>
      <c r="K174" s="85"/>
      <c r="L174" s="10"/>
      <c r="M174" s="10"/>
      <c r="N174" s="10"/>
      <c r="O174" s="10"/>
      <c r="P174" s="85"/>
      <c r="Q174" s="88"/>
      <c r="R174" s="3">
        <f>IFERROR(VLOOKUP(TablaSeptiembre[[#This Row],[BARRIO]],SECTOR!$A:$B,2,0),"")</f>
      </c>
      <c r="S174" s="89"/>
      <c r="T174" s="90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6"/>
      <c r="AZ174" s="120">
        <f>COUNTIF(U174:AY174,"A")</f>
      </c>
      <c r="BA174" s="121">
        <f>COUNTIF(U174:AY174,"F")</f>
      </c>
      <c r="BB174" s="119">
        <f>COUNTIF(U174:AY174,"E")</f>
      </c>
    </row>
    <row r="175" spans="1:54" x14ac:dyDescent="0.2">
      <c r="A175" s="84"/>
      <c r="B175" s="85"/>
      <c r="C175" s="85"/>
      <c r="D175" s="85"/>
      <c r="E175" s="86"/>
      <c r="F175" s="16">
        <f>IF(E175="","",DATEDIF(E175,$I$7,"Y"))</f>
      </c>
      <c r="G175" s="85"/>
      <c r="H175" s="85"/>
      <c r="I175" s="87"/>
      <c r="J175" s="85"/>
      <c r="K175" s="85"/>
      <c r="L175" s="10"/>
      <c r="M175" s="10"/>
      <c r="N175" s="10"/>
      <c r="O175" s="10"/>
      <c r="P175" s="85"/>
      <c r="Q175" s="88"/>
      <c r="R175" s="3">
        <f>IFERROR(VLOOKUP(TablaSeptiembre[[#This Row],[BARRIO]],SECTOR!$A:$B,2,0),"")</f>
      </c>
      <c r="S175" s="89"/>
      <c r="T175" s="90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6"/>
      <c r="AZ175" s="120">
        <f>COUNTIF(U175:AY175,"A")</f>
      </c>
      <c r="BA175" s="121">
        <f>COUNTIF(U175:AY175,"F")</f>
      </c>
      <c r="BB175" s="119">
        <f>COUNTIF(U175:AY175,"E")</f>
      </c>
    </row>
    <row r="176" spans="1:54" x14ac:dyDescent="0.2">
      <c r="A176" s="84"/>
      <c r="B176" s="85"/>
      <c r="C176" s="85"/>
      <c r="D176" s="85"/>
      <c r="E176" s="86"/>
      <c r="F176" s="16">
        <f>IF(E176="","",DATEDIF(E176,$I$7,"Y"))</f>
      </c>
      <c r="G176" s="85"/>
      <c r="H176" s="85"/>
      <c r="I176" s="87"/>
      <c r="J176" s="85"/>
      <c r="K176" s="85"/>
      <c r="L176" s="10"/>
      <c r="M176" s="10"/>
      <c r="N176" s="10"/>
      <c r="O176" s="10"/>
      <c r="P176" s="85"/>
      <c r="Q176" s="88"/>
      <c r="R176" s="3">
        <f>IFERROR(VLOOKUP(TablaSeptiembre[[#This Row],[BARRIO]],SECTOR!$A:$B,2,0),"")</f>
      </c>
      <c r="S176" s="89"/>
      <c r="T176" s="90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6"/>
      <c r="AZ176" s="120">
        <f>COUNTIF(U176:AY176,"A")</f>
      </c>
      <c r="BA176" s="121">
        <f>COUNTIF(U176:AY176,"F")</f>
      </c>
      <c r="BB176" s="119">
        <f>COUNTIF(U176:AY176,"E")</f>
      </c>
    </row>
    <row r="177" spans="1:54" x14ac:dyDescent="0.2">
      <c r="A177" s="84"/>
      <c r="B177" s="85"/>
      <c r="C177" s="85"/>
      <c r="D177" s="85"/>
      <c r="E177" s="86"/>
      <c r="F177" s="16">
        <f>IF(E177="","",DATEDIF(E177,$I$7,"Y"))</f>
      </c>
      <c r="G177" s="85"/>
      <c r="H177" s="85"/>
      <c r="I177" s="87"/>
      <c r="J177" s="85"/>
      <c r="K177" s="85"/>
      <c r="L177" s="10"/>
      <c r="M177" s="10"/>
      <c r="N177" s="10"/>
      <c r="O177" s="10"/>
      <c r="P177" s="85"/>
      <c r="Q177" s="88"/>
      <c r="R177" s="3">
        <f>IFERROR(VLOOKUP(TablaSeptiembre[[#This Row],[BARRIO]],SECTOR!$A:$B,2,0),"")</f>
      </c>
      <c r="S177" s="89"/>
      <c r="T177" s="90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6"/>
      <c r="AZ177" s="120">
        <f>COUNTIF(U177:AY177,"A")</f>
      </c>
      <c r="BA177" s="121">
        <f>COUNTIF(U177:AY177,"F")</f>
      </c>
      <c r="BB177" s="119">
        <f>COUNTIF(U177:AY177,"E")</f>
      </c>
    </row>
    <row r="178" spans="1:54" x14ac:dyDescent="0.2">
      <c r="A178" s="84"/>
      <c r="B178" s="85"/>
      <c r="C178" s="85"/>
      <c r="D178" s="85"/>
      <c r="E178" s="86"/>
      <c r="F178" s="16">
        <f>IF(E178="","",DATEDIF(E178,$I$7,"Y"))</f>
      </c>
      <c r="G178" s="85"/>
      <c r="H178" s="85"/>
      <c r="I178" s="87"/>
      <c r="J178" s="85"/>
      <c r="K178" s="85"/>
      <c r="L178" s="10"/>
      <c r="M178" s="10"/>
      <c r="N178" s="10"/>
      <c r="O178" s="10"/>
      <c r="P178" s="85"/>
      <c r="Q178" s="88"/>
      <c r="R178" s="3">
        <f>IFERROR(VLOOKUP(TablaSeptiembre[[#This Row],[BARRIO]],SECTOR!$A:$B,2,0),"")</f>
      </c>
      <c r="S178" s="89"/>
      <c r="T178" s="90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6"/>
      <c r="AZ178" s="120">
        <f>COUNTIF(U178:AY178,"A")</f>
      </c>
      <c r="BA178" s="121">
        <f>COUNTIF(U178:AY178,"F")</f>
      </c>
      <c r="BB178" s="119">
        <f>COUNTIF(U178:AY178,"E")</f>
      </c>
    </row>
    <row r="179" spans="1:54" x14ac:dyDescent="0.2">
      <c r="A179" s="84"/>
      <c r="B179" s="85"/>
      <c r="C179" s="85"/>
      <c r="D179" s="85"/>
      <c r="E179" s="86"/>
      <c r="F179" s="16">
        <f>IF(E179="","",DATEDIF(E179,$I$7,"Y"))</f>
      </c>
      <c r="G179" s="85"/>
      <c r="H179" s="85"/>
      <c r="I179" s="87"/>
      <c r="J179" s="85"/>
      <c r="K179" s="85"/>
      <c r="L179" s="10"/>
      <c r="M179" s="10"/>
      <c r="N179" s="10"/>
      <c r="O179" s="10"/>
      <c r="P179" s="85"/>
      <c r="Q179" s="88"/>
      <c r="R179" s="3">
        <f>IFERROR(VLOOKUP(TablaSeptiembre[[#This Row],[BARRIO]],SECTOR!$A:$B,2,0),"")</f>
      </c>
      <c r="S179" s="89"/>
      <c r="T179" s="90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6"/>
      <c r="AZ179" s="120">
        <f>COUNTIF(U179:AY179,"A")</f>
      </c>
      <c r="BA179" s="121">
        <f>COUNTIF(U179:AY179,"F")</f>
      </c>
      <c r="BB179" s="119">
        <f>COUNTIF(U179:AY179,"E")</f>
      </c>
    </row>
    <row r="180" spans="1:54" x14ac:dyDescent="0.2">
      <c r="A180" s="84"/>
      <c r="B180" s="85"/>
      <c r="C180" s="85"/>
      <c r="D180" s="85"/>
      <c r="E180" s="86"/>
      <c r="F180" s="16">
        <f>IF(E180="","",DATEDIF(E180,$I$7,"Y"))</f>
      </c>
      <c r="G180" s="85"/>
      <c r="H180" s="85"/>
      <c r="I180" s="87"/>
      <c r="J180" s="85"/>
      <c r="K180" s="85"/>
      <c r="L180" s="10"/>
      <c r="M180" s="10"/>
      <c r="N180" s="10"/>
      <c r="O180" s="10"/>
      <c r="P180" s="85"/>
      <c r="Q180" s="88"/>
      <c r="R180" s="3">
        <f>IFERROR(VLOOKUP(TablaSeptiembre[[#This Row],[BARRIO]],SECTOR!$A:$B,2,0),"")</f>
      </c>
      <c r="S180" s="89"/>
      <c r="T180" s="90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6"/>
      <c r="AZ180" s="120">
        <f>COUNTIF(U180:AY180,"A")</f>
      </c>
      <c r="BA180" s="121">
        <f>COUNTIF(U180:AY180,"F")</f>
      </c>
      <c r="BB180" s="119">
        <f>COUNTIF(U180:AY180,"E")</f>
      </c>
    </row>
    <row r="181" spans="1:54" x14ac:dyDescent="0.2">
      <c r="A181" s="84"/>
      <c r="B181" s="85"/>
      <c r="C181" s="85"/>
      <c r="D181" s="85"/>
      <c r="E181" s="86"/>
      <c r="F181" s="16">
        <f>IF(E181="","",DATEDIF(E181,$I$7,"Y"))</f>
      </c>
      <c r="G181" s="85"/>
      <c r="H181" s="85"/>
      <c r="I181" s="87"/>
      <c r="J181" s="85"/>
      <c r="K181" s="85"/>
      <c r="L181" s="10"/>
      <c r="M181" s="10"/>
      <c r="N181" s="10"/>
      <c r="O181" s="10"/>
      <c r="P181" s="85"/>
      <c r="Q181" s="88"/>
      <c r="R181" s="3">
        <f>IFERROR(VLOOKUP(TablaSeptiembre[[#This Row],[BARRIO]],SECTOR!$A:$B,2,0),"")</f>
      </c>
      <c r="S181" s="89"/>
      <c r="T181" s="90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6"/>
      <c r="AZ181" s="120">
        <f>COUNTIF(U181:AY181,"A")</f>
      </c>
      <c r="BA181" s="121">
        <f>COUNTIF(U181:AY181,"F")</f>
      </c>
      <c r="BB181" s="119">
        <f>COUNTIF(U181:AY181,"E")</f>
      </c>
    </row>
    <row r="182" spans="1:54" x14ac:dyDescent="0.2">
      <c r="A182" s="84"/>
      <c r="B182" s="85"/>
      <c r="C182" s="85"/>
      <c r="D182" s="85"/>
      <c r="E182" s="86"/>
      <c r="F182" s="16">
        <f>IF(E182="","",DATEDIF(E182,$I$7,"Y"))</f>
      </c>
      <c r="G182" s="85"/>
      <c r="H182" s="85"/>
      <c r="I182" s="87"/>
      <c r="J182" s="85"/>
      <c r="K182" s="85"/>
      <c r="L182" s="10"/>
      <c r="M182" s="10"/>
      <c r="N182" s="10"/>
      <c r="O182" s="10"/>
      <c r="P182" s="85"/>
      <c r="Q182" s="88"/>
      <c r="R182" s="3">
        <f>IFERROR(VLOOKUP(TablaSeptiembre[[#This Row],[BARRIO]],SECTOR!$A:$B,2,0),"")</f>
      </c>
      <c r="S182" s="89"/>
      <c r="T182" s="90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6"/>
      <c r="AZ182" s="120">
        <f>COUNTIF(U182:AY182,"A")</f>
      </c>
      <c r="BA182" s="121">
        <f>COUNTIF(U182:AY182,"F")</f>
      </c>
      <c r="BB182" s="119">
        <f>COUNTIF(U182:AY182,"E")</f>
      </c>
    </row>
    <row r="183" spans="1:54" x14ac:dyDescent="0.2">
      <c r="A183" s="84"/>
      <c r="B183" s="85"/>
      <c r="C183" s="85"/>
      <c r="D183" s="85"/>
      <c r="E183" s="86"/>
      <c r="F183" s="16">
        <f>IF(E183="","",DATEDIF(E183,$I$7,"Y"))</f>
      </c>
      <c r="G183" s="85"/>
      <c r="H183" s="85"/>
      <c r="I183" s="87"/>
      <c r="J183" s="85"/>
      <c r="K183" s="85"/>
      <c r="L183" s="10"/>
      <c r="M183" s="10"/>
      <c r="N183" s="10"/>
      <c r="O183" s="10"/>
      <c r="P183" s="85"/>
      <c r="Q183" s="88"/>
      <c r="R183" s="3">
        <f>IFERROR(VLOOKUP(TablaSeptiembre[[#This Row],[BARRIO]],SECTOR!$A:$B,2,0),"")</f>
      </c>
      <c r="S183" s="89"/>
      <c r="T183" s="90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6"/>
      <c r="AZ183" s="120">
        <f>COUNTIF(U183:AY183,"A")</f>
      </c>
      <c r="BA183" s="121">
        <f>COUNTIF(U183:AY183,"F")</f>
      </c>
      <c r="BB183" s="119">
        <f>COUNTIF(U183:AY183,"E")</f>
      </c>
    </row>
    <row r="184" spans="1:54" x14ac:dyDescent="0.2">
      <c r="A184" s="84"/>
      <c r="B184" s="85"/>
      <c r="C184" s="85"/>
      <c r="D184" s="85"/>
      <c r="E184" s="86"/>
      <c r="F184" s="16">
        <f>IF(E184="","",DATEDIF(E184,$I$7,"Y"))</f>
      </c>
      <c r="G184" s="85"/>
      <c r="H184" s="85"/>
      <c r="I184" s="87"/>
      <c r="J184" s="85"/>
      <c r="K184" s="85"/>
      <c r="L184" s="10"/>
      <c r="M184" s="10"/>
      <c r="N184" s="10"/>
      <c r="O184" s="10"/>
      <c r="P184" s="85"/>
      <c r="Q184" s="88"/>
      <c r="R184" s="3">
        <f>IFERROR(VLOOKUP(TablaSeptiembre[[#This Row],[BARRIO]],SECTOR!$A:$B,2,0),"")</f>
      </c>
      <c r="S184" s="89"/>
      <c r="T184" s="90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6"/>
      <c r="AZ184" s="120">
        <f>COUNTIF(U184:AY184,"A")</f>
      </c>
      <c r="BA184" s="121">
        <f>COUNTIF(U184:AY184,"F")</f>
      </c>
      <c r="BB184" s="119">
        <f>COUNTIF(U184:AY184,"E")</f>
      </c>
    </row>
    <row r="185" spans="1:54" x14ac:dyDescent="0.2">
      <c r="A185" s="84"/>
      <c r="B185" s="85"/>
      <c r="C185" s="85"/>
      <c r="D185" s="85"/>
      <c r="E185" s="86"/>
      <c r="F185" s="16">
        <f>IF(E185="","",DATEDIF(E185,$I$7,"Y"))</f>
      </c>
      <c r="G185" s="85"/>
      <c r="H185" s="85"/>
      <c r="I185" s="87"/>
      <c r="J185" s="85"/>
      <c r="K185" s="85"/>
      <c r="L185" s="10"/>
      <c r="M185" s="10"/>
      <c r="N185" s="10"/>
      <c r="O185" s="10"/>
      <c r="P185" s="85"/>
      <c r="Q185" s="88"/>
      <c r="R185" s="3">
        <f>IFERROR(VLOOKUP(TablaSeptiembre[[#This Row],[BARRIO]],SECTOR!$A:$B,2,0),"")</f>
      </c>
      <c r="S185" s="89"/>
      <c r="T185" s="90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6"/>
      <c r="AZ185" s="120">
        <f>COUNTIF(U185:AY185,"A")</f>
      </c>
      <c r="BA185" s="121">
        <f>COUNTIF(U185:AY185,"F")</f>
      </c>
      <c r="BB185" s="119">
        <f>COUNTIF(U185:AY185,"E")</f>
      </c>
    </row>
    <row r="186" spans="1:54" x14ac:dyDescent="0.2">
      <c r="A186" s="84"/>
      <c r="B186" s="85"/>
      <c r="C186" s="85"/>
      <c r="D186" s="85"/>
      <c r="E186" s="86"/>
      <c r="F186" s="16">
        <f>IF(E186="","",DATEDIF(E186,$I$7,"Y"))</f>
      </c>
      <c r="G186" s="85"/>
      <c r="H186" s="85"/>
      <c r="I186" s="87"/>
      <c r="J186" s="85"/>
      <c r="K186" s="85"/>
      <c r="L186" s="10"/>
      <c r="M186" s="10"/>
      <c r="N186" s="10"/>
      <c r="O186" s="10"/>
      <c r="P186" s="85"/>
      <c r="Q186" s="88"/>
      <c r="R186" s="3">
        <f>IFERROR(VLOOKUP(TablaSeptiembre[[#This Row],[BARRIO]],SECTOR!$A:$B,2,0),"")</f>
      </c>
      <c r="S186" s="89"/>
      <c r="T186" s="90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6"/>
      <c r="AZ186" s="120">
        <f>COUNTIF(U186:AY186,"A")</f>
      </c>
      <c r="BA186" s="121">
        <f>COUNTIF(U186:AY186,"F")</f>
      </c>
      <c r="BB186" s="119">
        <f>COUNTIF(U186:AY186,"E")</f>
      </c>
    </row>
    <row r="187" spans="1:54" x14ac:dyDescent="0.2">
      <c r="A187" s="84"/>
      <c r="B187" s="85"/>
      <c r="C187" s="85"/>
      <c r="D187" s="85"/>
      <c r="E187" s="86"/>
      <c r="F187" s="16">
        <f>IF(E187="","",DATEDIF(E187,$I$7,"Y"))</f>
      </c>
      <c r="G187" s="85"/>
      <c r="H187" s="85"/>
      <c r="I187" s="87"/>
      <c r="J187" s="85"/>
      <c r="K187" s="85"/>
      <c r="L187" s="10"/>
      <c r="M187" s="10"/>
      <c r="N187" s="10"/>
      <c r="O187" s="10"/>
      <c r="P187" s="85"/>
      <c r="Q187" s="88"/>
      <c r="R187" s="3">
        <f>IFERROR(VLOOKUP(TablaSeptiembre[[#This Row],[BARRIO]],SECTOR!$A:$B,2,0),"")</f>
      </c>
      <c r="S187" s="89"/>
      <c r="T187" s="90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6"/>
      <c r="AZ187" s="120">
        <f>COUNTIF(U187:AY187,"A")</f>
      </c>
      <c r="BA187" s="121">
        <f>COUNTIF(U187:AY187,"F")</f>
      </c>
      <c r="BB187" s="119">
        <f>COUNTIF(U187:AY187,"E")</f>
      </c>
    </row>
    <row r="188" spans="1:54" x14ac:dyDescent="0.2">
      <c r="A188" s="84"/>
      <c r="B188" s="85"/>
      <c r="C188" s="85"/>
      <c r="D188" s="85"/>
      <c r="E188" s="86"/>
      <c r="F188" s="16">
        <f>IF(E188="","",DATEDIF(E188,$I$7,"Y"))</f>
      </c>
      <c r="G188" s="85"/>
      <c r="H188" s="85"/>
      <c r="I188" s="87"/>
      <c r="J188" s="85"/>
      <c r="K188" s="85"/>
      <c r="L188" s="10"/>
      <c r="M188" s="10"/>
      <c r="N188" s="10"/>
      <c r="O188" s="10"/>
      <c r="P188" s="85"/>
      <c r="Q188" s="88"/>
      <c r="R188" s="3">
        <f>IFERROR(VLOOKUP(TablaSeptiembre[[#This Row],[BARRIO]],SECTOR!$A:$B,2,0),"")</f>
      </c>
      <c r="S188" s="89"/>
      <c r="T188" s="90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6"/>
      <c r="AZ188" s="120">
        <f>COUNTIF(U188:AY188,"A")</f>
      </c>
      <c r="BA188" s="121">
        <f>COUNTIF(U188:AY188,"F")</f>
      </c>
      <c r="BB188" s="119">
        <f>COUNTIF(U188:AY188,"E")</f>
      </c>
    </row>
    <row r="189" spans="1:54" x14ac:dyDescent="0.2">
      <c r="A189" s="84"/>
      <c r="B189" s="85"/>
      <c r="C189" s="85"/>
      <c r="D189" s="85"/>
      <c r="E189" s="86"/>
      <c r="F189" s="16">
        <f>IF(E189="","",DATEDIF(E189,$I$7,"Y"))</f>
      </c>
      <c r="G189" s="85"/>
      <c r="H189" s="85"/>
      <c r="I189" s="87"/>
      <c r="J189" s="85"/>
      <c r="K189" s="85"/>
      <c r="L189" s="10"/>
      <c r="M189" s="10"/>
      <c r="N189" s="10"/>
      <c r="O189" s="10"/>
      <c r="P189" s="85"/>
      <c r="Q189" s="88"/>
      <c r="R189" s="3">
        <f>IFERROR(VLOOKUP(TablaSeptiembre[[#This Row],[BARRIO]],SECTOR!$A:$B,2,0),"")</f>
      </c>
      <c r="S189" s="89"/>
      <c r="T189" s="90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6"/>
      <c r="AZ189" s="120">
        <f>COUNTIF(U189:AY189,"A")</f>
      </c>
      <c r="BA189" s="121">
        <f>COUNTIF(U189:AY189,"F")</f>
      </c>
      <c r="BB189" s="119">
        <f>COUNTIF(U189:AY189,"E")</f>
      </c>
    </row>
    <row r="190" spans="1:54" x14ac:dyDescent="0.2">
      <c r="A190" s="84"/>
      <c r="B190" s="85"/>
      <c r="C190" s="85"/>
      <c r="D190" s="85"/>
      <c r="E190" s="86"/>
      <c r="F190" s="16">
        <f>IF(E190="","",DATEDIF(E190,$I$7,"Y"))</f>
      </c>
      <c r="G190" s="85"/>
      <c r="H190" s="85"/>
      <c r="I190" s="87"/>
      <c r="J190" s="85"/>
      <c r="K190" s="85"/>
      <c r="L190" s="10"/>
      <c r="M190" s="10"/>
      <c r="N190" s="10"/>
      <c r="O190" s="10"/>
      <c r="P190" s="85"/>
      <c r="Q190" s="88"/>
      <c r="R190" s="3">
        <f>IFERROR(VLOOKUP(TablaSeptiembre[[#This Row],[BARRIO]],SECTOR!$A:$B,2,0),"")</f>
      </c>
      <c r="S190" s="89"/>
      <c r="T190" s="90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6"/>
      <c r="AZ190" s="120">
        <f>COUNTIF(U190:AY190,"A")</f>
      </c>
      <c r="BA190" s="121">
        <f>COUNTIF(U190:AY190,"F")</f>
      </c>
      <c r="BB190" s="119">
        <f>COUNTIF(U190:AY190,"E")</f>
      </c>
    </row>
    <row r="191" spans="1:54" x14ac:dyDescent="0.2">
      <c r="A191" s="84"/>
      <c r="B191" s="85"/>
      <c r="C191" s="85"/>
      <c r="D191" s="85"/>
      <c r="E191" s="86"/>
      <c r="F191" s="16">
        <f>IF(E191="","",DATEDIF(E191,$I$7,"Y"))</f>
      </c>
      <c r="G191" s="85"/>
      <c r="H191" s="85"/>
      <c r="I191" s="87"/>
      <c r="J191" s="85"/>
      <c r="K191" s="85"/>
      <c r="L191" s="10"/>
      <c r="M191" s="10"/>
      <c r="N191" s="10"/>
      <c r="O191" s="10"/>
      <c r="P191" s="85"/>
      <c r="Q191" s="88"/>
      <c r="R191" s="3">
        <f>IFERROR(VLOOKUP(TablaSeptiembre[[#This Row],[BARRIO]],SECTOR!$A:$B,2,0),"")</f>
      </c>
      <c r="S191" s="89"/>
      <c r="T191" s="90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6"/>
      <c r="AZ191" s="120">
        <f>COUNTIF(U191:AY191,"A")</f>
      </c>
      <c r="BA191" s="121">
        <f>COUNTIF(U191:AY191,"F")</f>
      </c>
      <c r="BB191" s="119">
        <f>COUNTIF(U191:AY191,"E")</f>
      </c>
    </row>
    <row r="192" spans="1:54" x14ac:dyDescent="0.2">
      <c r="A192" s="84"/>
      <c r="B192" s="85"/>
      <c r="C192" s="85"/>
      <c r="D192" s="85"/>
      <c r="E192" s="86"/>
      <c r="F192" s="16">
        <f>IF(E192="","",DATEDIF(E192,$I$7,"Y"))</f>
      </c>
      <c r="G192" s="85"/>
      <c r="H192" s="85"/>
      <c r="I192" s="87"/>
      <c r="J192" s="85"/>
      <c r="K192" s="85"/>
      <c r="L192" s="10"/>
      <c r="M192" s="10"/>
      <c r="N192" s="10"/>
      <c r="O192" s="10"/>
      <c r="P192" s="85"/>
      <c r="Q192" s="88"/>
      <c r="R192" s="3">
        <f>IFERROR(VLOOKUP(TablaSeptiembre[[#This Row],[BARRIO]],SECTOR!$A:$B,2,0),"")</f>
      </c>
      <c r="S192" s="89"/>
      <c r="T192" s="90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6"/>
      <c r="AZ192" s="120">
        <f>COUNTIF(U192:AY192,"A")</f>
      </c>
      <c r="BA192" s="121">
        <f>COUNTIF(U192:AY192,"F")</f>
      </c>
      <c r="BB192" s="119">
        <f>COUNTIF(U192:AY192,"E")</f>
      </c>
    </row>
    <row r="193" spans="1:54" x14ac:dyDescent="0.2">
      <c r="A193" s="84"/>
      <c r="B193" s="85"/>
      <c r="C193" s="85"/>
      <c r="D193" s="85"/>
      <c r="E193" s="86"/>
      <c r="F193" s="16">
        <f>IF(E193="","",DATEDIF(E193,$I$7,"Y"))</f>
      </c>
      <c r="G193" s="85"/>
      <c r="H193" s="85"/>
      <c r="I193" s="87"/>
      <c r="J193" s="85"/>
      <c r="K193" s="85"/>
      <c r="L193" s="10"/>
      <c r="M193" s="10"/>
      <c r="N193" s="10"/>
      <c r="O193" s="10"/>
      <c r="P193" s="85"/>
      <c r="Q193" s="88"/>
      <c r="R193" s="3">
        <f>IFERROR(VLOOKUP(TablaSeptiembre[[#This Row],[BARRIO]],SECTOR!$A:$B,2,0),"")</f>
      </c>
      <c r="S193" s="89"/>
      <c r="T193" s="90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6"/>
      <c r="AZ193" s="120">
        <f>COUNTIF(U193:AY193,"A")</f>
      </c>
      <c r="BA193" s="121">
        <f>COUNTIF(U193:AY193,"F")</f>
      </c>
      <c r="BB193" s="119">
        <f>COUNTIF(U193:AY193,"E")</f>
      </c>
    </row>
    <row r="194" spans="1:54" x14ac:dyDescent="0.2">
      <c r="A194" s="84"/>
      <c r="B194" s="85"/>
      <c r="C194" s="85"/>
      <c r="D194" s="85"/>
      <c r="E194" s="86"/>
      <c r="F194" s="16">
        <f>IF(E194="","",DATEDIF(E194,$I$7,"Y"))</f>
      </c>
      <c r="G194" s="85"/>
      <c r="H194" s="85"/>
      <c r="I194" s="87"/>
      <c r="J194" s="85"/>
      <c r="K194" s="85"/>
      <c r="L194" s="10"/>
      <c r="M194" s="10"/>
      <c r="N194" s="10"/>
      <c r="O194" s="10"/>
      <c r="P194" s="85"/>
      <c r="Q194" s="88"/>
      <c r="R194" s="3">
        <f>IFERROR(VLOOKUP(TablaSeptiembre[[#This Row],[BARRIO]],SECTOR!$A:$B,2,0),"")</f>
      </c>
      <c r="S194" s="89"/>
      <c r="T194" s="90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6"/>
      <c r="AZ194" s="120">
        <f>COUNTIF(U194:AY194,"A")</f>
      </c>
      <c r="BA194" s="121">
        <f>COUNTIF(U194:AY194,"F")</f>
      </c>
      <c r="BB194" s="119">
        <f>COUNTIF(U194:AY194,"E")</f>
      </c>
    </row>
    <row r="195" spans="1:54" x14ac:dyDescent="0.2">
      <c r="A195" s="84"/>
      <c r="B195" s="85"/>
      <c r="C195" s="85"/>
      <c r="D195" s="85"/>
      <c r="E195" s="86"/>
      <c r="F195" s="16">
        <f>IF(E195="","",DATEDIF(E195,$I$7,"Y"))</f>
      </c>
      <c r="G195" s="85"/>
      <c r="H195" s="85"/>
      <c r="I195" s="87"/>
      <c r="J195" s="85"/>
      <c r="K195" s="85"/>
      <c r="L195" s="10"/>
      <c r="M195" s="10"/>
      <c r="N195" s="10"/>
      <c r="O195" s="10"/>
      <c r="P195" s="85"/>
      <c r="Q195" s="88"/>
      <c r="R195" s="3">
        <f>IFERROR(VLOOKUP(TablaSeptiembre[[#This Row],[BARRIO]],SECTOR!$A:$B,2,0),"")</f>
      </c>
      <c r="S195" s="89"/>
      <c r="T195" s="90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6"/>
      <c r="AZ195" s="120">
        <f>COUNTIF(U195:AY195,"A")</f>
      </c>
      <c r="BA195" s="121">
        <f>COUNTIF(U195:AY195,"F")</f>
      </c>
      <c r="BB195" s="119">
        <f>COUNTIF(U195:AY195,"E")</f>
      </c>
    </row>
    <row r="196" spans="1:54" x14ac:dyDescent="0.2">
      <c r="A196" s="84"/>
      <c r="B196" s="85"/>
      <c r="C196" s="85"/>
      <c r="D196" s="85"/>
      <c r="E196" s="86"/>
      <c r="F196" s="16">
        <f>IF(E196="","",DATEDIF(E196,$I$7,"Y"))</f>
      </c>
      <c r="G196" s="85"/>
      <c r="H196" s="85"/>
      <c r="I196" s="87"/>
      <c r="J196" s="85"/>
      <c r="K196" s="85"/>
      <c r="L196" s="10"/>
      <c r="M196" s="10"/>
      <c r="N196" s="10"/>
      <c r="O196" s="10"/>
      <c r="P196" s="85"/>
      <c r="Q196" s="88"/>
      <c r="R196" s="3">
        <f>IFERROR(VLOOKUP(TablaSeptiembre[[#This Row],[BARRIO]],SECTOR!$A:$B,2,0),"")</f>
      </c>
      <c r="S196" s="89"/>
      <c r="T196" s="90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6"/>
      <c r="AZ196" s="120">
        <f>COUNTIF(U196:AY196,"A")</f>
      </c>
      <c r="BA196" s="121">
        <f>COUNTIF(U196:AY196,"F")</f>
      </c>
      <c r="BB196" s="119">
        <f>COUNTIF(U196:AY196,"E")</f>
      </c>
    </row>
    <row r="197" spans="1:54" x14ac:dyDescent="0.2">
      <c r="A197" s="84"/>
      <c r="B197" s="85"/>
      <c r="C197" s="85"/>
      <c r="D197" s="85"/>
      <c r="E197" s="86"/>
      <c r="F197" s="16">
        <f>IF(E197="","",DATEDIF(E197,$I$7,"Y"))</f>
      </c>
      <c r="G197" s="85"/>
      <c r="H197" s="85"/>
      <c r="I197" s="87"/>
      <c r="J197" s="85"/>
      <c r="K197" s="85"/>
      <c r="L197" s="10"/>
      <c r="M197" s="10"/>
      <c r="N197" s="10"/>
      <c r="O197" s="10"/>
      <c r="P197" s="85"/>
      <c r="Q197" s="88"/>
      <c r="R197" s="3">
        <f>IFERROR(VLOOKUP(TablaSeptiembre[[#This Row],[BARRIO]],SECTOR!$A:$B,2,0),"")</f>
      </c>
      <c r="S197" s="89"/>
      <c r="T197" s="90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6"/>
      <c r="AZ197" s="120">
        <f>COUNTIF(U197:AY197,"A")</f>
      </c>
      <c r="BA197" s="121">
        <f>COUNTIF(U197:AY197,"F")</f>
      </c>
      <c r="BB197" s="119">
        <f>COUNTIF(U197:AY197,"E")</f>
      </c>
    </row>
    <row r="198" spans="1:54" x14ac:dyDescent="0.2">
      <c r="A198" s="84"/>
      <c r="B198" s="85"/>
      <c r="C198" s="85"/>
      <c r="D198" s="85"/>
      <c r="E198" s="86"/>
      <c r="F198" s="16">
        <f>IF(E198="","",DATEDIF(E198,$I$7,"Y"))</f>
      </c>
      <c r="G198" s="85"/>
      <c r="H198" s="85"/>
      <c r="I198" s="87"/>
      <c r="J198" s="85"/>
      <c r="K198" s="85"/>
      <c r="L198" s="10"/>
      <c r="M198" s="10"/>
      <c r="N198" s="10"/>
      <c r="O198" s="10"/>
      <c r="P198" s="85"/>
      <c r="Q198" s="88"/>
      <c r="R198" s="3">
        <f>IFERROR(VLOOKUP(TablaSeptiembre[[#This Row],[BARRIO]],SECTOR!$A:$B,2,0),"")</f>
      </c>
      <c r="S198" s="89"/>
      <c r="T198" s="90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6"/>
      <c r="AZ198" s="120">
        <f>COUNTIF(U198:AY198,"A")</f>
      </c>
      <c r="BA198" s="121">
        <f>COUNTIF(U198:AY198,"F")</f>
      </c>
      <c r="BB198" s="119">
        <f>COUNTIF(U198:AY198,"E")</f>
      </c>
    </row>
    <row r="199" spans="1:54" x14ac:dyDescent="0.2">
      <c r="A199" s="84"/>
      <c r="B199" s="85"/>
      <c r="C199" s="85"/>
      <c r="D199" s="85"/>
      <c r="E199" s="86"/>
      <c r="F199" s="16">
        <f>IF(E199="","",DATEDIF(E199,$I$7,"Y"))</f>
      </c>
      <c r="G199" s="85"/>
      <c r="H199" s="85"/>
      <c r="I199" s="87"/>
      <c r="J199" s="85"/>
      <c r="K199" s="85"/>
      <c r="L199" s="10"/>
      <c r="M199" s="10"/>
      <c r="N199" s="10"/>
      <c r="O199" s="10"/>
      <c r="P199" s="85"/>
      <c r="Q199" s="88"/>
      <c r="R199" s="3">
        <f>IFERROR(VLOOKUP(TablaSeptiembre[[#This Row],[BARRIO]],SECTOR!$A:$B,2,0),"")</f>
      </c>
      <c r="S199" s="89"/>
      <c r="T199" s="90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6"/>
      <c r="AZ199" s="120">
        <f>COUNTIF(U199:AY199,"A")</f>
      </c>
      <c r="BA199" s="121">
        <f>COUNTIF(U199:AY199,"F")</f>
      </c>
      <c r="BB199" s="119">
        <f>COUNTIF(U199:AY199,"E")</f>
      </c>
    </row>
    <row r="200" spans="1:54" x14ac:dyDescent="0.2">
      <c r="A200" s="84"/>
      <c r="B200" s="85"/>
      <c r="C200" s="85"/>
      <c r="D200" s="85"/>
      <c r="E200" s="86"/>
      <c r="F200" s="16">
        <f>IF(E200="","",DATEDIF(E200,$I$7,"Y"))</f>
      </c>
      <c r="G200" s="85"/>
      <c r="H200" s="85"/>
      <c r="I200" s="87"/>
      <c r="J200" s="85"/>
      <c r="K200" s="85"/>
      <c r="L200" s="10"/>
      <c r="M200" s="10"/>
      <c r="N200" s="10"/>
      <c r="O200" s="10"/>
      <c r="P200" s="85"/>
      <c r="Q200" s="88"/>
      <c r="R200" s="3">
        <f>IFERROR(VLOOKUP(TablaSeptiembre[[#This Row],[BARRIO]],SECTOR!$A:$B,2,0),"")</f>
      </c>
      <c r="S200" s="89"/>
      <c r="T200" s="90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6"/>
      <c r="AZ200" s="120">
        <f>COUNTIF(U200:AY200,"A")</f>
      </c>
      <c r="BA200" s="121">
        <f>COUNTIF(U200:AY200,"F")</f>
      </c>
      <c r="BB200" s="119">
        <f>COUNTIF(U200:AY200,"E")</f>
      </c>
    </row>
    <row r="201" spans="1:54" x14ac:dyDescent="0.2">
      <c r="A201" s="84"/>
      <c r="B201" s="85"/>
      <c r="C201" s="85"/>
      <c r="D201" s="85"/>
      <c r="E201" s="86"/>
      <c r="F201" s="16">
        <f>IF(E201="","",DATEDIF(E201,$I$7,"Y"))</f>
      </c>
      <c r="G201" s="85"/>
      <c r="H201" s="85"/>
      <c r="I201" s="87"/>
      <c r="J201" s="85"/>
      <c r="K201" s="85"/>
      <c r="L201" s="10"/>
      <c r="M201" s="10"/>
      <c r="N201" s="10"/>
      <c r="O201" s="10"/>
      <c r="P201" s="85"/>
      <c r="Q201" s="88"/>
      <c r="R201" s="3">
        <f>IFERROR(VLOOKUP(TablaSeptiembre[[#This Row],[BARRIO]],SECTOR!$A:$B,2,0),"")</f>
      </c>
      <c r="S201" s="89"/>
      <c r="T201" s="90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6"/>
      <c r="AZ201" s="120">
        <f>COUNTIF(U201:AY201,"A")</f>
      </c>
      <c r="BA201" s="121">
        <f>COUNTIF(U201:AY201,"F")</f>
      </c>
      <c r="BB201" s="119">
        <f>COUNTIF(U201:AY201,"E")</f>
      </c>
    </row>
    <row r="202" spans="1:54" x14ac:dyDescent="0.2">
      <c r="A202" s="84"/>
      <c r="B202" s="85"/>
      <c r="C202" s="85"/>
      <c r="D202" s="85"/>
      <c r="E202" s="86"/>
      <c r="F202" s="16">
        <f>IF(E202="","",DATEDIF(E202,$I$7,"Y"))</f>
      </c>
      <c r="G202" s="85"/>
      <c r="H202" s="85"/>
      <c r="I202" s="87"/>
      <c r="J202" s="85"/>
      <c r="K202" s="85"/>
      <c r="L202" s="10"/>
      <c r="M202" s="10"/>
      <c r="N202" s="10"/>
      <c r="O202" s="10"/>
      <c r="P202" s="85"/>
      <c r="Q202" s="88"/>
      <c r="R202" s="3">
        <f>IFERROR(VLOOKUP(TablaSeptiembre[[#This Row],[BARRIO]],SECTOR!$A:$B,2,0),"")</f>
      </c>
      <c r="S202" s="89"/>
      <c r="T202" s="90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6"/>
      <c r="AZ202" s="120">
        <f>COUNTIF(U202:AY202,"A")</f>
      </c>
      <c r="BA202" s="121">
        <f>COUNTIF(U202:AY202,"F")</f>
      </c>
      <c r="BB202" s="119">
        <f>COUNTIF(U202:AY202,"E")</f>
      </c>
    </row>
    <row r="203" spans="1:54" x14ac:dyDescent="0.2">
      <c r="A203" s="84"/>
      <c r="B203" s="85"/>
      <c r="C203" s="85"/>
      <c r="D203" s="85"/>
      <c r="E203" s="86"/>
      <c r="F203" s="16">
        <f>IF(E203="","",DATEDIF(E203,$I$7,"Y"))</f>
      </c>
      <c r="G203" s="85"/>
      <c r="H203" s="85"/>
      <c r="I203" s="87"/>
      <c r="J203" s="85"/>
      <c r="K203" s="85"/>
      <c r="L203" s="10"/>
      <c r="M203" s="10"/>
      <c r="N203" s="10"/>
      <c r="O203" s="10"/>
      <c r="P203" s="85"/>
      <c r="Q203" s="88"/>
      <c r="R203" s="3">
        <f>IFERROR(VLOOKUP(TablaSeptiembre[[#This Row],[BARRIO]],SECTOR!$A:$B,2,0),"")</f>
      </c>
      <c r="S203" s="89"/>
      <c r="T203" s="90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6"/>
      <c r="AZ203" s="120">
        <f>COUNTIF(U203:AY203,"A")</f>
      </c>
      <c r="BA203" s="121">
        <f>COUNTIF(U203:AY203,"F")</f>
      </c>
      <c r="BB203" s="119">
        <f>COUNTIF(U203:AY203,"E")</f>
      </c>
    </row>
    <row r="204" spans="1:54" x14ac:dyDescent="0.2">
      <c r="A204" s="84"/>
      <c r="B204" s="85"/>
      <c r="C204" s="85"/>
      <c r="D204" s="85"/>
      <c r="E204" s="86"/>
      <c r="F204" s="16">
        <f>IF(E204="","",DATEDIF(E204,$I$7,"Y"))</f>
      </c>
      <c r="G204" s="85"/>
      <c r="H204" s="85"/>
      <c r="I204" s="87"/>
      <c r="J204" s="85"/>
      <c r="K204" s="85"/>
      <c r="L204" s="10"/>
      <c r="M204" s="10"/>
      <c r="N204" s="10"/>
      <c r="O204" s="10"/>
      <c r="P204" s="85"/>
      <c r="Q204" s="88"/>
      <c r="R204" s="3">
        <f>IFERROR(VLOOKUP(TablaSeptiembre[[#This Row],[BARRIO]],SECTOR!$A:$B,2,0),"")</f>
      </c>
      <c r="S204" s="89"/>
      <c r="T204" s="90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6"/>
      <c r="AZ204" s="120">
        <f>COUNTIF(U204:AY204,"A")</f>
      </c>
      <c r="BA204" s="121">
        <f>COUNTIF(U204:AY204,"F")</f>
      </c>
      <c r="BB204" s="119">
        <f>COUNTIF(U204:AY204,"E")</f>
      </c>
    </row>
    <row r="205" spans="1:54" x14ac:dyDescent="0.2">
      <c r="A205" s="84"/>
      <c r="B205" s="85"/>
      <c r="C205" s="85"/>
      <c r="D205" s="85"/>
      <c r="E205" s="86"/>
      <c r="F205" s="16">
        <f>IF(E205="","",DATEDIF(E205,$I$7,"Y"))</f>
      </c>
      <c r="G205" s="85"/>
      <c r="H205" s="85"/>
      <c r="I205" s="87"/>
      <c r="J205" s="85"/>
      <c r="K205" s="85"/>
      <c r="L205" s="10"/>
      <c r="M205" s="10"/>
      <c r="N205" s="10"/>
      <c r="O205" s="10"/>
      <c r="P205" s="85"/>
      <c r="Q205" s="88"/>
      <c r="R205" s="3">
        <f>IFERROR(VLOOKUP(TablaSeptiembre[[#This Row],[BARRIO]],SECTOR!$A:$B,2,0),"")</f>
      </c>
      <c r="S205" s="89"/>
      <c r="T205" s="90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6"/>
      <c r="AZ205" s="120">
        <f>COUNTIF(U205:AY205,"A")</f>
      </c>
      <c r="BA205" s="121">
        <f>COUNTIF(U205:AY205,"F")</f>
      </c>
      <c r="BB205" s="119">
        <f>COUNTIF(U205:AY205,"E")</f>
      </c>
    </row>
    <row r="206" spans="1:54" x14ac:dyDescent="0.2">
      <c r="A206" s="84"/>
      <c r="B206" s="85"/>
      <c r="C206" s="85"/>
      <c r="D206" s="85"/>
      <c r="E206" s="86"/>
      <c r="F206" s="16">
        <f>IF(E206="","",DATEDIF(E206,$I$7,"Y"))</f>
      </c>
      <c r="G206" s="85"/>
      <c r="H206" s="85"/>
      <c r="I206" s="87"/>
      <c r="J206" s="85"/>
      <c r="K206" s="85"/>
      <c r="L206" s="10"/>
      <c r="M206" s="10"/>
      <c r="N206" s="10"/>
      <c r="O206" s="10"/>
      <c r="P206" s="85"/>
      <c r="Q206" s="88"/>
      <c r="R206" s="3">
        <f>IFERROR(VLOOKUP(TablaSeptiembre[[#This Row],[BARRIO]],SECTOR!$A:$B,2,0),"")</f>
      </c>
      <c r="S206" s="89"/>
      <c r="T206" s="90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6"/>
      <c r="AZ206" s="120">
        <f>COUNTIF(U206:AY206,"A")</f>
      </c>
      <c r="BA206" s="121">
        <f>COUNTIF(U206:AY206,"F")</f>
      </c>
      <c r="BB206" s="119">
        <f>COUNTIF(U206:AY206,"E")</f>
      </c>
    </row>
    <row r="207" spans="1:54" x14ac:dyDescent="0.2">
      <c r="A207" s="84"/>
      <c r="B207" s="85"/>
      <c r="C207" s="85"/>
      <c r="D207" s="85"/>
      <c r="E207" s="86"/>
      <c r="F207" s="16">
        <f>IF(E207="","",DATEDIF(E207,$I$7,"Y"))</f>
      </c>
      <c r="G207" s="85"/>
      <c r="H207" s="85"/>
      <c r="I207" s="87"/>
      <c r="J207" s="85"/>
      <c r="K207" s="85"/>
      <c r="L207" s="10"/>
      <c r="M207" s="10"/>
      <c r="N207" s="10"/>
      <c r="O207" s="10"/>
      <c r="P207" s="85"/>
      <c r="Q207" s="88"/>
      <c r="R207" s="3">
        <f>IFERROR(VLOOKUP(TablaSeptiembre[[#This Row],[BARRIO]],SECTOR!$A:$B,2,0),"")</f>
      </c>
      <c r="S207" s="89"/>
      <c r="T207" s="90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6"/>
      <c r="AZ207" s="120">
        <f>COUNTIF(U207:AY207,"A")</f>
      </c>
      <c r="BA207" s="121">
        <f>COUNTIF(U207:AY207,"F")</f>
      </c>
      <c r="BB207" s="119">
        <f>COUNTIF(U207:AY207,"E")</f>
      </c>
    </row>
    <row r="208" spans="1:54" x14ac:dyDescent="0.2">
      <c r="A208" s="84"/>
      <c r="B208" s="85"/>
      <c r="C208" s="85"/>
      <c r="D208" s="85"/>
      <c r="E208" s="86"/>
      <c r="F208" s="16">
        <f>IF(E208="","",DATEDIF(E208,$I$7,"Y"))</f>
      </c>
      <c r="G208" s="85"/>
      <c r="H208" s="85"/>
      <c r="I208" s="87"/>
      <c r="J208" s="85"/>
      <c r="K208" s="85"/>
      <c r="L208" s="10"/>
      <c r="M208" s="10"/>
      <c r="N208" s="10"/>
      <c r="O208" s="10"/>
      <c r="P208" s="85"/>
      <c r="Q208" s="88"/>
      <c r="R208" s="3">
        <f>IFERROR(VLOOKUP(TablaSeptiembre[[#This Row],[BARRIO]],SECTOR!$A:$B,2,0),"")</f>
      </c>
      <c r="S208" s="89"/>
      <c r="T208" s="90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6"/>
      <c r="AZ208" s="120">
        <f>COUNTIF(U208:AY208,"A")</f>
      </c>
      <c r="BA208" s="121">
        <f>COUNTIF(U208:AY208,"F")</f>
      </c>
      <c r="BB208" s="119">
        <f>COUNTIF(U208:AY208,"E")</f>
      </c>
    </row>
    <row r="209" spans="1:54" x14ac:dyDescent="0.2">
      <c r="A209" s="84"/>
      <c r="B209" s="85"/>
      <c r="C209" s="85"/>
      <c r="D209" s="85"/>
      <c r="E209" s="86"/>
      <c r="F209" s="16">
        <f>IF(E209="","",DATEDIF(E209,$I$7,"Y"))</f>
      </c>
      <c r="G209" s="85"/>
      <c r="H209" s="85"/>
      <c r="I209" s="87"/>
      <c r="J209" s="85"/>
      <c r="K209" s="85"/>
      <c r="L209" s="10"/>
      <c r="M209" s="10"/>
      <c r="N209" s="10"/>
      <c r="O209" s="10"/>
      <c r="P209" s="85"/>
      <c r="Q209" s="88"/>
      <c r="R209" s="3">
        <f>IFERROR(VLOOKUP(TablaSeptiembre[[#This Row],[BARRIO]],SECTOR!$A:$B,2,0),"")</f>
      </c>
      <c r="S209" s="89"/>
      <c r="T209" s="90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6"/>
      <c r="AZ209" s="120">
        <f>COUNTIF(U209:AY209,"A")</f>
      </c>
      <c r="BA209" s="121">
        <f>COUNTIF(U209:AY209,"F")</f>
      </c>
      <c r="BB209" s="119">
        <f>COUNTIF(U209:AY209,"E")</f>
      </c>
    </row>
    <row r="210" spans="1:54" x14ac:dyDescent="0.2">
      <c r="A210" s="84"/>
      <c r="B210" s="85"/>
      <c r="C210" s="85"/>
      <c r="D210" s="85"/>
      <c r="E210" s="86"/>
      <c r="F210" s="16">
        <f>IF(E210="","",DATEDIF(E210,$I$7,"Y"))</f>
      </c>
      <c r="G210" s="85"/>
      <c r="H210" s="85"/>
      <c r="I210" s="87"/>
      <c r="J210" s="85"/>
      <c r="K210" s="85"/>
      <c r="L210" s="10"/>
      <c r="M210" s="10"/>
      <c r="N210" s="10"/>
      <c r="O210" s="10"/>
      <c r="P210" s="85"/>
      <c r="Q210" s="88"/>
      <c r="R210" s="3">
        <f>IFERROR(VLOOKUP(TablaSeptiembre[[#This Row],[BARRIO]],SECTOR!$A:$B,2,0),"")</f>
      </c>
      <c r="S210" s="89"/>
      <c r="T210" s="90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6"/>
      <c r="AZ210" s="120">
        <f>COUNTIF(U210:AY210,"A")</f>
      </c>
      <c r="BA210" s="121">
        <f>COUNTIF(U210:AY210,"F")</f>
      </c>
      <c r="BB210" s="119">
        <f>COUNTIF(U210:AY210,"E")</f>
      </c>
    </row>
    <row r="211" spans="1:54" x14ac:dyDescent="0.2">
      <c r="A211" s="84"/>
      <c r="B211" s="85"/>
      <c r="C211" s="85"/>
      <c r="D211" s="85"/>
      <c r="E211" s="86"/>
      <c r="F211" s="16">
        <f>IF(E211="","",DATEDIF(E211,$I$7,"Y"))</f>
      </c>
      <c r="G211" s="85"/>
      <c r="H211" s="85"/>
      <c r="I211" s="87"/>
      <c r="J211" s="85"/>
      <c r="K211" s="85"/>
      <c r="L211" s="10"/>
      <c r="M211" s="10"/>
      <c r="N211" s="10"/>
      <c r="O211" s="10"/>
      <c r="P211" s="85"/>
      <c r="Q211" s="88"/>
      <c r="R211" s="3">
        <f>IFERROR(VLOOKUP(TablaSeptiembre[[#This Row],[BARRIO]],SECTOR!$A:$B,2,0),"")</f>
      </c>
      <c r="S211" s="89"/>
      <c r="T211" s="90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6"/>
      <c r="AZ211" s="120">
        <f>COUNTIF(U211:AY211,"A")</f>
      </c>
      <c r="BA211" s="121">
        <f>COUNTIF(U211:AY211,"F")</f>
      </c>
      <c r="BB211" s="119">
        <f>COUNTIF(U211:AY211,"E")</f>
      </c>
    </row>
    <row r="212" spans="1:54" x14ac:dyDescent="0.2">
      <c r="A212" s="84"/>
      <c r="B212" s="85"/>
      <c r="C212" s="85"/>
      <c r="D212" s="85"/>
      <c r="E212" s="86"/>
      <c r="F212" s="16">
        <f>IF(E212="","",DATEDIF(E212,$I$7,"Y"))</f>
      </c>
      <c r="G212" s="85"/>
      <c r="H212" s="85"/>
      <c r="I212" s="87"/>
      <c r="J212" s="85"/>
      <c r="K212" s="85"/>
      <c r="L212" s="10"/>
      <c r="M212" s="10"/>
      <c r="N212" s="10"/>
      <c r="O212" s="10"/>
      <c r="P212" s="85"/>
      <c r="Q212" s="88"/>
      <c r="R212" s="3">
        <f>IFERROR(VLOOKUP(TablaSeptiembre[[#This Row],[BARRIO]],SECTOR!$A:$B,2,0),"")</f>
      </c>
      <c r="S212" s="89"/>
      <c r="T212" s="90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6"/>
      <c r="AZ212" s="120">
        <f>COUNTIF(U212:AY212,"A")</f>
      </c>
      <c r="BA212" s="121">
        <f>COUNTIF(U212:AY212,"F")</f>
      </c>
      <c r="BB212" s="119">
        <f>COUNTIF(U212:AY212,"E")</f>
      </c>
    </row>
    <row r="213" spans="1:54" x14ac:dyDescent="0.2">
      <c r="A213" s="84"/>
      <c r="B213" s="85"/>
      <c r="C213" s="85"/>
      <c r="D213" s="85"/>
      <c r="E213" s="86"/>
      <c r="F213" s="16">
        <f>IF(E213="","",DATEDIF(E213,$I$7,"Y"))</f>
      </c>
      <c r="G213" s="85"/>
      <c r="H213" s="85"/>
      <c r="I213" s="87"/>
      <c r="J213" s="85"/>
      <c r="K213" s="85"/>
      <c r="L213" s="10"/>
      <c r="M213" s="10"/>
      <c r="N213" s="10"/>
      <c r="O213" s="10"/>
      <c r="P213" s="85"/>
      <c r="Q213" s="88"/>
      <c r="R213" s="3">
        <f>IFERROR(VLOOKUP(TablaSeptiembre[[#This Row],[BARRIO]],SECTOR!$A:$B,2,0),"")</f>
      </c>
      <c r="S213" s="89"/>
      <c r="T213" s="90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6"/>
      <c r="AZ213" s="120">
        <f>COUNTIF(U213:AY213,"A")</f>
      </c>
      <c r="BA213" s="121">
        <f>COUNTIF(U213:AY213,"F")</f>
      </c>
      <c r="BB213" s="119">
        <f>COUNTIF(U213:AY213,"E")</f>
      </c>
    </row>
    <row r="214" spans="1:54" x14ac:dyDescent="0.2">
      <c r="A214" s="84"/>
      <c r="B214" s="85"/>
      <c r="C214" s="85"/>
      <c r="D214" s="85"/>
      <c r="E214" s="86"/>
      <c r="F214" s="16">
        <f>IF(E214="","",DATEDIF(E214,$I$7,"Y"))</f>
      </c>
      <c r="G214" s="85"/>
      <c r="H214" s="85"/>
      <c r="I214" s="87"/>
      <c r="J214" s="85"/>
      <c r="K214" s="85"/>
      <c r="L214" s="10"/>
      <c r="M214" s="10"/>
      <c r="N214" s="10"/>
      <c r="O214" s="10"/>
      <c r="P214" s="85"/>
      <c r="Q214" s="88"/>
      <c r="R214" s="3">
        <f>IFERROR(VLOOKUP(TablaSeptiembre[[#This Row],[BARRIO]],SECTOR!$A:$B,2,0),"")</f>
      </c>
      <c r="S214" s="89"/>
      <c r="T214" s="90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6"/>
      <c r="AZ214" s="120">
        <f>COUNTIF(U214:AY214,"A")</f>
      </c>
      <c r="BA214" s="121">
        <f>COUNTIF(U214:AY214,"F")</f>
      </c>
      <c r="BB214" s="119">
        <f>COUNTIF(U214:AY214,"E")</f>
      </c>
    </row>
    <row r="215" spans="1:54" x14ac:dyDescent="0.2">
      <c r="A215" s="84"/>
      <c r="B215" s="85"/>
      <c r="C215" s="85"/>
      <c r="D215" s="85"/>
      <c r="E215" s="86"/>
      <c r="F215" s="16">
        <f>IF(E215="","",DATEDIF(E215,$I$7,"Y"))</f>
      </c>
      <c r="G215" s="85"/>
      <c r="H215" s="85"/>
      <c r="I215" s="87"/>
      <c r="J215" s="85"/>
      <c r="K215" s="85"/>
      <c r="L215" s="10"/>
      <c r="M215" s="10"/>
      <c r="N215" s="10"/>
      <c r="O215" s="10"/>
      <c r="P215" s="85"/>
      <c r="Q215" s="88"/>
      <c r="R215" s="3">
        <f>IFERROR(VLOOKUP(TablaSeptiembre[[#This Row],[BARRIO]],SECTOR!$A:$B,2,0),"")</f>
      </c>
      <c r="S215" s="89"/>
      <c r="T215" s="90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6"/>
      <c r="AZ215" s="120">
        <f>COUNTIF(U215:AY215,"A")</f>
      </c>
      <c r="BA215" s="121">
        <f>COUNTIF(U215:AY215,"F")</f>
      </c>
      <c r="BB215" s="119">
        <f>COUNTIF(U215:AY215,"E")</f>
      </c>
    </row>
    <row r="216" spans="1:54" x14ac:dyDescent="0.2">
      <c r="A216" s="84"/>
      <c r="B216" s="85"/>
      <c r="C216" s="85"/>
      <c r="D216" s="85"/>
      <c r="E216" s="86"/>
      <c r="F216" s="16">
        <f>IF(E216="","",DATEDIF(E216,$I$7,"Y"))</f>
      </c>
      <c r="G216" s="85"/>
      <c r="H216" s="85"/>
      <c r="I216" s="87"/>
      <c r="J216" s="85"/>
      <c r="K216" s="85"/>
      <c r="L216" s="10"/>
      <c r="M216" s="10"/>
      <c r="N216" s="10"/>
      <c r="O216" s="10"/>
      <c r="P216" s="85"/>
      <c r="Q216" s="88"/>
      <c r="R216" s="3">
        <f>IFERROR(VLOOKUP(TablaSeptiembre[[#This Row],[BARRIO]],SECTOR!$A:$B,2,0),"")</f>
      </c>
      <c r="S216" s="89"/>
      <c r="T216" s="90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6"/>
      <c r="AZ216" s="120">
        <f>COUNTIF(U216:AY216,"A")</f>
      </c>
      <c r="BA216" s="121">
        <f>COUNTIF(U216:AY216,"F")</f>
      </c>
      <c r="BB216" s="119">
        <f>COUNTIF(U216:AY216,"E")</f>
      </c>
    </row>
    <row r="217" spans="1:54" x14ac:dyDescent="0.2">
      <c r="A217" s="84"/>
      <c r="B217" s="85"/>
      <c r="C217" s="85"/>
      <c r="D217" s="85"/>
      <c r="E217" s="86"/>
      <c r="F217" s="16">
        <f>IF(E217="","",DATEDIF(E217,$I$7,"Y"))</f>
      </c>
      <c r="G217" s="85"/>
      <c r="H217" s="85"/>
      <c r="I217" s="87"/>
      <c r="J217" s="85"/>
      <c r="K217" s="85"/>
      <c r="L217" s="10"/>
      <c r="M217" s="10"/>
      <c r="N217" s="10"/>
      <c r="O217" s="10"/>
      <c r="P217" s="85"/>
      <c r="Q217" s="88"/>
      <c r="R217" s="3">
        <f>IFERROR(VLOOKUP(TablaSeptiembre[[#This Row],[BARRIO]],SECTOR!$A:$B,2,0),"")</f>
      </c>
      <c r="S217" s="89"/>
      <c r="T217" s="90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6"/>
      <c r="AZ217" s="120">
        <f>COUNTIF(U217:AY217,"A")</f>
      </c>
      <c r="BA217" s="121">
        <f>COUNTIF(U217:AY217,"F")</f>
      </c>
      <c r="BB217" s="119">
        <f>COUNTIF(U217:AY217,"E")</f>
      </c>
    </row>
    <row r="218" spans="1:54" x14ac:dyDescent="0.2">
      <c r="A218" s="84"/>
      <c r="B218" s="85"/>
      <c r="C218" s="85"/>
      <c r="D218" s="85"/>
      <c r="E218" s="86"/>
      <c r="F218" s="16">
        <f>IF(E218="","",DATEDIF(E218,$I$7,"Y"))</f>
      </c>
      <c r="G218" s="85"/>
      <c r="H218" s="85"/>
      <c r="I218" s="87"/>
      <c r="J218" s="85"/>
      <c r="K218" s="85"/>
      <c r="L218" s="10"/>
      <c r="M218" s="10"/>
      <c r="N218" s="10"/>
      <c r="O218" s="10"/>
      <c r="P218" s="85"/>
      <c r="Q218" s="88"/>
      <c r="R218" s="3">
        <f>IFERROR(VLOOKUP(TablaSeptiembre[[#This Row],[BARRIO]],SECTOR!$A:$B,2,0),"")</f>
      </c>
      <c r="S218" s="89"/>
      <c r="T218" s="90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6"/>
      <c r="AZ218" s="120">
        <f>COUNTIF(U218:AY218,"A")</f>
      </c>
      <c r="BA218" s="121">
        <f>COUNTIF(U218:AY218,"F")</f>
      </c>
      <c r="BB218" s="119">
        <f>COUNTIF(U218:AY218,"E")</f>
      </c>
    </row>
    <row r="219" spans="1:54" x14ac:dyDescent="0.2">
      <c r="A219" s="84"/>
      <c r="B219" s="85"/>
      <c r="C219" s="85"/>
      <c r="D219" s="85"/>
      <c r="E219" s="86"/>
      <c r="F219" s="16">
        <f>IF(E219="","",DATEDIF(E219,$I$7,"Y"))</f>
      </c>
      <c r="G219" s="85"/>
      <c r="H219" s="85"/>
      <c r="I219" s="87"/>
      <c r="J219" s="85"/>
      <c r="K219" s="85"/>
      <c r="L219" s="10"/>
      <c r="M219" s="10"/>
      <c r="N219" s="10"/>
      <c r="O219" s="10"/>
      <c r="P219" s="85"/>
      <c r="Q219" s="88"/>
      <c r="R219" s="3">
        <f>IFERROR(VLOOKUP(TablaSeptiembre[[#This Row],[BARRIO]],SECTOR!$A:$B,2,0),"")</f>
      </c>
      <c r="S219" s="89"/>
      <c r="T219" s="90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6"/>
      <c r="AZ219" s="120">
        <f>COUNTIF(U219:AY219,"A")</f>
      </c>
      <c r="BA219" s="121">
        <f>COUNTIF(U219:AY219,"F")</f>
      </c>
      <c r="BB219" s="119">
        <f>COUNTIF(U219:AY219,"E")</f>
      </c>
    </row>
    <row r="220" spans="1:54" x14ac:dyDescent="0.2">
      <c r="A220" s="84"/>
      <c r="B220" s="85"/>
      <c r="C220" s="85"/>
      <c r="D220" s="85"/>
      <c r="E220" s="86"/>
      <c r="F220" s="16">
        <f>IF(E220="","",DATEDIF(E220,$I$7,"Y"))</f>
      </c>
      <c r="G220" s="85"/>
      <c r="H220" s="85"/>
      <c r="I220" s="87"/>
      <c r="J220" s="85"/>
      <c r="K220" s="85"/>
      <c r="L220" s="10"/>
      <c r="M220" s="10"/>
      <c r="N220" s="10"/>
      <c r="O220" s="10"/>
      <c r="P220" s="85"/>
      <c r="Q220" s="88"/>
      <c r="R220" s="3">
        <f>IFERROR(VLOOKUP(TablaSeptiembre[[#This Row],[BARRIO]],SECTOR!$A:$B,2,0),"")</f>
      </c>
      <c r="S220" s="89"/>
      <c r="T220" s="90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6"/>
      <c r="AZ220" s="120">
        <f>COUNTIF(U220:AY220,"A")</f>
      </c>
      <c r="BA220" s="121">
        <f>COUNTIF(U220:AY220,"F")</f>
      </c>
      <c r="BB220" s="119">
        <f>COUNTIF(U220:AY220,"E")</f>
      </c>
    </row>
    <row r="221" spans="1:54" x14ac:dyDescent="0.2">
      <c r="A221" s="84"/>
      <c r="B221" s="85"/>
      <c r="C221" s="85"/>
      <c r="D221" s="85"/>
      <c r="E221" s="86"/>
      <c r="F221" s="16">
        <f>IF(E221="","",DATEDIF(E221,$I$7,"Y"))</f>
      </c>
      <c r="G221" s="85"/>
      <c r="H221" s="85"/>
      <c r="I221" s="87"/>
      <c r="J221" s="85"/>
      <c r="K221" s="85"/>
      <c r="L221" s="10"/>
      <c r="M221" s="10"/>
      <c r="N221" s="10"/>
      <c r="O221" s="10"/>
      <c r="P221" s="85"/>
      <c r="Q221" s="88"/>
      <c r="R221" s="3">
        <f>IFERROR(VLOOKUP(TablaSeptiembre[[#This Row],[BARRIO]],SECTOR!$A:$B,2,0),"")</f>
      </c>
      <c r="S221" s="89"/>
      <c r="T221" s="90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6"/>
      <c r="AZ221" s="120">
        <f>COUNTIF(U221:AY221,"A")</f>
      </c>
      <c r="BA221" s="121">
        <f>COUNTIF(U221:AY221,"F")</f>
      </c>
      <c r="BB221" s="119">
        <f>COUNTIF(U221:AY221,"E")</f>
      </c>
    </row>
    <row r="222" spans="1:54" x14ac:dyDescent="0.2">
      <c r="A222" s="84"/>
      <c r="B222" s="85"/>
      <c r="C222" s="85"/>
      <c r="D222" s="85"/>
      <c r="E222" s="86"/>
      <c r="F222" s="16">
        <f>IF(E222="","",DATEDIF(E222,$I$7,"Y"))</f>
      </c>
      <c r="G222" s="85"/>
      <c r="H222" s="85"/>
      <c r="I222" s="87"/>
      <c r="J222" s="85"/>
      <c r="K222" s="85"/>
      <c r="L222" s="10"/>
      <c r="M222" s="10"/>
      <c r="N222" s="10"/>
      <c r="O222" s="10"/>
      <c r="P222" s="85"/>
      <c r="Q222" s="88"/>
      <c r="R222" s="3">
        <f>IFERROR(VLOOKUP(TablaSeptiembre[[#This Row],[BARRIO]],SECTOR!$A:$B,2,0),"")</f>
      </c>
      <c r="S222" s="89"/>
      <c r="T222" s="90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6"/>
      <c r="AZ222" s="120">
        <f>COUNTIF(U222:AY222,"A")</f>
      </c>
      <c r="BA222" s="121">
        <f>COUNTIF(U222:AY222,"F")</f>
      </c>
      <c r="BB222" s="119">
        <f>COUNTIF(U222:AY222,"E")</f>
      </c>
    </row>
    <row r="223" spans="1:54" x14ac:dyDescent="0.2">
      <c r="A223" s="84"/>
      <c r="B223" s="85"/>
      <c r="C223" s="85"/>
      <c r="D223" s="85"/>
      <c r="E223" s="86"/>
      <c r="F223" s="16">
        <f>IF(E223="","",DATEDIF(E223,$I$7,"Y"))</f>
      </c>
      <c r="G223" s="85"/>
      <c r="H223" s="85"/>
      <c r="I223" s="87"/>
      <c r="J223" s="85"/>
      <c r="K223" s="85"/>
      <c r="L223" s="10"/>
      <c r="M223" s="10"/>
      <c r="N223" s="10"/>
      <c r="O223" s="10"/>
      <c r="P223" s="85"/>
      <c r="Q223" s="88"/>
      <c r="R223" s="3">
        <f>IFERROR(VLOOKUP(TablaSeptiembre[[#This Row],[BARRIO]],SECTOR!$A:$B,2,0),"")</f>
      </c>
      <c r="S223" s="89"/>
      <c r="T223" s="90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6"/>
      <c r="AZ223" s="120">
        <f>COUNTIF(U223:AY223,"A")</f>
      </c>
      <c r="BA223" s="121">
        <f>COUNTIF(U223:AY223,"F")</f>
      </c>
      <c r="BB223" s="119">
        <f>COUNTIF(U223:AY223,"E")</f>
      </c>
    </row>
    <row r="224" spans="1:54" x14ac:dyDescent="0.2">
      <c r="A224" s="84"/>
      <c r="B224" s="85"/>
      <c r="C224" s="85"/>
      <c r="D224" s="85"/>
      <c r="E224" s="86"/>
      <c r="F224" s="16">
        <f>IF(E224="","",DATEDIF(E224,$I$7,"Y"))</f>
      </c>
      <c r="G224" s="85"/>
      <c r="H224" s="85"/>
      <c r="I224" s="87"/>
      <c r="J224" s="85"/>
      <c r="K224" s="85"/>
      <c r="L224" s="10"/>
      <c r="M224" s="10"/>
      <c r="N224" s="10"/>
      <c r="O224" s="10"/>
      <c r="P224" s="85"/>
      <c r="Q224" s="88"/>
      <c r="R224" s="3">
        <f>IFERROR(VLOOKUP(TablaSeptiembre[[#This Row],[BARRIO]],SECTOR!$A:$B,2,0),"")</f>
      </c>
      <c r="S224" s="89"/>
      <c r="T224" s="90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6"/>
      <c r="AZ224" s="120">
        <f>COUNTIF(U224:AY224,"A")</f>
      </c>
      <c r="BA224" s="121">
        <f>COUNTIF(U224:AY224,"F")</f>
      </c>
      <c r="BB224" s="119">
        <f>COUNTIF(U224:AY224,"E")</f>
      </c>
    </row>
    <row r="225" spans="1:54" x14ac:dyDescent="0.2">
      <c r="A225" s="84"/>
      <c r="B225" s="85"/>
      <c r="C225" s="85"/>
      <c r="D225" s="85"/>
      <c r="E225" s="86"/>
      <c r="F225" s="16">
        <f>IF(E225="","",DATEDIF(E225,$I$7,"Y"))</f>
      </c>
      <c r="G225" s="85"/>
      <c r="H225" s="85"/>
      <c r="I225" s="87"/>
      <c r="J225" s="85"/>
      <c r="K225" s="85"/>
      <c r="L225" s="10"/>
      <c r="M225" s="10"/>
      <c r="N225" s="10"/>
      <c r="O225" s="10"/>
      <c r="P225" s="85"/>
      <c r="Q225" s="88"/>
      <c r="R225" s="3">
        <f>IFERROR(VLOOKUP(TablaSeptiembre[[#This Row],[BARRIO]],SECTOR!$A:$B,2,0),"")</f>
      </c>
      <c r="S225" s="89"/>
      <c r="T225" s="90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6"/>
      <c r="AZ225" s="120">
        <f>COUNTIF(U225:AY225,"A")</f>
      </c>
      <c r="BA225" s="121">
        <f>COUNTIF(U225:AY225,"F")</f>
      </c>
      <c r="BB225" s="119">
        <f>COUNTIF(U225:AY225,"E")</f>
      </c>
    </row>
    <row r="226" spans="1:54" x14ac:dyDescent="0.2">
      <c r="A226" s="84"/>
      <c r="B226" s="85"/>
      <c r="C226" s="85"/>
      <c r="D226" s="85"/>
      <c r="E226" s="86"/>
      <c r="F226" s="16">
        <f>IF(E226="","",DATEDIF(E226,$I$7,"Y"))</f>
      </c>
      <c r="G226" s="85"/>
      <c r="H226" s="85"/>
      <c r="I226" s="87"/>
      <c r="J226" s="85"/>
      <c r="K226" s="85"/>
      <c r="L226" s="10"/>
      <c r="M226" s="10"/>
      <c r="N226" s="10"/>
      <c r="O226" s="10"/>
      <c r="P226" s="85"/>
      <c r="Q226" s="88"/>
      <c r="R226" s="3">
        <f>IFERROR(VLOOKUP(TablaSeptiembre[[#This Row],[BARRIO]],SECTOR!$A:$B,2,0),"")</f>
      </c>
      <c r="S226" s="89"/>
      <c r="T226" s="90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6"/>
      <c r="AZ226" s="120">
        <f>COUNTIF(U226:AY226,"A")</f>
      </c>
      <c r="BA226" s="121">
        <f>COUNTIF(U226:AY226,"F")</f>
      </c>
      <c r="BB226" s="119">
        <f>COUNTIF(U226:AY226,"E")</f>
      </c>
    </row>
    <row r="227" spans="1:54" x14ac:dyDescent="0.2">
      <c r="A227" s="84"/>
      <c r="B227" s="85"/>
      <c r="C227" s="85"/>
      <c r="D227" s="85"/>
      <c r="E227" s="86"/>
      <c r="F227" s="16">
        <f>IF(E227="","",DATEDIF(E227,$I$7,"Y"))</f>
      </c>
      <c r="G227" s="85"/>
      <c r="H227" s="85"/>
      <c r="I227" s="87"/>
      <c r="J227" s="85"/>
      <c r="K227" s="85"/>
      <c r="L227" s="10"/>
      <c r="M227" s="10"/>
      <c r="N227" s="10"/>
      <c r="O227" s="10"/>
      <c r="P227" s="85"/>
      <c r="Q227" s="88"/>
      <c r="R227" s="3">
        <f>IFERROR(VLOOKUP(TablaSeptiembre[[#This Row],[BARRIO]],SECTOR!$A:$B,2,0),"")</f>
      </c>
      <c r="S227" s="89"/>
      <c r="T227" s="90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6"/>
      <c r="AZ227" s="120">
        <f>COUNTIF(U227:AY227,"A")</f>
      </c>
      <c r="BA227" s="121">
        <f>COUNTIF(U227:AY227,"F")</f>
      </c>
      <c r="BB227" s="119">
        <f>COUNTIF(U227:AY227,"E")</f>
      </c>
    </row>
    <row r="228" spans="1:54" x14ac:dyDescent="0.2">
      <c r="A228" s="84"/>
      <c r="B228" s="85"/>
      <c r="C228" s="85"/>
      <c r="D228" s="85"/>
      <c r="E228" s="86"/>
      <c r="F228" s="16">
        <f>IF(E228="","",DATEDIF(E228,$I$7,"Y"))</f>
      </c>
      <c r="G228" s="85"/>
      <c r="H228" s="85"/>
      <c r="I228" s="87"/>
      <c r="J228" s="85"/>
      <c r="K228" s="85"/>
      <c r="L228" s="10"/>
      <c r="M228" s="10"/>
      <c r="N228" s="10"/>
      <c r="O228" s="10"/>
      <c r="P228" s="85"/>
      <c r="Q228" s="88"/>
      <c r="R228" s="3">
        <f>IFERROR(VLOOKUP(TablaSeptiembre[[#This Row],[BARRIO]],SECTOR!$A:$B,2,0),"")</f>
      </c>
      <c r="S228" s="89"/>
      <c r="T228" s="90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6"/>
      <c r="AZ228" s="120">
        <f>COUNTIF(U228:AY228,"A")</f>
      </c>
      <c r="BA228" s="121">
        <f>COUNTIF(U228:AY228,"F")</f>
      </c>
      <c r="BB228" s="119">
        <f>COUNTIF(U228:AY228,"E")</f>
      </c>
    </row>
    <row r="229" spans="1:54" x14ac:dyDescent="0.2">
      <c r="A229" s="84"/>
      <c r="B229" s="85"/>
      <c r="C229" s="85"/>
      <c r="D229" s="85"/>
      <c r="E229" s="86"/>
      <c r="F229" s="16">
        <f>IF(E229="","",DATEDIF(E229,$I$7,"Y"))</f>
      </c>
      <c r="G229" s="85"/>
      <c r="H229" s="85"/>
      <c r="I229" s="87"/>
      <c r="J229" s="85"/>
      <c r="K229" s="85"/>
      <c r="L229" s="10"/>
      <c r="M229" s="10"/>
      <c r="N229" s="10"/>
      <c r="O229" s="10"/>
      <c r="P229" s="85"/>
      <c r="Q229" s="88"/>
      <c r="R229" s="3">
        <f>IFERROR(VLOOKUP(TablaSeptiembre[[#This Row],[BARRIO]],SECTOR!$A:$B,2,0),"")</f>
      </c>
      <c r="S229" s="89"/>
      <c r="T229" s="90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6"/>
      <c r="AZ229" s="120">
        <f>COUNTIF(U229:AY229,"A")</f>
      </c>
      <c r="BA229" s="121">
        <f>COUNTIF(U229:AY229,"F")</f>
      </c>
      <c r="BB229" s="119">
        <f>COUNTIF(U229:AY229,"E")</f>
      </c>
    </row>
    <row r="230" spans="1:54" x14ac:dyDescent="0.2">
      <c r="A230" s="84"/>
      <c r="B230" s="85"/>
      <c r="C230" s="85"/>
      <c r="D230" s="85"/>
      <c r="E230" s="86"/>
      <c r="F230" s="16">
        <f>IF(E230="","",DATEDIF(E230,$I$7,"Y"))</f>
      </c>
      <c r="G230" s="85"/>
      <c r="H230" s="85"/>
      <c r="I230" s="87"/>
      <c r="J230" s="85"/>
      <c r="K230" s="85"/>
      <c r="L230" s="10"/>
      <c r="M230" s="10"/>
      <c r="N230" s="10"/>
      <c r="O230" s="10"/>
      <c r="P230" s="85"/>
      <c r="Q230" s="88"/>
      <c r="R230" s="3">
        <f>IFERROR(VLOOKUP(TablaSeptiembre[[#This Row],[BARRIO]],SECTOR!$A:$B,2,0),"")</f>
      </c>
      <c r="S230" s="89"/>
      <c r="T230" s="90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6"/>
      <c r="AZ230" s="120">
        <f>COUNTIF(U230:AY230,"A")</f>
      </c>
      <c r="BA230" s="121">
        <f>COUNTIF(U230:AY230,"F")</f>
      </c>
      <c r="BB230" s="119">
        <f>COUNTIF(U230:AY230,"E")</f>
      </c>
    </row>
    <row r="231" spans="1:54" x14ac:dyDescent="0.2">
      <c r="A231" s="84"/>
      <c r="B231" s="85"/>
      <c r="C231" s="85"/>
      <c r="D231" s="85"/>
      <c r="E231" s="86"/>
      <c r="F231" s="16">
        <f>IF(E231="","",DATEDIF(E231,$I$7,"Y"))</f>
      </c>
      <c r="G231" s="85"/>
      <c r="H231" s="85"/>
      <c r="I231" s="87"/>
      <c r="J231" s="85"/>
      <c r="K231" s="85"/>
      <c r="L231" s="10"/>
      <c r="M231" s="10"/>
      <c r="N231" s="10"/>
      <c r="O231" s="10"/>
      <c r="P231" s="85"/>
      <c r="Q231" s="88"/>
      <c r="R231" s="3">
        <f>IFERROR(VLOOKUP(TablaSeptiembre[[#This Row],[BARRIO]],SECTOR!$A:$B,2,0),"")</f>
      </c>
      <c r="S231" s="89"/>
      <c r="T231" s="90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6"/>
      <c r="AZ231" s="120">
        <f>COUNTIF(U231:AY231,"A")</f>
      </c>
      <c r="BA231" s="121">
        <f>COUNTIF(U231:AY231,"F")</f>
      </c>
      <c r="BB231" s="119">
        <f>COUNTIF(U231:AY231,"E")</f>
      </c>
    </row>
    <row r="232" spans="1:54" x14ac:dyDescent="0.2">
      <c r="A232" s="84"/>
      <c r="B232" s="85"/>
      <c r="C232" s="85"/>
      <c r="D232" s="85"/>
      <c r="E232" s="86"/>
      <c r="F232" s="16">
        <f>IF(E232="","",DATEDIF(E232,$I$7,"Y"))</f>
      </c>
      <c r="G232" s="85"/>
      <c r="H232" s="85"/>
      <c r="I232" s="87"/>
      <c r="J232" s="85"/>
      <c r="K232" s="85"/>
      <c r="L232" s="10"/>
      <c r="M232" s="10"/>
      <c r="N232" s="10"/>
      <c r="O232" s="10"/>
      <c r="P232" s="85"/>
      <c r="Q232" s="88"/>
      <c r="R232" s="3">
        <f>IFERROR(VLOOKUP(TablaSeptiembre[[#This Row],[BARRIO]],SECTOR!$A:$B,2,0),"")</f>
      </c>
      <c r="S232" s="89"/>
      <c r="T232" s="90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6"/>
      <c r="AZ232" s="120">
        <f>COUNTIF(U232:AY232,"A")</f>
      </c>
      <c r="BA232" s="121">
        <f>COUNTIF(U232:AY232,"F")</f>
      </c>
      <c r="BB232" s="119">
        <f>COUNTIF(U232:AY232,"E")</f>
      </c>
    </row>
    <row r="233" spans="1:54" x14ac:dyDescent="0.2">
      <c r="A233" s="84"/>
      <c r="B233" s="85"/>
      <c r="C233" s="85"/>
      <c r="D233" s="85"/>
      <c r="E233" s="86"/>
      <c r="F233" s="16">
        <f>IF(E233="","",DATEDIF(E233,$I$7,"Y"))</f>
      </c>
      <c r="G233" s="85"/>
      <c r="H233" s="85"/>
      <c r="I233" s="87"/>
      <c r="J233" s="85"/>
      <c r="K233" s="85"/>
      <c r="L233" s="10"/>
      <c r="M233" s="10"/>
      <c r="N233" s="10"/>
      <c r="O233" s="10"/>
      <c r="P233" s="85"/>
      <c r="Q233" s="88"/>
      <c r="R233" s="3">
        <f>IFERROR(VLOOKUP(TablaSeptiembre[[#This Row],[BARRIO]],SECTOR!$A:$B,2,0),"")</f>
      </c>
      <c r="S233" s="89"/>
      <c r="T233" s="90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6"/>
      <c r="AZ233" s="120">
        <f>COUNTIF(U233:AY233,"A")</f>
      </c>
      <c r="BA233" s="121">
        <f>COUNTIF(U233:AY233,"F")</f>
      </c>
      <c r="BB233" s="119">
        <f>COUNTIF(U233:AY233,"E")</f>
      </c>
    </row>
    <row r="234" spans="1:54" x14ac:dyDescent="0.2">
      <c r="A234" s="84"/>
      <c r="B234" s="85"/>
      <c r="C234" s="85"/>
      <c r="D234" s="85"/>
      <c r="E234" s="86"/>
      <c r="F234" s="16">
        <f>IF(E234="","",DATEDIF(E234,$I$7,"Y"))</f>
      </c>
      <c r="G234" s="85"/>
      <c r="H234" s="85"/>
      <c r="I234" s="87"/>
      <c r="J234" s="85"/>
      <c r="K234" s="85"/>
      <c r="L234" s="10"/>
      <c r="M234" s="10"/>
      <c r="N234" s="10"/>
      <c r="O234" s="10"/>
      <c r="P234" s="85"/>
      <c r="Q234" s="88"/>
      <c r="R234" s="3">
        <f>IFERROR(VLOOKUP(TablaSeptiembre[[#This Row],[BARRIO]],SECTOR!$A:$B,2,0),"")</f>
      </c>
      <c r="S234" s="89"/>
      <c r="T234" s="90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6"/>
      <c r="AZ234" s="120">
        <f>COUNTIF(U234:AY234,"A")</f>
      </c>
      <c r="BA234" s="121">
        <f>COUNTIF(U234:AY234,"F")</f>
      </c>
      <c r="BB234" s="119">
        <f>COUNTIF(U234:AY234,"E")</f>
      </c>
    </row>
    <row r="235" spans="1:54" x14ac:dyDescent="0.2">
      <c r="A235" s="84"/>
      <c r="B235" s="85"/>
      <c r="C235" s="85"/>
      <c r="D235" s="85"/>
      <c r="E235" s="86"/>
      <c r="F235" s="16">
        <f>IF(E235="","",DATEDIF(E235,$I$7,"Y"))</f>
      </c>
      <c r="G235" s="85"/>
      <c r="H235" s="85"/>
      <c r="I235" s="87"/>
      <c r="J235" s="85"/>
      <c r="K235" s="85"/>
      <c r="L235" s="10"/>
      <c r="M235" s="10"/>
      <c r="N235" s="10"/>
      <c r="O235" s="10"/>
      <c r="P235" s="85"/>
      <c r="Q235" s="88"/>
      <c r="R235" s="3">
        <f>IFERROR(VLOOKUP(TablaSeptiembre[[#This Row],[BARRIO]],SECTOR!$A:$B,2,0),"")</f>
      </c>
      <c r="S235" s="89"/>
      <c r="T235" s="90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6"/>
      <c r="AZ235" s="120">
        <f>COUNTIF(U235:AY235,"A")</f>
      </c>
      <c r="BA235" s="121">
        <f>COUNTIF(U235:AY235,"F")</f>
      </c>
      <c r="BB235" s="119">
        <f>COUNTIF(U235:AY235,"E")</f>
      </c>
    </row>
    <row r="236" spans="1:54" x14ac:dyDescent="0.2">
      <c r="A236" s="84"/>
      <c r="B236" s="85"/>
      <c r="C236" s="85"/>
      <c r="D236" s="85"/>
      <c r="E236" s="86"/>
      <c r="F236" s="16">
        <f>IF(E236="","",DATEDIF(E236,$I$7,"Y"))</f>
      </c>
      <c r="G236" s="85"/>
      <c r="H236" s="85"/>
      <c r="I236" s="87"/>
      <c r="J236" s="85"/>
      <c r="K236" s="85"/>
      <c r="L236" s="10"/>
      <c r="M236" s="10"/>
      <c r="N236" s="10"/>
      <c r="O236" s="10"/>
      <c r="P236" s="85"/>
      <c r="Q236" s="88"/>
      <c r="R236" s="3">
        <f>IFERROR(VLOOKUP(TablaSeptiembre[[#This Row],[BARRIO]],SECTOR!$A:$B,2,0),"")</f>
      </c>
      <c r="S236" s="89"/>
      <c r="T236" s="90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6"/>
      <c r="AZ236" s="120">
        <f>COUNTIF(U236:AY236,"A")</f>
      </c>
      <c r="BA236" s="121">
        <f>COUNTIF(U236:AY236,"F")</f>
      </c>
      <c r="BB236" s="119">
        <f>COUNTIF(U236:AY236,"E")</f>
      </c>
    </row>
    <row r="237" spans="1:54" x14ac:dyDescent="0.2">
      <c r="A237" s="84"/>
      <c r="B237" s="85"/>
      <c r="C237" s="85"/>
      <c r="D237" s="85"/>
      <c r="E237" s="86"/>
      <c r="F237" s="16">
        <f>IF(E237="","",DATEDIF(E237,$I$7,"Y"))</f>
      </c>
      <c r="G237" s="85"/>
      <c r="H237" s="85"/>
      <c r="I237" s="87"/>
      <c r="J237" s="85"/>
      <c r="K237" s="85"/>
      <c r="L237" s="10"/>
      <c r="M237" s="10"/>
      <c r="N237" s="10"/>
      <c r="O237" s="10"/>
      <c r="P237" s="85"/>
      <c r="Q237" s="88"/>
      <c r="R237" s="3">
        <f>IFERROR(VLOOKUP(TablaSeptiembre[[#This Row],[BARRIO]],SECTOR!$A:$B,2,0),"")</f>
      </c>
      <c r="S237" s="89"/>
      <c r="T237" s="90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6"/>
      <c r="AZ237" s="120">
        <f>COUNTIF(U237:AY237,"A")</f>
      </c>
      <c r="BA237" s="121">
        <f>COUNTIF(U237:AY237,"F")</f>
      </c>
      <c r="BB237" s="119">
        <f>COUNTIF(U237:AY237,"E")</f>
      </c>
    </row>
    <row r="238" spans="1:54" x14ac:dyDescent="0.2">
      <c r="A238" s="84"/>
      <c r="B238" s="85"/>
      <c r="C238" s="85"/>
      <c r="D238" s="85"/>
      <c r="E238" s="86"/>
      <c r="F238" s="16">
        <f>IF(E238="","",DATEDIF(E238,$I$7,"Y"))</f>
      </c>
      <c r="G238" s="85"/>
      <c r="H238" s="85"/>
      <c r="I238" s="87"/>
      <c r="J238" s="85"/>
      <c r="K238" s="85"/>
      <c r="L238" s="10"/>
      <c r="M238" s="10"/>
      <c r="N238" s="10"/>
      <c r="O238" s="10"/>
      <c r="P238" s="85"/>
      <c r="Q238" s="88"/>
      <c r="R238" s="3">
        <f>IFERROR(VLOOKUP(TablaSeptiembre[[#This Row],[BARRIO]],SECTOR!$A:$B,2,0),"")</f>
      </c>
      <c r="S238" s="89"/>
      <c r="T238" s="90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6"/>
      <c r="AZ238" s="120">
        <f>COUNTIF(U238:AY238,"A")</f>
      </c>
      <c r="BA238" s="121">
        <f>COUNTIF(U238:AY238,"F")</f>
      </c>
      <c r="BB238" s="119">
        <f>COUNTIF(U238:AY238,"E")</f>
      </c>
    </row>
    <row r="239" spans="1:54" x14ac:dyDescent="0.2">
      <c r="A239" s="84"/>
      <c r="B239" s="85"/>
      <c r="C239" s="85"/>
      <c r="D239" s="85"/>
      <c r="E239" s="86"/>
      <c r="F239" s="16">
        <f>IF(E239="","",DATEDIF(E239,$I$7,"Y"))</f>
      </c>
      <c r="G239" s="85"/>
      <c r="H239" s="85"/>
      <c r="I239" s="87"/>
      <c r="J239" s="85"/>
      <c r="K239" s="85"/>
      <c r="L239" s="10"/>
      <c r="M239" s="10"/>
      <c r="N239" s="10"/>
      <c r="O239" s="10"/>
      <c r="P239" s="85"/>
      <c r="Q239" s="88"/>
      <c r="R239" s="3">
        <f>IFERROR(VLOOKUP(TablaSeptiembre[[#This Row],[BARRIO]],SECTOR!$A:$B,2,0),"")</f>
      </c>
      <c r="S239" s="89"/>
      <c r="T239" s="90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6"/>
      <c r="AZ239" s="120">
        <f>COUNTIF(U239:AY239,"A")</f>
      </c>
      <c r="BA239" s="121">
        <f>COUNTIF(U239:AY239,"F")</f>
      </c>
      <c r="BB239" s="119">
        <f>COUNTIF(U239:AY239,"E")</f>
      </c>
    </row>
    <row r="240" spans="1:54" x14ac:dyDescent="0.2">
      <c r="A240" s="84"/>
      <c r="B240" s="85"/>
      <c r="C240" s="85"/>
      <c r="D240" s="85"/>
      <c r="E240" s="86"/>
      <c r="F240" s="16">
        <f>IF(E240="","",DATEDIF(E240,$I$7,"Y"))</f>
      </c>
      <c r="G240" s="85"/>
      <c r="H240" s="85"/>
      <c r="I240" s="87"/>
      <c r="J240" s="85"/>
      <c r="K240" s="85"/>
      <c r="L240" s="10"/>
      <c r="M240" s="10"/>
      <c r="N240" s="10"/>
      <c r="O240" s="10"/>
      <c r="P240" s="85"/>
      <c r="Q240" s="88"/>
      <c r="R240" s="3">
        <f>IFERROR(VLOOKUP(TablaSeptiembre[[#This Row],[BARRIO]],SECTOR!$A:$B,2,0),"")</f>
      </c>
      <c r="S240" s="89"/>
      <c r="T240" s="90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6"/>
      <c r="AZ240" s="120">
        <f>COUNTIF(U240:AY240,"A")</f>
      </c>
      <c r="BA240" s="121">
        <f>COUNTIF(U240:AY240,"F")</f>
      </c>
      <c r="BB240" s="119">
        <f>COUNTIF(U240:AY240,"E")</f>
      </c>
    </row>
    <row r="241" spans="1:54" x14ac:dyDescent="0.2">
      <c r="A241" s="84"/>
      <c r="B241" s="85"/>
      <c r="C241" s="85"/>
      <c r="D241" s="85"/>
      <c r="E241" s="86"/>
      <c r="F241" s="16">
        <f>IF(E241="","",DATEDIF(E241,$I$7,"Y"))</f>
      </c>
      <c r="G241" s="85"/>
      <c r="H241" s="85"/>
      <c r="I241" s="87"/>
      <c r="J241" s="85"/>
      <c r="K241" s="85"/>
      <c r="L241" s="10"/>
      <c r="M241" s="10"/>
      <c r="N241" s="10"/>
      <c r="O241" s="10"/>
      <c r="P241" s="85"/>
      <c r="Q241" s="88"/>
      <c r="R241" s="3">
        <f>IFERROR(VLOOKUP(TablaSeptiembre[[#This Row],[BARRIO]],SECTOR!$A:$B,2,0),"")</f>
      </c>
      <c r="S241" s="89"/>
      <c r="T241" s="90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6"/>
      <c r="AZ241" s="120">
        <f>COUNTIF(U241:AY241,"A")</f>
      </c>
      <c r="BA241" s="121">
        <f>COUNTIF(U241:AY241,"F")</f>
      </c>
      <c r="BB241" s="119">
        <f>COUNTIF(U241:AY241,"E")</f>
      </c>
    </row>
    <row r="242" spans="1:54" x14ac:dyDescent="0.2">
      <c r="A242" s="84"/>
      <c r="B242" s="85"/>
      <c r="C242" s="85"/>
      <c r="D242" s="85"/>
      <c r="E242" s="86"/>
      <c r="F242" s="16">
        <f>IF(E242="","",DATEDIF(E242,$I$7,"Y"))</f>
      </c>
      <c r="G242" s="85"/>
      <c r="H242" s="85"/>
      <c r="I242" s="87"/>
      <c r="J242" s="85"/>
      <c r="K242" s="85"/>
      <c r="L242" s="10"/>
      <c r="M242" s="10"/>
      <c r="N242" s="10"/>
      <c r="O242" s="10"/>
      <c r="P242" s="85"/>
      <c r="Q242" s="88"/>
      <c r="R242" s="3">
        <f>IFERROR(VLOOKUP(TablaSeptiembre[[#This Row],[BARRIO]],SECTOR!$A:$B,2,0),"")</f>
      </c>
      <c r="S242" s="89"/>
      <c r="T242" s="90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6"/>
      <c r="AZ242" s="120">
        <f>COUNTIF(U242:AY242,"A")</f>
      </c>
      <c r="BA242" s="121">
        <f>COUNTIF(U242:AY242,"F")</f>
      </c>
      <c r="BB242" s="119">
        <f>COUNTIF(U242:AY242,"E")</f>
      </c>
    </row>
    <row r="243" spans="1:54" x14ac:dyDescent="0.2">
      <c r="A243" s="84"/>
      <c r="B243" s="85"/>
      <c r="C243" s="85"/>
      <c r="D243" s="85"/>
      <c r="E243" s="86"/>
      <c r="F243" s="16">
        <f>IF(E243="","",DATEDIF(E243,$I$7,"Y"))</f>
      </c>
      <c r="G243" s="85"/>
      <c r="H243" s="85"/>
      <c r="I243" s="87"/>
      <c r="J243" s="85"/>
      <c r="K243" s="85"/>
      <c r="L243" s="10"/>
      <c r="M243" s="10"/>
      <c r="N243" s="10"/>
      <c r="O243" s="10"/>
      <c r="P243" s="85"/>
      <c r="Q243" s="88"/>
      <c r="R243" s="3">
        <f>IFERROR(VLOOKUP(TablaSeptiembre[[#This Row],[BARRIO]],SECTOR!$A:$B,2,0),"")</f>
      </c>
      <c r="S243" s="89"/>
      <c r="T243" s="90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6"/>
      <c r="AZ243" s="120">
        <f>COUNTIF(U243:AY243,"A")</f>
      </c>
      <c r="BA243" s="121">
        <f>COUNTIF(U243:AY243,"F")</f>
      </c>
      <c r="BB243" s="119">
        <f>COUNTIF(U243:AY243,"E")</f>
      </c>
    </row>
    <row r="244" spans="1:54" x14ac:dyDescent="0.2">
      <c r="A244" s="84"/>
      <c r="B244" s="85"/>
      <c r="C244" s="85"/>
      <c r="D244" s="85"/>
      <c r="E244" s="86"/>
      <c r="F244" s="16">
        <f>IF(E244="","",DATEDIF(E244,$I$7,"Y"))</f>
      </c>
      <c r="G244" s="85"/>
      <c r="H244" s="85"/>
      <c r="I244" s="87"/>
      <c r="J244" s="85"/>
      <c r="K244" s="85"/>
      <c r="L244" s="10"/>
      <c r="M244" s="10"/>
      <c r="N244" s="10"/>
      <c r="O244" s="10"/>
      <c r="P244" s="85"/>
      <c r="Q244" s="88"/>
      <c r="R244" s="3">
        <f>IFERROR(VLOOKUP(TablaSeptiembre[[#This Row],[BARRIO]],SECTOR!$A:$B,2,0),"")</f>
      </c>
      <c r="S244" s="89"/>
      <c r="T244" s="90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6"/>
      <c r="AZ244" s="120">
        <f>COUNTIF(U244:AY244,"A")</f>
      </c>
      <c r="BA244" s="121">
        <f>COUNTIF(U244:AY244,"F")</f>
      </c>
      <c r="BB244" s="119">
        <f>COUNTIF(U244:AY244,"E")</f>
      </c>
    </row>
    <row r="245" spans="1:54" x14ac:dyDescent="0.2">
      <c r="A245" s="84"/>
      <c r="B245" s="85"/>
      <c r="C245" s="85"/>
      <c r="D245" s="85"/>
      <c r="E245" s="86"/>
      <c r="F245" s="16">
        <f>IF(E245="","",DATEDIF(E245,$I$7,"Y"))</f>
      </c>
      <c r="G245" s="85"/>
      <c r="H245" s="85"/>
      <c r="I245" s="87"/>
      <c r="J245" s="85"/>
      <c r="K245" s="85"/>
      <c r="L245" s="10"/>
      <c r="M245" s="10"/>
      <c r="N245" s="10"/>
      <c r="O245" s="10"/>
      <c r="P245" s="85"/>
      <c r="Q245" s="88"/>
      <c r="R245" s="3">
        <f>IFERROR(VLOOKUP(TablaSeptiembre[[#This Row],[BARRIO]],SECTOR!$A:$B,2,0),"")</f>
      </c>
      <c r="S245" s="89"/>
      <c r="T245" s="90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6"/>
      <c r="AZ245" s="120">
        <f>COUNTIF(U245:AY245,"A")</f>
      </c>
      <c r="BA245" s="121">
        <f>COUNTIF(U245:AY245,"F")</f>
      </c>
      <c r="BB245" s="119">
        <f>COUNTIF(U245:AY245,"E")</f>
      </c>
    </row>
    <row r="246" spans="1:54" x14ac:dyDescent="0.2">
      <c r="A246" s="84"/>
      <c r="B246" s="85"/>
      <c r="C246" s="85"/>
      <c r="D246" s="85"/>
      <c r="E246" s="86"/>
      <c r="F246" s="16">
        <f>IF(E246="","",DATEDIF(E246,$I$7,"Y"))</f>
      </c>
      <c r="G246" s="85"/>
      <c r="H246" s="85"/>
      <c r="I246" s="87"/>
      <c r="J246" s="85"/>
      <c r="K246" s="85"/>
      <c r="L246" s="10"/>
      <c r="M246" s="10"/>
      <c r="N246" s="10"/>
      <c r="O246" s="10"/>
      <c r="P246" s="85"/>
      <c r="Q246" s="88"/>
      <c r="R246" s="3">
        <f>IFERROR(VLOOKUP(TablaSeptiembre[[#This Row],[BARRIO]],SECTOR!$A:$B,2,0),"")</f>
      </c>
      <c r="S246" s="89"/>
      <c r="T246" s="90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6"/>
      <c r="AZ246" s="120">
        <f>COUNTIF(U246:AY246,"A")</f>
      </c>
      <c r="BA246" s="121">
        <f>COUNTIF(U246:AY246,"F")</f>
      </c>
      <c r="BB246" s="119">
        <f>COUNTIF(U246:AY246,"E")</f>
      </c>
    </row>
    <row r="247" spans="1:54" x14ac:dyDescent="0.2">
      <c r="A247" s="84"/>
      <c r="B247" s="85"/>
      <c r="C247" s="85"/>
      <c r="D247" s="85"/>
      <c r="E247" s="86"/>
      <c r="F247" s="16">
        <f>IF(E247="","",DATEDIF(E247,$I$7,"Y"))</f>
      </c>
      <c r="G247" s="85"/>
      <c r="H247" s="85"/>
      <c r="I247" s="87"/>
      <c r="J247" s="85"/>
      <c r="K247" s="85"/>
      <c r="L247" s="10"/>
      <c r="M247" s="10"/>
      <c r="N247" s="10"/>
      <c r="O247" s="10"/>
      <c r="P247" s="85"/>
      <c r="Q247" s="88"/>
      <c r="R247" s="3">
        <f>IFERROR(VLOOKUP(TablaSeptiembre[[#This Row],[BARRIO]],SECTOR!$A:$B,2,0),"")</f>
      </c>
      <c r="S247" s="89"/>
      <c r="T247" s="90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6"/>
      <c r="AZ247" s="120">
        <f>COUNTIF(U247:AY247,"A")</f>
      </c>
      <c r="BA247" s="121">
        <f>COUNTIF(U247:AY247,"F")</f>
      </c>
      <c r="BB247" s="119">
        <f>COUNTIF(U247:AY247,"E")</f>
      </c>
    </row>
    <row r="248" spans="1:54" x14ac:dyDescent="0.2">
      <c r="A248" s="84"/>
      <c r="B248" s="85"/>
      <c r="C248" s="85"/>
      <c r="D248" s="85"/>
      <c r="E248" s="86"/>
      <c r="F248" s="16">
        <f>IF(E248="","",DATEDIF(E248,$I$7,"Y"))</f>
      </c>
      <c r="G248" s="85"/>
      <c r="H248" s="85"/>
      <c r="I248" s="87"/>
      <c r="J248" s="85"/>
      <c r="K248" s="85"/>
      <c r="L248" s="10"/>
      <c r="M248" s="10"/>
      <c r="N248" s="10"/>
      <c r="O248" s="10"/>
      <c r="P248" s="85"/>
      <c r="Q248" s="88"/>
      <c r="R248" s="3">
        <f>IFERROR(VLOOKUP(TablaSeptiembre[[#This Row],[BARRIO]],SECTOR!$A:$B,2,0),"")</f>
      </c>
      <c r="S248" s="89"/>
      <c r="T248" s="90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6"/>
      <c r="AZ248" s="120">
        <f>COUNTIF(U248:AY248,"A")</f>
      </c>
      <c r="BA248" s="121">
        <f>COUNTIF(U248:AY248,"F")</f>
      </c>
      <c r="BB248" s="119">
        <f>COUNTIF(U248:AY248,"E")</f>
      </c>
    </row>
    <row r="249" spans="1:54" x14ac:dyDescent="0.2">
      <c r="A249" s="84"/>
      <c r="B249" s="85"/>
      <c r="C249" s="85"/>
      <c r="D249" s="85"/>
      <c r="E249" s="86"/>
      <c r="F249" s="16">
        <f>IF(E249="","",DATEDIF(E249,$I$7,"Y"))</f>
      </c>
      <c r="G249" s="85"/>
      <c r="H249" s="85"/>
      <c r="I249" s="87"/>
      <c r="J249" s="85"/>
      <c r="K249" s="85"/>
      <c r="L249" s="10"/>
      <c r="M249" s="10"/>
      <c r="N249" s="10"/>
      <c r="O249" s="10"/>
      <c r="P249" s="85"/>
      <c r="Q249" s="88"/>
      <c r="R249" s="3">
        <f>IFERROR(VLOOKUP(TablaSeptiembre[[#This Row],[BARRIO]],SECTOR!$A:$B,2,0),"")</f>
      </c>
      <c r="S249" s="89"/>
      <c r="T249" s="90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6"/>
      <c r="AZ249" s="120">
        <f>COUNTIF(U249:AY249,"A")</f>
      </c>
      <c r="BA249" s="121">
        <f>COUNTIF(U249:AY249,"F")</f>
      </c>
      <c r="BB249" s="119">
        <f>COUNTIF(U249:AY249,"E")</f>
      </c>
    </row>
    <row r="250" spans="1:54" x14ac:dyDescent="0.2">
      <c r="A250" s="84"/>
      <c r="B250" s="85"/>
      <c r="C250" s="85"/>
      <c r="D250" s="85"/>
      <c r="E250" s="86"/>
      <c r="F250" s="16">
        <f>IF(E250="","",DATEDIF(E250,$I$7,"Y"))</f>
      </c>
      <c r="G250" s="85"/>
      <c r="H250" s="85"/>
      <c r="I250" s="87"/>
      <c r="J250" s="85"/>
      <c r="K250" s="85"/>
      <c r="L250" s="10"/>
      <c r="M250" s="10"/>
      <c r="N250" s="10"/>
      <c r="O250" s="10"/>
      <c r="P250" s="85"/>
      <c r="Q250" s="88"/>
      <c r="R250" s="3">
        <f>IFERROR(VLOOKUP(TablaSeptiembre[[#This Row],[BARRIO]],SECTOR!$A:$B,2,0),"")</f>
      </c>
      <c r="S250" s="89"/>
      <c r="T250" s="90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6"/>
      <c r="AZ250" s="120">
        <f>COUNTIF(U250:AY250,"A")</f>
      </c>
      <c r="BA250" s="121">
        <f>COUNTIF(U250:AY250,"F")</f>
      </c>
      <c r="BB250" s="119">
        <f>COUNTIF(U250:AY250,"E")</f>
      </c>
    </row>
    <row r="251" spans="1:54" x14ac:dyDescent="0.2">
      <c r="A251" s="84"/>
      <c r="B251" s="85"/>
      <c r="C251" s="85"/>
      <c r="D251" s="85"/>
      <c r="E251" s="86"/>
      <c r="F251" s="16">
        <f>IF(E251="","",DATEDIF(E251,$I$7,"Y"))</f>
      </c>
      <c r="G251" s="85"/>
      <c r="H251" s="85"/>
      <c r="I251" s="87"/>
      <c r="J251" s="85"/>
      <c r="K251" s="85"/>
      <c r="L251" s="10"/>
      <c r="M251" s="10"/>
      <c r="N251" s="10"/>
      <c r="O251" s="10"/>
      <c r="P251" s="85"/>
      <c r="Q251" s="88"/>
      <c r="R251" s="3">
        <f>IFERROR(VLOOKUP(TablaSeptiembre[[#This Row],[BARRIO]],SECTOR!$A:$B,2,0),"")</f>
      </c>
      <c r="S251" s="89"/>
      <c r="T251" s="90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6"/>
      <c r="AZ251" s="120">
        <f>COUNTIF(U251:AY251,"A")</f>
      </c>
      <c r="BA251" s="121">
        <f>COUNTIF(U251:AY251,"F")</f>
      </c>
      <c r="BB251" s="119">
        <f>COUNTIF(U251:AY251,"E")</f>
      </c>
    </row>
    <row r="252" spans="1:54" x14ac:dyDescent="0.2">
      <c r="A252" s="84"/>
      <c r="B252" s="85"/>
      <c r="C252" s="85"/>
      <c r="D252" s="85"/>
      <c r="E252" s="86"/>
      <c r="F252" s="16">
        <f>IF(E252="","",DATEDIF(E252,$I$7,"Y"))</f>
      </c>
      <c r="G252" s="85"/>
      <c r="H252" s="85"/>
      <c r="I252" s="87"/>
      <c r="J252" s="85"/>
      <c r="K252" s="85"/>
      <c r="L252" s="10"/>
      <c r="M252" s="10"/>
      <c r="N252" s="10"/>
      <c r="O252" s="10"/>
      <c r="P252" s="85"/>
      <c r="Q252" s="88"/>
      <c r="R252" s="3">
        <f>IFERROR(VLOOKUP(TablaSeptiembre[[#This Row],[BARRIO]],SECTOR!$A:$B,2,0),"")</f>
      </c>
      <c r="S252" s="89"/>
      <c r="T252" s="90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6"/>
      <c r="AZ252" s="120">
        <f>COUNTIF(U252:AY252,"A")</f>
      </c>
      <c r="BA252" s="121">
        <f>COUNTIF(U252:AY252,"F")</f>
      </c>
      <c r="BB252" s="119">
        <f>COUNTIF(U252:AY252,"E")</f>
      </c>
    </row>
    <row r="253" spans="1:54" x14ac:dyDescent="0.2">
      <c r="A253" s="84"/>
      <c r="B253" s="85"/>
      <c r="C253" s="85"/>
      <c r="D253" s="85"/>
      <c r="E253" s="86"/>
      <c r="F253" s="16">
        <f>IF(E253="","",DATEDIF(E253,$I$7,"Y"))</f>
      </c>
      <c r="G253" s="85"/>
      <c r="H253" s="85"/>
      <c r="I253" s="87"/>
      <c r="J253" s="85"/>
      <c r="K253" s="85"/>
      <c r="L253" s="10"/>
      <c r="M253" s="10"/>
      <c r="N253" s="10"/>
      <c r="O253" s="10"/>
      <c r="P253" s="85"/>
      <c r="Q253" s="88"/>
      <c r="R253" s="3">
        <f>IFERROR(VLOOKUP(TablaSeptiembre[[#This Row],[BARRIO]],SECTOR!$A:$B,2,0),"")</f>
      </c>
      <c r="S253" s="89"/>
      <c r="T253" s="90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6"/>
      <c r="AZ253" s="120">
        <f>COUNTIF(U253:AY253,"A")</f>
      </c>
      <c r="BA253" s="121">
        <f>COUNTIF(U253:AY253,"F")</f>
      </c>
      <c r="BB253" s="119">
        <f>COUNTIF(U253:AY253,"E")</f>
      </c>
    </row>
    <row r="254" spans="1:54" x14ac:dyDescent="0.2">
      <c r="A254" s="84"/>
      <c r="B254" s="85"/>
      <c r="C254" s="85"/>
      <c r="D254" s="85"/>
      <c r="E254" s="86"/>
      <c r="F254" s="16">
        <f>IF(E254="","",DATEDIF(E254,$I$7,"Y"))</f>
      </c>
      <c r="G254" s="85"/>
      <c r="H254" s="85"/>
      <c r="I254" s="87"/>
      <c r="J254" s="85"/>
      <c r="K254" s="85"/>
      <c r="L254" s="10"/>
      <c r="M254" s="10"/>
      <c r="N254" s="10"/>
      <c r="O254" s="10"/>
      <c r="P254" s="85"/>
      <c r="Q254" s="88"/>
      <c r="R254" s="3">
        <f>IFERROR(VLOOKUP(TablaSeptiembre[[#This Row],[BARRIO]],SECTOR!$A:$B,2,0),"")</f>
      </c>
      <c r="S254" s="89"/>
      <c r="T254" s="90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6"/>
      <c r="AZ254" s="120">
        <f>COUNTIF(U254:AY254,"A")</f>
      </c>
      <c r="BA254" s="121">
        <f>COUNTIF(U254:AY254,"F")</f>
      </c>
      <c r="BB254" s="119">
        <f>COUNTIF(U254:AY254,"E")</f>
      </c>
    </row>
    <row r="255" spans="1:54" x14ac:dyDescent="0.2">
      <c r="A255" s="84"/>
      <c r="B255" s="85"/>
      <c r="C255" s="85"/>
      <c r="D255" s="85"/>
      <c r="E255" s="86"/>
      <c r="F255" s="16">
        <f>IF(E255="","",DATEDIF(E255,$I$7,"Y"))</f>
      </c>
      <c r="G255" s="85"/>
      <c r="H255" s="85"/>
      <c r="I255" s="87"/>
      <c r="J255" s="85"/>
      <c r="K255" s="85"/>
      <c r="L255" s="10"/>
      <c r="M255" s="10"/>
      <c r="N255" s="10"/>
      <c r="O255" s="10"/>
      <c r="P255" s="85"/>
      <c r="Q255" s="88"/>
      <c r="R255" s="3">
        <f>IFERROR(VLOOKUP(TablaSeptiembre[[#This Row],[BARRIO]],SECTOR!$A:$B,2,0),"")</f>
      </c>
      <c r="S255" s="89"/>
      <c r="T255" s="90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6"/>
      <c r="AZ255" s="120">
        <f>COUNTIF(U255:AY255,"A")</f>
      </c>
      <c r="BA255" s="121">
        <f>COUNTIF(U255:AY255,"F")</f>
      </c>
      <c r="BB255" s="119">
        <f>COUNTIF(U255:AY255,"E")</f>
      </c>
    </row>
    <row r="256" spans="1:54" x14ac:dyDescent="0.2">
      <c r="A256" s="84"/>
      <c r="B256" s="85"/>
      <c r="C256" s="85"/>
      <c r="D256" s="85"/>
      <c r="E256" s="86"/>
      <c r="F256" s="16">
        <f>IF(E256="","",DATEDIF(E256,$I$7,"Y"))</f>
      </c>
      <c r="G256" s="85"/>
      <c r="H256" s="85"/>
      <c r="I256" s="87"/>
      <c r="J256" s="85"/>
      <c r="K256" s="85"/>
      <c r="L256" s="10"/>
      <c r="M256" s="10"/>
      <c r="N256" s="10"/>
      <c r="O256" s="10"/>
      <c r="P256" s="85"/>
      <c r="Q256" s="88"/>
      <c r="R256" s="3">
        <f>IFERROR(VLOOKUP(TablaSeptiembre[[#This Row],[BARRIO]],SECTOR!$A:$B,2,0),"")</f>
      </c>
      <c r="S256" s="89"/>
      <c r="T256" s="90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6"/>
      <c r="AZ256" s="120">
        <f>COUNTIF(U256:AY256,"A")</f>
      </c>
      <c r="BA256" s="121">
        <f>COUNTIF(U256:AY256,"F")</f>
      </c>
      <c r="BB256" s="119">
        <f>COUNTIF(U256:AY256,"E")</f>
      </c>
    </row>
    <row r="257" spans="1:54" x14ac:dyDescent="0.2">
      <c r="A257" s="84"/>
      <c r="B257" s="85"/>
      <c r="C257" s="85"/>
      <c r="D257" s="85"/>
      <c r="E257" s="86"/>
      <c r="F257" s="16">
        <f>IF(E257="","",DATEDIF(E257,$I$7,"Y"))</f>
      </c>
      <c r="G257" s="85"/>
      <c r="H257" s="85"/>
      <c r="I257" s="87"/>
      <c r="J257" s="85"/>
      <c r="K257" s="85"/>
      <c r="L257" s="10"/>
      <c r="M257" s="10"/>
      <c r="N257" s="10"/>
      <c r="O257" s="10"/>
      <c r="P257" s="85"/>
      <c r="Q257" s="88"/>
      <c r="R257" s="3">
        <f>IFERROR(VLOOKUP(TablaSeptiembre[[#This Row],[BARRIO]],SECTOR!$A:$B,2,0),"")</f>
      </c>
      <c r="S257" s="89"/>
      <c r="T257" s="90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6"/>
      <c r="AZ257" s="120">
        <f>COUNTIF(U257:AY257,"A")</f>
      </c>
      <c r="BA257" s="121">
        <f>COUNTIF(U257:AY257,"F")</f>
      </c>
      <c r="BB257" s="119">
        <f>COUNTIF(U257:AY257,"E")</f>
      </c>
    </row>
    <row r="258" spans="1:54" x14ac:dyDescent="0.2">
      <c r="A258" s="84"/>
      <c r="B258" s="85"/>
      <c r="C258" s="85"/>
      <c r="D258" s="85"/>
      <c r="E258" s="86"/>
      <c r="F258" s="16">
        <f>IF(E258="","",DATEDIF(E258,$I$7,"Y"))</f>
      </c>
      <c r="G258" s="85"/>
      <c r="H258" s="85"/>
      <c r="I258" s="87"/>
      <c r="J258" s="85"/>
      <c r="K258" s="85"/>
      <c r="L258" s="10"/>
      <c r="M258" s="10"/>
      <c r="N258" s="10"/>
      <c r="O258" s="10"/>
      <c r="P258" s="85"/>
      <c r="Q258" s="88"/>
      <c r="R258" s="3">
        <f>IFERROR(VLOOKUP(TablaSeptiembre[[#This Row],[BARRIO]],SECTOR!$A:$B,2,0),"")</f>
      </c>
      <c r="S258" s="89"/>
      <c r="T258" s="90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6"/>
      <c r="AZ258" s="120">
        <f>COUNTIF(U258:AY258,"A")</f>
      </c>
      <c r="BA258" s="121">
        <f>COUNTIF(U258:AY258,"F")</f>
      </c>
      <c r="BB258" s="119">
        <f>COUNTIF(U258:AY258,"E")</f>
      </c>
    </row>
    <row r="259" spans="1:54" x14ac:dyDescent="0.2">
      <c r="A259" s="84"/>
      <c r="B259" s="85"/>
      <c r="C259" s="85"/>
      <c r="D259" s="85"/>
      <c r="E259" s="86"/>
      <c r="F259" s="16">
        <f>IF(E259="","",DATEDIF(E259,$I$7,"Y"))</f>
      </c>
      <c r="G259" s="85"/>
      <c r="H259" s="85"/>
      <c r="I259" s="87"/>
      <c r="J259" s="85"/>
      <c r="K259" s="85"/>
      <c r="L259" s="10"/>
      <c r="M259" s="10"/>
      <c r="N259" s="10"/>
      <c r="O259" s="10"/>
      <c r="P259" s="85"/>
      <c r="Q259" s="88"/>
      <c r="R259" s="3">
        <f>IFERROR(VLOOKUP(TablaSeptiembre[[#This Row],[BARRIO]],SECTOR!$A:$B,2,0),"")</f>
      </c>
      <c r="S259" s="89"/>
      <c r="T259" s="90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6"/>
      <c r="AZ259" s="120">
        <f>COUNTIF(U259:AY259,"A")</f>
      </c>
      <c r="BA259" s="121">
        <f>COUNTIF(U259:AY259,"F")</f>
      </c>
      <c r="BB259" s="119">
        <f>COUNTIF(U259:AY259,"E")</f>
      </c>
    </row>
    <row r="260" spans="1:54" x14ac:dyDescent="0.2">
      <c r="A260" s="84"/>
      <c r="B260" s="85"/>
      <c r="C260" s="85"/>
      <c r="D260" s="85"/>
      <c r="E260" s="86"/>
      <c r="F260" s="16">
        <f>IF(E260="","",DATEDIF(E260,$I$7,"Y"))</f>
      </c>
      <c r="G260" s="85"/>
      <c r="H260" s="85"/>
      <c r="I260" s="87"/>
      <c r="J260" s="85"/>
      <c r="K260" s="85"/>
      <c r="L260" s="10"/>
      <c r="M260" s="10"/>
      <c r="N260" s="10"/>
      <c r="O260" s="10"/>
      <c r="P260" s="85"/>
      <c r="Q260" s="88"/>
      <c r="R260" s="3">
        <f>IFERROR(VLOOKUP(TablaSeptiembre[[#This Row],[BARRIO]],SECTOR!$A:$B,2,0),"")</f>
      </c>
      <c r="S260" s="89"/>
      <c r="T260" s="90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6"/>
      <c r="AZ260" s="120">
        <f>COUNTIF(U260:AY260,"A")</f>
      </c>
      <c r="BA260" s="121">
        <f>COUNTIF(U260:AY260,"F")</f>
      </c>
      <c r="BB260" s="119">
        <f>COUNTIF(U260:AY260,"E")</f>
      </c>
    </row>
    <row r="261" spans="1:54" x14ac:dyDescent="0.2">
      <c r="A261" s="84"/>
      <c r="B261" s="85"/>
      <c r="C261" s="85"/>
      <c r="D261" s="85"/>
      <c r="E261" s="86"/>
      <c r="F261" s="16">
        <f>IF(E261="","",DATEDIF(E261,$I$7,"Y"))</f>
      </c>
      <c r="G261" s="85"/>
      <c r="H261" s="85"/>
      <c r="I261" s="87"/>
      <c r="J261" s="85"/>
      <c r="K261" s="85"/>
      <c r="L261" s="10"/>
      <c r="M261" s="10"/>
      <c r="N261" s="10"/>
      <c r="O261" s="10"/>
      <c r="P261" s="85"/>
      <c r="Q261" s="88"/>
      <c r="R261" s="3">
        <f>IFERROR(VLOOKUP(TablaSeptiembre[[#This Row],[BARRIO]],SECTOR!$A:$B,2,0),"")</f>
      </c>
      <c r="S261" s="89"/>
      <c r="T261" s="90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6"/>
      <c r="AZ261" s="120">
        <f>COUNTIF(U261:AY261,"A")</f>
      </c>
      <c r="BA261" s="121">
        <f>COUNTIF(U261:AY261,"F")</f>
      </c>
      <c r="BB261" s="119">
        <f>COUNTIF(U261:AY261,"E")</f>
      </c>
    </row>
    <row r="262" spans="1:54" x14ac:dyDescent="0.2">
      <c r="A262" s="84"/>
      <c r="B262" s="85"/>
      <c r="C262" s="85"/>
      <c r="D262" s="85"/>
      <c r="E262" s="86"/>
      <c r="F262" s="16">
        <f>IF(E262="","",DATEDIF(E262,$I$7,"Y"))</f>
      </c>
      <c r="G262" s="85"/>
      <c r="H262" s="85"/>
      <c r="I262" s="87"/>
      <c r="J262" s="85"/>
      <c r="K262" s="85"/>
      <c r="L262" s="10"/>
      <c r="M262" s="10"/>
      <c r="N262" s="10"/>
      <c r="O262" s="10"/>
      <c r="P262" s="85"/>
      <c r="Q262" s="88"/>
      <c r="R262" s="3">
        <f>IFERROR(VLOOKUP(TablaSeptiembre[[#This Row],[BARRIO]],SECTOR!$A:$B,2,0),"")</f>
      </c>
      <c r="S262" s="89"/>
      <c r="T262" s="90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6"/>
      <c r="AZ262" s="120">
        <f>COUNTIF(U262:AY262,"A")</f>
      </c>
      <c r="BA262" s="121">
        <f>COUNTIF(U262:AY262,"F")</f>
      </c>
      <c r="BB262" s="119">
        <f>COUNTIF(U262:AY262,"E")</f>
      </c>
    </row>
    <row r="263" spans="1:54" x14ac:dyDescent="0.2">
      <c r="A263" s="84"/>
      <c r="B263" s="85"/>
      <c r="C263" s="85"/>
      <c r="D263" s="85"/>
      <c r="E263" s="86"/>
      <c r="F263" s="16">
        <f>IF(E263="","",DATEDIF(E263,$I$7,"Y"))</f>
      </c>
      <c r="G263" s="85"/>
      <c r="H263" s="85"/>
      <c r="I263" s="87"/>
      <c r="J263" s="85"/>
      <c r="K263" s="85"/>
      <c r="L263" s="10"/>
      <c r="M263" s="10"/>
      <c r="N263" s="10"/>
      <c r="O263" s="10"/>
      <c r="P263" s="85"/>
      <c r="Q263" s="88"/>
      <c r="R263" s="3">
        <f>IFERROR(VLOOKUP(TablaSeptiembre[[#This Row],[BARRIO]],SECTOR!$A:$B,2,0),"")</f>
      </c>
      <c r="S263" s="89"/>
      <c r="T263" s="90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6"/>
      <c r="AZ263" s="120">
        <f>COUNTIF(U263:AY263,"A")</f>
      </c>
      <c r="BA263" s="121">
        <f>COUNTIF(U263:AY263,"F")</f>
      </c>
      <c r="BB263" s="119">
        <f>COUNTIF(U263:AY263,"E")</f>
      </c>
    </row>
    <row r="264" spans="1:54" x14ac:dyDescent="0.2">
      <c r="A264" s="84"/>
      <c r="B264" s="85"/>
      <c r="C264" s="85"/>
      <c r="D264" s="85"/>
      <c r="E264" s="86"/>
      <c r="F264" s="16">
        <f>IF(E264="","",DATEDIF(E264,$I$7,"Y"))</f>
      </c>
      <c r="G264" s="85"/>
      <c r="H264" s="85"/>
      <c r="I264" s="87"/>
      <c r="J264" s="85"/>
      <c r="K264" s="85"/>
      <c r="L264" s="10"/>
      <c r="M264" s="10"/>
      <c r="N264" s="10"/>
      <c r="O264" s="10"/>
      <c r="P264" s="85"/>
      <c r="Q264" s="88"/>
      <c r="R264" s="3">
        <f>IFERROR(VLOOKUP(TablaSeptiembre[[#This Row],[BARRIO]],SECTOR!$A:$B,2,0),"")</f>
      </c>
      <c r="S264" s="89"/>
      <c r="T264" s="90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6"/>
      <c r="AZ264" s="120">
        <f>COUNTIF(U264:AY264,"A")</f>
      </c>
      <c r="BA264" s="121">
        <f>COUNTIF(U264:AY264,"F")</f>
      </c>
      <c r="BB264" s="119">
        <f>COUNTIF(U264:AY264,"E")</f>
      </c>
    </row>
    <row r="265" spans="1:54" x14ac:dyDescent="0.2">
      <c r="A265" s="84"/>
      <c r="B265" s="85"/>
      <c r="C265" s="85"/>
      <c r="D265" s="85"/>
      <c r="E265" s="86"/>
      <c r="F265" s="16">
        <f>IF(E265="","",DATEDIF(E265,$I$7,"Y"))</f>
      </c>
      <c r="G265" s="85"/>
      <c r="H265" s="85"/>
      <c r="I265" s="87"/>
      <c r="J265" s="85"/>
      <c r="K265" s="85"/>
      <c r="L265" s="10"/>
      <c r="M265" s="10"/>
      <c r="N265" s="10"/>
      <c r="O265" s="10"/>
      <c r="P265" s="85"/>
      <c r="Q265" s="88"/>
      <c r="R265" s="3">
        <f>IFERROR(VLOOKUP(TablaSeptiembre[[#This Row],[BARRIO]],SECTOR!$A:$B,2,0),"")</f>
      </c>
      <c r="S265" s="89"/>
      <c r="T265" s="90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6"/>
      <c r="AZ265" s="120">
        <f>COUNTIF(U265:AY265,"A")</f>
      </c>
      <c r="BA265" s="121">
        <f>COUNTIF(U265:AY265,"F")</f>
      </c>
      <c r="BB265" s="119">
        <f>COUNTIF(U265:AY265,"E")</f>
      </c>
    </row>
    <row r="266" spans="1:54" x14ac:dyDescent="0.2">
      <c r="A266" s="84"/>
      <c r="B266" s="85"/>
      <c r="C266" s="85"/>
      <c r="D266" s="85"/>
      <c r="E266" s="86"/>
      <c r="F266" s="16">
        <f>IF(E266="","",DATEDIF(E266,$I$7,"Y"))</f>
      </c>
      <c r="G266" s="85"/>
      <c r="H266" s="85"/>
      <c r="I266" s="87"/>
      <c r="J266" s="85"/>
      <c r="K266" s="85"/>
      <c r="L266" s="10"/>
      <c r="M266" s="10"/>
      <c r="N266" s="10"/>
      <c r="O266" s="10"/>
      <c r="P266" s="85"/>
      <c r="Q266" s="88"/>
      <c r="R266" s="3">
        <f>IFERROR(VLOOKUP(TablaSeptiembre[[#This Row],[BARRIO]],SECTOR!$A:$B,2,0),"")</f>
      </c>
      <c r="S266" s="89"/>
      <c r="T266" s="90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6"/>
      <c r="AZ266" s="120">
        <f>COUNTIF(U266:AY266,"A")</f>
      </c>
      <c r="BA266" s="121">
        <f>COUNTIF(U266:AY266,"F")</f>
      </c>
      <c r="BB266" s="119">
        <f>COUNTIF(U266:AY266,"E")</f>
      </c>
    </row>
    <row r="267" spans="1:54" x14ac:dyDescent="0.2">
      <c r="A267" s="84"/>
      <c r="B267" s="85"/>
      <c r="C267" s="85"/>
      <c r="D267" s="85"/>
      <c r="E267" s="86"/>
      <c r="F267" s="16">
        <f>IF(E267="","",DATEDIF(E267,$I$7,"Y"))</f>
      </c>
      <c r="G267" s="85"/>
      <c r="H267" s="85"/>
      <c r="I267" s="87"/>
      <c r="J267" s="85"/>
      <c r="K267" s="85"/>
      <c r="L267" s="10"/>
      <c r="M267" s="10"/>
      <c r="N267" s="10"/>
      <c r="O267" s="10"/>
      <c r="P267" s="85"/>
      <c r="Q267" s="88"/>
      <c r="R267" s="3">
        <f>IFERROR(VLOOKUP(TablaSeptiembre[[#This Row],[BARRIO]],SECTOR!$A:$B,2,0),"")</f>
      </c>
      <c r="S267" s="89"/>
      <c r="T267" s="90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6"/>
      <c r="AZ267" s="120">
        <f>COUNTIF(U267:AY267,"A")</f>
      </c>
      <c r="BA267" s="121">
        <f>COUNTIF(U267:AY267,"F")</f>
      </c>
      <c r="BB267" s="119">
        <f>COUNTIF(U267:AY267,"E")</f>
      </c>
    </row>
    <row r="268" spans="1:54" x14ac:dyDescent="0.2">
      <c r="A268" s="84"/>
      <c r="B268" s="85"/>
      <c r="C268" s="85"/>
      <c r="D268" s="85"/>
      <c r="E268" s="86"/>
      <c r="F268" s="16">
        <f>IF(E268="","",DATEDIF(E268,$I$7,"Y"))</f>
      </c>
      <c r="G268" s="85"/>
      <c r="H268" s="85"/>
      <c r="I268" s="87"/>
      <c r="J268" s="85"/>
      <c r="K268" s="85"/>
      <c r="L268" s="10"/>
      <c r="M268" s="10"/>
      <c r="N268" s="10"/>
      <c r="O268" s="10"/>
      <c r="P268" s="85"/>
      <c r="Q268" s="88"/>
      <c r="R268" s="3">
        <f>IFERROR(VLOOKUP(TablaSeptiembre[[#This Row],[BARRIO]],SECTOR!$A:$B,2,0),"")</f>
      </c>
      <c r="S268" s="89"/>
      <c r="T268" s="90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6"/>
      <c r="AZ268" s="120">
        <f>COUNTIF(U268:AY268,"A")</f>
      </c>
      <c r="BA268" s="121">
        <f>COUNTIF(U268:AY268,"F")</f>
      </c>
      <c r="BB268" s="119">
        <f>COUNTIF(U268:AY268,"E")</f>
      </c>
    </row>
    <row r="269" spans="1:54" x14ac:dyDescent="0.2">
      <c r="A269" s="84"/>
      <c r="B269" s="85"/>
      <c r="C269" s="85"/>
      <c r="D269" s="85"/>
      <c r="E269" s="86"/>
      <c r="F269" s="16">
        <f>IF(E269="","",DATEDIF(E269,$I$7,"Y"))</f>
      </c>
      <c r="G269" s="85"/>
      <c r="H269" s="85"/>
      <c r="I269" s="87"/>
      <c r="J269" s="85"/>
      <c r="K269" s="85"/>
      <c r="L269" s="10"/>
      <c r="M269" s="10"/>
      <c r="N269" s="10"/>
      <c r="O269" s="10"/>
      <c r="P269" s="85"/>
      <c r="Q269" s="88"/>
      <c r="R269" s="3">
        <f>IFERROR(VLOOKUP(TablaSeptiembre[[#This Row],[BARRIO]],SECTOR!$A:$B,2,0),"")</f>
      </c>
      <c r="S269" s="89"/>
      <c r="T269" s="90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6"/>
      <c r="AZ269" s="120">
        <f>COUNTIF(U269:AY269,"A")</f>
      </c>
      <c r="BA269" s="121">
        <f>COUNTIF(U269:AY269,"F")</f>
      </c>
      <c r="BB269" s="119">
        <f>COUNTIF(U269:AY269,"E")</f>
      </c>
    </row>
    <row r="270" spans="1:54" x14ac:dyDescent="0.2">
      <c r="A270" s="84"/>
      <c r="B270" s="85"/>
      <c r="C270" s="85"/>
      <c r="D270" s="85"/>
      <c r="E270" s="86"/>
      <c r="F270" s="16">
        <f>IF(E270="","",DATEDIF(E270,$I$7,"Y"))</f>
      </c>
      <c r="G270" s="85"/>
      <c r="H270" s="85"/>
      <c r="I270" s="87"/>
      <c r="J270" s="85"/>
      <c r="K270" s="85"/>
      <c r="L270" s="10"/>
      <c r="M270" s="10"/>
      <c r="N270" s="10"/>
      <c r="O270" s="10"/>
      <c r="P270" s="85"/>
      <c r="Q270" s="88"/>
      <c r="R270" s="3">
        <f>IFERROR(VLOOKUP(TablaSeptiembre[[#This Row],[BARRIO]],SECTOR!$A:$B,2,0),"")</f>
      </c>
      <c r="S270" s="89"/>
      <c r="T270" s="90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6"/>
      <c r="AZ270" s="120">
        <f>COUNTIF(U270:AY270,"A")</f>
      </c>
      <c r="BA270" s="121">
        <f>COUNTIF(U270:AY270,"F")</f>
      </c>
      <c r="BB270" s="119">
        <f>COUNTIF(U270:AY270,"E")</f>
      </c>
    </row>
    <row r="271" spans="1:54" x14ac:dyDescent="0.2">
      <c r="A271" s="84"/>
      <c r="B271" s="85"/>
      <c r="C271" s="85"/>
      <c r="D271" s="85"/>
      <c r="E271" s="86"/>
      <c r="F271" s="16">
        <f>IF(E271="","",DATEDIF(E271,$I$7,"Y"))</f>
      </c>
      <c r="G271" s="85"/>
      <c r="H271" s="85"/>
      <c r="I271" s="87"/>
      <c r="J271" s="85"/>
      <c r="K271" s="85"/>
      <c r="L271" s="10"/>
      <c r="M271" s="10"/>
      <c r="N271" s="10"/>
      <c r="O271" s="10"/>
      <c r="P271" s="85"/>
      <c r="Q271" s="88"/>
      <c r="R271" s="3">
        <f>IFERROR(VLOOKUP(TablaSeptiembre[[#This Row],[BARRIO]],SECTOR!$A:$B,2,0),"")</f>
      </c>
      <c r="S271" s="89"/>
      <c r="T271" s="90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6"/>
      <c r="AZ271" s="120">
        <f>COUNTIF(U271:AY271,"A")</f>
      </c>
      <c r="BA271" s="121">
        <f>COUNTIF(U271:AY271,"F")</f>
      </c>
      <c r="BB271" s="119">
        <f>COUNTIF(U271:AY271,"E")</f>
      </c>
    </row>
    <row r="272" spans="1:54" x14ac:dyDescent="0.2">
      <c r="A272" s="84"/>
      <c r="B272" s="85"/>
      <c r="C272" s="85"/>
      <c r="D272" s="85"/>
      <c r="E272" s="86"/>
      <c r="F272" s="16">
        <f>IF(E272="","",DATEDIF(E272,$I$7,"Y"))</f>
      </c>
      <c r="G272" s="85"/>
      <c r="H272" s="85"/>
      <c r="I272" s="87"/>
      <c r="J272" s="85"/>
      <c r="K272" s="85"/>
      <c r="L272" s="10"/>
      <c r="M272" s="10"/>
      <c r="N272" s="10"/>
      <c r="O272" s="10"/>
      <c r="P272" s="85"/>
      <c r="Q272" s="88"/>
      <c r="R272" s="3">
        <f>IFERROR(VLOOKUP(TablaSeptiembre[[#This Row],[BARRIO]],SECTOR!$A:$B,2,0),"")</f>
      </c>
      <c r="S272" s="89"/>
      <c r="T272" s="90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6"/>
      <c r="AZ272" s="120">
        <f>COUNTIF(U272:AY272,"A")</f>
      </c>
      <c r="BA272" s="121">
        <f>COUNTIF(U272:AY272,"F")</f>
      </c>
      <c r="BB272" s="119">
        <f>COUNTIF(U272:AY272,"E")</f>
      </c>
    </row>
    <row r="273" spans="1:54" x14ac:dyDescent="0.2">
      <c r="A273" s="84"/>
      <c r="B273" s="85"/>
      <c r="C273" s="85"/>
      <c r="D273" s="85"/>
      <c r="E273" s="86"/>
      <c r="F273" s="16">
        <f>IF(E273="","",DATEDIF(E273,$I$7,"Y"))</f>
      </c>
      <c r="G273" s="85"/>
      <c r="H273" s="85"/>
      <c r="I273" s="87"/>
      <c r="J273" s="85"/>
      <c r="K273" s="85"/>
      <c r="L273" s="10"/>
      <c r="M273" s="10"/>
      <c r="N273" s="10"/>
      <c r="O273" s="10"/>
      <c r="P273" s="85"/>
      <c r="Q273" s="88"/>
      <c r="R273" s="3">
        <f>IFERROR(VLOOKUP(TablaSeptiembre[[#This Row],[BARRIO]],SECTOR!$A:$B,2,0),"")</f>
      </c>
      <c r="S273" s="89"/>
      <c r="T273" s="90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6"/>
      <c r="AZ273" s="120">
        <f>COUNTIF(U273:AY273,"A")</f>
      </c>
      <c r="BA273" s="121">
        <f>COUNTIF(U273:AY273,"F")</f>
      </c>
      <c r="BB273" s="119">
        <f>COUNTIF(U273:AY273,"E")</f>
      </c>
    </row>
    <row r="274" spans="1:54" x14ac:dyDescent="0.2">
      <c r="A274" s="84"/>
      <c r="B274" s="85"/>
      <c r="C274" s="85"/>
      <c r="D274" s="85"/>
      <c r="E274" s="86"/>
      <c r="F274" s="16">
        <f>IF(E274="","",DATEDIF(E274,$I$7,"Y"))</f>
      </c>
      <c r="G274" s="85"/>
      <c r="H274" s="85"/>
      <c r="I274" s="87"/>
      <c r="J274" s="85"/>
      <c r="K274" s="85"/>
      <c r="L274" s="10"/>
      <c r="M274" s="10"/>
      <c r="N274" s="10"/>
      <c r="O274" s="10"/>
      <c r="P274" s="85"/>
      <c r="Q274" s="88"/>
      <c r="R274" s="3">
        <f>IFERROR(VLOOKUP(TablaSeptiembre[[#This Row],[BARRIO]],SECTOR!$A:$B,2,0),"")</f>
      </c>
      <c r="S274" s="89"/>
      <c r="T274" s="90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6"/>
      <c r="AZ274" s="120">
        <f>COUNTIF(U274:AY274,"A")</f>
      </c>
      <c r="BA274" s="121">
        <f>COUNTIF(U274:AY274,"F")</f>
      </c>
      <c r="BB274" s="119">
        <f>COUNTIF(U274:AY274,"E")</f>
      </c>
    </row>
    <row r="275" spans="1:54" x14ac:dyDescent="0.2">
      <c r="A275" s="84"/>
      <c r="B275" s="85"/>
      <c r="C275" s="85"/>
      <c r="D275" s="85"/>
      <c r="E275" s="86"/>
      <c r="F275" s="16">
        <f>IF(E275="","",DATEDIF(E275,$I$7,"Y"))</f>
      </c>
      <c r="G275" s="85"/>
      <c r="H275" s="85"/>
      <c r="I275" s="87"/>
      <c r="J275" s="85"/>
      <c r="K275" s="85"/>
      <c r="L275" s="10"/>
      <c r="M275" s="10"/>
      <c r="N275" s="10"/>
      <c r="O275" s="10"/>
      <c r="P275" s="85"/>
      <c r="Q275" s="88"/>
      <c r="R275" s="3">
        <f>IFERROR(VLOOKUP(TablaSeptiembre[[#This Row],[BARRIO]],SECTOR!$A:$B,2,0),"")</f>
      </c>
      <c r="S275" s="89"/>
      <c r="T275" s="90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6"/>
      <c r="AZ275" s="120">
        <f>COUNTIF(U275:AY275,"A")</f>
      </c>
      <c r="BA275" s="121">
        <f>COUNTIF(U275:AY275,"F")</f>
      </c>
      <c r="BB275" s="119">
        <f>COUNTIF(U275:AY275,"E")</f>
      </c>
    </row>
    <row r="276" spans="1:54" x14ac:dyDescent="0.2">
      <c r="A276" s="84"/>
      <c r="B276" s="85"/>
      <c r="C276" s="85"/>
      <c r="D276" s="85"/>
      <c r="E276" s="86"/>
      <c r="F276" s="16">
        <f>IF(E276="","",DATEDIF(E276,$I$7,"Y"))</f>
      </c>
      <c r="G276" s="85"/>
      <c r="H276" s="85"/>
      <c r="I276" s="87"/>
      <c r="J276" s="85"/>
      <c r="K276" s="85"/>
      <c r="L276" s="10"/>
      <c r="M276" s="10"/>
      <c r="N276" s="10"/>
      <c r="O276" s="10"/>
      <c r="P276" s="85"/>
      <c r="Q276" s="88"/>
      <c r="R276" s="3">
        <f>IFERROR(VLOOKUP(TablaSeptiembre[[#This Row],[BARRIO]],SECTOR!$A:$B,2,0),"")</f>
      </c>
      <c r="S276" s="89"/>
      <c r="T276" s="90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6"/>
      <c r="AZ276" s="120">
        <f>COUNTIF(U276:AY276,"A")</f>
      </c>
      <c r="BA276" s="121">
        <f>COUNTIF(U276:AY276,"F")</f>
      </c>
      <c r="BB276" s="119">
        <f>COUNTIF(U276:AY276,"E")</f>
      </c>
    </row>
    <row r="277" spans="1:54" x14ac:dyDescent="0.2">
      <c r="A277" s="84"/>
      <c r="B277" s="85"/>
      <c r="C277" s="85"/>
      <c r="D277" s="85"/>
      <c r="E277" s="86"/>
      <c r="F277" s="16">
        <f>IF(E277="","",DATEDIF(E277,$I$7,"Y"))</f>
      </c>
      <c r="G277" s="85"/>
      <c r="H277" s="85"/>
      <c r="I277" s="87"/>
      <c r="J277" s="85"/>
      <c r="K277" s="85"/>
      <c r="L277" s="10"/>
      <c r="M277" s="10"/>
      <c r="N277" s="10"/>
      <c r="O277" s="10"/>
      <c r="P277" s="85"/>
      <c r="Q277" s="88"/>
      <c r="R277" s="3">
        <f>IFERROR(VLOOKUP(TablaSeptiembre[[#This Row],[BARRIO]],SECTOR!$A:$B,2,0),"")</f>
      </c>
      <c r="S277" s="89"/>
      <c r="T277" s="90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6"/>
      <c r="AZ277" s="120">
        <f>COUNTIF(U277:AY277,"A")</f>
      </c>
      <c r="BA277" s="121">
        <f>COUNTIF(U277:AY277,"F")</f>
      </c>
      <c r="BB277" s="119">
        <f>COUNTIF(U277:AY277,"E")</f>
      </c>
    </row>
    <row r="278" spans="1:54" x14ac:dyDescent="0.2">
      <c r="A278" s="84"/>
      <c r="B278" s="85"/>
      <c r="C278" s="85"/>
      <c r="D278" s="85"/>
      <c r="E278" s="86"/>
      <c r="F278" s="16">
        <f>IF(E278="","",DATEDIF(E278,$I$7,"Y"))</f>
      </c>
      <c r="G278" s="85"/>
      <c r="H278" s="85"/>
      <c r="I278" s="87"/>
      <c r="J278" s="85"/>
      <c r="K278" s="85"/>
      <c r="L278" s="10"/>
      <c r="M278" s="10"/>
      <c r="N278" s="10"/>
      <c r="O278" s="10"/>
      <c r="P278" s="85"/>
      <c r="Q278" s="88"/>
      <c r="R278" s="3">
        <f>IFERROR(VLOOKUP(TablaSeptiembre[[#This Row],[BARRIO]],SECTOR!$A:$B,2,0),"")</f>
      </c>
      <c r="S278" s="89"/>
      <c r="T278" s="90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6"/>
      <c r="AZ278" s="120">
        <f>COUNTIF(U278:AY278,"A")</f>
      </c>
      <c r="BA278" s="121">
        <f>COUNTIF(U278:AY278,"F")</f>
      </c>
      <c r="BB278" s="119">
        <f>COUNTIF(U278:AY278,"E")</f>
      </c>
    </row>
    <row r="279" spans="1:54" x14ac:dyDescent="0.2">
      <c r="A279" s="84"/>
      <c r="B279" s="85"/>
      <c r="C279" s="85"/>
      <c r="D279" s="85"/>
      <c r="E279" s="86"/>
      <c r="F279" s="16">
        <f>IF(E279="","",DATEDIF(E279,$I$7,"Y"))</f>
      </c>
      <c r="G279" s="85"/>
      <c r="H279" s="85"/>
      <c r="I279" s="87"/>
      <c r="J279" s="85"/>
      <c r="K279" s="85"/>
      <c r="L279" s="10"/>
      <c r="M279" s="10"/>
      <c r="N279" s="10"/>
      <c r="O279" s="10"/>
      <c r="P279" s="85"/>
      <c r="Q279" s="88"/>
      <c r="R279" s="3">
        <f>IFERROR(VLOOKUP(TablaSeptiembre[[#This Row],[BARRIO]],SECTOR!$A:$B,2,0),"")</f>
      </c>
      <c r="S279" s="89"/>
      <c r="T279" s="90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6"/>
      <c r="AZ279" s="120">
        <f>COUNTIF(U279:AY279,"A")</f>
      </c>
      <c r="BA279" s="121">
        <f>COUNTIF(U279:AY279,"F")</f>
      </c>
      <c r="BB279" s="119">
        <f>COUNTIF(U279:AY279,"E")</f>
      </c>
    </row>
    <row r="280" spans="1:54" x14ac:dyDescent="0.2">
      <c r="A280" s="84"/>
      <c r="B280" s="85"/>
      <c r="C280" s="85"/>
      <c r="D280" s="85"/>
      <c r="E280" s="86"/>
      <c r="F280" s="16">
        <f>IF(E280="","",DATEDIF(E280,$I$7,"Y"))</f>
      </c>
      <c r="G280" s="85"/>
      <c r="H280" s="85"/>
      <c r="I280" s="87"/>
      <c r="J280" s="85"/>
      <c r="K280" s="85"/>
      <c r="L280" s="10"/>
      <c r="M280" s="10"/>
      <c r="N280" s="10"/>
      <c r="O280" s="10"/>
      <c r="P280" s="85"/>
      <c r="Q280" s="88"/>
      <c r="R280" s="3">
        <f>IFERROR(VLOOKUP(TablaSeptiembre[[#This Row],[BARRIO]],SECTOR!$A:$B,2,0),"")</f>
      </c>
      <c r="S280" s="89"/>
      <c r="T280" s="90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6"/>
      <c r="AZ280" s="120">
        <f>COUNTIF(U280:AY280,"A")</f>
      </c>
      <c r="BA280" s="121">
        <f>COUNTIF(U280:AY280,"F")</f>
      </c>
      <c r="BB280" s="119">
        <f>COUNTIF(U280:AY280,"E")</f>
      </c>
    </row>
    <row r="281" spans="1:54" x14ac:dyDescent="0.2">
      <c r="A281" s="84"/>
      <c r="B281" s="85"/>
      <c r="C281" s="85"/>
      <c r="D281" s="85"/>
      <c r="E281" s="86"/>
      <c r="F281" s="16">
        <f>IF(E281="","",DATEDIF(E281,$I$7,"Y"))</f>
      </c>
      <c r="G281" s="85"/>
      <c r="H281" s="85"/>
      <c r="I281" s="87"/>
      <c r="J281" s="85"/>
      <c r="K281" s="85"/>
      <c r="L281" s="10"/>
      <c r="M281" s="10"/>
      <c r="N281" s="10"/>
      <c r="O281" s="10"/>
      <c r="P281" s="85"/>
      <c r="Q281" s="88"/>
      <c r="R281" s="3">
        <f>IFERROR(VLOOKUP(TablaSeptiembre[[#This Row],[BARRIO]],SECTOR!$A:$B,2,0),"")</f>
      </c>
      <c r="S281" s="89"/>
      <c r="T281" s="90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6"/>
      <c r="AZ281" s="120">
        <f>COUNTIF(U281:AY281,"A")</f>
      </c>
      <c r="BA281" s="121">
        <f>COUNTIF(U281:AY281,"F")</f>
      </c>
      <c r="BB281" s="119">
        <f>COUNTIF(U281:AY281,"E")</f>
      </c>
    </row>
    <row r="282" spans="1:54" x14ac:dyDescent="0.2">
      <c r="A282" s="84"/>
      <c r="B282" s="85"/>
      <c r="C282" s="85"/>
      <c r="D282" s="85"/>
      <c r="E282" s="86"/>
      <c r="F282" s="16">
        <f>IF(E282="","",DATEDIF(E282,$I$7,"Y"))</f>
      </c>
      <c r="G282" s="85"/>
      <c r="H282" s="85"/>
      <c r="I282" s="87"/>
      <c r="J282" s="85"/>
      <c r="K282" s="85"/>
      <c r="L282" s="10"/>
      <c r="M282" s="10"/>
      <c r="N282" s="10"/>
      <c r="O282" s="10"/>
      <c r="P282" s="85"/>
      <c r="Q282" s="88"/>
      <c r="R282" s="3">
        <f>IFERROR(VLOOKUP(TablaSeptiembre[[#This Row],[BARRIO]],SECTOR!$A:$B,2,0),"")</f>
      </c>
      <c r="S282" s="89"/>
      <c r="T282" s="90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6"/>
      <c r="AZ282" s="120">
        <f>COUNTIF(U282:AY282,"A")</f>
      </c>
      <c r="BA282" s="121">
        <f>COUNTIF(U282:AY282,"F")</f>
      </c>
      <c r="BB282" s="119">
        <f>COUNTIF(U282:AY282,"E")</f>
      </c>
    </row>
    <row r="283" spans="1:54" x14ac:dyDescent="0.2">
      <c r="A283" s="84"/>
      <c r="B283" s="85"/>
      <c r="C283" s="85"/>
      <c r="D283" s="85"/>
      <c r="E283" s="86"/>
      <c r="F283" s="16">
        <f>IF(E283="","",DATEDIF(E283,$I$7,"Y"))</f>
      </c>
      <c r="G283" s="85"/>
      <c r="H283" s="85"/>
      <c r="I283" s="87"/>
      <c r="J283" s="85"/>
      <c r="K283" s="85"/>
      <c r="L283" s="10"/>
      <c r="M283" s="10"/>
      <c r="N283" s="10"/>
      <c r="O283" s="10"/>
      <c r="P283" s="85"/>
      <c r="Q283" s="88"/>
      <c r="R283" s="3">
        <f>IFERROR(VLOOKUP(TablaSeptiembre[[#This Row],[BARRIO]],SECTOR!$A:$B,2,0),"")</f>
      </c>
      <c r="S283" s="89"/>
      <c r="T283" s="90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6"/>
      <c r="AZ283" s="120">
        <f>COUNTIF(U283:AY283,"A")</f>
      </c>
      <c r="BA283" s="121">
        <f>COUNTIF(U283:AY283,"F")</f>
      </c>
      <c r="BB283" s="119">
        <f>COUNTIF(U283:AY283,"E")</f>
      </c>
    </row>
    <row r="284" spans="1:54" x14ac:dyDescent="0.2">
      <c r="A284" s="84"/>
      <c r="B284" s="85"/>
      <c r="C284" s="85"/>
      <c r="D284" s="85"/>
      <c r="E284" s="86"/>
      <c r="F284" s="16">
        <f>IF(E284="","",DATEDIF(E284,$I$7,"Y"))</f>
      </c>
      <c r="G284" s="85"/>
      <c r="H284" s="85"/>
      <c r="I284" s="87"/>
      <c r="J284" s="85"/>
      <c r="K284" s="85"/>
      <c r="L284" s="10"/>
      <c r="M284" s="10"/>
      <c r="N284" s="10"/>
      <c r="O284" s="10"/>
      <c r="P284" s="85"/>
      <c r="Q284" s="88"/>
      <c r="R284" s="3">
        <f>IFERROR(VLOOKUP(TablaSeptiembre[[#This Row],[BARRIO]],SECTOR!$A:$B,2,0),"")</f>
      </c>
      <c r="S284" s="89"/>
      <c r="T284" s="90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6"/>
      <c r="AZ284" s="120">
        <f>COUNTIF(U284:AY284,"A")</f>
      </c>
      <c r="BA284" s="121">
        <f>COUNTIF(U284:AY284,"F")</f>
      </c>
      <c r="BB284" s="119">
        <f>COUNTIF(U284:AY284,"E")</f>
      </c>
    </row>
    <row r="285" spans="1:54" x14ac:dyDescent="0.2">
      <c r="A285" s="84"/>
      <c r="B285" s="85"/>
      <c r="C285" s="85"/>
      <c r="D285" s="85"/>
      <c r="E285" s="86"/>
      <c r="F285" s="16">
        <f>IF(E285="","",DATEDIF(E285,$I$7,"Y"))</f>
      </c>
      <c r="G285" s="85"/>
      <c r="H285" s="85"/>
      <c r="I285" s="87"/>
      <c r="J285" s="85"/>
      <c r="K285" s="85"/>
      <c r="L285" s="10"/>
      <c r="M285" s="10"/>
      <c r="N285" s="10"/>
      <c r="O285" s="10"/>
      <c r="P285" s="85"/>
      <c r="Q285" s="88"/>
      <c r="R285" s="3">
        <f>IFERROR(VLOOKUP(TablaSeptiembre[[#This Row],[BARRIO]],SECTOR!$A:$B,2,0),"")</f>
      </c>
      <c r="S285" s="89"/>
      <c r="T285" s="90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6"/>
      <c r="AZ285" s="120">
        <f>COUNTIF(U285:AY285,"A")</f>
      </c>
      <c r="BA285" s="121">
        <f>COUNTIF(U285:AY285,"F")</f>
      </c>
      <c r="BB285" s="119">
        <f>COUNTIF(U285:AY285,"E")</f>
      </c>
    </row>
    <row r="286" spans="1:54" x14ac:dyDescent="0.2">
      <c r="A286" s="84"/>
      <c r="B286" s="85"/>
      <c r="C286" s="85"/>
      <c r="D286" s="85"/>
      <c r="E286" s="86"/>
      <c r="F286" s="16">
        <f>IF(E286="","",DATEDIF(E286,$I$7,"Y"))</f>
      </c>
      <c r="G286" s="85"/>
      <c r="H286" s="85"/>
      <c r="I286" s="87"/>
      <c r="J286" s="85"/>
      <c r="K286" s="85"/>
      <c r="L286" s="10"/>
      <c r="M286" s="10"/>
      <c r="N286" s="10"/>
      <c r="O286" s="10"/>
      <c r="P286" s="85"/>
      <c r="Q286" s="88"/>
      <c r="R286" s="3">
        <f>IFERROR(VLOOKUP(TablaSeptiembre[[#This Row],[BARRIO]],SECTOR!$A:$B,2,0),"")</f>
      </c>
      <c r="S286" s="89"/>
      <c r="T286" s="90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6"/>
      <c r="AZ286" s="120">
        <f>COUNTIF(U286:AY286,"A")</f>
      </c>
      <c r="BA286" s="121">
        <f>COUNTIF(U286:AY286,"F")</f>
      </c>
      <c r="BB286" s="119">
        <f>COUNTIF(U286:AY286,"E")</f>
      </c>
    </row>
    <row r="287" spans="1:54" x14ac:dyDescent="0.2">
      <c r="A287" s="84"/>
      <c r="B287" s="85"/>
      <c r="C287" s="85"/>
      <c r="D287" s="85"/>
      <c r="E287" s="86"/>
      <c r="F287" s="16">
        <f>IF(E287="","",DATEDIF(E287,$I$7,"Y"))</f>
      </c>
      <c r="G287" s="85"/>
      <c r="H287" s="85"/>
      <c r="I287" s="87"/>
      <c r="J287" s="85"/>
      <c r="K287" s="85"/>
      <c r="L287" s="10"/>
      <c r="M287" s="10"/>
      <c r="N287" s="10"/>
      <c r="O287" s="10"/>
      <c r="P287" s="85"/>
      <c r="Q287" s="88"/>
      <c r="R287" s="3">
        <f>IFERROR(VLOOKUP(TablaSeptiembre[[#This Row],[BARRIO]],SECTOR!$A:$B,2,0),"")</f>
      </c>
      <c r="S287" s="89"/>
      <c r="T287" s="90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6"/>
      <c r="AZ287" s="120">
        <f>COUNTIF(U287:AY287,"A")</f>
      </c>
      <c r="BA287" s="121">
        <f>COUNTIF(U287:AY287,"F")</f>
      </c>
      <c r="BB287" s="119">
        <f>COUNTIF(U287:AY287,"E")</f>
      </c>
    </row>
    <row r="288" spans="1:54" x14ac:dyDescent="0.2">
      <c r="A288" s="84"/>
      <c r="B288" s="85"/>
      <c r="C288" s="85"/>
      <c r="D288" s="85"/>
      <c r="E288" s="86"/>
      <c r="F288" s="16">
        <f>IF(E288="","",DATEDIF(E288,$I$7,"Y"))</f>
      </c>
      <c r="G288" s="85"/>
      <c r="H288" s="85"/>
      <c r="I288" s="87"/>
      <c r="J288" s="85"/>
      <c r="K288" s="85"/>
      <c r="L288" s="10"/>
      <c r="M288" s="10"/>
      <c r="N288" s="10"/>
      <c r="O288" s="10"/>
      <c r="P288" s="85"/>
      <c r="Q288" s="88"/>
      <c r="R288" s="3">
        <f>IFERROR(VLOOKUP(TablaSeptiembre[[#This Row],[BARRIO]],SECTOR!$A:$B,2,0),"")</f>
      </c>
      <c r="S288" s="89"/>
      <c r="T288" s="90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6"/>
      <c r="AZ288" s="120">
        <f>COUNTIF(U288:AY288,"A")</f>
      </c>
      <c r="BA288" s="121">
        <f>COUNTIF(U288:AY288,"F")</f>
      </c>
      <c r="BB288" s="119">
        <f>COUNTIF(U288:AY288,"E")</f>
      </c>
    </row>
    <row r="289" spans="1:54" x14ac:dyDescent="0.2">
      <c r="A289" s="84"/>
      <c r="B289" s="85"/>
      <c r="C289" s="85"/>
      <c r="D289" s="85"/>
      <c r="E289" s="86"/>
      <c r="F289" s="16">
        <f>IF(E289="","",DATEDIF(E289,$I$7,"Y"))</f>
      </c>
      <c r="G289" s="85"/>
      <c r="H289" s="85"/>
      <c r="I289" s="87"/>
      <c r="J289" s="85"/>
      <c r="K289" s="85"/>
      <c r="L289" s="10"/>
      <c r="M289" s="10"/>
      <c r="N289" s="10"/>
      <c r="O289" s="10"/>
      <c r="P289" s="85"/>
      <c r="Q289" s="88"/>
      <c r="R289" s="3">
        <f>IFERROR(VLOOKUP(TablaSeptiembre[[#This Row],[BARRIO]],SECTOR!$A:$B,2,0),"")</f>
      </c>
      <c r="S289" s="89"/>
      <c r="T289" s="90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6"/>
      <c r="AZ289" s="120">
        <f>COUNTIF(U289:AY289,"A")</f>
      </c>
      <c r="BA289" s="121">
        <f>COUNTIF(U289:AY289,"F")</f>
      </c>
      <c r="BB289" s="119">
        <f>COUNTIF(U289:AY289,"E")</f>
      </c>
    </row>
    <row r="290" spans="1:54" x14ac:dyDescent="0.2">
      <c r="A290" s="84"/>
      <c r="B290" s="85"/>
      <c r="C290" s="85"/>
      <c r="D290" s="85"/>
      <c r="E290" s="86"/>
      <c r="F290" s="16">
        <f>IF(E290="","",DATEDIF(E290,$I$7,"Y"))</f>
      </c>
      <c r="G290" s="85"/>
      <c r="H290" s="85"/>
      <c r="I290" s="87"/>
      <c r="J290" s="85"/>
      <c r="K290" s="85"/>
      <c r="L290" s="10"/>
      <c r="M290" s="10"/>
      <c r="N290" s="10"/>
      <c r="O290" s="10"/>
      <c r="P290" s="85"/>
      <c r="Q290" s="88"/>
      <c r="R290" s="3">
        <f>IFERROR(VLOOKUP(TablaSeptiembre[[#This Row],[BARRIO]],SECTOR!$A:$B,2,0),"")</f>
      </c>
      <c r="S290" s="89"/>
      <c r="T290" s="90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6"/>
      <c r="AZ290" s="120">
        <f>COUNTIF(U290:AY290,"A")</f>
      </c>
      <c r="BA290" s="121">
        <f>COUNTIF(U290:AY290,"F")</f>
      </c>
      <c r="BB290" s="119">
        <f>COUNTIF(U290:AY290,"E")</f>
      </c>
    </row>
    <row r="291" spans="1:54" x14ac:dyDescent="0.2">
      <c r="A291" s="84"/>
      <c r="B291" s="85"/>
      <c r="C291" s="85"/>
      <c r="D291" s="85"/>
      <c r="E291" s="86"/>
      <c r="F291" s="16">
        <f>IF(E291="","",DATEDIF(E291,$I$7,"Y"))</f>
      </c>
      <c r="G291" s="85"/>
      <c r="H291" s="85"/>
      <c r="I291" s="87"/>
      <c r="J291" s="85"/>
      <c r="K291" s="85"/>
      <c r="L291" s="10"/>
      <c r="M291" s="10"/>
      <c r="N291" s="10"/>
      <c r="O291" s="10"/>
      <c r="P291" s="85"/>
      <c r="Q291" s="88"/>
      <c r="R291" s="3">
        <f>IFERROR(VLOOKUP(TablaSeptiembre[[#This Row],[BARRIO]],SECTOR!$A:$B,2,0),"")</f>
      </c>
      <c r="S291" s="89"/>
      <c r="T291" s="90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6"/>
      <c r="AZ291" s="120">
        <f>COUNTIF(U291:AY291,"A")</f>
      </c>
      <c r="BA291" s="121">
        <f>COUNTIF(U291:AY291,"F")</f>
      </c>
      <c r="BB291" s="119">
        <f>COUNTIF(U291:AY291,"E")</f>
      </c>
    </row>
    <row r="292" spans="1:54" x14ac:dyDescent="0.2">
      <c r="A292" s="84"/>
      <c r="B292" s="85"/>
      <c r="C292" s="85"/>
      <c r="D292" s="85"/>
      <c r="E292" s="86"/>
      <c r="F292" s="16">
        <f>IF(E292="","",DATEDIF(E292,$I$7,"Y"))</f>
      </c>
      <c r="G292" s="85"/>
      <c r="H292" s="85"/>
      <c r="I292" s="87"/>
      <c r="J292" s="85"/>
      <c r="K292" s="85"/>
      <c r="L292" s="10"/>
      <c r="M292" s="10"/>
      <c r="N292" s="10"/>
      <c r="O292" s="10"/>
      <c r="P292" s="85"/>
      <c r="Q292" s="88"/>
      <c r="R292" s="3">
        <f>IFERROR(VLOOKUP(TablaSeptiembre[[#This Row],[BARRIO]],SECTOR!$A:$B,2,0),"")</f>
      </c>
      <c r="S292" s="89"/>
      <c r="T292" s="90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6"/>
      <c r="AZ292" s="120">
        <f>COUNTIF(U292:AY292,"A")</f>
      </c>
      <c r="BA292" s="121">
        <f>COUNTIF(U292:AY292,"F")</f>
      </c>
      <c r="BB292" s="119">
        <f>COUNTIF(U292:AY292,"E")</f>
      </c>
    </row>
    <row r="293" spans="1:54" x14ac:dyDescent="0.2">
      <c r="A293" s="84"/>
      <c r="B293" s="85"/>
      <c r="C293" s="85"/>
      <c r="D293" s="85"/>
      <c r="E293" s="86"/>
      <c r="F293" s="16">
        <f>IF(E293="","",DATEDIF(E293,$I$7,"Y"))</f>
      </c>
      <c r="G293" s="85"/>
      <c r="H293" s="85"/>
      <c r="I293" s="87"/>
      <c r="J293" s="85"/>
      <c r="K293" s="85"/>
      <c r="L293" s="10"/>
      <c r="M293" s="10"/>
      <c r="N293" s="10"/>
      <c r="O293" s="10"/>
      <c r="P293" s="85"/>
      <c r="Q293" s="88"/>
      <c r="R293" s="3">
        <f>IFERROR(VLOOKUP(TablaSeptiembre[[#This Row],[BARRIO]],SECTOR!$A:$B,2,0),"")</f>
      </c>
      <c r="S293" s="89"/>
      <c r="T293" s="90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6"/>
      <c r="AZ293" s="120">
        <f>COUNTIF(U293:AY293,"A")</f>
      </c>
      <c r="BA293" s="121">
        <f>COUNTIF(U293:AY293,"F")</f>
      </c>
      <c r="BB293" s="119">
        <f>COUNTIF(U293:AY293,"E")</f>
      </c>
    </row>
    <row r="294" spans="1:54" x14ac:dyDescent="0.2">
      <c r="A294" s="84"/>
      <c r="B294" s="85"/>
      <c r="C294" s="85"/>
      <c r="D294" s="85"/>
      <c r="E294" s="86"/>
      <c r="F294" s="16">
        <f>IF(E294="","",DATEDIF(E294,$I$7,"Y"))</f>
      </c>
      <c r="G294" s="85"/>
      <c r="H294" s="85"/>
      <c r="I294" s="87"/>
      <c r="J294" s="85"/>
      <c r="K294" s="85"/>
      <c r="L294" s="10"/>
      <c r="M294" s="10"/>
      <c r="N294" s="10"/>
      <c r="O294" s="10"/>
      <c r="P294" s="85"/>
      <c r="Q294" s="88"/>
      <c r="R294" s="3">
        <f>IFERROR(VLOOKUP(TablaSeptiembre[[#This Row],[BARRIO]],SECTOR!$A:$B,2,0),"")</f>
      </c>
      <c r="S294" s="89"/>
      <c r="T294" s="90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6"/>
      <c r="AZ294" s="120">
        <f>COUNTIF(U294:AY294,"A")</f>
      </c>
      <c r="BA294" s="121">
        <f>COUNTIF(U294:AY294,"F")</f>
      </c>
      <c r="BB294" s="119">
        <f>COUNTIF(U294:AY294,"E")</f>
      </c>
    </row>
    <row r="295" spans="1:54" x14ac:dyDescent="0.2">
      <c r="A295" s="84"/>
      <c r="B295" s="85"/>
      <c r="C295" s="85"/>
      <c r="D295" s="85"/>
      <c r="E295" s="86"/>
      <c r="F295" s="16">
        <f>IF(E295="","",DATEDIF(E295,$I$7,"Y"))</f>
      </c>
      <c r="G295" s="85"/>
      <c r="H295" s="85"/>
      <c r="I295" s="87"/>
      <c r="J295" s="85"/>
      <c r="K295" s="85"/>
      <c r="L295" s="10"/>
      <c r="M295" s="10"/>
      <c r="N295" s="10"/>
      <c r="O295" s="10"/>
      <c r="P295" s="85"/>
      <c r="Q295" s="88"/>
      <c r="R295" s="3">
        <f>IFERROR(VLOOKUP(TablaSeptiembre[[#This Row],[BARRIO]],SECTOR!$A:$B,2,0),"")</f>
      </c>
      <c r="S295" s="89"/>
      <c r="T295" s="90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6"/>
      <c r="AZ295" s="120">
        <f>COUNTIF(U295:AY295,"A")</f>
      </c>
      <c r="BA295" s="121">
        <f>COUNTIF(U295:AY295,"F")</f>
      </c>
      <c r="BB295" s="119">
        <f>COUNTIF(U295:AY295,"E")</f>
      </c>
    </row>
    <row r="296" spans="1:54" x14ac:dyDescent="0.2">
      <c r="A296" s="84"/>
      <c r="B296" s="85"/>
      <c r="C296" s="85"/>
      <c r="D296" s="85"/>
      <c r="E296" s="86"/>
      <c r="F296" s="16">
        <f>IF(E296="","",DATEDIF(E296,$I$7,"Y"))</f>
      </c>
      <c r="G296" s="85"/>
      <c r="H296" s="85"/>
      <c r="I296" s="87"/>
      <c r="J296" s="85"/>
      <c r="K296" s="85"/>
      <c r="L296" s="10"/>
      <c r="M296" s="10"/>
      <c r="N296" s="10"/>
      <c r="O296" s="10"/>
      <c r="P296" s="85"/>
      <c r="Q296" s="88"/>
      <c r="R296" s="3">
        <f>IFERROR(VLOOKUP(TablaSeptiembre[[#This Row],[BARRIO]],SECTOR!$A:$B,2,0),"")</f>
      </c>
      <c r="S296" s="89"/>
      <c r="T296" s="90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6"/>
      <c r="AZ296" s="120">
        <f>COUNTIF(U296:AY296,"A")</f>
      </c>
      <c r="BA296" s="121">
        <f>COUNTIF(U296:AY296,"F")</f>
      </c>
      <c r="BB296" s="119">
        <f>COUNTIF(U296:AY296,"E")</f>
      </c>
    </row>
    <row r="297" spans="1:54" x14ac:dyDescent="0.2">
      <c r="A297" s="84"/>
      <c r="B297" s="85"/>
      <c r="C297" s="85"/>
      <c r="D297" s="85"/>
      <c r="E297" s="86"/>
      <c r="F297" s="16">
        <f>IF(E297="","",DATEDIF(E297,$I$7,"Y"))</f>
      </c>
      <c r="G297" s="85"/>
      <c r="H297" s="85"/>
      <c r="I297" s="87"/>
      <c r="J297" s="85"/>
      <c r="K297" s="85"/>
      <c r="L297" s="10"/>
      <c r="M297" s="10"/>
      <c r="N297" s="10"/>
      <c r="O297" s="10"/>
      <c r="P297" s="85"/>
      <c r="Q297" s="88"/>
      <c r="R297" s="3">
        <f>IFERROR(VLOOKUP(TablaSeptiembre[[#This Row],[BARRIO]],SECTOR!$A:$B,2,0),"")</f>
      </c>
      <c r="S297" s="89"/>
      <c r="T297" s="90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6"/>
      <c r="AZ297" s="120">
        <f>COUNTIF(U297:AY297,"A")</f>
      </c>
      <c r="BA297" s="121">
        <f>COUNTIF(U297:AY297,"F")</f>
      </c>
      <c r="BB297" s="119">
        <f>COUNTIF(U297:AY297,"E")</f>
      </c>
    </row>
    <row r="298" spans="1:54" x14ac:dyDescent="0.2">
      <c r="A298" s="84"/>
      <c r="B298" s="85"/>
      <c r="C298" s="85"/>
      <c r="D298" s="85"/>
      <c r="E298" s="86"/>
      <c r="F298" s="16">
        <f>IF(E298="","",DATEDIF(E298,$I$7,"Y"))</f>
      </c>
      <c r="G298" s="85"/>
      <c r="H298" s="85"/>
      <c r="I298" s="87"/>
      <c r="J298" s="85"/>
      <c r="K298" s="85"/>
      <c r="L298" s="10"/>
      <c r="M298" s="10"/>
      <c r="N298" s="10"/>
      <c r="O298" s="10"/>
      <c r="P298" s="85"/>
      <c r="Q298" s="88"/>
      <c r="R298" s="3">
        <f>IFERROR(VLOOKUP(TablaSeptiembre[[#This Row],[BARRIO]],SECTOR!$A:$B,2,0),"")</f>
      </c>
      <c r="S298" s="89"/>
      <c r="T298" s="90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6"/>
      <c r="AZ298" s="120">
        <f>COUNTIF(U298:AY298,"A")</f>
      </c>
      <c r="BA298" s="121">
        <f>COUNTIF(U298:AY298,"F")</f>
      </c>
      <c r="BB298" s="119">
        <f>COUNTIF(U298:AY298,"E")</f>
      </c>
    </row>
    <row r="299" spans="1:54" x14ac:dyDescent="0.2">
      <c r="A299" s="84"/>
      <c r="B299" s="85"/>
      <c r="C299" s="85"/>
      <c r="D299" s="85"/>
      <c r="E299" s="86"/>
      <c r="F299" s="16">
        <f>IF(E299="","",DATEDIF(E299,$I$7,"Y"))</f>
      </c>
      <c r="G299" s="85"/>
      <c r="H299" s="85"/>
      <c r="I299" s="87"/>
      <c r="J299" s="85"/>
      <c r="K299" s="85"/>
      <c r="L299" s="10"/>
      <c r="M299" s="10"/>
      <c r="N299" s="10"/>
      <c r="O299" s="10"/>
      <c r="P299" s="85"/>
      <c r="Q299" s="88"/>
      <c r="R299" s="3">
        <f>IFERROR(VLOOKUP(TablaSeptiembre[[#This Row],[BARRIO]],SECTOR!$A:$B,2,0),"")</f>
      </c>
      <c r="S299" s="89"/>
      <c r="T299" s="90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6"/>
      <c r="AZ299" s="120">
        <f>COUNTIF(U299:AY299,"A")</f>
      </c>
      <c r="BA299" s="121">
        <f>COUNTIF(U299:AY299,"F")</f>
      </c>
      <c r="BB299" s="119">
        <f>COUNTIF(U299:AY299,"E")</f>
      </c>
    </row>
    <row r="300" spans="1:54" x14ac:dyDescent="0.2">
      <c r="A300" s="84"/>
      <c r="B300" s="85"/>
      <c r="C300" s="85"/>
      <c r="D300" s="85"/>
      <c r="E300" s="86"/>
      <c r="F300" s="16">
        <f>IF(E300="","",DATEDIF(E300,$I$7,"Y"))</f>
      </c>
      <c r="G300" s="85"/>
      <c r="H300" s="85"/>
      <c r="I300" s="87"/>
      <c r="J300" s="85"/>
      <c r="K300" s="85"/>
      <c r="L300" s="10"/>
      <c r="M300" s="10"/>
      <c r="N300" s="10"/>
      <c r="O300" s="10"/>
      <c r="P300" s="85"/>
      <c r="Q300" s="88"/>
      <c r="R300" s="3">
        <f>IFERROR(VLOOKUP(TablaSeptiembre[[#This Row],[BARRIO]],SECTOR!$A:$B,2,0),"")</f>
      </c>
      <c r="S300" s="89"/>
      <c r="T300" s="90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6"/>
      <c r="AZ300" s="120">
        <f>COUNTIF(U300:AY300,"A")</f>
      </c>
      <c r="BA300" s="121">
        <f>COUNTIF(U300:AY300,"F")</f>
      </c>
      <c r="BB300" s="119">
        <f>COUNTIF(U300:AY300,"E")</f>
      </c>
    </row>
    <row r="301" spans="1:54" x14ac:dyDescent="0.2">
      <c r="A301" s="84"/>
      <c r="B301" s="85"/>
      <c r="C301" s="85"/>
      <c r="D301" s="85"/>
      <c r="E301" s="86"/>
      <c r="F301" s="16">
        <f>IF(E301="","",DATEDIF(E301,$I$7,"Y"))</f>
      </c>
      <c r="G301" s="85"/>
      <c r="H301" s="85"/>
      <c r="I301" s="87"/>
      <c r="J301" s="85"/>
      <c r="K301" s="85"/>
      <c r="L301" s="10"/>
      <c r="M301" s="10"/>
      <c r="N301" s="10"/>
      <c r="O301" s="10"/>
      <c r="P301" s="85"/>
      <c r="Q301" s="88"/>
      <c r="R301" s="3">
        <f>IFERROR(VLOOKUP(TablaSeptiembre[[#This Row],[BARRIO]],SECTOR!$A:$B,2,0),"")</f>
      </c>
      <c r="S301" s="89"/>
      <c r="T301" s="90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6"/>
      <c r="AZ301" s="120">
        <f>COUNTIF(U301:AY301,"A")</f>
      </c>
      <c r="BA301" s="121">
        <f>COUNTIF(U301:AY301,"F")</f>
      </c>
      <c r="BB301" s="119">
        <f>COUNTIF(U301:AY301,"E")</f>
      </c>
    </row>
    <row r="302" spans="1:54" x14ac:dyDescent="0.2">
      <c r="A302" s="84"/>
      <c r="B302" s="85"/>
      <c r="C302" s="85"/>
      <c r="D302" s="85"/>
      <c r="E302" s="86"/>
      <c r="F302" s="16">
        <f>IF(E302="","",DATEDIF(E302,$I$7,"Y"))</f>
      </c>
      <c r="G302" s="85"/>
      <c r="H302" s="85"/>
      <c r="I302" s="87"/>
      <c r="J302" s="85"/>
      <c r="K302" s="85"/>
      <c r="L302" s="10"/>
      <c r="M302" s="10"/>
      <c r="N302" s="10"/>
      <c r="O302" s="10"/>
      <c r="P302" s="85"/>
      <c r="Q302" s="88"/>
      <c r="R302" s="3">
        <f>IFERROR(VLOOKUP(TablaSeptiembre[[#This Row],[BARRIO]],SECTOR!$A:$B,2,0),"")</f>
      </c>
      <c r="S302" s="89"/>
      <c r="T302" s="90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6"/>
      <c r="AZ302" s="120">
        <f>COUNTIF(U302:AY302,"A")</f>
      </c>
      <c r="BA302" s="121">
        <f>COUNTIF(U302:AY302,"F")</f>
      </c>
      <c r="BB302" s="119">
        <f>COUNTIF(U302:AY302,"E")</f>
      </c>
    </row>
    <row r="303" spans="1:54" x14ac:dyDescent="0.2">
      <c r="A303" s="84"/>
      <c r="B303" s="85"/>
      <c r="C303" s="85"/>
      <c r="D303" s="85"/>
      <c r="E303" s="86"/>
      <c r="F303" s="16">
        <f>IF(E303="","",DATEDIF(E303,$I$7,"Y"))</f>
      </c>
      <c r="G303" s="85"/>
      <c r="H303" s="85"/>
      <c r="I303" s="87"/>
      <c r="J303" s="85"/>
      <c r="K303" s="85"/>
      <c r="L303" s="10"/>
      <c r="M303" s="10"/>
      <c r="N303" s="10"/>
      <c r="O303" s="10"/>
      <c r="P303" s="85"/>
      <c r="Q303" s="88"/>
      <c r="R303" s="3">
        <f>IFERROR(VLOOKUP(TablaSeptiembre[[#This Row],[BARRIO]],SECTOR!$A:$B,2,0),"")</f>
      </c>
      <c r="S303" s="89"/>
      <c r="T303" s="90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6"/>
      <c r="AZ303" s="120">
        <f>COUNTIF(U303:AY303,"A")</f>
      </c>
      <c r="BA303" s="121">
        <f>COUNTIF(U303:AY303,"F")</f>
      </c>
      <c r="BB303" s="119">
        <f>COUNTIF(U303:AY303,"E")</f>
      </c>
    </row>
    <row r="304" spans="1:54" x14ac:dyDescent="0.2">
      <c r="A304" s="84"/>
      <c r="B304" s="85"/>
      <c r="C304" s="85"/>
      <c r="D304" s="85"/>
      <c r="E304" s="86"/>
      <c r="F304" s="16">
        <f>IF(E304="","",DATEDIF(E304,$I$7,"Y"))</f>
      </c>
      <c r="G304" s="85"/>
      <c r="H304" s="85"/>
      <c r="I304" s="87"/>
      <c r="J304" s="85"/>
      <c r="K304" s="85"/>
      <c r="L304" s="10"/>
      <c r="M304" s="10"/>
      <c r="N304" s="10"/>
      <c r="O304" s="10"/>
      <c r="P304" s="85"/>
      <c r="Q304" s="88"/>
      <c r="R304" s="3">
        <f>IFERROR(VLOOKUP(TablaSeptiembre[[#This Row],[BARRIO]],SECTOR!$A:$B,2,0),"")</f>
      </c>
      <c r="S304" s="89"/>
      <c r="T304" s="90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6"/>
      <c r="AZ304" s="120">
        <f>COUNTIF(U304:AY304,"A")</f>
      </c>
      <c r="BA304" s="121">
        <f>COUNTIF(U304:AY304,"F")</f>
      </c>
      <c r="BB304" s="119">
        <f>COUNTIF(U304:AY304,"E")</f>
      </c>
    </row>
    <row r="305" spans="1:54" x14ac:dyDescent="0.2">
      <c r="A305" s="84"/>
      <c r="B305" s="85"/>
      <c r="C305" s="85"/>
      <c r="D305" s="85"/>
      <c r="E305" s="86"/>
      <c r="F305" s="16">
        <f>IF(E305="","",DATEDIF(E305,$I$7,"Y"))</f>
      </c>
      <c r="G305" s="85"/>
      <c r="H305" s="85"/>
      <c r="I305" s="87"/>
      <c r="J305" s="85"/>
      <c r="K305" s="85"/>
      <c r="L305" s="10"/>
      <c r="M305" s="10"/>
      <c r="N305" s="10"/>
      <c r="O305" s="10"/>
      <c r="P305" s="85"/>
      <c r="Q305" s="88"/>
      <c r="R305" s="3">
        <f>IFERROR(VLOOKUP(TablaSeptiembre[[#This Row],[BARRIO]],SECTOR!$A:$B,2,0),"")</f>
      </c>
      <c r="S305" s="89"/>
      <c r="T305" s="90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6"/>
      <c r="AZ305" s="120">
        <f>COUNTIF(U305:AY305,"A")</f>
      </c>
      <c r="BA305" s="121">
        <f>COUNTIF(U305:AY305,"F")</f>
      </c>
      <c r="BB305" s="119">
        <f>COUNTIF(U305:AY305,"E")</f>
      </c>
    </row>
    <row r="306" spans="1:54" x14ac:dyDescent="0.2">
      <c r="A306" s="84"/>
      <c r="B306" s="85"/>
      <c r="C306" s="85"/>
      <c r="D306" s="85"/>
      <c r="E306" s="86"/>
      <c r="F306" s="16">
        <f>IF(E306="","",DATEDIF(E306,$I$7,"Y"))</f>
      </c>
      <c r="G306" s="85"/>
      <c r="H306" s="85"/>
      <c r="I306" s="87"/>
      <c r="J306" s="85"/>
      <c r="K306" s="85"/>
      <c r="L306" s="10"/>
      <c r="M306" s="10"/>
      <c r="N306" s="10"/>
      <c r="O306" s="10"/>
      <c r="P306" s="85"/>
      <c r="Q306" s="88"/>
      <c r="R306" s="3">
        <f>IFERROR(VLOOKUP(TablaSeptiembre[[#This Row],[BARRIO]],SECTOR!$A:$B,2,0),"")</f>
      </c>
      <c r="S306" s="89"/>
      <c r="T306" s="90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6"/>
      <c r="AZ306" s="120">
        <f>COUNTIF(U306:AY306,"A")</f>
      </c>
      <c r="BA306" s="121">
        <f>COUNTIF(U306:AY306,"F")</f>
      </c>
      <c r="BB306" s="119">
        <f>COUNTIF(U306:AY306,"E")</f>
      </c>
    </row>
    <row r="307" spans="1:54" x14ac:dyDescent="0.2">
      <c r="A307" s="84"/>
      <c r="B307" s="85"/>
      <c r="C307" s="85"/>
      <c r="D307" s="85"/>
      <c r="E307" s="86"/>
      <c r="F307" s="16">
        <f>IF(E307="","",DATEDIF(E307,$I$7,"Y"))</f>
      </c>
      <c r="G307" s="85"/>
      <c r="H307" s="85"/>
      <c r="I307" s="87"/>
      <c r="J307" s="85"/>
      <c r="K307" s="85"/>
      <c r="L307" s="10"/>
      <c r="M307" s="10"/>
      <c r="N307" s="10"/>
      <c r="O307" s="10"/>
      <c r="P307" s="85"/>
      <c r="Q307" s="88"/>
      <c r="R307" s="3">
        <f>IFERROR(VLOOKUP(TablaSeptiembre[[#This Row],[BARRIO]],SECTOR!$A:$B,2,0),"")</f>
      </c>
      <c r="S307" s="89"/>
      <c r="T307" s="90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6"/>
      <c r="AZ307" s="120">
        <f>COUNTIF(U307:AY307,"A")</f>
      </c>
      <c r="BA307" s="121">
        <f>COUNTIF(U307:AY307,"F")</f>
      </c>
      <c r="BB307" s="119">
        <f>COUNTIF(U307:AY307,"E")</f>
      </c>
    </row>
    <row r="308" spans="1:54" x14ac:dyDescent="0.2">
      <c r="A308" s="84"/>
      <c r="B308" s="85"/>
      <c r="C308" s="85"/>
      <c r="D308" s="85"/>
      <c r="E308" s="86"/>
      <c r="F308" s="16">
        <f>IF(E308="","",DATEDIF(E308,$I$7,"Y"))</f>
      </c>
      <c r="G308" s="85"/>
      <c r="H308" s="85"/>
      <c r="I308" s="87"/>
      <c r="J308" s="85"/>
      <c r="K308" s="85"/>
      <c r="L308" s="10"/>
      <c r="M308" s="10"/>
      <c r="N308" s="10"/>
      <c r="O308" s="10"/>
      <c r="P308" s="85"/>
      <c r="Q308" s="88"/>
      <c r="R308" s="3">
        <f>IFERROR(VLOOKUP(TablaSeptiembre[[#This Row],[BARRIO]],SECTOR!$A:$B,2,0),"")</f>
      </c>
      <c r="S308" s="89"/>
      <c r="T308" s="90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6"/>
      <c r="AZ308" s="120">
        <f>COUNTIF(U308:AY308,"A")</f>
      </c>
      <c r="BA308" s="121">
        <f>COUNTIF(U308:AY308,"F")</f>
      </c>
      <c r="BB308" s="119">
        <f>COUNTIF(U308:AY308,"E")</f>
      </c>
    </row>
    <row r="309" spans="1:54" x14ac:dyDescent="0.2">
      <c r="A309" s="84"/>
      <c r="B309" s="85"/>
      <c r="C309" s="85"/>
      <c r="D309" s="85"/>
      <c r="E309" s="86"/>
      <c r="F309" s="16">
        <f>IF(E309="","",DATEDIF(E309,$I$7,"Y"))</f>
      </c>
      <c r="G309" s="85"/>
      <c r="H309" s="85"/>
      <c r="I309" s="87"/>
      <c r="J309" s="85"/>
      <c r="K309" s="85"/>
      <c r="L309" s="10"/>
      <c r="M309" s="10"/>
      <c r="N309" s="10"/>
      <c r="O309" s="10"/>
      <c r="P309" s="85"/>
      <c r="Q309" s="88"/>
      <c r="R309" s="3">
        <f>IFERROR(VLOOKUP(TablaSeptiembre[[#This Row],[BARRIO]],SECTOR!$A:$B,2,0),"")</f>
      </c>
      <c r="S309" s="89"/>
      <c r="T309" s="90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6"/>
      <c r="AZ309" s="120">
        <f>COUNTIF(U309:AY309,"A")</f>
      </c>
      <c r="BA309" s="121">
        <f>COUNTIF(U309:AY309,"F")</f>
      </c>
      <c r="BB309" s="119">
        <f>COUNTIF(U309:AY309,"E")</f>
      </c>
    </row>
    <row r="310" spans="1:54" x14ac:dyDescent="0.2">
      <c r="A310" s="84"/>
      <c r="B310" s="85"/>
      <c r="C310" s="85"/>
      <c r="D310" s="85"/>
      <c r="E310" s="86"/>
      <c r="F310" s="16">
        <f>IF(E310="","",DATEDIF(E310,$I$7,"Y"))</f>
      </c>
      <c r="G310" s="85"/>
      <c r="H310" s="85"/>
      <c r="I310" s="87"/>
      <c r="J310" s="85"/>
      <c r="K310" s="85"/>
      <c r="L310" s="10"/>
      <c r="M310" s="10"/>
      <c r="N310" s="10"/>
      <c r="O310" s="10"/>
      <c r="P310" s="85"/>
      <c r="Q310" s="88"/>
      <c r="R310" s="3">
        <f>IFERROR(VLOOKUP(TablaSeptiembre[[#This Row],[BARRIO]],SECTOR!$A:$B,2,0),"")</f>
      </c>
      <c r="S310" s="89"/>
      <c r="T310" s="90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6"/>
      <c r="AZ310" s="120">
        <f>COUNTIF(U310:AY310,"A")</f>
      </c>
      <c r="BA310" s="121">
        <f>COUNTIF(U310:AY310,"F")</f>
      </c>
      <c r="BB310" s="119">
        <f>COUNTIF(U310:AY310,"E")</f>
      </c>
    </row>
    <row r="311" spans="1:54" x14ac:dyDescent="0.2">
      <c r="A311" s="84"/>
      <c r="B311" s="85"/>
      <c r="C311" s="85"/>
      <c r="D311" s="85"/>
      <c r="E311" s="86"/>
      <c r="F311" s="16">
        <f>IF(E311="","",DATEDIF(E311,$I$7,"Y"))</f>
      </c>
      <c r="G311" s="85"/>
      <c r="H311" s="85"/>
      <c r="I311" s="87"/>
      <c r="J311" s="85"/>
      <c r="K311" s="85"/>
      <c r="L311" s="10"/>
      <c r="M311" s="10"/>
      <c r="N311" s="10"/>
      <c r="O311" s="10"/>
      <c r="P311" s="85"/>
      <c r="Q311" s="88"/>
      <c r="R311" s="3">
        <f>IFERROR(VLOOKUP(TablaSeptiembre[[#This Row],[BARRIO]],SECTOR!$A:$B,2,0),"")</f>
      </c>
      <c r="S311" s="89"/>
      <c r="T311" s="90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6"/>
      <c r="AZ311" s="120">
        <f>COUNTIF(U311:AY311,"A")</f>
      </c>
      <c r="BA311" s="121">
        <f>COUNTIF(U311:AY311,"F")</f>
      </c>
      <c r="BB311" s="119">
        <f>COUNTIF(U311:AY311,"E")</f>
      </c>
    </row>
    <row r="312" spans="1:54" x14ac:dyDescent="0.2">
      <c r="A312" s="84"/>
      <c r="B312" s="85"/>
      <c r="C312" s="85"/>
      <c r="D312" s="85"/>
      <c r="E312" s="86"/>
      <c r="F312" s="16">
        <f>IF(E312="","",DATEDIF(E312,$I$7,"Y"))</f>
      </c>
      <c r="G312" s="85"/>
      <c r="H312" s="85"/>
      <c r="I312" s="87"/>
      <c r="J312" s="85"/>
      <c r="K312" s="85"/>
      <c r="L312" s="10"/>
      <c r="M312" s="10"/>
      <c r="N312" s="10"/>
      <c r="O312" s="10"/>
      <c r="P312" s="85"/>
      <c r="Q312" s="88"/>
      <c r="R312" s="3">
        <f>IFERROR(VLOOKUP(TablaSeptiembre[[#This Row],[BARRIO]],SECTOR!$A:$B,2,0),"")</f>
      </c>
      <c r="S312" s="89"/>
      <c r="T312" s="90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6"/>
      <c r="AZ312" s="120">
        <f>COUNTIF(U312:AY312,"A")</f>
      </c>
      <c r="BA312" s="121">
        <f>COUNTIF(U312:AY312,"F")</f>
      </c>
      <c r="BB312" s="119">
        <f>COUNTIF(U312:AY312,"E")</f>
      </c>
    </row>
    <row r="313" spans="1:54" x14ac:dyDescent="0.2">
      <c r="A313" s="84"/>
      <c r="B313" s="85"/>
      <c r="C313" s="85"/>
      <c r="D313" s="85"/>
      <c r="E313" s="86"/>
      <c r="F313" s="16">
        <f>IF(E313="","",DATEDIF(E313,$I$7,"Y"))</f>
      </c>
      <c r="G313" s="85"/>
      <c r="H313" s="85"/>
      <c r="I313" s="87"/>
      <c r="J313" s="85"/>
      <c r="K313" s="85"/>
      <c r="L313" s="10"/>
      <c r="M313" s="10"/>
      <c r="N313" s="10"/>
      <c r="O313" s="10"/>
      <c r="P313" s="85"/>
      <c r="Q313" s="88"/>
      <c r="R313" s="3">
        <f>IFERROR(VLOOKUP(TablaSeptiembre[[#This Row],[BARRIO]],SECTOR!$A:$B,2,0),"")</f>
      </c>
      <c r="S313" s="89"/>
      <c r="T313" s="90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6"/>
      <c r="AZ313" s="120">
        <f>COUNTIF(U313:AY313,"A")</f>
      </c>
      <c r="BA313" s="121">
        <f>COUNTIF(U313:AY313,"F")</f>
      </c>
      <c r="BB313" s="119">
        <f>COUNTIF(U313:AY313,"E")</f>
      </c>
    </row>
    <row r="314" spans="1:54" x14ac:dyDescent="0.2">
      <c r="A314" s="84"/>
      <c r="B314" s="85"/>
      <c r="C314" s="85"/>
      <c r="D314" s="85"/>
      <c r="E314" s="86"/>
      <c r="F314" s="16">
        <f>IF(E314="","",DATEDIF(E314,$I$7,"Y"))</f>
      </c>
      <c r="G314" s="85"/>
      <c r="H314" s="85"/>
      <c r="I314" s="87"/>
      <c r="J314" s="85"/>
      <c r="K314" s="85"/>
      <c r="L314" s="10"/>
      <c r="M314" s="10"/>
      <c r="N314" s="10"/>
      <c r="O314" s="10"/>
      <c r="P314" s="85"/>
      <c r="Q314" s="88"/>
      <c r="R314" s="3">
        <f>IFERROR(VLOOKUP(TablaSeptiembre[[#This Row],[BARRIO]],SECTOR!$A:$B,2,0),"")</f>
      </c>
      <c r="S314" s="89"/>
      <c r="T314" s="90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6"/>
      <c r="AZ314" s="120">
        <f>COUNTIF(U314:AY314,"A")</f>
      </c>
      <c r="BA314" s="121">
        <f>COUNTIF(U314:AY314,"F")</f>
      </c>
      <c r="BB314" s="119">
        <f>COUNTIF(U314:AY314,"E")</f>
      </c>
    </row>
    <row r="315" spans="1:54" x14ac:dyDescent="0.2">
      <c r="A315" s="84"/>
      <c r="B315" s="85"/>
      <c r="C315" s="85"/>
      <c r="D315" s="85"/>
      <c r="E315" s="86"/>
      <c r="F315" s="16">
        <f>IF(E315="","",DATEDIF(E315,$I$7,"Y"))</f>
      </c>
      <c r="G315" s="85"/>
      <c r="H315" s="85"/>
      <c r="I315" s="87"/>
      <c r="J315" s="85"/>
      <c r="K315" s="85"/>
      <c r="L315" s="10"/>
      <c r="M315" s="10"/>
      <c r="N315" s="10"/>
      <c r="O315" s="10"/>
      <c r="P315" s="85"/>
      <c r="Q315" s="88"/>
      <c r="R315" s="3">
        <f>IFERROR(VLOOKUP(TablaSeptiembre[[#This Row],[BARRIO]],SECTOR!$A:$B,2,0),"")</f>
      </c>
      <c r="S315" s="89"/>
      <c r="T315" s="90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6"/>
      <c r="AZ315" s="120">
        <f>COUNTIF(U315:AY315,"A")</f>
      </c>
      <c r="BA315" s="121">
        <f>COUNTIF(U315:AY315,"F")</f>
      </c>
      <c r="BB315" s="119">
        <f>COUNTIF(U315:AY315,"E")</f>
      </c>
    </row>
    <row r="316" spans="1:54" x14ac:dyDescent="0.2">
      <c r="A316" s="84"/>
      <c r="B316" s="85"/>
      <c r="C316" s="85"/>
      <c r="D316" s="85"/>
      <c r="E316" s="86"/>
      <c r="F316" s="16">
        <f>IF(E316="","",DATEDIF(E316,$I$7,"Y"))</f>
      </c>
      <c r="G316" s="85"/>
      <c r="H316" s="85"/>
      <c r="I316" s="87"/>
      <c r="J316" s="85"/>
      <c r="K316" s="85"/>
      <c r="L316" s="10"/>
      <c r="M316" s="10"/>
      <c r="N316" s="10"/>
      <c r="O316" s="10"/>
      <c r="P316" s="85"/>
      <c r="Q316" s="88"/>
      <c r="R316" s="3">
        <f>IFERROR(VLOOKUP(TablaSeptiembre[[#This Row],[BARRIO]],SECTOR!$A:$B,2,0),"")</f>
      </c>
      <c r="S316" s="89"/>
      <c r="T316" s="90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6"/>
      <c r="AZ316" s="120">
        <f>COUNTIF(U316:AY316,"A")</f>
      </c>
      <c r="BA316" s="121">
        <f>COUNTIF(U316:AY316,"F")</f>
      </c>
      <c r="BB316" s="119">
        <f>COUNTIF(U316:AY316,"E")</f>
      </c>
    </row>
    <row r="317" spans="1:54" x14ac:dyDescent="0.2">
      <c r="A317" s="84"/>
      <c r="B317" s="85"/>
      <c r="C317" s="85"/>
      <c r="D317" s="85"/>
      <c r="E317" s="86"/>
      <c r="F317" s="16">
        <f>IF(E317="","",DATEDIF(E317,$I$7,"Y"))</f>
      </c>
      <c r="G317" s="85"/>
      <c r="H317" s="85"/>
      <c r="I317" s="87"/>
      <c r="J317" s="85"/>
      <c r="K317" s="85"/>
      <c r="L317" s="10"/>
      <c r="M317" s="10"/>
      <c r="N317" s="10"/>
      <c r="O317" s="10"/>
      <c r="P317" s="85"/>
      <c r="Q317" s="88"/>
      <c r="R317" s="3">
        <f>IFERROR(VLOOKUP(TablaSeptiembre[[#This Row],[BARRIO]],SECTOR!$A:$B,2,0),"")</f>
      </c>
      <c r="S317" s="89"/>
      <c r="T317" s="90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6"/>
      <c r="AZ317" s="120">
        <f>COUNTIF(U317:AY317,"A")</f>
      </c>
      <c r="BA317" s="121">
        <f>COUNTIF(U317:AY317,"F")</f>
      </c>
      <c r="BB317" s="119">
        <f>COUNTIF(U317:AY317,"E")</f>
      </c>
    </row>
    <row r="318" spans="1:54" x14ac:dyDescent="0.2">
      <c r="A318" s="84"/>
      <c r="B318" s="85"/>
      <c r="C318" s="85"/>
      <c r="D318" s="85"/>
      <c r="E318" s="86"/>
      <c r="F318" s="16">
        <f>IF(E318="","",DATEDIF(E318,$I$7,"Y"))</f>
      </c>
      <c r="G318" s="85"/>
      <c r="H318" s="85"/>
      <c r="I318" s="87"/>
      <c r="J318" s="85"/>
      <c r="K318" s="85"/>
      <c r="L318" s="10"/>
      <c r="M318" s="10"/>
      <c r="N318" s="10"/>
      <c r="O318" s="10"/>
      <c r="P318" s="85"/>
      <c r="Q318" s="88"/>
      <c r="R318" s="3">
        <f>IFERROR(VLOOKUP(TablaSeptiembre[[#This Row],[BARRIO]],SECTOR!$A:$B,2,0),"")</f>
      </c>
      <c r="S318" s="89"/>
      <c r="T318" s="90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6"/>
      <c r="AZ318" s="120">
        <f>COUNTIF(U318:AY318,"A")</f>
      </c>
      <c r="BA318" s="121">
        <f>COUNTIF(U318:AY318,"F")</f>
      </c>
      <c r="BB318" s="119">
        <f>COUNTIF(U318:AY318,"E")</f>
      </c>
    </row>
    <row r="319" spans="1:54" x14ac:dyDescent="0.2">
      <c r="A319" s="84"/>
      <c r="B319" s="85"/>
      <c r="C319" s="85"/>
      <c r="D319" s="85"/>
      <c r="E319" s="86"/>
      <c r="F319" s="16">
        <f>IF(E319="","",DATEDIF(E319,$I$7,"Y"))</f>
      </c>
      <c r="G319" s="85"/>
      <c r="H319" s="85"/>
      <c r="I319" s="87"/>
      <c r="J319" s="85"/>
      <c r="K319" s="85"/>
      <c r="L319" s="10"/>
      <c r="M319" s="10"/>
      <c r="N319" s="10"/>
      <c r="O319" s="10"/>
      <c r="P319" s="85"/>
      <c r="Q319" s="88"/>
      <c r="R319" s="3">
        <f>IFERROR(VLOOKUP(TablaSeptiembre[[#This Row],[BARRIO]],SECTOR!$A:$B,2,0),"")</f>
      </c>
      <c r="S319" s="89"/>
      <c r="T319" s="90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6"/>
      <c r="AZ319" s="120">
        <f>COUNTIF(U319:AY319,"A")</f>
      </c>
      <c r="BA319" s="121">
        <f>COUNTIF(U319:AY319,"F")</f>
      </c>
      <c r="BB319" s="119">
        <f>COUNTIF(U319:AY319,"E")</f>
      </c>
    </row>
    <row r="320" spans="1:54" x14ac:dyDescent="0.2">
      <c r="A320" s="84"/>
      <c r="B320" s="85"/>
      <c r="C320" s="85"/>
      <c r="D320" s="85"/>
      <c r="E320" s="86"/>
      <c r="F320" s="16">
        <f>IF(E320="","",DATEDIF(E320,$I$7,"Y"))</f>
      </c>
      <c r="G320" s="85"/>
      <c r="H320" s="85"/>
      <c r="I320" s="87"/>
      <c r="J320" s="85"/>
      <c r="K320" s="85"/>
      <c r="L320" s="10"/>
      <c r="M320" s="10"/>
      <c r="N320" s="10"/>
      <c r="O320" s="10"/>
      <c r="P320" s="85"/>
      <c r="Q320" s="88"/>
      <c r="R320" s="3">
        <f>IFERROR(VLOOKUP(TablaSeptiembre[[#This Row],[BARRIO]],SECTOR!$A:$B,2,0),"")</f>
      </c>
      <c r="S320" s="89"/>
      <c r="T320" s="90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6"/>
      <c r="AZ320" s="120">
        <f>COUNTIF(U320:AY320,"A")</f>
      </c>
      <c r="BA320" s="121">
        <f>COUNTIF(U320:AY320,"F")</f>
      </c>
      <c r="BB320" s="119">
        <f>COUNTIF(U320:AY320,"E")</f>
      </c>
    </row>
    <row r="321" spans="1:54" x14ac:dyDescent="0.2">
      <c r="A321" s="84"/>
      <c r="B321" s="85"/>
      <c r="C321" s="85"/>
      <c r="D321" s="85"/>
      <c r="E321" s="86"/>
      <c r="F321" s="16">
        <f>IF(E321="","",DATEDIF(E321,$I$7,"Y"))</f>
      </c>
      <c r="G321" s="85"/>
      <c r="H321" s="85"/>
      <c r="I321" s="87"/>
      <c r="J321" s="85"/>
      <c r="K321" s="85"/>
      <c r="L321" s="10"/>
      <c r="M321" s="10"/>
      <c r="N321" s="10"/>
      <c r="O321" s="10"/>
      <c r="P321" s="85"/>
      <c r="Q321" s="88"/>
      <c r="R321" s="3">
        <f>IFERROR(VLOOKUP(TablaSeptiembre[[#This Row],[BARRIO]],SECTOR!$A:$B,2,0),"")</f>
      </c>
      <c r="S321" s="89"/>
      <c r="T321" s="90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6"/>
      <c r="AZ321" s="120">
        <f>COUNTIF(U321:AY321,"A")</f>
      </c>
      <c r="BA321" s="121">
        <f>COUNTIF(U321:AY321,"F")</f>
      </c>
      <c r="BB321" s="119">
        <f>COUNTIF(U321:AY321,"E")</f>
      </c>
    </row>
    <row r="322" spans="1:54" x14ac:dyDescent="0.2">
      <c r="A322" s="84"/>
      <c r="B322" s="85"/>
      <c r="C322" s="85"/>
      <c r="D322" s="85"/>
      <c r="E322" s="86"/>
      <c r="F322" s="16">
        <f>IF(E322="","",DATEDIF(E322,$I$7,"Y"))</f>
      </c>
      <c r="G322" s="85"/>
      <c r="H322" s="85"/>
      <c r="I322" s="87"/>
      <c r="J322" s="85"/>
      <c r="K322" s="85"/>
      <c r="L322" s="10"/>
      <c r="M322" s="10"/>
      <c r="N322" s="10"/>
      <c r="O322" s="10"/>
      <c r="P322" s="85"/>
      <c r="Q322" s="88"/>
      <c r="R322" s="3">
        <f>IFERROR(VLOOKUP(TablaSeptiembre[[#This Row],[BARRIO]],SECTOR!$A:$B,2,0),"")</f>
      </c>
      <c r="S322" s="89"/>
      <c r="T322" s="90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6"/>
      <c r="AZ322" s="120">
        <f>COUNTIF(U322:AY322,"A")</f>
      </c>
      <c r="BA322" s="121">
        <f>COUNTIF(U322:AY322,"F")</f>
      </c>
      <c r="BB322" s="119">
        <f>COUNTIF(U322:AY322,"E")</f>
      </c>
    </row>
    <row r="323" spans="1:54" x14ac:dyDescent="0.2">
      <c r="A323" s="84"/>
      <c r="B323" s="85"/>
      <c r="C323" s="85"/>
      <c r="D323" s="85"/>
      <c r="E323" s="86"/>
      <c r="F323" s="16">
        <f>IF(E323="","",DATEDIF(E323,$I$7,"Y"))</f>
      </c>
      <c r="G323" s="85"/>
      <c r="H323" s="85"/>
      <c r="I323" s="87"/>
      <c r="J323" s="85"/>
      <c r="K323" s="85"/>
      <c r="L323" s="10"/>
      <c r="M323" s="10"/>
      <c r="N323" s="10"/>
      <c r="O323" s="10"/>
      <c r="P323" s="85"/>
      <c r="Q323" s="88"/>
      <c r="R323" s="3">
        <f>IFERROR(VLOOKUP(TablaSeptiembre[[#This Row],[BARRIO]],SECTOR!$A:$B,2,0),"")</f>
      </c>
      <c r="S323" s="89"/>
      <c r="T323" s="90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6"/>
      <c r="AZ323" s="120">
        <f>COUNTIF(U323:AY323,"A")</f>
      </c>
      <c r="BA323" s="121">
        <f>COUNTIF(U323:AY323,"F")</f>
      </c>
      <c r="BB323" s="119">
        <f>COUNTIF(U323:AY323,"E")</f>
      </c>
    </row>
    <row r="324" spans="1:54" x14ac:dyDescent="0.2">
      <c r="A324" s="84"/>
      <c r="B324" s="85"/>
      <c r="C324" s="85"/>
      <c r="D324" s="85"/>
      <c r="E324" s="86"/>
      <c r="F324" s="16">
        <f>IF(E324="","",DATEDIF(E324,$I$7,"Y"))</f>
      </c>
      <c r="G324" s="85"/>
      <c r="H324" s="85"/>
      <c r="I324" s="87"/>
      <c r="J324" s="85"/>
      <c r="K324" s="85"/>
      <c r="L324" s="10"/>
      <c r="M324" s="10"/>
      <c r="N324" s="10"/>
      <c r="O324" s="10"/>
      <c r="P324" s="85"/>
      <c r="Q324" s="88"/>
      <c r="R324" s="3">
        <f>IFERROR(VLOOKUP(TablaSeptiembre[[#This Row],[BARRIO]],SECTOR!$A:$B,2,0),"")</f>
      </c>
      <c r="S324" s="89"/>
      <c r="T324" s="90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6"/>
      <c r="AZ324" s="120">
        <f>COUNTIF(U324:AY324,"A")</f>
      </c>
      <c r="BA324" s="121">
        <f>COUNTIF(U324:AY324,"F")</f>
      </c>
      <c r="BB324" s="119">
        <f>COUNTIF(U324:AY324,"E")</f>
      </c>
    </row>
    <row r="325" spans="1:54" x14ac:dyDescent="0.2">
      <c r="A325" s="84"/>
      <c r="B325" s="85"/>
      <c r="C325" s="85"/>
      <c r="D325" s="85"/>
      <c r="E325" s="86"/>
      <c r="F325" s="16">
        <f>IF(E325="","",DATEDIF(E325,$I$7,"Y"))</f>
      </c>
      <c r="G325" s="85"/>
      <c r="H325" s="85"/>
      <c r="I325" s="87"/>
      <c r="J325" s="85"/>
      <c r="K325" s="85"/>
      <c r="L325" s="10"/>
      <c r="M325" s="10"/>
      <c r="N325" s="10"/>
      <c r="O325" s="10"/>
      <c r="P325" s="85"/>
      <c r="Q325" s="88"/>
      <c r="R325" s="3">
        <f>IFERROR(VLOOKUP(TablaSeptiembre[[#This Row],[BARRIO]],SECTOR!$A:$B,2,0),"")</f>
      </c>
      <c r="S325" s="89"/>
      <c r="T325" s="90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6"/>
      <c r="AZ325" s="120">
        <f>COUNTIF(U325:AY325,"A")</f>
      </c>
      <c r="BA325" s="121">
        <f>COUNTIF(U325:AY325,"F")</f>
      </c>
      <c r="BB325" s="119">
        <f>COUNTIF(U325:AY325,"E")</f>
      </c>
    </row>
    <row r="326" spans="1:54" x14ac:dyDescent="0.2">
      <c r="A326" s="84"/>
      <c r="B326" s="85"/>
      <c r="C326" s="85"/>
      <c r="D326" s="85"/>
      <c r="E326" s="86"/>
      <c r="F326" s="16">
        <f>IF(E326="","",DATEDIF(E326,$I$7,"Y"))</f>
      </c>
      <c r="G326" s="85"/>
      <c r="H326" s="85"/>
      <c r="I326" s="87"/>
      <c r="J326" s="85"/>
      <c r="K326" s="85"/>
      <c r="L326" s="10"/>
      <c r="M326" s="10"/>
      <c r="N326" s="10"/>
      <c r="O326" s="10"/>
      <c r="P326" s="85"/>
      <c r="Q326" s="88"/>
      <c r="R326" s="3">
        <f>IFERROR(VLOOKUP(TablaSeptiembre[[#This Row],[BARRIO]],SECTOR!$A:$B,2,0),"")</f>
      </c>
      <c r="S326" s="89"/>
      <c r="T326" s="90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6"/>
      <c r="AZ326" s="120">
        <f>COUNTIF(U326:AY326,"A")</f>
      </c>
      <c r="BA326" s="121">
        <f>COUNTIF(U326:AY326,"F")</f>
      </c>
      <c r="BB326" s="119">
        <f>COUNTIF(U326:AY326,"E")</f>
      </c>
    </row>
    <row r="327" spans="1:54" x14ac:dyDescent="0.2">
      <c r="A327" s="84"/>
      <c r="B327" s="85"/>
      <c r="C327" s="85"/>
      <c r="D327" s="85"/>
      <c r="E327" s="86"/>
      <c r="F327" s="16">
        <f>IF(E327="","",DATEDIF(E327,$I$7,"Y"))</f>
      </c>
      <c r="G327" s="85"/>
      <c r="H327" s="85"/>
      <c r="I327" s="87"/>
      <c r="J327" s="85"/>
      <c r="K327" s="85"/>
      <c r="L327" s="10"/>
      <c r="M327" s="10"/>
      <c r="N327" s="10"/>
      <c r="O327" s="10"/>
      <c r="P327" s="85"/>
      <c r="Q327" s="88"/>
      <c r="R327" s="3">
        <f>IFERROR(VLOOKUP(TablaSeptiembre[[#This Row],[BARRIO]],SECTOR!$A:$B,2,0),"")</f>
      </c>
      <c r="S327" s="89"/>
      <c r="T327" s="90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6"/>
      <c r="AZ327" s="120">
        <f>COUNTIF(U327:AY327,"A")</f>
      </c>
      <c r="BA327" s="121">
        <f>COUNTIF(U327:AY327,"F")</f>
      </c>
      <c r="BB327" s="119">
        <f>COUNTIF(U327:AY327,"E")</f>
      </c>
    </row>
    <row r="328" spans="1:54" x14ac:dyDescent="0.2">
      <c r="A328" s="84"/>
      <c r="B328" s="85"/>
      <c r="C328" s="85"/>
      <c r="D328" s="85"/>
      <c r="E328" s="86"/>
      <c r="F328" s="16">
        <f>IF(E328="","",DATEDIF(E328,$I$7,"Y"))</f>
      </c>
      <c r="G328" s="85"/>
      <c r="H328" s="85"/>
      <c r="I328" s="87"/>
      <c r="J328" s="85"/>
      <c r="K328" s="85"/>
      <c r="L328" s="10"/>
      <c r="M328" s="10"/>
      <c r="N328" s="10"/>
      <c r="O328" s="10"/>
      <c r="P328" s="85"/>
      <c r="Q328" s="88"/>
      <c r="R328" s="3">
        <f>IFERROR(VLOOKUP(TablaSeptiembre[[#This Row],[BARRIO]],SECTOR!$A:$B,2,0),"")</f>
      </c>
      <c r="S328" s="89"/>
      <c r="T328" s="90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6"/>
      <c r="AZ328" s="120">
        <f>COUNTIF(U328:AY328,"A")</f>
      </c>
      <c r="BA328" s="121">
        <f>COUNTIF(U328:AY328,"F")</f>
      </c>
      <c r="BB328" s="119">
        <f>COUNTIF(U328:AY328,"E")</f>
      </c>
    </row>
    <row r="329" spans="1:54" x14ac:dyDescent="0.2">
      <c r="A329" s="84"/>
      <c r="B329" s="85"/>
      <c r="C329" s="85"/>
      <c r="D329" s="85"/>
      <c r="E329" s="86"/>
      <c r="F329" s="16">
        <f>IF(E329="","",DATEDIF(E329,$I$7,"Y"))</f>
      </c>
      <c r="G329" s="85"/>
      <c r="H329" s="85"/>
      <c r="I329" s="87"/>
      <c r="J329" s="85"/>
      <c r="K329" s="85"/>
      <c r="L329" s="10"/>
      <c r="M329" s="10"/>
      <c r="N329" s="10"/>
      <c r="O329" s="10"/>
      <c r="P329" s="85"/>
      <c r="Q329" s="88"/>
      <c r="R329" s="3">
        <f>IFERROR(VLOOKUP(TablaSeptiembre[[#This Row],[BARRIO]],SECTOR!$A:$B,2,0),"")</f>
      </c>
      <c r="S329" s="89"/>
      <c r="T329" s="90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6"/>
      <c r="AZ329" s="120">
        <f>COUNTIF(U329:AY329,"A")</f>
      </c>
      <c r="BA329" s="121">
        <f>COUNTIF(U329:AY329,"F")</f>
      </c>
      <c r="BB329" s="119">
        <f>COUNTIF(U329:AY329,"E")</f>
      </c>
    </row>
    <row r="330" spans="1:54" x14ac:dyDescent="0.2">
      <c r="A330" s="84"/>
      <c r="B330" s="85"/>
      <c r="C330" s="85"/>
      <c r="D330" s="85"/>
      <c r="E330" s="86"/>
      <c r="F330" s="16">
        <f>IF(E330="","",DATEDIF(E330,$I$7,"Y"))</f>
      </c>
      <c r="G330" s="85"/>
      <c r="H330" s="85"/>
      <c r="I330" s="87"/>
      <c r="J330" s="85"/>
      <c r="K330" s="85"/>
      <c r="L330" s="10"/>
      <c r="M330" s="10"/>
      <c r="N330" s="10"/>
      <c r="O330" s="10"/>
      <c r="P330" s="85"/>
      <c r="Q330" s="88"/>
      <c r="R330" s="3">
        <f>IFERROR(VLOOKUP(TablaSeptiembre[[#This Row],[BARRIO]],SECTOR!$A:$B,2,0),"")</f>
      </c>
      <c r="S330" s="89"/>
      <c r="T330" s="90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6"/>
      <c r="AZ330" s="120">
        <f>COUNTIF(U330:AY330,"A")</f>
      </c>
      <c r="BA330" s="121">
        <f>COUNTIF(U330:AY330,"F")</f>
      </c>
      <c r="BB330" s="119">
        <f>COUNTIF(U330:AY330,"E")</f>
      </c>
    </row>
    <row r="331" spans="1:54" x14ac:dyDescent="0.2">
      <c r="A331" s="84"/>
      <c r="B331" s="85"/>
      <c r="C331" s="85"/>
      <c r="D331" s="85"/>
      <c r="E331" s="86"/>
      <c r="F331" s="16">
        <f>IF(E331="","",DATEDIF(E331,$I$7,"Y"))</f>
      </c>
      <c r="G331" s="85"/>
      <c r="H331" s="85"/>
      <c r="I331" s="87"/>
      <c r="J331" s="85"/>
      <c r="K331" s="85"/>
      <c r="L331" s="10"/>
      <c r="M331" s="10"/>
      <c r="N331" s="10"/>
      <c r="O331" s="10"/>
      <c r="P331" s="85"/>
      <c r="Q331" s="88"/>
      <c r="R331" s="3">
        <f>IFERROR(VLOOKUP(TablaSeptiembre[[#This Row],[BARRIO]],SECTOR!$A:$B,2,0),"")</f>
      </c>
      <c r="S331" s="89"/>
      <c r="T331" s="90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6"/>
      <c r="AZ331" s="120">
        <f>COUNTIF(U331:AY331,"A")</f>
      </c>
      <c r="BA331" s="121">
        <f>COUNTIF(U331:AY331,"F")</f>
      </c>
      <c r="BB331" s="119">
        <f>COUNTIF(U331:AY331,"E")</f>
      </c>
    </row>
    <row r="332" spans="1:54" x14ac:dyDescent="0.2">
      <c r="A332" s="84"/>
      <c r="B332" s="85"/>
      <c r="C332" s="85"/>
      <c r="D332" s="85"/>
      <c r="E332" s="86"/>
      <c r="F332" s="16">
        <f>IF(E332="","",DATEDIF(E332,$I$7,"Y"))</f>
      </c>
      <c r="G332" s="85"/>
      <c r="H332" s="85"/>
      <c r="I332" s="87"/>
      <c r="J332" s="85"/>
      <c r="K332" s="85"/>
      <c r="L332" s="10"/>
      <c r="M332" s="10"/>
      <c r="N332" s="10"/>
      <c r="O332" s="10"/>
      <c r="P332" s="85"/>
      <c r="Q332" s="88"/>
      <c r="R332" s="3">
        <f>IFERROR(VLOOKUP(TablaSeptiembre[[#This Row],[BARRIO]],SECTOR!$A:$B,2,0),"")</f>
      </c>
      <c r="S332" s="89"/>
      <c r="T332" s="90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6"/>
      <c r="AZ332" s="120">
        <f>COUNTIF(U332:AY332,"A")</f>
      </c>
      <c r="BA332" s="121">
        <f>COUNTIF(U332:AY332,"F")</f>
      </c>
      <c r="BB332" s="119">
        <f>COUNTIF(U332:AY332,"E")</f>
      </c>
    </row>
    <row r="333" spans="1:54" x14ac:dyDescent="0.2">
      <c r="A333" s="84"/>
      <c r="B333" s="85"/>
      <c r="C333" s="85"/>
      <c r="D333" s="85"/>
      <c r="E333" s="86"/>
      <c r="F333" s="16">
        <f>IF(E333="","",DATEDIF(E333,$I$7,"Y"))</f>
      </c>
      <c r="G333" s="85"/>
      <c r="H333" s="85"/>
      <c r="I333" s="87"/>
      <c r="J333" s="85"/>
      <c r="K333" s="85"/>
      <c r="L333" s="10"/>
      <c r="M333" s="10"/>
      <c r="N333" s="10"/>
      <c r="O333" s="10"/>
      <c r="P333" s="85"/>
      <c r="Q333" s="88"/>
      <c r="R333" s="3">
        <f>IFERROR(VLOOKUP(TablaSeptiembre[[#This Row],[BARRIO]],SECTOR!$A:$B,2,0),"")</f>
      </c>
      <c r="S333" s="89"/>
      <c r="T333" s="90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6"/>
      <c r="AZ333" s="120">
        <f>COUNTIF(U333:AY333,"A")</f>
      </c>
      <c r="BA333" s="121">
        <f>COUNTIF(U333:AY333,"F")</f>
      </c>
      <c r="BB333" s="119">
        <f>COUNTIF(U333:AY333,"E")</f>
      </c>
    </row>
    <row r="334" spans="1:54" x14ac:dyDescent="0.2">
      <c r="A334" s="84"/>
      <c r="B334" s="85"/>
      <c r="C334" s="85"/>
      <c r="D334" s="85"/>
      <c r="E334" s="86"/>
      <c r="F334" s="16">
        <f>IF(E334="","",DATEDIF(E334,$I$7,"Y"))</f>
      </c>
      <c r="G334" s="85"/>
      <c r="H334" s="85"/>
      <c r="I334" s="87"/>
      <c r="J334" s="85"/>
      <c r="K334" s="85"/>
      <c r="L334" s="10"/>
      <c r="M334" s="10"/>
      <c r="N334" s="10"/>
      <c r="O334" s="10"/>
      <c r="P334" s="85"/>
      <c r="Q334" s="88"/>
      <c r="R334" s="3">
        <f>IFERROR(VLOOKUP(TablaSeptiembre[[#This Row],[BARRIO]],SECTOR!$A:$B,2,0),"")</f>
      </c>
      <c r="S334" s="89"/>
      <c r="T334" s="90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6"/>
      <c r="AZ334" s="120">
        <f>COUNTIF(U334:AY334,"A")</f>
      </c>
      <c r="BA334" s="121">
        <f>COUNTIF(U334:AY334,"F")</f>
      </c>
      <c r="BB334" s="119">
        <f>COUNTIF(U334:AY334,"E")</f>
      </c>
    </row>
    <row r="335" spans="1:54" x14ac:dyDescent="0.2">
      <c r="A335" s="84"/>
      <c r="B335" s="85"/>
      <c r="C335" s="85"/>
      <c r="D335" s="85"/>
      <c r="E335" s="86"/>
      <c r="F335" s="16">
        <f>IF(E335="","",DATEDIF(E335,$I$7,"Y"))</f>
      </c>
      <c r="G335" s="85"/>
      <c r="H335" s="85"/>
      <c r="I335" s="87"/>
      <c r="J335" s="85"/>
      <c r="K335" s="85"/>
      <c r="L335" s="10"/>
      <c r="M335" s="10"/>
      <c r="N335" s="10"/>
      <c r="O335" s="10"/>
      <c r="P335" s="85"/>
      <c r="Q335" s="88"/>
      <c r="R335" s="3">
        <f>IFERROR(VLOOKUP(TablaSeptiembre[[#This Row],[BARRIO]],SECTOR!$A:$B,2,0),"")</f>
      </c>
      <c r="S335" s="89"/>
      <c r="T335" s="90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6"/>
      <c r="AZ335" s="120">
        <f>COUNTIF(U335:AY335,"A")</f>
      </c>
      <c r="BA335" s="121">
        <f>COUNTIF(U335:AY335,"F")</f>
      </c>
      <c r="BB335" s="119">
        <f>COUNTIF(U335:AY335,"E")</f>
      </c>
    </row>
    <row r="336" spans="1:54" x14ac:dyDescent="0.2">
      <c r="A336" s="84"/>
      <c r="B336" s="85"/>
      <c r="C336" s="85"/>
      <c r="D336" s="85"/>
      <c r="E336" s="86"/>
      <c r="F336" s="16">
        <f>IF(E336="","",DATEDIF(E336,$I$7,"Y"))</f>
      </c>
      <c r="G336" s="85"/>
      <c r="H336" s="85"/>
      <c r="I336" s="87"/>
      <c r="J336" s="85"/>
      <c r="K336" s="85"/>
      <c r="L336" s="10"/>
      <c r="M336" s="10"/>
      <c r="N336" s="10"/>
      <c r="O336" s="10"/>
      <c r="P336" s="85"/>
      <c r="Q336" s="88"/>
      <c r="R336" s="3">
        <f>IFERROR(VLOOKUP(TablaSeptiembre[[#This Row],[BARRIO]],SECTOR!$A:$B,2,0),"")</f>
      </c>
      <c r="S336" s="89"/>
      <c r="T336" s="90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6"/>
      <c r="AZ336" s="120">
        <f>COUNTIF(U336:AY336,"A")</f>
      </c>
      <c r="BA336" s="121">
        <f>COUNTIF(U336:AY336,"F")</f>
      </c>
      <c r="BB336" s="119">
        <f>COUNTIF(U336:AY336,"E")</f>
      </c>
    </row>
    <row r="337" spans="1:54" x14ac:dyDescent="0.2">
      <c r="A337" s="84"/>
      <c r="B337" s="85"/>
      <c r="C337" s="85"/>
      <c r="D337" s="85"/>
      <c r="E337" s="86"/>
      <c r="F337" s="16">
        <f>IF(E337="","",DATEDIF(E337,$I$7,"Y"))</f>
      </c>
      <c r="G337" s="85"/>
      <c r="H337" s="85"/>
      <c r="I337" s="87"/>
      <c r="J337" s="85"/>
      <c r="K337" s="85"/>
      <c r="L337" s="10"/>
      <c r="M337" s="10"/>
      <c r="N337" s="10"/>
      <c r="O337" s="10"/>
      <c r="P337" s="85"/>
      <c r="Q337" s="88"/>
      <c r="R337" s="3">
        <f>IFERROR(VLOOKUP(TablaSeptiembre[[#This Row],[BARRIO]],SECTOR!$A:$B,2,0),"")</f>
      </c>
      <c r="S337" s="89"/>
      <c r="T337" s="90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6"/>
      <c r="AZ337" s="120">
        <f>COUNTIF(U337:AY337,"A")</f>
      </c>
      <c r="BA337" s="121">
        <f>COUNTIF(U337:AY337,"F")</f>
      </c>
      <c r="BB337" s="119">
        <f>COUNTIF(U337:AY337,"E")</f>
      </c>
    </row>
    <row r="338" spans="1:54" x14ac:dyDescent="0.2">
      <c r="A338" s="84"/>
      <c r="B338" s="85"/>
      <c r="C338" s="85"/>
      <c r="D338" s="85"/>
      <c r="E338" s="86"/>
      <c r="F338" s="16">
        <f>IF(E338="","",DATEDIF(E338,$I$7,"Y"))</f>
      </c>
      <c r="G338" s="85"/>
      <c r="H338" s="85"/>
      <c r="I338" s="87"/>
      <c r="J338" s="85"/>
      <c r="K338" s="85"/>
      <c r="L338" s="10"/>
      <c r="M338" s="10"/>
      <c r="N338" s="10"/>
      <c r="O338" s="10"/>
      <c r="P338" s="85"/>
      <c r="Q338" s="88"/>
      <c r="R338" s="3">
        <f>IFERROR(VLOOKUP(TablaSeptiembre[[#This Row],[BARRIO]],SECTOR!$A:$B,2,0),"")</f>
      </c>
      <c r="S338" s="89"/>
      <c r="T338" s="90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6"/>
      <c r="AZ338" s="120">
        <f>COUNTIF(U338:AY338,"A")</f>
      </c>
      <c r="BA338" s="121">
        <f>COUNTIF(U338:AY338,"F")</f>
      </c>
      <c r="BB338" s="119">
        <f>COUNTIF(U338:AY338,"E")</f>
      </c>
    </row>
    <row r="339" spans="1:54" x14ac:dyDescent="0.2">
      <c r="A339" s="84"/>
      <c r="B339" s="85"/>
      <c r="C339" s="85"/>
      <c r="D339" s="85"/>
      <c r="E339" s="86"/>
      <c r="F339" s="16">
        <f>IF(E339="","",DATEDIF(E339,$I$7,"Y"))</f>
      </c>
      <c r="G339" s="85"/>
      <c r="H339" s="85"/>
      <c r="I339" s="87"/>
      <c r="J339" s="85"/>
      <c r="K339" s="85"/>
      <c r="L339" s="10"/>
      <c r="M339" s="10"/>
      <c r="N339" s="10"/>
      <c r="O339" s="10"/>
      <c r="P339" s="85"/>
      <c r="Q339" s="88"/>
      <c r="R339" s="3">
        <f>IFERROR(VLOOKUP(TablaSeptiembre[[#This Row],[BARRIO]],SECTOR!$A:$B,2,0),"")</f>
      </c>
      <c r="S339" s="89"/>
      <c r="T339" s="90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6"/>
      <c r="AZ339" s="120">
        <f>COUNTIF(U339:AY339,"A")</f>
      </c>
      <c r="BA339" s="121">
        <f>COUNTIF(U339:AY339,"F")</f>
      </c>
      <c r="BB339" s="119">
        <f>COUNTIF(U339:AY339,"E")</f>
      </c>
    </row>
    <row r="340" spans="1:54" x14ac:dyDescent="0.2">
      <c r="A340" s="84"/>
      <c r="B340" s="85"/>
      <c r="C340" s="85"/>
      <c r="D340" s="85"/>
      <c r="E340" s="86"/>
      <c r="F340" s="16">
        <f>IF(E340="","",DATEDIF(E340,$I$7,"Y"))</f>
      </c>
      <c r="G340" s="85"/>
      <c r="H340" s="85"/>
      <c r="I340" s="87"/>
      <c r="J340" s="85"/>
      <c r="K340" s="85"/>
      <c r="L340" s="10"/>
      <c r="M340" s="10"/>
      <c r="N340" s="10"/>
      <c r="O340" s="10"/>
      <c r="P340" s="85"/>
      <c r="Q340" s="88"/>
      <c r="R340" s="3">
        <f>IFERROR(VLOOKUP(TablaSeptiembre[[#This Row],[BARRIO]],SECTOR!$A:$B,2,0),"")</f>
      </c>
      <c r="S340" s="89"/>
      <c r="T340" s="90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6"/>
      <c r="AZ340" s="120">
        <f>COUNTIF(U340:AY340,"A")</f>
      </c>
      <c r="BA340" s="121">
        <f>COUNTIF(U340:AY340,"F")</f>
      </c>
      <c r="BB340" s="119">
        <f>COUNTIF(U340:AY340,"E")</f>
      </c>
    </row>
    <row r="341" spans="1:54" x14ac:dyDescent="0.2">
      <c r="A341" s="84"/>
      <c r="B341" s="85"/>
      <c r="C341" s="85"/>
      <c r="D341" s="85"/>
      <c r="E341" s="86"/>
      <c r="F341" s="16">
        <f>IF(E341="","",DATEDIF(E341,$I$7,"Y"))</f>
      </c>
      <c r="G341" s="85"/>
      <c r="H341" s="85"/>
      <c r="I341" s="87"/>
      <c r="J341" s="85"/>
      <c r="K341" s="85"/>
      <c r="L341" s="10"/>
      <c r="M341" s="10"/>
      <c r="N341" s="10"/>
      <c r="O341" s="10"/>
      <c r="P341" s="85"/>
      <c r="Q341" s="88"/>
      <c r="R341" s="3">
        <f>IFERROR(VLOOKUP(TablaSeptiembre[[#This Row],[BARRIO]],SECTOR!$A:$B,2,0),"")</f>
      </c>
      <c r="S341" s="89"/>
      <c r="T341" s="90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6"/>
      <c r="AZ341" s="120">
        <f>COUNTIF(U341:AY341,"A")</f>
      </c>
      <c r="BA341" s="121">
        <f>COUNTIF(U341:AY341,"F")</f>
      </c>
      <c r="BB341" s="119">
        <f>COUNTIF(U341:AY341,"E")</f>
      </c>
    </row>
    <row r="342" spans="1:54" x14ac:dyDescent="0.2">
      <c r="A342" s="84"/>
      <c r="B342" s="85"/>
      <c r="C342" s="85"/>
      <c r="D342" s="85"/>
      <c r="E342" s="86"/>
      <c r="F342" s="16">
        <f>IF(E342="","",DATEDIF(E342,$I$7,"Y"))</f>
      </c>
      <c r="G342" s="85"/>
      <c r="H342" s="85"/>
      <c r="I342" s="87"/>
      <c r="J342" s="85"/>
      <c r="K342" s="85"/>
      <c r="L342" s="10"/>
      <c r="M342" s="10"/>
      <c r="N342" s="10"/>
      <c r="O342" s="10"/>
      <c r="P342" s="85"/>
      <c r="Q342" s="88"/>
      <c r="R342" s="3">
        <f>IFERROR(VLOOKUP(TablaSeptiembre[[#This Row],[BARRIO]],SECTOR!$A:$B,2,0),"")</f>
      </c>
      <c r="S342" s="89"/>
      <c r="T342" s="90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6"/>
      <c r="AZ342" s="120">
        <f>COUNTIF(U342:AY342,"A")</f>
      </c>
      <c r="BA342" s="121">
        <f>COUNTIF(U342:AY342,"F")</f>
      </c>
      <c r="BB342" s="119">
        <f>COUNTIF(U342:AY342,"E")</f>
      </c>
    </row>
    <row r="343" spans="1:54" x14ac:dyDescent="0.2">
      <c r="A343" s="84"/>
      <c r="B343" s="85"/>
      <c r="C343" s="85"/>
      <c r="D343" s="85"/>
      <c r="E343" s="86"/>
      <c r="F343" s="16">
        <f>IF(E343="","",DATEDIF(E343,$I$7,"Y"))</f>
      </c>
      <c r="G343" s="85"/>
      <c r="H343" s="85"/>
      <c r="I343" s="87"/>
      <c r="J343" s="85"/>
      <c r="K343" s="85"/>
      <c r="L343" s="10"/>
      <c r="M343" s="10"/>
      <c r="N343" s="10"/>
      <c r="O343" s="10"/>
      <c r="P343" s="85"/>
      <c r="Q343" s="88"/>
      <c r="R343" s="3">
        <f>IFERROR(VLOOKUP(TablaSeptiembre[[#This Row],[BARRIO]],SECTOR!$A:$B,2,0),"")</f>
      </c>
      <c r="S343" s="89"/>
      <c r="T343" s="90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6"/>
      <c r="AZ343" s="120">
        <f>COUNTIF(U343:AY343,"A")</f>
      </c>
      <c r="BA343" s="121">
        <f>COUNTIF(U343:AY343,"F")</f>
      </c>
      <c r="BB343" s="119">
        <f>COUNTIF(U343:AY343,"E")</f>
      </c>
    </row>
    <row r="344" spans="1:54" x14ac:dyDescent="0.2">
      <c r="A344" s="84"/>
      <c r="B344" s="85"/>
      <c r="C344" s="85"/>
      <c r="D344" s="85"/>
      <c r="E344" s="86"/>
      <c r="F344" s="16">
        <f>IF(E344="","",DATEDIF(E344,$I$7,"Y"))</f>
      </c>
      <c r="G344" s="85"/>
      <c r="H344" s="85"/>
      <c r="I344" s="87"/>
      <c r="J344" s="85"/>
      <c r="K344" s="85"/>
      <c r="L344" s="10"/>
      <c r="M344" s="10"/>
      <c r="N344" s="10"/>
      <c r="O344" s="10"/>
      <c r="P344" s="85"/>
      <c r="Q344" s="88"/>
      <c r="R344" s="3">
        <f>IFERROR(VLOOKUP(TablaSeptiembre[[#This Row],[BARRIO]],SECTOR!$A:$B,2,0),"")</f>
      </c>
      <c r="S344" s="89"/>
      <c r="T344" s="90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6"/>
      <c r="AZ344" s="120">
        <f>COUNTIF(U344:AY344,"A")</f>
      </c>
      <c r="BA344" s="121">
        <f>COUNTIF(U344:AY344,"F")</f>
      </c>
      <c r="BB344" s="119">
        <f>COUNTIF(U344:AY344,"E")</f>
      </c>
    </row>
    <row r="345" spans="1:54" x14ac:dyDescent="0.2">
      <c r="A345" s="84"/>
      <c r="B345" s="85"/>
      <c r="C345" s="85"/>
      <c r="D345" s="85"/>
      <c r="E345" s="86"/>
      <c r="F345" s="16">
        <f>IF(E345="","",DATEDIF(E345,$I$7,"Y"))</f>
      </c>
      <c r="G345" s="85"/>
      <c r="H345" s="85"/>
      <c r="I345" s="87"/>
      <c r="J345" s="85"/>
      <c r="K345" s="85"/>
      <c r="L345" s="10"/>
      <c r="M345" s="10"/>
      <c r="N345" s="10"/>
      <c r="O345" s="10"/>
      <c r="P345" s="85"/>
      <c r="Q345" s="88"/>
      <c r="R345" s="3">
        <f>IFERROR(VLOOKUP(TablaSeptiembre[[#This Row],[BARRIO]],SECTOR!$A:$B,2,0),"")</f>
      </c>
      <c r="S345" s="89"/>
      <c r="T345" s="90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6"/>
      <c r="AZ345" s="120">
        <f>COUNTIF(U345:AY345,"A")</f>
      </c>
      <c r="BA345" s="121">
        <f>COUNTIF(U345:AY345,"F")</f>
      </c>
      <c r="BB345" s="119">
        <f>COUNTIF(U345:AY345,"E")</f>
      </c>
    </row>
    <row r="346" spans="1:54" x14ac:dyDescent="0.2">
      <c r="A346" s="84"/>
      <c r="B346" s="85"/>
      <c r="C346" s="85"/>
      <c r="D346" s="85"/>
      <c r="E346" s="86"/>
      <c r="F346" s="16">
        <f>IF(E346="","",DATEDIF(E346,$I$7,"Y"))</f>
      </c>
      <c r="G346" s="85"/>
      <c r="H346" s="85"/>
      <c r="I346" s="87"/>
      <c r="J346" s="85"/>
      <c r="K346" s="85"/>
      <c r="L346" s="10"/>
      <c r="M346" s="10"/>
      <c r="N346" s="10"/>
      <c r="O346" s="10"/>
      <c r="P346" s="85"/>
      <c r="Q346" s="88"/>
      <c r="R346" s="3">
        <f>IFERROR(VLOOKUP(TablaSeptiembre[[#This Row],[BARRIO]],SECTOR!$A:$B,2,0),"")</f>
      </c>
      <c r="S346" s="89"/>
      <c r="T346" s="90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6"/>
      <c r="AZ346" s="120">
        <f>COUNTIF(U346:AY346,"A")</f>
      </c>
      <c r="BA346" s="121">
        <f>COUNTIF(U346:AY346,"F")</f>
      </c>
      <c r="BB346" s="119">
        <f>COUNTIF(U346:AY346,"E")</f>
      </c>
    </row>
    <row r="347" spans="1:54" x14ac:dyDescent="0.2">
      <c r="A347" s="84"/>
      <c r="B347" s="85"/>
      <c r="C347" s="85"/>
      <c r="D347" s="85"/>
      <c r="E347" s="86"/>
      <c r="F347" s="16">
        <f>IF(E347="","",DATEDIF(E347,$I$7,"Y"))</f>
      </c>
      <c r="G347" s="85"/>
      <c r="H347" s="85"/>
      <c r="I347" s="87"/>
      <c r="J347" s="85"/>
      <c r="K347" s="85"/>
      <c r="L347" s="10"/>
      <c r="M347" s="10"/>
      <c r="N347" s="10"/>
      <c r="O347" s="10"/>
      <c r="P347" s="85"/>
      <c r="Q347" s="88"/>
      <c r="R347" s="3">
        <f>IFERROR(VLOOKUP(TablaSeptiembre[[#This Row],[BARRIO]],SECTOR!$A:$B,2,0),"")</f>
      </c>
      <c r="S347" s="89"/>
      <c r="T347" s="90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6"/>
      <c r="AZ347" s="120">
        <f>COUNTIF(U347:AY347,"A")</f>
      </c>
      <c r="BA347" s="121">
        <f>COUNTIF(U347:AY347,"F")</f>
      </c>
      <c r="BB347" s="119">
        <f>COUNTIF(U347:AY347,"E")</f>
      </c>
    </row>
    <row r="348" spans="1:54" x14ac:dyDescent="0.2">
      <c r="A348" s="84"/>
      <c r="B348" s="85"/>
      <c r="C348" s="85"/>
      <c r="D348" s="85"/>
      <c r="E348" s="86"/>
      <c r="F348" s="16">
        <f>IF(E348="","",DATEDIF(E348,$I$7,"Y"))</f>
      </c>
      <c r="G348" s="85"/>
      <c r="H348" s="85"/>
      <c r="I348" s="87"/>
      <c r="J348" s="85"/>
      <c r="K348" s="85"/>
      <c r="L348" s="10"/>
      <c r="M348" s="10"/>
      <c r="N348" s="10"/>
      <c r="O348" s="10"/>
      <c r="P348" s="85"/>
      <c r="Q348" s="88"/>
      <c r="R348" s="3">
        <f>IFERROR(VLOOKUP(TablaSeptiembre[[#This Row],[BARRIO]],SECTOR!$A:$B,2,0),"")</f>
      </c>
      <c r="S348" s="89"/>
      <c r="T348" s="90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6"/>
      <c r="AZ348" s="120">
        <f>COUNTIF(U348:AY348,"A")</f>
      </c>
      <c r="BA348" s="121">
        <f>COUNTIF(U348:AY348,"F")</f>
      </c>
      <c r="BB348" s="119">
        <f>COUNTIF(U348:AY348,"E")</f>
      </c>
    </row>
    <row r="349" spans="1:54" x14ac:dyDescent="0.2">
      <c r="A349" s="84"/>
      <c r="B349" s="85"/>
      <c r="C349" s="85"/>
      <c r="D349" s="85"/>
      <c r="E349" s="86"/>
      <c r="F349" s="16">
        <f>IF(E349="","",DATEDIF(E349,$I$7,"Y"))</f>
      </c>
      <c r="G349" s="85"/>
      <c r="H349" s="85"/>
      <c r="I349" s="87"/>
      <c r="J349" s="85"/>
      <c r="K349" s="85"/>
      <c r="L349" s="10"/>
      <c r="M349" s="10"/>
      <c r="N349" s="10"/>
      <c r="O349" s="10"/>
      <c r="P349" s="85"/>
      <c r="Q349" s="88"/>
      <c r="R349" s="3">
        <f>IFERROR(VLOOKUP(TablaSeptiembre[[#This Row],[BARRIO]],SECTOR!$A:$B,2,0),"")</f>
      </c>
      <c r="S349" s="89"/>
      <c r="T349" s="90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6"/>
      <c r="AZ349" s="120">
        <f>COUNTIF(U349:AY349,"A")</f>
      </c>
      <c r="BA349" s="121">
        <f>COUNTIF(U349:AY349,"F")</f>
      </c>
      <c r="BB349" s="119">
        <f>COUNTIF(U349:AY349,"E")</f>
      </c>
    </row>
    <row r="350" spans="1:54" x14ac:dyDescent="0.2">
      <c r="A350" s="84"/>
      <c r="B350" s="85"/>
      <c r="C350" s="85"/>
      <c r="D350" s="85"/>
      <c r="E350" s="86"/>
      <c r="F350" s="16">
        <f>IF(E350="","",DATEDIF(E350,$I$7,"Y"))</f>
      </c>
      <c r="G350" s="85"/>
      <c r="H350" s="85"/>
      <c r="I350" s="87"/>
      <c r="J350" s="85"/>
      <c r="K350" s="85"/>
      <c r="L350" s="10"/>
      <c r="M350" s="10"/>
      <c r="N350" s="10"/>
      <c r="O350" s="10"/>
      <c r="P350" s="85"/>
      <c r="Q350" s="88"/>
      <c r="R350" s="3">
        <f>IFERROR(VLOOKUP(TablaSeptiembre[[#This Row],[BARRIO]],SECTOR!$A:$B,2,0),"")</f>
      </c>
      <c r="S350" s="89"/>
      <c r="T350" s="90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6"/>
      <c r="AZ350" s="120">
        <f>COUNTIF(U350:AY350,"A")</f>
      </c>
      <c r="BA350" s="121">
        <f>COUNTIF(U350:AY350,"F")</f>
      </c>
      <c r="BB350" s="119">
        <f>COUNTIF(U350:AY350,"E")</f>
      </c>
    </row>
    <row r="351" spans="1:54" x14ac:dyDescent="0.2">
      <c r="A351" s="84"/>
      <c r="B351" s="85"/>
      <c r="C351" s="85"/>
      <c r="D351" s="85"/>
      <c r="E351" s="86"/>
      <c r="F351" s="16">
        <f>IF(E351="","",DATEDIF(E351,$I$7,"Y"))</f>
      </c>
      <c r="G351" s="85"/>
      <c r="H351" s="85"/>
      <c r="I351" s="87"/>
      <c r="J351" s="85"/>
      <c r="K351" s="85"/>
      <c r="L351" s="10"/>
      <c r="M351" s="10"/>
      <c r="N351" s="10"/>
      <c r="O351" s="10"/>
      <c r="P351" s="85"/>
      <c r="Q351" s="88"/>
      <c r="R351" s="3">
        <f>IFERROR(VLOOKUP(TablaSeptiembre[[#This Row],[BARRIO]],SECTOR!$A:$B,2,0),"")</f>
      </c>
      <c r="S351" s="89"/>
      <c r="T351" s="90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6"/>
      <c r="AZ351" s="120">
        <f>COUNTIF(U351:AY351,"A")</f>
      </c>
      <c r="BA351" s="121">
        <f>COUNTIF(U351:AY351,"F")</f>
      </c>
      <c r="BB351" s="119">
        <f>COUNTIF(U351:AY351,"E")</f>
      </c>
    </row>
    <row r="352" spans="1:54" x14ac:dyDescent="0.2">
      <c r="A352" s="84"/>
      <c r="B352" s="85"/>
      <c r="C352" s="85"/>
      <c r="D352" s="85"/>
      <c r="E352" s="86"/>
      <c r="F352" s="16">
        <f>IF(E352="","",DATEDIF(E352,$I$7,"Y"))</f>
      </c>
      <c r="G352" s="85"/>
      <c r="H352" s="85"/>
      <c r="I352" s="87"/>
      <c r="J352" s="85"/>
      <c r="K352" s="85"/>
      <c r="L352" s="10"/>
      <c r="M352" s="10"/>
      <c r="N352" s="10"/>
      <c r="O352" s="10"/>
      <c r="P352" s="85"/>
      <c r="Q352" s="88"/>
      <c r="R352" s="3">
        <f>IFERROR(VLOOKUP(TablaSeptiembre[[#This Row],[BARRIO]],SECTOR!$A:$B,2,0),"")</f>
      </c>
      <c r="S352" s="89"/>
      <c r="T352" s="90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6"/>
      <c r="AZ352" s="120">
        <f>COUNTIF(U352:AY352,"A")</f>
      </c>
      <c r="BA352" s="121">
        <f>COUNTIF(U352:AY352,"F")</f>
      </c>
      <c r="BB352" s="119">
        <f>COUNTIF(U352:AY352,"E")</f>
      </c>
    </row>
    <row r="353" spans="1:54" x14ac:dyDescent="0.2">
      <c r="A353" s="84"/>
      <c r="B353" s="85"/>
      <c r="C353" s="85"/>
      <c r="D353" s="85"/>
      <c r="E353" s="86"/>
      <c r="F353" s="16">
        <f>IF(E353="","",DATEDIF(E353,$I$7,"Y"))</f>
      </c>
      <c r="G353" s="85"/>
      <c r="H353" s="85"/>
      <c r="I353" s="87"/>
      <c r="J353" s="85"/>
      <c r="K353" s="85"/>
      <c r="L353" s="10"/>
      <c r="M353" s="10"/>
      <c r="N353" s="10"/>
      <c r="O353" s="10"/>
      <c r="P353" s="85"/>
      <c r="Q353" s="88"/>
      <c r="R353" s="3">
        <f>IFERROR(VLOOKUP(TablaSeptiembre[[#This Row],[BARRIO]],SECTOR!$A:$B,2,0),"")</f>
      </c>
      <c r="S353" s="89"/>
      <c r="T353" s="90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6"/>
      <c r="AZ353" s="120">
        <f>COUNTIF(U353:AY353,"A")</f>
      </c>
      <c r="BA353" s="121">
        <f>COUNTIF(U353:AY353,"F")</f>
      </c>
      <c r="BB353" s="119">
        <f>COUNTIF(U353:AY353,"E")</f>
      </c>
    </row>
    <row r="354" spans="1:54" x14ac:dyDescent="0.2">
      <c r="A354" s="84"/>
      <c r="B354" s="85"/>
      <c r="C354" s="85"/>
      <c r="D354" s="85"/>
      <c r="E354" s="86"/>
      <c r="F354" s="16">
        <f>IF(E354="","",DATEDIF(E354,$I$7,"Y"))</f>
      </c>
      <c r="G354" s="85"/>
      <c r="H354" s="85"/>
      <c r="I354" s="87"/>
      <c r="J354" s="85"/>
      <c r="K354" s="85"/>
      <c r="L354" s="10"/>
      <c r="M354" s="10"/>
      <c r="N354" s="10"/>
      <c r="O354" s="10"/>
      <c r="P354" s="85"/>
      <c r="Q354" s="88"/>
      <c r="R354" s="3">
        <f>IFERROR(VLOOKUP(TablaSeptiembre[[#This Row],[BARRIO]],SECTOR!$A:$B,2,0),"")</f>
      </c>
      <c r="S354" s="89"/>
      <c r="T354" s="90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6"/>
      <c r="AZ354" s="120">
        <f>COUNTIF(U354:AY354,"A")</f>
      </c>
      <c r="BA354" s="121">
        <f>COUNTIF(U354:AY354,"F")</f>
      </c>
      <c r="BB354" s="119">
        <f>COUNTIF(U354:AY354,"E")</f>
      </c>
    </row>
    <row r="355" spans="1:54" x14ac:dyDescent="0.2">
      <c r="A355" s="84"/>
      <c r="B355" s="85"/>
      <c r="C355" s="85"/>
      <c r="D355" s="85"/>
      <c r="E355" s="86"/>
      <c r="F355" s="16">
        <f>IF(E355="","",DATEDIF(E355,$I$7,"Y"))</f>
      </c>
      <c r="G355" s="85"/>
      <c r="H355" s="85"/>
      <c r="I355" s="87"/>
      <c r="J355" s="85"/>
      <c r="K355" s="85"/>
      <c r="L355" s="10"/>
      <c r="M355" s="10"/>
      <c r="N355" s="10"/>
      <c r="O355" s="10"/>
      <c r="P355" s="85"/>
      <c r="Q355" s="88"/>
      <c r="R355" s="3">
        <f>IFERROR(VLOOKUP(TablaSeptiembre[[#This Row],[BARRIO]],SECTOR!$A:$B,2,0),"")</f>
      </c>
      <c r="S355" s="89"/>
      <c r="T355" s="90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6"/>
      <c r="AZ355" s="120">
        <f>COUNTIF(U355:AY355,"A")</f>
      </c>
      <c r="BA355" s="121">
        <f>COUNTIF(U355:AY355,"F")</f>
      </c>
      <c r="BB355" s="119">
        <f>COUNTIF(U355:AY355,"E")</f>
      </c>
    </row>
    <row r="356" spans="1:54" x14ac:dyDescent="0.2">
      <c r="A356" s="84"/>
      <c r="B356" s="85"/>
      <c r="C356" s="85"/>
      <c r="D356" s="85"/>
      <c r="E356" s="86"/>
      <c r="F356" s="16">
        <f>IF(E356="","",DATEDIF(E356,$I$7,"Y"))</f>
      </c>
      <c r="G356" s="85"/>
      <c r="H356" s="85"/>
      <c r="I356" s="87"/>
      <c r="J356" s="85"/>
      <c r="K356" s="85"/>
      <c r="L356" s="10"/>
      <c r="M356" s="10"/>
      <c r="N356" s="10"/>
      <c r="O356" s="10"/>
      <c r="P356" s="85"/>
      <c r="Q356" s="88"/>
      <c r="R356" s="3">
        <f>IFERROR(VLOOKUP(TablaSeptiembre[[#This Row],[BARRIO]],SECTOR!$A:$B,2,0),"")</f>
      </c>
      <c r="S356" s="89"/>
      <c r="T356" s="90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6"/>
      <c r="AZ356" s="120">
        <f>COUNTIF(U356:AY356,"A")</f>
      </c>
      <c r="BA356" s="121">
        <f>COUNTIF(U356:AY356,"F")</f>
      </c>
      <c r="BB356" s="119">
        <f>COUNTIF(U356:AY356,"E")</f>
      </c>
    </row>
    <row r="357" spans="1:54" x14ac:dyDescent="0.2">
      <c r="A357" s="84"/>
      <c r="B357" s="85"/>
      <c r="C357" s="85"/>
      <c r="D357" s="85"/>
      <c r="E357" s="86"/>
      <c r="F357" s="16">
        <f>IF(E357="","",DATEDIF(E357,$I$7,"Y"))</f>
      </c>
      <c r="G357" s="85"/>
      <c r="H357" s="85"/>
      <c r="I357" s="87"/>
      <c r="J357" s="85"/>
      <c r="K357" s="85"/>
      <c r="L357" s="10"/>
      <c r="M357" s="10"/>
      <c r="N357" s="10"/>
      <c r="O357" s="10"/>
      <c r="P357" s="85"/>
      <c r="Q357" s="88"/>
      <c r="R357" s="3">
        <f>IFERROR(VLOOKUP(TablaSeptiembre[[#This Row],[BARRIO]],SECTOR!$A:$B,2,0),"")</f>
      </c>
      <c r="S357" s="89"/>
      <c r="T357" s="90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6"/>
      <c r="AZ357" s="120">
        <f>COUNTIF(U357:AY357,"A")</f>
      </c>
      <c r="BA357" s="121">
        <f>COUNTIF(U357:AY357,"F")</f>
      </c>
      <c r="BB357" s="119">
        <f>COUNTIF(U357:AY357,"E")</f>
      </c>
    </row>
    <row r="358" spans="1:54" x14ac:dyDescent="0.2">
      <c r="A358" s="84"/>
      <c r="B358" s="85"/>
      <c r="C358" s="85"/>
      <c r="D358" s="85"/>
      <c r="E358" s="86"/>
      <c r="F358" s="16">
        <f>IF(E358="","",DATEDIF(E358,$I$7,"Y"))</f>
      </c>
      <c r="G358" s="85"/>
      <c r="H358" s="85"/>
      <c r="I358" s="87"/>
      <c r="J358" s="85"/>
      <c r="K358" s="85"/>
      <c r="L358" s="10"/>
      <c r="M358" s="10"/>
      <c r="N358" s="10"/>
      <c r="O358" s="10"/>
      <c r="P358" s="85"/>
      <c r="Q358" s="88"/>
      <c r="R358" s="3">
        <f>IFERROR(VLOOKUP(TablaSeptiembre[[#This Row],[BARRIO]],SECTOR!$A:$B,2,0),"")</f>
      </c>
      <c r="S358" s="89"/>
      <c r="T358" s="90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6"/>
      <c r="AZ358" s="120">
        <f>COUNTIF(U358:AY358,"A")</f>
      </c>
      <c r="BA358" s="121">
        <f>COUNTIF(U358:AY358,"F")</f>
      </c>
      <c r="BB358" s="119">
        <f>COUNTIF(U358:AY358,"E")</f>
      </c>
    </row>
    <row r="359" spans="1:54" x14ac:dyDescent="0.2">
      <c r="A359" s="84"/>
      <c r="B359" s="85"/>
      <c r="C359" s="85"/>
      <c r="D359" s="85"/>
      <c r="E359" s="86"/>
      <c r="F359" s="16">
        <f>IF(E359="","",DATEDIF(E359,$I$7,"Y"))</f>
      </c>
      <c r="G359" s="85"/>
      <c r="H359" s="85"/>
      <c r="I359" s="87"/>
      <c r="J359" s="85"/>
      <c r="K359" s="85"/>
      <c r="L359" s="10"/>
      <c r="M359" s="10"/>
      <c r="N359" s="10"/>
      <c r="O359" s="10"/>
      <c r="P359" s="85"/>
      <c r="Q359" s="88"/>
      <c r="R359" s="3">
        <f>IFERROR(VLOOKUP(TablaSeptiembre[[#This Row],[BARRIO]],SECTOR!$A:$B,2,0),"")</f>
      </c>
      <c r="S359" s="89"/>
      <c r="T359" s="90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6"/>
      <c r="AZ359" s="120">
        <f>COUNTIF(U359:AY359,"A")</f>
      </c>
      <c r="BA359" s="121">
        <f>COUNTIF(U359:AY359,"F")</f>
      </c>
      <c r="BB359" s="119">
        <f>COUNTIF(U359:AY359,"E")</f>
      </c>
    </row>
    <row r="360" spans="1:54" x14ac:dyDescent="0.2">
      <c r="A360" s="84"/>
      <c r="B360" s="85"/>
      <c r="C360" s="85"/>
      <c r="D360" s="85"/>
      <c r="E360" s="86"/>
      <c r="F360" s="16">
        <f>IF(E360="","",DATEDIF(E360,$I$7,"Y"))</f>
      </c>
      <c r="G360" s="85"/>
      <c r="H360" s="85"/>
      <c r="I360" s="87"/>
      <c r="J360" s="85"/>
      <c r="K360" s="85"/>
      <c r="L360" s="10"/>
      <c r="M360" s="10"/>
      <c r="N360" s="10"/>
      <c r="O360" s="10"/>
      <c r="P360" s="85"/>
      <c r="Q360" s="88"/>
      <c r="R360" s="3">
        <f>IFERROR(VLOOKUP(TablaSeptiembre[[#This Row],[BARRIO]],SECTOR!$A:$B,2,0),"")</f>
      </c>
      <c r="S360" s="89"/>
      <c r="T360" s="90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6"/>
      <c r="AZ360" s="120">
        <f>COUNTIF(U360:AY360,"A")</f>
      </c>
      <c r="BA360" s="121">
        <f>COUNTIF(U360:AY360,"F")</f>
      </c>
      <c r="BB360" s="119">
        <f>COUNTIF(U360:AY360,"E")</f>
      </c>
    </row>
    <row r="361" spans="1:54" x14ac:dyDescent="0.2">
      <c r="A361" s="84"/>
      <c r="B361" s="85"/>
      <c r="C361" s="85"/>
      <c r="D361" s="85"/>
      <c r="E361" s="86"/>
      <c r="F361" s="16">
        <f>IF(E361="","",DATEDIF(E361,$I$7,"Y"))</f>
      </c>
      <c r="G361" s="85"/>
      <c r="H361" s="85"/>
      <c r="I361" s="87"/>
      <c r="J361" s="85"/>
      <c r="K361" s="85"/>
      <c r="L361" s="10"/>
      <c r="M361" s="10"/>
      <c r="N361" s="10"/>
      <c r="O361" s="10"/>
      <c r="P361" s="85"/>
      <c r="Q361" s="88"/>
      <c r="R361" s="3">
        <f>IFERROR(VLOOKUP(TablaSeptiembre[[#This Row],[BARRIO]],SECTOR!$A:$B,2,0),"")</f>
      </c>
      <c r="S361" s="89"/>
      <c r="T361" s="90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6"/>
      <c r="AZ361" s="120">
        <f>COUNTIF(U361:AY361,"A")</f>
      </c>
      <c r="BA361" s="121">
        <f>COUNTIF(U361:AY361,"F")</f>
      </c>
      <c r="BB361" s="119">
        <f>COUNTIF(U361:AY361,"E")</f>
      </c>
    </row>
    <row r="362" spans="1:54" x14ac:dyDescent="0.2">
      <c r="A362" s="84"/>
      <c r="B362" s="85"/>
      <c r="C362" s="85"/>
      <c r="D362" s="85"/>
      <c r="E362" s="86"/>
      <c r="F362" s="16">
        <f>IF(E362="","",DATEDIF(E362,$I$7,"Y"))</f>
      </c>
      <c r="G362" s="85"/>
      <c r="H362" s="85"/>
      <c r="I362" s="87"/>
      <c r="J362" s="85"/>
      <c r="K362" s="85"/>
      <c r="L362" s="10"/>
      <c r="M362" s="10"/>
      <c r="N362" s="10"/>
      <c r="O362" s="10"/>
      <c r="P362" s="85"/>
      <c r="Q362" s="88"/>
      <c r="R362" s="3">
        <f>IFERROR(VLOOKUP(TablaSeptiembre[[#This Row],[BARRIO]],SECTOR!$A:$B,2,0),"")</f>
      </c>
      <c r="S362" s="89"/>
      <c r="T362" s="90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6"/>
      <c r="AZ362" s="120">
        <f>COUNTIF(U362:AY362,"A")</f>
      </c>
      <c r="BA362" s="121">
        <f>COUNTIF(U362:AY362,"F")</f>
      </c>
      <c r="BB362" s="119">
        <f>COUNTIF(U362:AY362,"E")</f>
      </c>
    </row>
    <row r="363" spans="1:54" x14ac:dyDescent="0.2">
      <c r="A363" s="84"/>
      <c r="B363" s="85"/>
      <c r="C363" s="85"/>
      <c r="D363" s="85"/>
      <c r="E363" s="86"/>
      <c r="F363" s="16">
        <f>IF(E363="","",DATEDIF(E363,$I$7,"Y"))</f>
      </c>
      <c r="G363" s="85"/>
      <c r="H363" s="85"/>
      <c r="I363" s="87"/>
      <c r="J363" s="85"/>
      <c r="K363" s="85"/>
      <c r="L363" s="10"/>
      <c r="M363" s="10"/>
      <c r="N363" s="10"/>
      <c r="O363" s="10"/>
      <c r="P363" s="85"/>
      <c r="Q363" s="88"/>
      <c r="R363" s="3">
        <f>IFERROR(VLOOKUP(TablaSeptiembre[[#This Row],[BARRIO]],SECTOR!$A:$B,2,0),"")</f>
      </c>
      <c r="S363" s="89"/>
      <c r="T363" s="90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6"/>
      <c r="AZ363" s="120">
        <f>COUNTIF(U363:AY363,"A")</f>
      </c>
      <c r="BA363" s="121">
        <f>COUNTIF(U363:AY363,"F")</f>
      </c>
      <c r="BB363" s="119">
        <f>COUNTIF(U363:AY363,"E")</f>
      </c>
    </row>
    <row r="364" spans="1:54" x14ac:dyDescent="0.2">
      <c r="A364" s="84"/>
      <c r="B364" s="85"/>
      <c r="C364" s="85"/>
      <c r="D364" s="85"/>
      <c r="E364" s="86"/>
      <c r="F364" s="16">
        <f>IF(E364="","",DATEDIF(E364,$I$7,"Y"))</f>
      </c>
      <c r="G364" s="85"/>
      <c r="H364" s="85"/>
      <c r="I364" s="87"/>
      <c r="J364" s="85"/>
      <c r="K364" s="85"/>
      <c r="L364" s="10"/>
      <c r="M364" s="10"/>
      <c r="N364" s="10"/>
      <c r="O364" s="10"/>
      <c r="P364" s="85"/>
      <c r="Q364" s="88"/>
      <c r="R364" s="3">
        <f>IFERROR(VLOOKUP(TablaSeptiembre[[#This Row],[BARRIO]],SECTOR!$A:$B,2,0),"")</f>
      </c>
      <c r="S364" s="89"/>
      <c r="T364" s="90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6"/>
      <c r="AZ364" s="120">
        <f>COUNTIF(U364:AY364,"A")</f>
      </c>
      <c r="BA364" s="121">
        <f>COUNTIF(U364:AY364,"F")</f>
      </c>
      <c r="BB364" s="119">
        <f>COUNTIF(U364:AY364,"E")</f>
      </c>
    </row>
    <row r="365" spans="1:54" x14ac:dyDescent="0.2">
      <c r="A365" s="84"/>
      <c r="B365" s="85"/>
      <c r="C365" s="85"/>
      <c r="D365" s="85"/>
      <c r="E365" s="86"/>
      <c r="F365" s="16">
        <f>IF(E365="","",DATEDIF(E365,$I$7,"Y"))</f>
      </c>
      <c r="G365" s="85"/>
      <c r="H365" s="85"/>
      <c r="I365" s="87"/>
      <c r="J365" s="85"/>
      <c r="K365" s="85"/>
      <c r="L365" s="10"/>
      <c r="M365" s="10"/>
      <c r="N365" s="10"/>
      <c r="O365" s="10"/>
      <c r="P365" s="85"/>
      <c r="Q365" s="88"/>
      <c r="R365" s="3">
        <f>IFERROR(VLOOKUP(TablaSeptiembre[[#This Row],[BARRIO]],SECTOR!$A:$B,2,0),"")</f>
      </c>
      <c r="S365" s="89"/>
      <c r="T365" s="90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6"/>
      <c r="AZ365" s="120">
        <f>COUNTIF(U365:AY365,"A")</f>
      </c>
      <c r="BA365" s="121">
        <f>COUNTIF(U365:AY365,"F")</f>
      </c>
      <c r="BB365" s="119">
        <f>COUNTIF(U365:AY365,"E")</f>
      </c>
    </row>
    <row r="366" spans="1:54" x14ac:dyDescent="0.2">
      <c r="A366" s="84"/>
      <c r="B366" s="85"/>
      <c r="C366" s="85"/>
      <c r="D366" s="85"/>
      <c r="E366" s="86"/>
      <c r="F366" s="16">
        <f>IF(E366="","",DATEDIF(E366,$I$7,"Y"))</f>
      </c>
      <c r="G366" s="85"/>
      <c r="H366" s="85"/>
      <c r="I366" s="87"/>
      <c r="J366" s="85"/>
      <c r="K366" s="85"/>
      <c r="L366" s="10"/>
      <c r="M366" s="10"/>
      <c r="N366" s="10"/>
      <c r="O366" s="10"/>
      <c r="P366" s="85"/>
      <c r="Q366" s="88"/>
      <c r="R366" s="3">
        <f>IFERROR(VLOOKUP(TablaSeptiembre[[#This Row],[BARRIO]],SECTOR!$A:$B,2,0),"")</f>
      </c>
      <c r="S366" s="89"/>
      <c r="T366" s="90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6"/>
      <c r="AZ366" s="120">
        <f>COUNTIF(U366:AY366,"A")</f>
      </c>
      <c r="BA366" s="121">
        <f>COUNTIF(U366:AY366,"F")</f>
      </c>
      <c r="BB366" s="119">
        <f>COUNTIF(U366:AY366,"E")</f>
      </c>
    </row>
    <row r="367" spans="1:54" x14ac:dyDescent="0.2">
      <c r="A367" s="84"/>
      <c r="B367" s="85"/>
      <c r="C367" s="85"/>
      <c r="D367" s="85"/>
      <c r="E367" s="86"/>
      <c r="F367" s="16">
        <f>IF(E367="","",DATEDIF(E367,$I$7,"Y"))</f>
      </c>
      <c r="G367" s="85"/>
      <c r="H367" s="85"/>
      <c r="I367" s="87"/>
      <c r="J367" s="85"/>
      <c r="K367" s="85"/>
      <c r="L367" s="10"/>
      <c r="M367" s="10"/>
      <c r="N367" s="10"/>
      <c r="O367" s="10"/>
      <c r="P367" s="85"/>
      <c r="Q367" s="88"/>
      <c r="R367" s="3">
        <f>IFERROR(VLOOKUP(TablaSeptiembre[[#This Row],[BARRIO]],SECTOR!$A:$B,2,0),"")</f>
      </c>
      <c r="S367" s="89"/>
      <c r="T367" s="90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6"/>
      <c r="AZ367" s="120">
        <f>COUNTIF(U367:AY367,"A")</f>
      </c>
      <c r="BA367" s="121">
        <f>COUNTIF(U367:AY367,"F")</f>
      </c>
      <c r="BB367" s="119">
        <f>COUNTIF(U367:AY367,"E")</f>
      </c>
    </row>
    <row r="368" spans="1:54" x14ac:dyDescent="0.2">
      <c r="A368" s="84"/>
      <c r="B368" s="85"/>
      <c r="C368" s="85"/>
      <c r="D368" s="85"/>
      <c r="E368" s="86"/>
      <c r="F368" s="16">
        <f>IF(E368="","",DATEDIF(E368,$I$7,"Y"))</f>
      </c>
      <c r="G368" s="85"/>
      <c r="H368" s="85"/>
      <c r="I368" s="87"/>
      <c r="J368" s="85"/>
      <c r="K368" s="85"/>
      <c r="L368" s="10"/>
      <c r="M368" s="10"/>
      <c r="N368" s="10"/>
      <c r="O368" s="10"/>
      <c r="P368" s="85"/>
      <c r="Q368" s="88"/>
      <c r="R368" s="3">
        <f>IFERROR(VLOOKUP(TablaSeptiembre[[#This Row],[BARRIO]],SECTOR!$A:$B,2,0),"")</f>
      </c>
      <c r="S368" s="89"/>
      <c r="T368" s="90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6"/>
      <c r="AZ368" s="120">
        <f>COUNTIF(U368:AY368,"A")</f>
      </c>
      <c r="BA368" s="121">
        <f>COUNTIF(U368:AY368,"F")</f>
      </c>
      <c r="BB368" s="119">
        <f>COUNTIF(U368:AY368,"E")</f>
      </c>
    </row>
    <row r="369" spans="1:54" x14ac:dyDescent="0.2">
      <c r="A369" s="84"/>
      <c r="B369" s="85"/>
      <c r="C369" s="85"/>
      <c r="D369" s="85"/>
      <c r="E369" s="86"/>
      <c r="F369" s="16">
        <f>IF(E369="","",DATEDIF(E369,$I$7,"Y"))</f>
      </c>
      <c r="G369" s="85"/>
      <c r="H369" s="85"/>
      <c r="I369" s="87"/>
      <c r="J369" s="85"/>
      <c r="K369" s="85"/>
      <c r="L369" s="10"/>
      <c r="M369" s="10"/>
      <c r="N369" s="10"/>
      <c r="O369" s="10"/>
      <c r="P369" s="85"/>
      <c r="Q369" s="88"/>
      <c r="R369" s="3">
        <f>IFERROR(VLOOKUP(TablaSeptiembre[[#This Row],[BARRIO]],SECTOR!$A:$B,2,0),"")</f>
      </c>
      <c r="S369" s="89"/>
      <c r="T369" s="90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6"/>
      <c r="AZ369" s="120">
        <f>COUNTIF(U369:AY369,"A")</f>
      </c>
      <c r="BA369" s="121">
        <f>COUNTIF(U369:AY369,"F")</f>
      </c>
      <c r="BB369" s="119">
        <f>COUNTIF(U369:AY369,"E")</f>
      </c>
    </row>
    <row r="370" spans="1:54" x14ac:dyDescent="0.2">
      <c r="A370" s="84"/>
      <c r="B370" s="85"/>
      <c r="C370" s="85"/>
      <c r="D370" s="85"/>
      <c r="E370" s="86"/>
      <c r="F370" s="16">
        <f>IF(E370="","",DATEDIF(E370,$I$7,"Y"))</f>
      </c>
      <c r="G370" s="85"/>
      <c r="H370" s="85"/>
      <c r="I370" s="87"/>
      <c r="J370" s="85"/>
      <c r="K370" s="85"/>
      <c r="L370" s="10"/>
      <c r="M370" s="10"/>
      <c r="N370" s="10"/>
      <c r="O370" s="10"/>
      <c r="P370" s="85"/>
      <c r="Q370" s="88"/>
      <c r="R370" s="3">
        <f>IFERROR(VLOOKUP(TablaSeptiembre[[#This Row],[BARRIO]],SECTOR!$A:$B,2,0),"")</f>
      </c>
      <c r="S370" s="89"/>
      <c r="T370" s="90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6"/>
      <c r="AZ370" s="120">
        <f>COUNTIF(U370:AY370,"A")</f>
      </c>
      <c r="BA370" s="121">
        <f>COUNTIF(U370:AY370,"F")</f>
      </c>
      <c r="BB370" s="119">
        <f>COUNTIF(U370:AY370,"E")</f>
      </c>
    </row>
    <row r="371" spans="1:54" x14ac:dyDescent="0.2">
      <c r="A371" s="84"/>
      <c r="B371" s="85"/>
      <c r="C371" s="85"/>
      <c r="D371" s="85"/>
      <c r="E371" s="86"/>
      <c r="F371" s="16">
        <f>IF(E371="","",DATEDIF(E371,$I$7,"Y"))</f>
      </c>
      <c r="G371" s="85"/>
      <c r="H371" s="85"/>
      <c r="I371" s="87"/>
      <c r="J371" s="85"/>
      <c r="K371" s="85"/>
      <c r="L371" s="10"/>
      <c r="M371" s="10"/>
      <c r="N371" s="10"/>
      <c r="O371" s="10"/>
      <c r="P371" s="85"/>
      <c r="Q371" s="88"/>
      <c r="R371" s="3">
        <f>IFERROR(VLOOKUP(TablaSeptiembre[[#This Row],[BARRIO]],SECTOR!$A:$B,2,0),"")</f>
      </c>
      <c r="S371" s="89"/>
      <c r="T371" s="90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6"/>
      <c r="AZ371" s="120">
        <f>COUNTIF(U371:AY371,"A")</f>
      </c>
      <c r="BA371" s="121">
        <f>COUNTIF(U371:AY371,"F")</f>
      </c>
      <c r="BB371" s="119">
        <f>COUNTIF(U371:AY371,"E")</f>
      </c>
    </row>
    <row r="372" spans="1:54" x14ac:dyDescent="0.2">
      <c r="A372" s="84"/>
      <c r="B372" s="85"/>
      <c r="C372" s="85"/>
      <c r="D372" s="85"/>
      <c r="E372" s="86"/>
      <c r="F372" s="16">
        <f>IF(E372="","",DATEDIF(E372,$I$7,"Y"))</f>
      </c>
      <c r="G372" s="85"/>
      <c r="H372" s="85"/>
      <c r="I372" s="87"/>
      <c r="J372" s="85"/>
      <c r="K372" s="85"/>
      <c r="L372" s="10"/>
      <c r="M372" s="10"/>
      <c r="N372" s="10"/>
      <c r="O372" s="10"/>
      <c r="P372" s="85"/>
      <c r="Q372" s="88"/>
      <c r="R372" s="3">
        <f>IFERROR(VLOOKUP(TablaSeptiembre[[#This Row],[BARRIO]],SECTOR!$A:$B,2,0),"")</f>
      </c>
      <c r="S372" s="89"/>
      <c r="T372" s="90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6"/>
      <c r="AZ372" s="120">
        <f>COUNTIF(U372:AY372,"A")</f>
      </c>
      <c r="BA372" s="121">
        <f>COUNTIF(U372:AY372,"F")</f>
      </c>
      <c r="BB372" s="119">
        <f>COUNTIF(U372:AY372,"E")</f>
      </c>
    </row>
    <row r="373" spans="1:54" x14ac:dyDescent="0.2">
      <c r="A373" s="84"/>
      <c r="B373" s="85"/>
      <c r="C373" s="85"/>
      <c r="D373" s="85"/>
      <c r="E373" s="86"/>
      <c r="F373" s="16">
        <f>IF(E373="","",DATEDIF(E373,$I$7,"Y"))</f>
      </c>
      <c r="G373" s="85"/>
      <c r="H373" s="85"/>
      <c r="I373" s="87"/>
      <c r="J373" s="85"/>
      <c r="K373" s="85"/>
      <c r="L373" s="10"/>
      <c r="M373" s="10"/>
      <c r="N373" s="10"/>
      <c r="O373" s="10"/>
      <c r="P373" s="85"/>
      <c r="Q373" s="88"/>
      <c r="R373" s="3">
        <f>IFERROR(VLOOKUP(TablaSeptiembre[[#This Row],[BARRIO]],SECTOR!$A:$B,2,0),"")</f>
      </c>
      <c r="S373" s="89"/>
      <c r="T373" s="90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6"/>
      <c r="AZ373" s="120">
        <f>COUNTIF(U373:AY373,"A")</f>
      </c>
      <c r="BA373" s="121">
        <f>COUNTIF(U373:AY373,"F")</f>
      </c>
      <c r="BB373" s="119">
        <f>COUNTIF(U373:AY373,"E")</f>
      </c>
    </row>
    <row r="374" spans="1:54" x14ac:dyDescent="0.2">
      <c r="A374" s="84"/>
      <c r="B374" s="85"/>
      <c r="C374" s="85"/>
      <c r="D374" s="85"/>
      <c r="E374" s="86"/>
      <c r="F374" s="16">
        <f>IF(E374="","",DATEDIF(E374,$I$7,"Y"))</f>
      </c>
      <c r="G374" s="85"/>
      <c r="H374" s="85"/>
      <c r="I374" s="87"/>
      <c r="J374" s="85"/>
      <c r="K374" s="85"/>
      <c r="L374" s="10"/>
      <c r="M374" s="10"/>
      <c r="N374" s="10"/>
      <c r="O374" s="10"/>
      <c r="P374" s="85"/>
      <c r="Q374" s="88"/>
      <c r="R374" s="3">
        <f>IFERROR(VLOOKUP(TablaSeptiembre[[#This Row],[BARRIO]],SECTOR!$A:$B,2,0),"")</f>
      </c>
      <c r="S374" s="89"/>
      <c r="T374" s="90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6"/>
      <c r="AZ374" s="120">
        <f>COUNTIF(U374:AY374,"A")</f>
      </c>
      <c r="BA374" s="121">
        <f>COUNTIF(U374:AY374,"F")</f>
      </c>
      <c r="BB374" s="119">
        <f>COUNTIF(U374:AY374,"E")</f>
      </c>
    </row>
    <row r="375" spans="1:54" x14ac:dyDescent="0.2">
      <c r="A375" s="84"/>
      <c r="B375" s="85"/>
      <c r="C375" s="85"/>
      <c r="D375" s="85"/>
      <c r="E375" s="86"/>
      <c r="F375" s="16">
        <f>IF(E375="","",DATEDIF(E375,$I$7,"Y"))</f>
      </c>
      <c r="G375" s="85"/>
      <c r="H375" s="85"/>
      <c r="I375" s="87"/>
      <c r="J375" s="85"/>
      <c r="K375" s="85"/>
      <c r="L375" s="10"/>
      <c r="M375" s="10"/>
      <c r="N375" s="10"/>
      <c r="O375" s="10"/>
      <c r="P375" s="85"/>
      <c r="Q375" s="88"/>
      <c r="R375" s="3">
        <f>IFERROR(VLOOKUP(TablaSeptiembre[[#This Row],[BARRIO]],SECTOR!$A:$B,2,0),"")</f>
      </c>
      <c r="S375" s="89"/>
      <c r="T375" s="90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6"/>
      <c r="AZ375" s="120">
        <f>COUNTIF(U375:AY375,"A")</f>
      </c>
      <c r="BA375" s="121">
        <f>COUNTIF(U375:AY375,"F")</f>
      </c>
      <c r="BB375" s="119">
        <f>COUNTIF(U375:AY375,"E")</f>
      </c>
    </row>
    <row r="376" spans="1:54" x14ac:dyDescent="0.2">
      <c r="A376" s="84"/>
      <c r="B376" s="85"/>
      <c r="C376" s="85"/>
      <c r="D376" s="85"/>
      <c r="E376" s="86"/>
      <c r="F376" s="16">
        <f>IF(E376="","",DATEDIF(E376,$I$7,"Y"))</f>
      </c>
      <c r="G376" s="85"/>
      <c r="H376" s="85"/>
      <c r="I376" s="87"/>
      <c r="J376" s="85"/>
      <c r="K376" s="85"/>
      <c r="L376" s="10"/>
      <c r="M376" s="10"/>
      <c r="N376" s="10"/>
      <c r="O376" s="10"/>
      <c r="P376" s="85"/>
      <c r="Q376" s="88"/>
      <c r="R376" s="3">
        <f>IFERROR(VLOOKUP(TablaSeptiembre[[#This Row],[BARRIO]],SECTOR!$A:$B,2,0),"")</f>
      </c>
      <c r="S376" s="89"/>
      <c r="T376" s="90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6"/>
      <c r="AZ376" s="120">
        <f>COUNTIF(U376:AY376,"A")</f>
      </c>
      <c r="BA376" s="121">
        <f>COUNTIF(U376:AY376,"F")</f>
      </c>
      <c r="BB376" s="119">
        <f>COUNTIF(U376:AY376,"E")</f>
      </c>
    </row>
    <row r="377" spans="1:54" x14ac:dyDescent="0.2">
      <c r="A377" s="84"/>
      <c r="B377" s="85"/>
      <c r="C377" s="85"/>
      <c r="D377" s="85"/>
      <c r="E377" s="86"/>
      <c r="F377" s="16">
        <f>IF(E377="","",DATEDIF(E377,$I$7,"Y"))</f>
      </c>
      <c r="G377" s="85"/>
      <c r="H377" s="85"/>
      <c r="I377" s="87"/>
      <c r="J377" s="85"/>
      <c r="K377" s="85"/>
      <c r="L377" s="10"/>
      <c r="M377" s="10"/>
      <c r="N377" s="10"/>
      <c r="O377" s="10"/>
      <c r="P377" s="85"/>
      <c r="Q377" s="88"/>
      <c r="R377" s="3">
        <f>IFERROR(VLOOKUP(TablaSeptiembre[[#This Row],[BARRIO]],SECTOR!$A:$B,2,0),"")</f>
      </c>
      <c r="S377" s="89"/>
      <c r="T377" s="90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6"/>
      <c r="AZ377" s="120">
        <f>COUNTIF(U377:AY377,"A")</f>
      </c>
      <c r="BA377" s="121">
        <f>COUNTIF(U377:AY377,"F")</f>
      </c>
      <c r="BB377" s="119">
        <f>COUNTIF(U377:AY377,"E")</f>
      </c>
    </row>
    <row r="378" spans="1:54" x14ac:dyDescent="0.2">
      <c r="A378" s="84"/>
      <c r="B378" s="85"/>
      <c r="C378" s="85"/>
      <c r="D378" s="85"/>
      <c r="E378" s="86"/>
      <c r="F378" s="16">
        <f>IF(E378="","",DATEDIF(E378,$I$7,"Y"))</f>
      </c>
      <c r="G378" s="85"/>
      <c r="H378" s="85"/>
      <c r="I378" s="87"/>
      <c r="J378" s="85"/>
      <c r="K378" s="85"/>
      <c r="L378" s="10"/>
      <c r="M378" s="10"/>
      <c r="N378" s="10"/>
      <c r="O378" s="10"/>
      <c r="P378" s="85"/>
      <c r="Q378" s="88"/>
      <c r="R378" s="3">
        <f>IFERROR(VLOOKUP(TablaSeptiembre[[#This Row],[BARRIO]],SECTOR!$A:$B,2,0),"")</f>
      </c>
      <c r="S378" s="89"/>
      <c r="T378" s="90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6"/>
      <c r="AZ378" s="120">
        <f>COUNTIF(U378:AY378,"A")</f>
      </c>
      <c r="BA378" s="121">
        <f>COUNTIF(U378:AY378,"F")</f>
      </c>
      <c r="BB378" s="119">
        <f>COUNTIF(U378:AY378,"E")</f>
      </c>
    </row>
    <row r="379" spans="1:54" x14ac:dyDescent="0.2">
      <c r="A379" s="84"/>
      <c r="B379" s="85"/>
      <c r="C379" s="85"/>
      <c r="D379" s="85"/>
      <c r="E379" s="86"/>
      <c r="F379" s="16">
        <f>IF(E379="","",DATEDIF(E379,$I$7,"Y"))</f>
      </c>
      <c r="G379" s="85"/>
      <c r="H379" s="85"/>
      <c r="I379" s="87"/>
      <c r="J379" s="85"/>
      <c r="K379" s="85"/>
      <c r="L379" s="10"/>
      <c r="M379" s="10"/>
      <c r="N379" s="10"/>
      <c r="O379" s="10"/>
      <c r="P379" s="85"/>
      <c r="Q379" s="88"/>
      <c r="R379" s="3">
        <f>IFERROR(VLOOKUP(TablaSeptiembre[[#This Row],[BARRIO]],SECTOR!$A:$B,2,0),"")</f>
      </c>
      <c r="S379" s="89"/>
      <c r="T379" s="90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6"/>
      <c r="AZ379" s="120">
        <f>COUNTIF(U379:AY379,"A")</f>
      </c>
      <c r="BA379" s="121">
        <f>COUNTIF(U379:AY379,"F")</f>
      </c>
      <c r="BB379" s="119">
        <f>COUNTIF(U379:AY379,"E")</f>
      </c>
    </row>
    <row r="380" spans="1:54" x14ac:dyDescent="0.2">
      <c r="A380" s="84"/>
      <c r="B380" s="85"/>
      <c r="C380" s="85"/>
      <c r="D380" s="85"/>
      <c r="E380" s="86"/>
      <c r="F380" s="16">
        <f>IF(E380="","",DATEDIF(E380,$I$7,"Y"))</f>
      </c>
      <c r="G380" s="85"/>
      <c r="H380" s="85"/>
      <c r="I380" s="87"/>
      <c r="J380" s="85"/>
      <c r="K380" s="85"/>
      <c r="L380" s="10"/>
      <c r="M380" s="10"/>
      <c r="N380" s="10"/>
      <c r="O380" s="10"/>
      <c r="P380" s="85"/>
      <c r="Q380" s="88"/>
      <c r="R380" s="3">
        <f>IFERROR(VLOOKUP(TablaSeptiembre[[#This Row],[BARRIO]],SECTOR!$A:$B,2,0),"")</f>
      </c>
      <c r="S380" s="89"/>
      <c r="T380" s="90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6"/>
      <c r="AZ380" s="120">
        <f>COUNTIF(U380:AY380,"A")</f>
      </c>
      <c r="BA380" s="121">
        <f>COUNTIF(U380:AY380,"F")</f>
      </c>
      <c r="BB380" s="119">
        <f>COUNTIF(U380:AY380,"E")</f>
      </c>
    </row>
    <row r="381" spans="1:54" x14ac:dyDescent="0.2">
      <c r="A381" s="84"/>
      <c r="B381" s="85"/>
      <c r="C381" s="85"/>
      <c r="D381" s="85"/>
      <c r="E381" s="86"/>
      <c r="F381" s="16">
        <f>IF(E381="","",DATEDIF(E381,$I$7,"Y"))</f>
      </c>
      <c r="G381" s="85"/>
      <c r="H381" s="85"/>
      <c r="I381" s="87"/>
      <c r="J381" s="85"/>
      <c r="K381" s="85"/>
      <c r="L381" s="10"/>
      <c r="M381" s="10"/>
      <c r="N381" s="10"/>
      <c r="O381" s="10"/>
      <c r="P381" s="85"/>
      <c r="Q381" s="88"/>
      <c r="R381" s="3">
        <f>IFERROR(VLOOKUP(TablaSeptiembre[[#This Row],[BARRIO]],SECTOR!$A:$B,2,0),"")</f>
      </c>
      <c r="S381" s="89"/>
      <c r="T381" s="90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6"/>
      <c r="AZ381" s="120">
        <f>COUNTIF(U381:AY381,"A")</f>
      </c>
      <c r="BA381" s="121">
        <f>COUNTIF(U381:AY381,"F")</f>
      </c>
      <c r="BB381" s="119">
        <f>COUNTIF(U381:AY381,"E")</f>
      </c>
    </row>
    <row r="382" spans="1:54" x14ac:dyDescent="0.2">
      <c r="A382" s="84"/>
      <c r="B382" s="85"/>
      <c r="C382" s="85"/>
      <c r="D382" s="85"/>
      <c r="E382" s="86"/>
      <c r="F382" s="16">
        <f>IF(E382="","",DATEDIF(E382,$I$7,"Y"))</f>
      </c>
      <c r="G382" s="85"/>
      <c r="H382" s="85"/>
      <c r="I382" s="87"/>
      <c r="J382" s="85"/>
      <c r="K382" s="85"/>
      <c r="L382" s="10"/>
      <c r="M382" s="10"/>
      <c r="N382" s="10"/>
      <c r="O382" s="10"/>
      <c r="P382" s="85"/>
      <c r="Q382" s="88"/>
      <c r="R382" s="3">
        <f>IFERROR(VLOOKUP(TablaSeptiembre[[#This Row],[BARRIO]],SECTOR!$A:$B,2,0),"")</f>
      </c>
      <c r="S382" s="89"/>
      <c r="T382" s="90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6"/>
      <c r="AZ382" s="120">
        <f>COUNTIF(U382:AY382,"A")</f>
      </c>
      <c r="BA382" s="121">
        <f>COUNTIF(U382:AY382,"F")</f>
      </c>
      <c r="BB382" s="119">
        <f>COUNTIF(U382:AY382,"E")</f>
      </c>
    </row>
    <row r="383" spans="1:54" x14ac:dyDescent="0.2">
      <c r="A383" s="84"/>
      <c r="B383" s="85"/>
      <c r="C383" s="85"/>
      <c r="D383" s="85"/>
      <c r="E383" s="86"/>
      <c r="F383" s="16">
        <f>IF(E383="","",DATEDIF(E383,$I$7,"Y"))</f>
      </c>
      <c r="G383" s="85"/>
      <c r="H383" s="85"/>
      <c r="I383" s="87"/>
      <c r="J383" s="85"/>
      <c r="K383" s="85"/>
      <c r="L383" s="10"/>
      <c r="M383" s="10"/>
      <c r="N383" s="10"/>
      <c r="O383" s="10"/>
      <c r="P383" s="85"/>
      <c r="Q383" s="88"/>
      <c r="R383" s="3">
        <f>IFERROR(VLOOKUP(TablaSeptiembre[[#This Row],[BARRIO]],SECTOR!$A:$B,2,0),"")</f>
      </c>
      <c r="S383" s="89"/>
      <c r="T383" s="90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6"/>
      <c r="AZ383" s="120">
        <f>COUNTIF(U383:AY383,"A")</f>
      </c>
      <c r="BA383" s="121">
        <f>COUNTIF(U383:AY383,"F")</f>
      </c>
      <c r="BB383" s="119">
        <f>COUNTIF(U383:AY383,"E")</f>
      </c>
    </row>
    <row r="384" spans="1:54" x14ac:dyDescent="0.2">
      <c r="A384" s="84"/>
      <c r="B384" s="85"/>
      <c r="C384" s="85"/>
      <c r="D384" s="85"/>
      <c r="E384" s="86"/>
      <c r="F384" s="16">
        <f>IF(E384="","",DATEDIF(E384,$I$7,"Y"))</f>
      </c>
      <c r="G384" s="85"/>
      <c r="H384" s="85"/>
      <c r="I384" s="87"/>
      <c r="J384" s="85"/>
      <c r="K384" s="85"/>
      <c r="L384" s="10"/>
      <c r="M384" s="10"/>
      <c r="N384" s="10"/>
      <c r="O384" s="10"/>
      <c r="P384" s="85"/>
      <c r="Q384" s="88"/>
      <c r="R384" s="3">
        <f>IFERROR(VLOOKUP(TablaSeptiembre[[#This Row],[BARRIO]],SECTOR!$A:$B,2,0),"")</f>
      </c>
      <c r="S384" s="89"/>
      <c r="T384" s="90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6"/>
      <c r="AZ384" s="120">
        <f>COUNTIF(U384:AY384,"A")</f>
      </c>
      <c r="BA384" s="121">
        <f>COUNTIF(U384:AY384,"F")</f>
      </c>
      <c r="BB384" s="119">
        <f>COUNTIF(U384:AY384,"E")</f>
      </c>
    </row>
    <row r="385" spans="1:54" x14ac:dyDescent="0.2">
      <c r="A385" s="84"/>
      <c r="B385" s="85"/>
      <c r="C385" s="85"/>
      <c r="D385" s="85"/>
      <c r="E385" s="86"/>
      <c r="F385" s="16">
        <f>IF(E385="","",DATEDIF(E385,$I$7,"Y"))</f>
      </c>
      <c r="G385" s="85"/>
      <c r="H385" s="85"/>
      <c r="I385" s="87"/>
      <c r="J385" s="85"/>
      <c r="K385" s="85"/>
      <c r="L385" s="10"/>
      <c r="M385" s="10"/>
      <c r="N385" s="10"/>
      <c r="O385" s="10"/>
      <c r="P385" s="85"/>
      <c r="Q385" s="88"/>
      <c r="R385" s="3">
        <f>IFERROR(VLOOKUP(TablaSeptiembre[[#This Row],[BARRIO]],SECTOR!$A:$B,2,0),"")</f>
      </c>
      <c r="S385" s="89"/>
      <c r="T385" s="90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6"/>
      <c r="AZ385" s="120">
        <f>COUNTIF(U385:AY385,"A")</f>
      </c>
      <c r="BA385" s="121">
        <f>COUNTIF(U385:AY385,"F")</f>
      </c>
      <c r="BB385" s="119">
        <f>COUNTIF(U385:AY385,"E")</f>
      </c>
    </row>
    <row r="386" spans="1:54" x14ac:dyDescent="0.2">
      <c r="A386" s="84"/>
      <c r="B386" s="85"/>
      <c r="C386" s="85"/>
      <c r="D386" s="85"/>
      <c r="E386" s="86"/>
      <c r="F386" s="16">
        <f>IF(E386="","",DATEDIF(E386,$I$7,"Y"))</f>
      </c>
      <c r="G386" s="85"/>
      <c r="H386" s="85"/>
      <c r="I386" s="87"/>
      <c r="J386" s="85"/>
      <c r="K386" s="85"/>
      <c r="L386" s="10"/>
      <c r="M386" s="10"/>
      <c r="N386" s="10"/>
      <c r="O386" s="10"/>
      <c r="P386" s="85"/>
      <c r="Q386" s="88"/>
      <c r="R386" s="3">
        <f>IFERROR(VLOOKUP(TablaSeptiembre[[#This Row],[BARRIO]],SECTOR!$A:$B,2,0),"")</f>
      </c>
      <c r="S386" s="89"/>
      <c r="T386" s="90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6"/>
      <c r="AZ386" s="120">
        <f>COUNTIF(U386:AY386,"A")</f>
      </c>
      <c r="BA386" s="121">
        <f>COUNTIF(U386:AY386,"F")</f>
      </c>
      <c r="BB386" s="119">
        <f>COUNTIF(U386:AY386,"E")</f>
      </c>
    </row>
    <row r="387" spans="1:54" x14ac:dyDescent="0.2">
      <c r="A387" s="84"/>
      <c r="B387" s="85"/>
      <c r="C387" s="85"/>
      <c r="D387" s="85"/>
      <c r="E387" s="86"/>
      <c r="F387" s="16">
        <f>IF(E387="","",DATEDIF(E387,$I$7,"Y"))</f>
      </c>
      <c r="G387" s="85"/>
      <c r="H387" s="85"/>
      <c r="I387" s="87"/>
      <c r="J387" s="85"/>
      <c r="K387" s="85"/>
      <c r="L387" s="10"/>
      <c r="M387" s="10"/>
      <c r="N387" s="10"/>
      <c r="O387" s="10"/>
      <c r="P387" s="85"/>
      <c r="Q387" s="88"/>
      <c r="R387" s="3">
        <f>IFERROR(VLOOKUP(TablaSeptiembre[[#This Row],[BARRIO]],SECTOR!$A:$B,2,0),"")</f>
      </c>
      <c r="S387" s="89"/>
      <c r="T387" s="90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6"/>
      <c r="AZ387" s="120">
        <f>COUNTIF(U387:AY387,"A")</f>
      </c>
      <c r="BA387" s="121">
        <f>COUNTIF(U387:AY387,"F")</f>
      </c>
      <c r="BB387" s="119">
        <f>COUNTIF(U387:AY387,"E")</f>
      </c>
    </row>
    <row r="388" spans="1:54" x14ac:dyDescent="0.2">
      <c r="A388" s="84"/>
      <c r="B388" s="85"/>
      <c r="C388" s="85"/>
      <c r="D388" s="85"/>
      <c r="E388" s="86"/>
      <c r="F388" s="16">
        <f>IF(E388="","",DATEDIF(E388,$I$7,"Y"))</f>
      </c>
      <c r="G388" s="85"/>
      <c r="H388" s="85"/>
      <c r="I388" s="87"/>
      <c r="J388" s="85"/>
      <c r="K388" s="85"/>
      <c r="L388" s="10"/>
      <c r="M388" s="10"/>
      <c r="N388" s="10"/>
      <c r="O388" s="10"/>
      <c r="P388" s="85"/>
      <c r="Q388" s="88"/>
      <c r="R388" s="3">
        <f>IFERROR(VLOOKUP(TablaSeptiembre[[#This Row],[BARRIO]],SECTOR!$A:$B,2,0),"")</f>
      </c>
      <c r="S388" s="89"/>
      <c r="T388" s="90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6"/>
      <c r="AZ388" s="120">
        <f>COUNTIF(U388:AY388,"A")</f>
      </c>
      <c r="BA388" s="121">
        <f>COUNTIF(U388:AY388,"F")</f>
      </c>
      <c r="BB388" s="119">
        <f>COUNTIF(U388:AY388,"E")</f>
      </c>
    </row>
    <row r="389" spans="1:54" x14ac:dyDescent="0.2">
      <c r="A389" s="84"/>
      <c r="B389" s="85"/>
      <c r="C389" s="85"/>
      <c r="D389" s="85"/>
      <c r="E389" s="86"/>
      <c r="F389" s="16">
        <f>IF(E389="","",DATEDIF(E389,$I$7,"Y"))</f>
      </c>
      <c r="G389" s="85"/>
      <c r="H389" s="85"/>
      <c r="I389" s="87"/>
      <c r="J389" s="85"/>
      <c r="K389" s="85"/>
      <c r="L389" s="10"/>
      <c r="M389" s="10"/>
      <c r="N389" s="10"/>
      <c r="O389" s="10"/>
      <c r="P389" s="85"/>
      <c r="Q389" s="88"/>
      <c r="R389" s="3">
        <f>IFERROR(VLOOKUP(TablaSeptiembre[[#This Row],[BARRIO]],SECTOR!$A:$B,2,0),"")</f>
      </c>
      <c r="S389" s="89"/>
      <c r="T389" s="90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6"/>
      <c r="AZ389" s="120">
        <f>COUNTIF(U389:AY389,"A")</f>
      </c>
      <c r="BA389" s="121">
        <f>COUNTIF(U389:AY389,"F")</f>
      </c>
      <c r="BB389" s="119">
        <f>COUNTIF(U389:AY389,"E")</f>
      </c>
    </row>
    <row r="390" spans="1:54" x14ac:dyDescent="0.2">
      <c r="A390" s="84"/>
      <c r="B390" s="85"/>
      <c r="C390" s="85"/>
      <c r="D390" s="85"/>
      <c r="E390" s="86"/>
      <c r="F390" s="16">
        <f>IF(E390="","",DATEDIF(E390,$I$7,"Y"))</f>
      </c>
      <c r="G390" s="85"/>
      <c r="H390" s="85"/>
      <c r="I390" s="87"/>
      <c r="J390" s="85"/>
      <c r="K390" s="85"/>
      <c r="L390" s="10"/>
      <c r="M390" s="10"/>
      <c r="N390" s="10"/>
      <c r="O390" s="10"/>
      <c r="P390" s="85"/>
      <c r="Q390" s="88"/>
      <c r="R390" s="3">
        <f>IFERROR(VLOOKUP(TablaSeptiembre[[#This Row],[BARRIO]],SECTOR!$A:$B,2,0),"")</f>
      </c>
      <c r="S390" s="89"/>
      <c r="T390" s="90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6"/>
      <c r="AZ390" s="120">
        <f>COUNTIF(U390:AY390,"A")</f>
      </c>
      <c r="BA390" s="121">
        <f>COUNTIF(U390:AY390,"F")</f>
      </c>
      <c r="BB390" s="119">
        <f>COUNTIF(U390:AY390,"E")</f>
      </c>
    </row>
    <row r="391" spans="1:54" x14ac:dyDescent="0.2">
      <c r="A391" s="84"/>
      <c r="B391" s="85"/>
      <c r="C391" s="85"/>
      <c r="D391" s="85"/>
      <c r="E391" s="86"/>
      <c r="F391" s="16">
        <f>IF(E391="","",DATEDIF(E391,$I$7,"Y"))</f>
      </c>
      <c r="G391" s="85"/>
      <c r="H391" s="85"/>
      <c r="I391" s="87"/>
      <c r="J391" s="85"/>
      <c r="K391" s="85"/>
      <c r="L391" s="10"/>
      <c r="M391" s="10"/>
      <c r="N391" s="10"/>
      <c r="O391" s="10"/>
      <c r="P391" s="85"/>
      <c r="Q391" s="88"/>
      <c r="R391" s="3">
        <f>IFERROR(VLOOKUP(TablaSeptiembre[[#This Row],[BARRIO]],SECTOR!$A:$B,2,0),"")</f>
      </c>
      <c r="S391" s="89"/>
      <c r="T391" s="90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6"/>
      <c r="AZ391" s="120">
        <f>COUNTIF(U391:AY391,"A")</f>
      </c>
      <c r="BA391" s="121">
        <f>COUNTIF(U391:AY391,"F")</f>
      </c>
      <c r="BB391" s="119">
        <f>COUNTIF(U391:AY391,"E")</f>
      </c>
    </row>
    <row r="392" spans="1:54" x14ac:dyDescent="0.2">
      <c r="A392" s="84"/>
      <c r="B392" s="85"/>
      <c r="C392" s="85"/>
      <c r="D392" s="85"/>
      <c r="E392" s="86"/>
      <c r="F392" s="16">
        <f>IF(E392="","",DATEDIF(E392,$I$7,"Y"))</f>
      </c>
      <c r="G392" s="85"/>
      <c r="H392" s="85"/>
      <c r="I392" s="87"/>
      <c r="J392" s="85"/>
      <c r="K392" s="85"/>
      <c r="L392" s="10"/>
      <c r="M392" s="10"/>
      <c r="N392" s="10"/>
      <c r="O392" s="10"/>
      <c r="P392" s="85"/>
      <c r="Q392" s="88"/>
      <c r="R392" s="3">
        <f>IFERROR(VLOOKUP(TablaSeptiembre[[#This Row],[BARRIO]],SECTOR!$A:$B,2,0),"")</f>
      </c>
      <c r="S392" s="89"/>
      <c r="T392" s="90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6"/>
      <c r="AZ392" s="120">
        <f>COUNTIF(U392:AY392,"A")</f>
      </c>
      <c r="BA392" s="121">
        <f>COUNTIF(U392:AY392,"F")</f>
      </c>
      <c r="BB392" s="119">
        <f>COUNTIF(U392:AY392,"E")</f>
      </c>
    </row>
    <row r="393" spans="1:54" x14ac:dyDescent="0.2">
      <c r="A393" s="84"/>
      <c r="B393" s="85"/>
      <c r="C393" s="85"/>
      <c r="D393" s="85"/>
      <c r="E393" s="86"/>
      <c r="F393" s="16">
        <f>IF(E393="","",DATEDIF(E393,$I$7,"Y"))</f>
      </c>
      <c r="G393" s="85"/>
      <c r="H393" s="85"/>
      <c r="I393" s="87"/>
      <c r="J393" s="85"/>
      <c r="K393" s="85"/>
      <c r="L393" s="10"/>
      <c r="M393" s="10"/>
      <c r="N393" s="10"/>
      <c r="O393" s="10"/>
      <c r="P393" s="85"/>
      <c r="Q393" s="88"/>
      <c r="R393" s="3">
        <f>IFERROR(VLOOKUP(TablaSeptiembre[[#This Row],[BARRIO]],SECTOR!$A:$B,2,0),"")</f>
      </c>
      <c r="S393" s="89"/>
      <c r="T393" s="90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6"/>
      <c r="AZ393" s="120">
        <f>COUNTIF(U393:AY393,"A")</f>
      </c>
      <c r="BA393" s="121">
        <f>COUNTIF(U393:AY393,"F")</f>
      </c>
      <c r="BB393" s="119">
        <f>COUNTIF(U393:AY393,"E")</f>
      </c>
    </row>
    <row r="394" spans="1:54" x14ac:dyDescent="0.2">
      <c r="A394" s="84"/>
      <c r="B394" s="85"/>
      <c r="C394" s="85"/>
      <c r="D394" s="85"/>
      <c r="E394" s="86"/>
      <c r="F394" s="16">
        <f>IF(E394="","",DATEDIF(E394,$I$7,"Y"))</f>
      </c>
      <c r="G394" s="85"/>
      <c r="H394" s="85"/>
      <c r="I394" s="87"/>
      <c r="J394" s="85"/>
      <c r="K394" s="85"/>
      <c r="L394" s="10"/>
      <c r="M394" s="10"/>
      <c r="N394" s="10"/>
      <c r="O394" s="10"/>
      <c r="P394" s="85"/>
      <c r="Q394" s="88"/>
      <c r="R394" s="3">
        <f>IFERROR(VLOOKUP(TablaSeptiembre[[#This Row],[BARRIO]],SECTOR!$A:$B,2,0),"")</f>
      </c>
      <c r="S394" s="89"/>
      <c r="T394" s="90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6"/>
      <c r="AZ394" s="120">
        <f>COUNTIF(U394:AY394,"A")</f>
      </c>
      <c r="BA394" s="121">
        <f>COUNTIF(U394:AY394,"F")</f>
      </c>
      <c r="BB394" s="119">
        <f>COUNTIF(U394:AY394,"E")</f>
      </c>
    </row>
    <row r="395" spans="1:54" x14ac:dyDescent="0.2">
      <c r="A395" s="84"/>
      <c r="B395" s="85"/>
      <c r="C395" s="85"/>
      <c r="D395" s="85"/>
      <c r="E395" s="86"/>
      <c r="F395" s="16">
        <f>IF(E395="","",DATEDIF(E395,$I$7,"Y"))</f>
      </c>
      <c r="G395" s="85"/>
      <c r="H395" s="85"/>
      <c r="I395" s="87"/>
      <c r="J395" s="85"/>
      <c r="K395" s="85"/>
      <c r="L395" s="10"/>
      <c r="M395" s="10"/>
      <c r="N395" s="10"/>
      <c r="O395" s="10"/>
      <c r="P395" s="85"/>
      <c r="Q395" s="88"/>
      <c r="R395" s="3">
        <f>IFERROR(VLOOKUP(TablaSeptiembre[[#This Row],[BARRIO]],SECTOR!$A:$B,2,0),"")</f>
      </c>
      <c r="S395" s="89"/>
      <c r="T395" s="90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6"/>
      <c r="AZ395" s="120">
        <f>COUNTIF(U395:AY395,"A")</f>
      </c>
      <c r="BA395" s="121">
        <f>COUNTIF(U395:AY395,"F")</f>
      </c>
      <c r="BB395" s="119">
        <f>COUNTIF(U395:AY395,"E")</f>
      </c>
    </row>
    <row r="396" spans="1:54" x14ac:dyDescent="0.2">
      <c r="A396" s="84"/>
      <c r="B396" s="85"/>
      <c r="C396" s="85"/>
      <c r="D396" s="85"/>
      <c r="E396" s="86"/>
      <c r="F396" s="16">
        <f>IF(E396="","",DATEDIF(E396,$I$7,"Y"))</f>
      </c>
      <c r="G396" s="85"/>
      <c r="H396" s="85"/>
      <c r="I396" s="87"/>
      <c r="J396" s="85"/>
      <c r="K396" s="85"/>
      <c r="L396" s="10"/>
      <c r="M396" s="10"/>
      <c r="N396" s="10"/>
      <c r="O396" s="10"/>
      <c r="P396" s="85"/>
      <c r="Q396" s="88"/>
      <c r="R396" s="3">
        <f>IFERROR(VLOOKUP(TablaSeptiembre[[#This Row],[BARRIO]],SECTOR!$A:$B,2,0),"")</f>
      </c>
      <c r="S396" s="89"/>
      <c r="T396" s="90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6"/>
      <c r="AZ396" s="120">
        <f>COUNTIF(U396:AY396,"A")</f>
      </c>
      <c r="BA396" s="121">
        <f>COUNTIF(U396:AY396,"F")</f>
      </c>
      <c r="BB396" s="119">
        <f>COUNTIF(U396:AY396,"E")</f>
      </c>
    </row>
    <row r="397" spans="1:54" x14ac:dyDescent="0.2">
      <c r="A397" s="84"/>
      <c r="B397" s="85"/>
      <c r="C397" s="85"/>
      <c r="D397" s="85"/>
      <c r="E397" s="86"/>
      <c r="F397" s="16">
        <f>IF(E397="","",DATEDIF(E397,$I$7,"Y"))</f>
      </c>
      <c r="G397" s="85"/>
      <c r="H397" s="85"/>
      <c r="I397" s="87"/>
      <c r="J397" s="85"/>
      <c r="K397" s="85"/>
      <c r="L397" s="10"/>
      <c r="M397" s="10"/>
      <c r="N397" s="10"/>
      <c r="O397" s="10"/>
      <c r="P397" s="85"/>
      <c r="Q397" s="88"/>
      <c r="R397" s="3">
        <f>IFERROR(VLOOKUP(TablaSeptiembre[[#This Row],[BARRIO]],SECTOR!$A:$B,2,0),"")</f>
      </c>
      <c r="S397" s="89"/>
      <c r="T397" s="90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6"/>
      <c r="AZ397" s="120">
        <f>COUNTIF(U397:AY397,"A")</f>
      </c>
      <c r="BA397" s="121">
        <f>COUNTIF(U397:AY397,"F")</f>
      </c>
      <c r="BB397" s="119">
        <f>COUNTIF(U397:AY397,"E")</f>
      </c>
    </row>
    <row r="398" spans="1:54" x14ac:dyDescent="0.2">
      <c r="A398" s="84"/>
      <c r="B398" s="85"/>
      <c r="C398" s="85"/>
      <c r="D398" s="85"/>
      <c r="E398" s="86"/>
      <c r="F398" s="16">
        <f>IF(E398="","",DATEDIF(E398,$I$7,"Y"))</f>
      </c>
      <c r="G398" s="85"/>
      <c r="H398" s="85"/>
      <c r="I398" s="87"/>
      <c r="J398" s="85"/>
      <c r="K398" s="85"/>
      <c r="L398" s="10"/>
      <c r="M398" s="10"/>
      <c r="N398" s="10"/>
      <c r="O398" s="10"/>
      <c r="P398" s="85"/>
      <c r="Q398" s="88"/>
      <c r="R398" s="3">
        <f>IFERROR(VLOOKUP(TablaSeptiembre[[#This Row],[BARRIO]],SECTOR!$A:$B,2,0),"")</f>
      </c>
      <c r="S398" s="89"/>
      <c r="T398" s="90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6"/>
      <c r="AZ398" s="120">
        <f>COUNTIF(U398:AY398,"A")</f>
      </c>
      <c r="BA398" s="121">
        <f>COUNTIF(U398:AY398,"F")</f>
      </c>
      <c r="BB398" s="119">
        <f>COUNTIF(U398:AY398,"E")</f>
      </c>
    </row>
    <row r="399" spans="1:54" x14ac:dyDescent="0.2">
      <c r="A399" s="84"/>
      <c r="B399" s="85"/>
      <c r="C399" s="85"/>
      <c r="D399" s="85"/>
      <c r="E399" s="86"/>
      <c r="F399" s="16">
        <f>IF(E399="","",DATEDIF(E399,$I$7,"Y"))</f>
      </c>
      <c r="G399" s="85"/>
      <c r="H399" s="85"/>
      <c r="I399" s="87"/>
      <c r="J399" s="85"/>
      <c r="K399" s="85"/>
      <c r="L399" s="10"/>
      <c r="M399" s="10"/>
      <c r="N399" s="10"/>
      <c r="O399" s="10"/>
      <c r="P399" s="85"/>
      <c r="Q399" s="88"/>
      <c r="R399" s="3">
        <f>IFERROR(VLOOKUP(TablaSeptiembre[[#This Row],[BARRIO]],SECTOR!$A:$B,2,0),"")</f>
      </c>
      <c r="S399" s="89"/>
      <c r="T399" s="90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6"/>
      <c r="AZ399" s="120">
        <f>COUNTIF(U399:AY399,"A")</f>
      </c>
      <c r="BA399" s="121">
        <f>COUNTIF(U399:AY399,"F")</f>
      </c>
      <c r="BB399" s="119">
        <f>COUNTIF(U399:AY399,"E")</f>
      </c>
    </row>
    <row r="400" spans="1:54" x14ac:dyDescent="0.2">
      <c r="A400" s="84"/>
      <c r="B400" s="85"/>
      <c r="C400" s="85"/>
      <c r="D400" s="85"/>
      <c r="E400" s="86"/>
      <c r="F400" s="16">
        <f>IF(E400="","",DATEDIF(E400,$I$7,"Y"))</f>
      </c>
      <c r="G400" s="85"/>
      <c r="H400" s="85"/>
      <c r="I400" s="87"/>
      <c r="J400" s="85"/>
      <c r="K400" s="85"/>
      <c r="L400" s="10"/>
      <c r="M400" s="10"/>
      <c r="N400" s="10"/>
      <c r="O400" s="10"/>
      <c r="P400" s="85"/>
      <c r="Q400" s="88"/>
      <c r="R400" s="3">
        <f>IFERROR(VLOOKUP(TablaSeptiembre[[#This Row],[BARRIO]],SECTOR!$A:$B,2,0),"")</f>
      </c>
      <c r="S400" s="89"/>
      <c r="T400" s="90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6"/>
      <c r="AZ400" s="120">
        <f>COUNTIF(U400:AY400,"A")</f>
      </c>
      <c r="BA400" s="121">
        <f>COUNTIF(U400:AY400,"F")</f>
      </c>
      <c r="BB400" s="119">
        <f>COUNTIF(U400:AY400,"E")</f>
      </c>
    </row>
    <row r="401" spans="1:54" x14ac:dyDescent="0.2">
      <c r="A401" s="84"/>
      <c r="B401" s="85"/>
      <c r="C401" s="85"/>
      <c r="D401" s="85"/>
      <c r="E401" s="86"/>
      <c r="F401" s="16">
        <f>IF(E401="","",DATEDIF(E401,$I$7,"Y"))</f>
      </c>
      <c r="G401" s="85"/>
      <c r="H401" s="85"/>
      <c r="I401" s="87"/>
      <c r="J401" s="85"/>
      <c r="K401" s="85"/>
      <c r="L401" s="10"/>
      <c r="M401" s="10"/>
      <c r="N401" s="10"/>
      <c r="O401" s="10"/>
      <c r="P401" s="85"/>
      <c r="Q401" s="88"/>
      <c r="R401" s="3">
        <f>IFERROR(VLOOKUP(TablaSeptiembre[[#This Row],[BARRIO]],SECTOR!$A:$B,2,0),"")</f>
      </c>
      <c r="S401" s="89"/>
      <c r="T401" s="90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6"/>
      <c r="AZ401" s="120">
        <f>COUNTIF(U401:AY401,"A")</f>
      </c>
      <c r="BA401" s="121">
        <f>COUNTIF(U401:AY401,"F")</f>
      </c>
      <c r="BB401" s="119">
        <f>COUNTIF(U401:AY401,"E")</f>
      </c>
    </row>
    <row r="402" spans="1:54" x14ac:dyDescent="0.2">
      <c r="A402" s="84"/>
      <c r="B402" s="85"/>
      <c r="C402" s="85"/>
      <c r="D402" s="85"/>
      <c r="E402" s="86"/>
      <c r="F402" s="16">
        <f>IF(E402="","",DATEDIF(E402,$I$7,"Y"))</f>
      </c>
      <c r="G402" s="85"/>
      <c r="H402" s="85"/>
      <c r="I402" s="87"/>
      <c r="J402" s="85"/>
      <c r="K402" s="85"/>
      <c r="L402" s="10"/>
      <c r="M402" s="10"/>
      <c r="N402" s="10"/>
      <c r="O402" s="10"/>
      <c r="P402" s="85"/>
      <c r="Q402" s="88"/>
      <c r="R402" s="3">
        <f>IFERROR(VLOOKUP(TablaSeptiembre[[#This Row],[BARRIO]],SECTOR!$A:$B,2,0),"")</f>
      </c>
      <c r="S402" s="89"/>
      <c r="T402" s="90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6"/>
      <c r="AZ402" s="120">
        <f>COUNTIF(U402:AY402,"A")</f>
      </c>
      <c r="BA402" s="121">
        <f>COUNTIF(U402:AY402,"F")</f>
      </c>
      <c r="BB402" s="119">
        <f>COUNTIF(U402:AY402,"E")</f>
      </c>
    </row>
    <row r="403" spans="1:54" x14ac:dyDescent="0.2">
      <c r="A403" s="84"/>
      <c r="B403" s="85"/>
      <c r="C403" s="85"/>
      <c r="D403" s="85"/>
      <c r="E403" s="86"/>
      <c r="F403" s="16">
        <f>IF(E403="","",DATEDIF(E403,$I$7,"Y"))</f>
      </c>
      <c r="G403" s="85"/>
      <c r="H403" s="85"/>
      <c r="I403" s="87"/>
      <c r="J403" s="85"/>
      <c r="K403" s="85"/>
      <c r="L403" s="10"/>
      <c r="M403" s="10"/>
      <c r="N403" s="10"/>
      <c r="O403" s="10"/>
      <c r="P403" s="85"/>
      <c r="Q403" s="88"/>
      <c r="R403" s="3">
        <f>IFERROR(VLOOKUP(TablaSeptiembre[[#This Row],[BARRIO]],SECTOR!$A:$B,2,0),"")</f>
      </c>
      <c r="S403" s="89"/>
      <c r="T403" s="90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6"/>
      <c r="AZ403" s="120">
        <f>COUNTIF(U403:AY403,"A")</f>
      </c>
      <c r="BA403" s="121">
        <f>COUNTIF(U403:AY403,"F")</f>
      </c>
      <c r="BB403" s="119">
        <f>COUNTIF(U403:AY403,"E")</f>
      </c>
    </row>
    <row r="404" spans="1:54" x14ac:dyDescent="0.2">
      <c r="A404" s="84"/>
      <c r="B404" s="85"/>
      <c r="C404" s="85"/>
      <c r="D404" s="85"/>
      <c r="E404" s="86"/>
      <c r="F404" s="16">
        <f>IF(E404="","",DATEDIF(E404,$I$7,"Y"))</f>
      </c>
      <c r="G404" s="85"/>
      <c r="H404" s="85"/>
      <c r="I404" s="87"/>
      <c r="J404" s="85"/>
      <c r="K404" s="85"/>
      <c r="L404" s="10"/>
      <c r="M404" s="10"/>
      <c r="N404" s="10"/>
      <c r="O404" s="10"/>
      <c r="P404" s="85"/>
      <c r="Q404" s="88"/>
      <c r="R404" s="3">
        <f>IFERROR(VLOOKUP(TablaSeptiembre[[#This Row],[BARRIO]],SECTOR!$A:$B,2,0),"")</f>
      </c>
      <c r="S404" s="89"/>
      <c r="T404" s="90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6"/>
      <c r="AZ404" s="120">
        <f>COUNTIF(U404:AY404,"A")</f>
      </c>
      <c r="BA404" s="121">
        <f>COUNTIF(U404:AY404,"F")</f>
      </c>
      <c r="BB404" s="119">
        <f>COUNTIF(U404:AY404,"E")</f>
      </c>
    </row>
    <row r="405" spans="1:54" x14ac:dyDescent="0.2">
      <c r="A405" s="84"/>
      <c r="B405" s="85"/>
      <c r="C405" s="85"/>
      <c r="D405" s="85"/>
      <c r="E405" s="86"/>
      <c r="F405" s="16">
        <f>IF(E405="","",DATEDIF(E405,$I$7,"Y"))</f>
      </c>
      <c r="G405" s="85"/>
      <c r="H405" s="85"/>
      <c r="I405" s="87"/>
      <c r="J405" s="85"/>
      <c r="K405" s="85"/>
      <c r="L405" s="10"/>
      <c r="M405" s="10"/>
      <c r="N405" s="10"/>
      <c r="O405" s="10"/>
      <c r="P405" s="85"/>
      <c r="Q405" s="88"/>
      <c r="R405" s="3">
        <f>IFERROR(VLOOKUP(TablaSeptiembre[[#This Row],[BARRIO]],SECTOR!$A:$B,2,0),"")</f>
      </c>
      <c r="S405" s="89"/>
      <c r="T405" s="90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6"/>
      <c r="AZ405" s="120">
        <f>COUNTIF(U405:AY405,"A")</f>
      </c>
      <c r="BA405" s="121">
        <f>COUNTIF(U405:AY405,"F")</f>
      </c>
      <c r="BB405" s="119">
        <f>COUNTIF(U405:AY405,"E")</f>
      </c>
    </row>
    <row r="406" spans="1:54" x14ac:dyDescent="0.2">
      <c r="A406" s="84"/>
      <c r="B406" s="85"/>
      <c r="C406" s="85"/>
      <c r="D406" s="85"/>
      <c r="E406" s="86"/>
      <c r="F406" s="16">
        <f>IF(E406="","",DATEDIF(E406,$I$7,"Y"))</f>
      </c>
      <c r="G406" s="85"/>
      <c r="H406" s="85"/>
      <c r="I406" s="87"/>
      <c r="J406" s="85"/>
      <c r="K406" s="85"/>
      <c r="L406" s="10"/>
      <c r="M406" s="10"/>
      <c r="N406" s="10"/>
      <c r="O406" s="10"/>
      <c r="P406" s="85"/>
      <c r="Q406" s="88"/>
      <c r="R406" s="3">
        <f>IFERROR(VLOOKUP(TablaSeptiembre[[#This Row],[BARRIO]],SECTOR!$A:$B,2,0),"")</f>
      </c>
      <c r="S406" s="89"/>
      <c r="T406" s="90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6"/>
      <c r="AZ406" s="120">
        <f>COUNTIF(U406:AY406,"A")</f>
      </c>
      <c r="BA406" s="121">
        <f>COUNTIF(U406:AY406,"F")</f>
      </c>
      <c r="BB406" s="119">
        <f>COUNTIF(U406:AY406,"E")</f>
      </c>
    </row>
    <row r="407" spans="1:54" x14ac:dyDescent="0.2">
      <c r="A407" s="84"/>
      <c r="B407" s="85"/>
      <c r="C407" s="85"/>
      <c r="D407" s="85"/>
      <c r="E407" s="86"/>
      <c r="F407" s="16">
        <f>IF(E407="","",DATEDIF(E407,$I$7,"Y"))</f>
      </c>
      <c r="G407" s="85"/>
      <c r="H407" s="85"/>
      <c r="I407" s="87"/>
      <c r="J407" s="85"/>
      <c r="K407" s="85"/>
      <c r="L407" s="10"/>
      <c r="M407" s="10"/>
      <c r="N407" s="10"/>
      <c r="O407" s="10"/>
      <c r="P407" s="85"/>
      <c r="Q407" s="88"/>
      <c r="R407" s="3">
        <f>IFERROR(VLOOKUP(TablaSeptiembre[[#This Row],[BARRIO]],SECTOR!$A:$B,2,0),"")</f>
      </c>
      <c r="S407" s="89"/>
      <c r="T407" s="90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6"/>
      <c r="AZ407" s="120">
        <f>COUNTIF(U407:AY407,"A")</f>
      </c>
      <c r="BA407" s="121">
        <f>COUNTIF(U407:AY407,"F")</f>
      </c>
      <c r="BB407" s="119">
        <f>COUNTIF(U407:AY407,"E")</f>
      </c>
    </row>
    <row r="408" spans="1:54" x14ac:dyDescent="0.2">
      <c r="A408" s="84"/>
      <c r="B408" s="85"/>
      <c r="C408" s="85"/>
      <c r="D408" s="85"/>
      <c r="E408" s="86"/>
      <c r="F408" s="16">
        <f>IF(E408="","",DATEDIF(E408,$I$7,"Y"))</f>
      </c>
      <c r="G408" s="85"/>
      <c r="H408" s="85"/>
      <c r="I408" s="87"/>
      <c r="J408" s="85"/>
      <c r="K408" s="85"/>
      <c r="L408" s="10"/>
      <c r="M408" s="10"/>
      <c r="N408" s="10"/>
      <c r="O408" s="10"/>
      <c r="P408" s="85"/>
      <c r="Q408" s="88"/>
      <c r="R408" s="3">
        <f>IFERROR(VLOOKUP(TablaSeptiembre[[#This Row],[BARRIO]],SECTOR!$A:$B,2,0),"")</f>
      </c>
      <c r="S408" s="89"/>
      <c r="T408" s="90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6"/>
      <c r="AZ408" s="120">
        <f>COUNTIF(U408:AY408,"A")</f>
      </c>
      <c r="BA408" s="121">
        <f>COUNTIF(U408:AY408,"F")</f>
      </c>
      <c r="BB408" s="119">
        <f>COUNTIF(U408:AY408,"E")</f>
      </c>
    </row>
    <row r="409" spans="1:54" x14ac:dyDescent="0.2">
      <c r="A409" s="84"/>
      <c r="B409" s="85"/>
      <c r="C409" s="85"/>
      <c r="D409" s="85"/>
      <c r="E409" s="86"/>
      <c r="F409" s="16">
        <f>IF(E409="","",DATEDIF(E409,$I$7,"Y"))</f>
      </c>
      <c r="G409" s="85"/>
      <c r="H409" s="85"/>
      <c r="I409" s="87"/>
      <c r="J409" s="85"/>
      <c r="K409" s="85"/>
      <c r="L409" s="10"/>
      <c r="M409" s="10"/>
      <c r="N409" s="10"/>
      <c r="O409" s="10"/>
      <c r="P409" s="85"/>
      <c r="Q409" s="88"/>
      <c r="R409" s="3">
        <f>IFERROR(VLOOKUP(TablaSeptiembre[[#This Row],[BARRIO]],SECTOR!$A:$B,2,0),"")</f>
      </c>
      <c r="S409" s="89"/>
      <c r="T409" s="90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6"/>
      <c r="AZ409" s="120">
        <f>COUNTIF(U409:AY409,"A")</f>
      </c>
      <c r="BA409" s="121">
        <f>COUNTIF(U409:AY409,"F")</f>
      </c>
      <c r="BB409" s="119">
        <f>COUNTIF(U409:AY409,"E")</f>
      </c>
    </row>
    <row r="410" spans="1:54" x14ac:dyDescent="0.2">
      <c r="A410" s="84"/>
      <c r="B410" s="85"/>
      <c r="C410" s="85"/>
      <c r="D410" s="85"/>
      <c r="E410" s="86"/>
      <c r="F410" s="16">
        <f>IF(E410="","",DATEDIF(E410,$I$7,"Y"))</f>
      </c>
      <c r="G410" s="85"/>
      <c r="H410" s="85"/>
      <c r="I410" s="87"/>
      <c r="J410" s="85"/>
      <c r="K410" s="85"/>
      <c r="L410" s="10"/>
      <c r="M410" s="10"/>
      <c r="N410" s="10"/>
      <c r="O410" s="10"/>
      <c r="P410" s="85"/>
      <c r="Q410" s="88"/>
      <c r="R410" s="3">
        <f>IFERROR(VLOOKUP(TablaSeptiembre[[#This Row],[BARRIO]],SECTOR!$A:$B,2,0),"")</f>
      </c>
      <c r="S410" s="89"/>
      <c r="T410" s="90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6"/>
      <c r="AZ410" s="120">
        <f>COUNTIF(U410:AY410,"A")</f>
      </c>
      <c r="BA410" s="121">
        <f>COUNTIF(U410:AY410,"F")</f>
      </c>
      <c r="BB410" s="119">
        <f>COUNTIF(U410:AY410,"E")</f>
      </c>
    </row>
    <row r="411" spans="1:54" x14ac:dyDescent="0.2">
      <c r="A411" s="84"/>
      <c r="B411" s="85"/>
      <c r="C411" s="85"/>
      <c r="D411" s="85"/>
      <c r="E411" s="86"/>
      <c r="F411" s="16">
        <f>IF(E411="","",DATEDIF(E411,$I$7,"Y"))</f>
      </c>
      <c r="G411" s="85"/>
      <c r="H411" s="85"/>
      <c r="I411" s="87"/>
      <c r="J411" s="85"/>
      <c r="K411" s="85"/>
      <c r="L411" s="10"/>
      <c r="M411" s="10"/>
      <c r="N411" s="10"/>
      <c r="O411" s="10"/>
      <c r="P411" s="85"/>
      <c r="Q411" s="88"/>
      <c r="R411" s="3">
        <f>IFERROR(VLOOKUP(TablaSeptiembre[[#This Row],[BARRIO]],SECTOR!$A:$B,2,0),"")</f>
      </c>
      <c r="S411" s="89"/>
      <c r="T411" s="90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6"/>
      <c r="AZ411" s="120">
        <f>COUNTIF(U411:AY411,"A")</f>
      </c>
      <c r="BA411" s="121">
        <f>COUNTIF(U411:AY411,"F")</f>
      </c>
      <c r="BB411" s="119">
        <f>COUNTIF(U411:AY411,"E")</f>
      </c>
    </row>
    <row r="412" spans="1:54" x14ac:dyDescent="0.2">
      <c r="A412" s="84"/>
      <c r="B412" s="85"/>
      <c r="C412" s="85"/>
      <c r="D412" s="85"/>
      <c r="E412" s="86"/>
      <c r="F412" s="16">
        <f>IF(E412="","",DATEDIF(E412,$I$7,"Y"))</f>
      </c>
      <c r="G412" s="85"/>
      <c r="H412" s="85"/>
      <c r="I412" s="87"/>
      <c r="J412" s="85"/>
      <c r="K412" s="85"/>
      <c r="L412" s="10"/>
      <c r="M412" s="10"/>
      <c r="N412" s="10"/>
      <c r="O412" s="10"/>
      <c r="P412" s="85"/>
      <c r="Q412" s="88"/>
      <c r="R412" s="3">
        <f>IFERROR(VLOOKUP(TablaSeptiembre[[#This Row],[BARRIO]],SECTOR!$A:$B,2,0),"")</f>
      </c>
      <c r="S412" s="89"/>
      <c r="T412" s="90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6"/>
      <c r="AZ412" s="120">
        <f>COUNTIF(U412:AY412,"A")</f>
      </c>
      <c r="BA412" s="121">
        <f>COUNTIF(U412:AY412,"F")</f>
      </c>
      <c r="BB412" s="119">
        <f>COUNTIF(U412:AY412,"E")</f>
      </c>
    </row>
    <row r="413" spans="1:54" x14ac:dyDescent="0.2">
      <c r="A413" s="84"/>
      <c r="B413" s="85"/>
      <c r="C413" s="85"/>
      <c r="D413" s="85"/>
      <c r="E413" s="86"/>
      <c r="F413" s="16">
        <f>IF(E413="","",DATEDIF(E413,$I$7,"Y"))</f>
      </c>
      <c r="G413" s="85"/>
      <c r="H413" s="85"/>
      <c r="I413" s="87"/>
      <c r="J413" s="85"/>
      <c r="K413" s="85"/>
      <c r="L413" s="10"/>
      <c r="M413" s="10"/>
      <c r="N413" s="10"/>
      <c r="O413" s="10"/>
      <c r="P413" s="85"/>
      <c r="Q413" s="88"/>
      <c r="R413" s="3">
        <f>IFERROR(VLOOKUP(TablaSeptiembre[[#This Row],[BARRIO]],SECTOR!$A:$B,2,0),"")</f>
      </c>
      <c r="S413" s="89"/>
      <c r="T413" s="90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6"/>
      <c r="AZ413" s="120">
        <f>COUNTIF(U413:AY413,"A")</f>
      </c>
      <c r="BA413" s="121">
        <f>COUNTIF(U413:AY413,"F")</f>
      </c>
      <c r="BB413" s="119">
        <f>COUNTIF(U413:AY413,"E")</f>
      </c>
    </row>
    <row r="414" spans="1:54" x14ac:dyDescent="0.2">
      <c r="A414" s="84"/>
      <c r="B414" s="85"/>
      <c r="C414" s="85"/>
      <c r="D414" s="85"/>
      <c r="E414" s="86"/>
      <c r="F414" s="16">
        <f>IF(E414="","",DATEDIF(E414,$I$7,"Y"))</f>
      </c>
      <c r="G414" s="85"/>
      <c r="H414" s="85"/>
      <c r="I414" s="87"/>
      <c r="J414" s="85"/>
      <c r="K414" s="85"/>
      <c r="L414" s="10"/>
      <c r="M414" s="10"/>
      <c r="N414" s="10"/>
      <c r="O414" s="10"/>
      <c r="P414" s="85"/>
      <c r="Q414" s="88"/>
      <c r="R414" s="3">
        <f>IFERROR(VLOOKUP(TablaSeptiembre[[#This Row],[BARRIO]],SECTOR!$A:$B,2,0),"")</f>
      </c>
      <c r="S414" s="89"/>
      <c r="T414" s="90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6"/>
      <c r="AZ414" s="120">
        <f>COUNTIF(U414:AY414,"A")</f>
      </c>
      <c r="BA414" s="121">
        <f>COUNTIF(U414:AY414,"F")</f>
      </c>
      <c r="BB414" s="119">
        <f>COUNTIF(U414:AY414,"E")</f>
      </c>
    </row>
    <row r="415" spans="1:54" x14ac:dyDescent="0.2">
      <c r="A415" s="84"/>
      <c r="B415" s="85"/>
      <c r="C415" s="85"/>
      <c r="D415" s="85"/>
      <c r="E415" s="86"/>
      <c r="F415" s="16">
        <f>IF(E415="","",DATEDIF(E415,$I$7,"Y"))</f>
      </c>
      <c r="G415" s="85"/>
      <c r="H415" s="85"/>
      <c r="I415" s="87"/>
      <c r="J415" s="85"/>
      <c r="K415" s="85"/>
      <c r="L415" s="10"/>
      <c r="M415" s="10"/>
      <c r="N415" s="10"/>
      <c r="O415" s="10"/>
      <c r="P415" s="85"/>
      <c r="Q415" s="88"/>
      <c r="R415" s="3">
        <f>IFERROR(VLOOKUP(TablaSeptiembre[[#This Row],[BARRIO]],SECTOR!$A:$B,2,0),"")</f>
      </c>
      <c r="S415" s="89"/>
      <c r="T415" s="90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6"/>
      <c r="AZ415" s="120">
        <f>COUNTIF(U415:AY415,"A")</f>
      </c>
      <c r="BA415" s="121">
        <f>COUNTIF(U415:AY415,"F")</f>
      </c>
      <c r="BB415" s="119">
        <f>COUNTIF(U415:AY415,"E")</f>
      </c>
    </row>
    <row r="416" spans="1:54" x14ac:dyDescent="0.2">
      <c r="A416" s="84"/>
      <c r="B416" s="85"/>
      <c r="C416" s="85"/>
      <c r="D416" s="85"/>
      <c r="E416" s="86"/>
      <c r="F416" s="16">
        <f>IF(E416="","",DATEDIF(E416,$I$7,"Y"))</f>
      </c>
      <c r="G416" s="85"/>
      <c r="H416" s="85"/>
      <c r="I416" s="87"/>
      <c r="J416" s="85"/>
      <c r="K416" s="85"/>
      <c r="L416" s="10"/>
      <c r="M416" s="10"/>
      <c r="N416" s="10"/>
      <c r="O416" s="10"/>
      <c r="P416" s="85"/>
      <c r="Q416" s="88"/>
      <c r="R416" s="3">
        <f>IFERROR(VLOOKUP(TablaSeptiembre[[#This Row],[BARRIO]],SECTOR!$A:$B,2,0),"")</f>
      </c>
      <c r="S416" s="89"/>
      <c r="T416" s="90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6"/>
      <c r="AZ416" s="120">
        <f>COUNTIF(U416:AY416,"A")</f>
      </c>
      <c r="BA416" s="121">
        <f>COUNTIF(U416:AY416,"F")</f>
      </c>
      <c r="BB416" s="119">
        <f>COUNTIF(U416:AY416,"E")</f>
      </c>
    </row>
    <row r="417" spans="1:54" x14ac:dyDescent="0.2">
      <c r="A417" s="84"/>
      <c r="B417" s="85"/>
      <c r="C417" s="85"/>
      <c r="D417" s="85"/>
      <c r="E417" s="86"/>
      <c r="F417" s="16">
        <f>IF(E417="","",DATEDIF(E417,$I$7,"Y"))</f>
      </c>
      <c r="G417" s="85"/>
      <c r="H417" s="85"/>
      <c r="I417" s="87"/>
      <c r="J417" s="85"/>
      <c r="K417" s="85"/>
      <c r="L417" s="10"/>
      <c r="M417" s="10"/>
      <c r="N417" s="10"/>
      <c r="O417" s="10"/>
      <c r="P417" s="85"/>
      <c r="Q417" s="88"/>
      <c r="R417" s="3">
        <f>IFERROR(VLOOKUP(TablaSeptiembre[[#This Row],[BARRIO]],SECTOR!$A:$B,2,0),"")</f>
      </c>
      <c r="S417" s="89"/>
      <c r="T417" s="90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6"/>
      <c r="AZ417" s="120">
        <f>COUNTIF(U417:AY417,"A")</f>
      </c>
      <c r="BA417" s="121">
        <f>COUNTIF(U417:AY417,"F")</f>
      </c>
      <c r="BB417" s="119">
        <f>COUNTIF(U417:AY417,"E")</f>
      </c>
    </row>
    <row r="418" spans="1:54" x14ac:dyDescent="0.2">
      <c r="A418" s="84"/>
      <c r="B418" s="85"/>
      <c r="C418" s="85"/>
      <c r="D418" s="85"/>
      <c r="E418" s="86"/>
      <c r="F418" s="16">
        <f>IF(E418="","",DATEDIF(E418,$I$7,"Y"))</f>
      </c>
      <c r="G418" s="85"/>
      <c r="H418" s="85"/>
      <c r="I418" s="87"/>
      <c r="J418" s="85"/>
      <c r="K418" s="85"/>
      <c r="L418" s="10"/>
      <c r="M418" s="10"/>
      <c r="N418" s="10"/>
      <c r="O418" s="10"/>
      <c r="P418" s="85"/>
      <c r="Q418" s="88"/>
      <c r="R418" s="3">
        <f>IFERROR(VLOOKUP(TablaSeptiembre[[#This Row],[BARRIO]],SECTOR!$A:$B,2,0),"")</f>
      </c>
      <c r="S418" s="89"/>
      <c r="T418" s="90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6"/>
      <c r="AZ418" s="120">
        <f>COUNTIF(U418:AY418,"A")</f>
      </c>
      <c r="BA418" s="121">
        <f>COUNTIF(U418:AY418,"F")</f>
      </c>
      <c r="BB418" s="119">
        <f>COUNTIF(U418:AY418,"E")</f>
      </c>
    </row>
    <row r="419" spans="1:54" x14ac:dyDescent="0.2">
      <c r="A419" s="84"/>
      <c r="B419" s="85"/>
      <c r="C419" s="85"/>
      <c r="D419" s="85"/>
      <c r="E419" s="86"/>
      <c r="F419" s="16">
        <f>IF(E419="","",DATEDIF(E419,$I$7,"Y"))</f>
      </c>
      <c r="G419" s="85"/>
      <c r="H419" s="85"/>
      <c r="I419" s="87"/>
      <c r="J419" s="85"/>
      <c r="K419" s="85"/>
      <c r="L419" s="10"/>
      <c r="M419" s="10"/>
      <c r="N419" s="10"/>
      <c r="O419" s="10"/>
      <c r="P419" s="85"/>
      <c r="Q419" s="88"/>
      <c r="R419" s="3">
        <f>IFERROR(VLOOKUP(TablaSeptiembre[[#This Row],[BARRIO]],SECTOR!$A:$B,2,0),"")</f>
      </c>
      <c r="S419" s="89"/>
      <c r="T419" s="90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6"/>
      <c r="AZ419" s="120">
        <f>COUNTIF(U419:AY419,"A")</f>
      </c>
      <c r="BA419" s="121">
        <f>COUNTIF(U419:AY419,"F")</f>
      </c>
      <c r="BB419" s="119">
        <f>COUNTIF(U419:AY419,"E")</f>
      </c>
    </row>
    <row r="420" spans="1:54" x14ac:dyDescent="0.2">
      <c r="A420" s="84"/>
      <c r="B420" s="85"/>
      <c r="C420" s="85"/>
      <c r="D420" s="85"/>
      <c r="E420" s="86"/>
      <c r="F420" s="16">
        <f>IF(E420="","",DATEDIF(E420,$I$7,"Y"))</f>
      </c>
      <c r="G420" s="85"/>
      <c r="H420" s="85"/>
      <c r="I420" s="87"/>
      <c r="J420" s="85"/>
      <c r="K420" s="85"/>
      <c r="L420" s="10"/>
      <c r="M420" s="10"/>
      <c r="N420" s="10"/>
      <c r="O420" s="10"/>
      <c r="P420" s="85"/>
      <c r="Q420" s="88"/>
      <c r="R420" s="3">
        <f>IFERROR(VLOOKUP(TablaSeptiembre[[#This Row],[BARRIO]],SECTOR!$A:$B,2,0),"")</f>
      </c>
      <c r="S420" s="89"/>
      <c r="T420" s="90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6"/>
      <c r="AZ420" s="120">
        <f>COUNTIF(U420:AY420,"A")</f>
      </c>
      <c r="BA420" s="121">
        <f>COUNTIF(U420:AY420,"F")</f>
      </c>
      <c r="BB420" s="119">
        <f>COUNTIF(U420:AY420,"E")</f>
      </c>
    </row>
    <row r="421" spans="1:54" x14ac:dyDescent="0.2">
      <c r="A421" s="84"/>
      <c r="B421" s="85"/>
      <c r="C421" s="85"/>
      <c r="D421" s="85"/>
      <c r="E421" s="86"/>
      <c r="F421" s="16">
        <f>IF(E421="","",DATEDIF(E421,$I$7,"Y"))</f>
      </c>
      <c r="G421" s="85"/>
      <c r="H421" s="85"/>
      <c r="I421" s="87"/>
      <c r="J421" s="85"/>
      <c r="K421" s="85"/>
      <c r="L421" s="10"/>
      <c r="M421" s="10"/>
      <c r="N421" s="10"/>
      <c r="O421" s="10"/>
      <c r="P421" s="85"/>
      <c r="Q421" s="88"/>
      <c r="R421" s="3">
        <f>IFERROR(VLOOKUP(TablaSeptiembre[[#This Row],[BARRIO]],SECTOR!$A:$B,2,0),"")</f>
      </c>
      <c r="S421" s="89"/>
      <c r="T421" s="90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6"/>
      <c r="AZ421" s="120">
        <f>COUNTIF(U421:AY421,"A")</f>
      </c>
      <c r="BA421" s="121">
        <f>COUNTIF(U421:AY421,"F")</f>
      </c>
      <c r="BB421" s="119">
        <f>COUNTIF(U421:AY421,"E")</f>
      </c>
    </row>
    <row r="422" spans="1:54" x14ac:dyDescent="0.2">
      <c r="A422" s="84"/>
      <c r="B422" s="85"/>
      <c r="C422" s="85"/>
      <c r="D422" s="85"/>
      <c r="E422" s="86"/>
      <c r="F422" s="16">
        <f>IF(E422="","",DATEDIF(E422,$I$7,"Y"))</f>
      </c>
      <c r="G422" s="85"/>
      <c r="H422" s="85"/>
      <c r="I422" s="87"/>
      <c r="J422" s="85"/>
      <c r="K422" s="85"/>
      <c r="L422" s="10"/>
      <c r="M422" s="10"/>
      <c r="N422" s="10"/>
      <c r="O422" s="10"/>
      <c r="P422" s="85"/>
      <c r="Q422" s="88"/>
      <c r="R422" s="3">
        <f>IFERROR(VLOOKUP(TablaSeptiembre[[#This Row],[BARRIO]],SECTOR!$A:$B,2,0),"")</f>
      </c>
      <c r="S422" s="89"/>
      <c r="T422" s="90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6"/>
      <c r="AZ422" s="120">
        <f>COUNTIF(U422:AY422,"A")</f>
      </c>
      <c r="BA422" s="121">
        <f>COUNTIF(U422:AY422,"F")</f>
      </c>
      <c r="BB422" s="119">
        <f>COUNTIF(U422:AY422,"E")</f>
      </c>
    </row>
    <row r="423" spans="1:54" x14ac:dyDescent="0.2">
      <c r="A423" s="84"/>
      <c r="B423" s="85"/>
      <c r="C423" s="85"/>
      <c r="D423" s="85"/>
      <c r="E423" s="86"/>
      <c r="F423" s="16">
        <f>IF(E423="","",DATEDIF(E423,$I$7,"Y"))</f>
      </c>
      <c r="G423" s="85"/>
      <c r="H423" s="85"/>
      <c r="I423" s="87"/>
      <c r="J423" s="85"/>
      <c r="K423" s="85"/>
      <c r="L423" s="10"/>
      <c r="M423" s="10"/>
      <c r="N423" s="10"/>
      <c r="O423" s="10"/>
      <c r="P423" s="85"/>
      <c r="Q423" s="88"/>
      <c r="R423" s="3">
        <f>IFERROR(VLOOKUP(TablaSeptiembre[[#This Row],[BARRIO]],SECTOR!$A:$B,2,0),"")</f>
      </c>
      <c r="S423" s="89"/>
      <c r="T423" s="90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6"/>
      <c r="AZ423" s="120">
        <f>COUNTIF(U423:AY423,"A")</f>
      </c>
      <c r="BA423" s="121">
        <f>COUNTIF(U423:AY423,"F")</f>
      </c>
      <c r="BB423" s="119">
        <f>COUNTIF(U423:AY423,"E")</f>
      </c>
    </row>
    <row r="424" spans="1:54" x14ac:dyDescent="0.2">
      <c r="A424" s="84"/>
      <c r="B424" s="85"/>
      <c r="C424" s="85"/>
      <c r="D424" s="85"/>
      <c r="E424" s="86"/>
      <c r="F424" s="16">
        <f>IF(E424="","",DATEDIF(E424,$I$7,"Y"))</f>
      </c>
      <c r="G424" s="85"/>
      <c r="H424" s="85"/>
      <c r="I424" s="87"/>
      <c r="J424" s="85"/>
      <c r="K424" s="85"/>
      <c r="L424" s="10"/>
      <c r="M424" s="10"/>
      <c r="N424" s="10"/>
      <c r="O424" s="10"/>
      <c r="P424" s="85"/>
      <c r="Q424" s="88"/>
      <c r="R424" s="3">
        <f>IFERROR(VLOOKUP(TablaSeptiembre[[#This Row],[BARRIO]],SECTOR!$A:$B,2,0),"")</f>
      </c>
      <c r="S424" s="89"/>
      <c r="T424" s="90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6"/>
      <c r="AZ424" s="120">
        <f>COUNTIF(U424:AY424,"A")</f>
      </c>
      <c r="BA424" s="121">
        <f>COUNTIF(U424:AY424,"F")</f>
      </c>
      <c r="BB424" s="119">
        <f>COUNTIF(U424:AY424,"E")</f>
      </c>
    </row>
    <row r="425" spans="1:54" x14ac:dyDescent="0.2">
      <c r="A425" s="84"/>
      <c r="B425" s="85"/>
      <c r="C425" s="85"/>
      <c r="D425" s="85"/>
      <c r="E425" s="86"/>
      <c r="F425" s="16">
        <f>IF(E425="","",DATEDIF(E425,$I$7,"Y"))</f>
      </c>
      <c r="G425" s="85"/>
      <c r="H425" s="85"/>
      <c r="I425" s="87"/>
      <c r="J425" s="85"/>
      <c r="K425" s="85"/>
      <c r="L425" s="10"/>
      <c r="M425" s="10"/>
      <c r="N425" s="10"/>
      <c r="O425" s="10"/>
      <c r="P425" s="85"/>
      <c r="Q425" s="88"/>
      <c r="R425" s="3">
        <f>IFERROR(VLOOKUP(TablaSeptiembre[[#This Row],[BARRIO]],SECTOR!$A:$B,2,0),"")</f>
      </c>
      <c r="S425" s="89"/>
      <c r="T425" s="90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6"/>
      <c r="AZ425" s="120">
        <f>COUNTIF(U425:AY425,"A")</f>
      </c>
      <c r="BA425" s="121">
        <f>COUNTIF(U425:AY425,"F")</f>
      </c>
      <c r="BB425" s="119">
        <f>COUNTIF(U425:AY425,"E")</f>
      </c>
    </row>
    <row r="426" spans="1:54" x14ac:dyDescent="0.2">
      <c r="A426" s="84"/>
      <c r="B426" s="85"/>
      <c r="C426" s="85"/>
      <c r="D426" s="85"/>
      <c r="E426" s="86"/>
      <c r="F426" s="16">
        <f>IF(E426="","",DATEDIF(E426,$I$7,"Y"))</f>
      </c>
      <c r="G426" s="85"/>
      <c r="H426" s="85"/>
      <c r="I426" s="87"/>
      <c r="J426" s="85"/>
      <c r="K426" s="85"/>
      <c r="L426" s="10"/>
      <c r="M426" s="10"/>
      <c r="N426" s="10"/>
      <c r="O426" s="10"/>
      <c r="P426" s="85"/>
      <c r="Q426" s="88"/>
      <c r="R426" s="3">
        <f>IFERROR(VLOOKUP(TablaSeptiembre[[#This Row],[BARRIO]],SECTOR!$A:$B,2,0),"")</f>
      </c>
      <c r="S426" s="89"/>
      <c r="T426" s="90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6"/>
      <c r="AZ426" s="120">
        <f>COUNTIF(U426:AY426,"A")</f>
      </c>
      <c r="BA426" s="121">
        <f>COUNTIF(U426:AY426,"F")</f>
      </c>
      <c r="BB426" s="119">
        <f>COUNTIF(U426:AY426,"E")</f>
      </c>
    </row>
    <row r="427" spans="1:54" x14ac:dyDescent="0.2">
      <c r="A427" s="84"/>
      <c r="B427" s="85"/>
      <c r="C427" s="85"/>
      <c r="D427" s="85"/>
      <c r="E427" s="86"/>
      <c r="F427" s="16">
        <f>IF(E427="","",DATEDIF(E427,$I$7,"Y"))</f>
      </c>
      <c r="G427" s="85"/>
      <c r="H427" s="85"/>
      <c r="I427" s="87"/>
      <c r="J427" s="85"/>
      <c r="K427" s="85"/>
      <c r="L427" s="10"/>
      <c r="M427" s="10"/>
      <c r="N427" s="10"/>
      <c r="O427" s="10"/>
      <c r="P427" s="85"/>
      <c r="Q427" s="88"/>
      <c r="R427" s="3">
        <f>IFERROR(VLOOKUP(TablaSeptiembre[[#This Row],[BARRIO]],SECTOR!$A:$B,2,0),"")</f>
      </c>
      <c r="S427" s="89"/>
      <c r="T427" s="90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6"/>
      <c r="AZ427" s="120">
        <f>COUNTIF(U427:AY427,"A")</f>
      </c>
      <c r="BA427" s="121">
        <f>COUNTIF(U427:AY427,"F")</f>
      </c>
      <c r="BB427" s="119">
        <f>COUNTIF(U427:AY427,"E")</f>
      </c>
    </row>
    <row r="428" spans="1:54" x14ac:dyDescent="0.2">
      <c r="A428" s="84"/>
      <c r="B428" s="85"/>
      <c r="C428" s="85"/>
      <c r="D428" s="85"/>
      <c r="E428" s="86"/>
      <c r="F428" s="16">
        <f>IF(E428="","",DATEDIF(E428,$I$7,"Y"))</f>
      </c>
      <c r="G428" s="85"/>
      <c r="H428" s="85"/>
      <c r="I428" s="87"/>
      <c r="J428" s="85"/>
      <c r="K428" s="85"/>
      <c r="L428" s="10"/>
      <c r="M428" s="10"/>
      <c r="N428" s="10"/>
      <c r="O428" s="10"/>
      <c r="P428" s="85"/>
      <c r="Q428" s="88"/>
      <c r="R428" s="3">
        <f>IFERROR(VLOOKUP(TablaSeptiembre[[#This Row],[BARRIO]],SECTOR!$A:$B,2,0),"")</f>
      </c>
      <c r="S428" s="89"/>
      <c r="T428" s="90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6"/>
      <c r="AZ428" s="120">
        <f>COUNTIF(U428:AY428,"A")</f>
      </c>
      <c r="BA428" s="121">
        <f>COUNTIF(U428:AY428,"F")</f>
      </c>
      <c r="BB428" s="119">
        <f>COUNTIF(U428:AY428,"E")</f>
      </c>
    </row>
    <row r="429" spans="1:54" x14ac:dyDescent="0.2">
      <c r="A429" s="84"/>
      <c r="B429" s="85"/>
      <c r="C429" s="85"/>
      <c r="D429" s="85"/>
      <c r="E429" s="86"/>
      <c r="F429" s="16">
        <f>IF(E429="","",DATEDIF(E429,$I$7,"Y"))</f>
      </c>
      <c r="G429" s="85"/>
      <c r="H429" s="85"/>
      <c r="I429" s="87"/>
      <c r="J429" s="85"/>
      <c r="K429" s="85"/>
      <c r="L429" s="10"/>
      <c r="M429" s="10"/>
      <c r="N429" s="10"/>
      <c r="O429" s="10"/>
      <c r="P429" s="85"/>
      <c r="Q429" s="88"/>
      <c r="R429" s="3">
        <f>IFERROR(VLOOKUP(TablaSeptiembre[[#This Row],[BARRIO]],SECTOR!$A:$B,2,0),"")</f>
      </c>
      <c r="S429" s="89"/>
      <c r="T429" s="90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6"/>
      <c r="AZ429" s="120">
        <f>COUNTIF(U429:AY429,"A")</f>
      </c>
      <c r="BA429" s="121">
        <f>COUNTIF(U429:AY429,"F")</f>
      </c>
      <c r="BB429" s="119">
        <f>COUNTIF(U429:AY429,"E")</f>
      </c>
    </row>
    <row r="430" spans="1:54" x14ac:dyDescent="0.2">
      <c r="A430" s="84"/>
      <c r="B430" s="85"/>
      <c r="C430" s="85"/>
      <c r="D430" s="85"/>
      <c r="E430" s="86"/>
      <c r="F430" s="16">
        <f>IF(E430="","",DATEDIF(E430,$I$7,"Y"))</f>
      </c>
      <c r="G430" s="85"/>
      <c r="H430" s="85"/>
      <c r="I430" s="87"/>
      <c r="J430" s="85"/>
      <c r="K430" s="85"/>
      <c r="L430" s="10"/>
      <c r="M430" s="10"/>
      <c r="N430" s="10"/>
      <c r="O430" s="10"/>
      <c r="P430" s="85"/>
      <c r="Q430" s="88"/>
      <c r="R430" s="3">
        <f>IFERROR(VLOOKUP(TablaSeptiembre[[#This Row],[BARRIO]],SECTOR!$A:$B,2,0),"")</f>
      </c>
      <c r="S430" s="89"/>
      <c r="T430" s="90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6"/>
      <c r="AZ430" s="120">
        <f>COUNTIF(U430:AY430,"A")</f>
      </c>
      <c r="BA430" s="121">
        <f>COUNTIF(U430:AY430,"F")</f>
      </c>
      <c r="BB430" s="119">
        <f>COUNTIF(U430:AY430,"E")</f>
      </c>
    </row>
    <row r="431" spans="1:54" x14ac:dyDescent="0.2">
      <c r="A431" s="84"/>
      <c r="B431" s="85"/>
      <c r="C431" s="85"/>
      <c r="D431" s="85"/>
      <c r="E431" s="86"/>
      <c r="F431" s="16">
        <f>IF(E431="","",DATEDIF(E431,$I$7,"Y"))</f>
      </c>
      <c r="G431" s="85"/>
      <c r="H431" s="85"/>
      <c r="I431" s="87"/>
      <c r="J431" s="85"/>
      <c r="K431" s="85"/>
      <c r="L431" s="10"/>
      <c r="M431" s="10"/>
      <c r="N431" s="10"/>
      <c r="O431" s="10"/>
      <c r="P431" s="85"/>
      <c r="Q431" s="88"/>
      <c r="R431" s="3">
        <f>IFERROR(VLOOKUP(TablaSeptiembre[[#This Row],[BARRIO]],SECTOR!$A:$B,2,0),"")</f>
      </c>
      <c r="S431" s="89"/>
      <c r="T431" s="90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6"/>
      <c r="AZ431" s="120">
        <f>COUNTIF(U431:AY431,"A")</f>
      </c>
      <c r="BA431" s="121">
        <f>COUNTIF(U431:AY431,"F")</f>
      </c>
      <c r="BB431" s="119">
        <f>COUNTIF(U431:AY431,"E")</f>
      </c>
    </row>
    <row r="432" spans="1:54" x14ac:dyDescent="0.2">
      <c r="A432" s="84"/>
      <c r="B432" s="85"/>
      <c r="C432" s="85"/>
      <c r="D432" s="85"/>
      <c r="E432" s="86"/>
      <c r="F432" s="16">
        <f>IF(E432="","",DATEDIF(E432,$I$7,"Y"))</f>
      </c>
      <c r="G432" s="85"/>
      <c r="H432" s="85"/>
      <c r="I432" s="87"/>
      <c r="J432" s="85"/>
      <c r="K432" s="85"/>
      <c r="L432" s="10"/>
      <c r="M432" s="10"/>
      <c r="N432" s="10"/>
      <c r="O432" s="10"/>
      <c r="P432" s="85"/>
      <c r="Q432" s="88"/>
      <c r="R432" s="3">
        <f>IFERROR(VLOOKUP(TablaSeptiembre[[#This Row],[BARRIO]],SECTOR!$A:$B,2,0),"")</f>
      </c>
      <c r="S432" s="89"/>
      <c r="T432" s="90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6"/>
      <c r="AZ432" s="120">
        <f>COUNTIF(U432:AY432,"A")</f>
      </c>
      <c r="BA432" s="121">
        <f>COUNTIF(U432:AY432,"F")</f>
      </c>
      <c r="BB432" s="119">
        <f>COUNTIF(U432:AY432,"E")</f>
      </c>
    </row>
    <row r="433" spans="1:54" x14ac:dyDescent="0.2">
      <c r="A433" s="84"/>
      <c r="B433" s="85"/>
      <c r="C433" s="85"/>
      <c r="D433" s="85"/>
      <c r="E433" s="86"/>
      <c r="F433" s="16">
        <f>IF(E433="","",DATEDIF(E433,$I$7,"Y"))</f>
      </c>
      <c r="G433" s="85"/>
      <c r="H433" s="85"/>
      <c r="I433" s="87"/>
      <c r="J433" s="85"/>
      <c r="K433" s="85"/>
      <c r="L433" s="10"/>
      <c r="M433" s="10"/>
      <c r="N433" s="10"/>
      <c r="O433" s="10"/>
      <c r="P433" s="85"/>
      <c r="Q433" s="88"/>
      <c r="R433" s="3">
        <f>IFERROR(VLOOKUP(TablaSeptiembre[[#This Row],[BARRIO]],SECTOR!$A:$B,2,0),"")</f>
      </c>
      <c r="S433" s="89"/>
      <c r="T433" s="90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6"/>
      <c r="AZ433" s="120">
        <f>COUNTIF(U433:AY433,"A")</f>
      </c>
      <c r="BA433" s="121">
        <f>COUNTIF(U433:AY433,"F")</f>
      </c>
      <c r="BB433" s="119">
        <f>COUNTIF(U433:AY433,"E")</f>
      </c>
    </row>
    <row r="434" spans="1:54" x14ac:dyDescent="0.2">
      <c r="A434" s="84"/>
      <c r="B434" s="85"/>
      <c r="C434" s="85"/>
      <c r="D434" s="85"/>
      <c r="E434" s="86"/>
      <c r="F434" s="16">
        <f>IF(E434="","",DATEDIF(E434,$I$7,"Y"))</f>
      </c>
      <c r="G434" s="85"/>
      <c r="H434" s="85"/>
      <c r="I434" s="87"/>
      <c r="J434" s="85"/>
      <c r="K434" s="85"/>
      <c r="L434" s="10"/>
      <c r="M434" s="10"/>
      <c r="N434" s="10"/>
      <c r="O434" s="10"/>
      <c r="P434" s="85"/>
      <c r="Q434" s="88"/>
      <c r="R434" s="3">
        <f>IFERROR(VLOOKUP(TablaSeptiembre[[#This Row],[BARRIO]],SECTOR!$A:$B,2,0),"")</f>
      </c>
      <c r="S434" s="89"/>
      <c r="T434" s="90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6"/>
      <c r="AZ434" s="120">
        <f>COUNTIF(U434:AY434,"A")</f>
      </c>
      <c r="BA434" s="121">
        <f>COUNTIF(U434:AY434,"F")</f>
      </c>
      <c r="BB434" s="119">
        <f>COUNTIF(U434:AY434,"E")</f>
      </c>
    </row>
    <row r="435" spans="1:54" x14ac:dyDescent="0.2">
      <c r="A435" s="84"/>
      <c r="B435" s="85"/>
      <c r="C435" s="85"/>
      <c r="D435" s="85"/>
      <c r="E435" s="86"/>
      <c r="F435" s="16">
        <f>IF(E435="","",DATEDIF(E435,$I$7,"Y"))</f>
      </c>
      <c r="G435" s="85"/>
      <c r="H435" s="85"/>
      <c r="I435" s="87"/>
      <c r="J435" s="85"/>
      <c r="K435" s="85"/>
      <c r="L435" s="10"/>
      <c r="M435" s="10"/>
      <c r="N435" s="10"/>
      <c r="O435" s="10"/>
      <c r="P435" s="85"/>
      <c r="Q435" s="88"/>
      <c r="R435" s="3">
        <f>IFERROR(VLOOKUP(TablaSeptiembre[[#This Row],[BARRIO]],SECTOR!$A:$B,2,0),"")</f>
      </c>
      <c r="S435" s="89"/>
      <c r="T435" s="90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6"/>
      <c r="AZ435" s="120">
        <f>COUNTIF(U435:AY435,"A")</f>
      </c>
      <c r="BA435" s="121">
        <f>COUNTIF(U435:AY435,"F")</f>
      </c>
      <c r="BB435" s="119">
        <f>COUNTIF(U435:AY435,"E")</f>
      </c>
    </row>
    <row r="436" spans="1:54" x14ac:dyDescent="0.2">
      <c r="A436" s="84"/>
      <c r="B436" s="85"/>
      <c r="C436" s="85"/>
      <c r="D436" s="85"/>
      <c r="E436" s="86"/>
      <c r="F436" s="16">
        <f>IF(E436="","",DATEDIF(E436,$I$7,"Y"))</f>
      </c>
      <c r="G436" s="85"/>
      <c r="H436" s="85"/>
      <c r="I436" s="87"/>
      <c r="J436" s="85"/>
      <c r="K436" s="85"/>
      <c r="L436" s="10"/>
      <c r="M436" s="10"/>
      <c r="N436" s="10"/>
      <c r="O436" s="10"/>
      <c r="P436" s="85"/>
      <c r="Q436" s="88"/>
      <c r="R436" s="3">
        <f>IFERROR(VLOOKUP(TablaSeptiembre[[#This Row],[BARRIO]],SECTOR!$A:$B,2,0),"")</f>
      </c>
      <c r="S436" s="89"/>
      <c r="T436" s="90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6"/>
      <c r="AZ436" s="120">
        <f>COUNTIF(U436:AY436,"A")</f>
      </c>
      <c r="BA436" s="121">
        <f>COUNTIF(U436:AY436,"F")</f>
      </c>
      <c r="BB436" s="119">
        <f>COUNTIF(U436:AY436,"E")</f>
      </c>
    </row>
    <row r="437" spans="1:54" x14ac:dyDescent="0.2">
      <c r="A437" s="84"/>
      <c r="B437" s="85"/>
      <c r="C437" s="85"/>
      <c r="D437" s="85"/>
      <c r="E437" s="86"/>
      <c r="F437" s="16">
        <f>IF(E437="","",DATEDIF(E437,$I$7,"Y"))</f>
      </c>
      <c r="G437" s="85"/>
      <c r="H437" s="85"/>
      <c r="I437" s="87"/>
      <c r="J437" s="85"/>
      <c r="K437" s="85"/>
      <c r="L437" s="10"/>
      <c r="M437" s="10"/>
      <c r="N437" s="10"/>
      <c r="O437" s="10"/>
      <c r="P437" s="85"/>
      <c r="Q437" s="88"/>
      <c r="R437" s="3">
        <f>IFERROR(VLOOKUP(TablaSeptiembre[[#This Row],[BARRIO]],SECTOR!$A:$B,2,0),"")</f>
      </c>
      <c r="S437" s="89"/>
      <c r="T437" s="90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6"/>
      <c r="AZ437" s="120">
        <f>COUNTIF(U437:AY437,"A")</f>
      </c>
      <c r="BA437" s="121">
        <f>COUNTIF(U437:AY437,"F")</f>
      </c>
      <c r="BB437" s="119">
        <f>COUNTIF(U437:AY437,"E")</f>
      </c>
    </row>
    <row r="438" spans="1:54" x14ac:dyDescent="0.2">
      <c r="A438" s="84"/>
      <c r="B438" s="85"/>
      <c r="C438" s="85"/>
      <c r="D438" s="85"/>
      <c r="E438" s="86"/>
      <c r="F438" s="16">
        <f>IF(E438="","",DATEDIF(E438,$I$7,"Y"))</f>
      </c>
      <c r="G438" s="85"/>
      <c r="H438" s="85"/>
      <c r="I438" s="87"/>
      <c r="J438" s="85"/>
      <c r="K438" s="85"/>
      <c r="L438" s="10"/>
      <c r="M438" s="10"/>
      <c r="N438" s="10"/>
      <c r="O438" s="10"/>
      <c r="P438" s="85"/>
      <c r="Q438" s="88"/>
      <c r="R438" s="3">
        <f>IFERROR(VLOOKUP(TablaSeptiembre[[#This Row],[BARRIO]],SECTOR!$A:$B,2,0),"")</f>
      </c>
      <c r="S438" s="89"/>
      <c r="T438" s="90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6"/>
      <c r="AZ438" s="120">
        <f>COUNTIF(U438:AY438,"A")</f>
      </c>
      <c r="BA438" s="121">
        <f>COUNTIF(U438:AY438,"F")</f>
      </c>
      <c r="BB438" s="119">
        <f>COUNTIF(U438:AY438,"E")</f>
      </c>
    </row>
    <row r="439" spans="1:54" x14ac:dyDescent="0.2">
      <c r="A439" s="84"/>
      <c r="B439" s="85"/>
      <c r="C439" s="85"/>
      <c r="D439" s="85"/>
      <c r="E439" s="86"/>
      <c r="F439" s="16">
        <f>IF(E439="","",DATEDIF(E439,$I$7,"Y"))</f>
      </c>
      <c r="G439" s="85"/>
      <c r="H439" s="85"/>
      <c r="I439" s="87"/>
      <c r="J439" s="85"/>
      <c r="K439" s="85"/>
      <c r="L439" s="10"/>
      <c r="M439" s="10"/>
      <c r="N439" s="10"/>
      <c r="O439" s="10"/>
      <c r="P439" s="85"/>
      <c r="Q439" s="88"/>
      <c r="R439" s="3">
        <f>IFERROR(VLOOKUP(TablaSeptiembre[[#This Row],[BARRIO]],SECTOR!$A:$B,2,0),"")</f>
      </c>
      <c r="S439" s="89"/>
      <c r="T439" s="90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6"/>
      <c r="AZ439" s="120">
        <f>COUNTIF(U439:AY439,"A")</f>
      </c>
      <c r="BA439" s="121">
        <f>COUNTIF(U439:AY439,"F")</f>
      </c>
      <c r="BB439" s="119">
        <f>COUNTIF(U439:AY439,"E")</f>
      </c>
    </row>
    <row r="440" spans="1:54" x14ac:dyDescent="0.2">
      <c r="A440" s="84"/>
      <c r="B440" s="85"/>
      <c r="C440" s="85"/>
      <c r="D440" s="85"/>
      <c r="E440" s="86"/>
      <c r="F440" s="16">
        <f>IF(E440="","",DATEDIF(E440,$I$7,"Y"))</f>
      </c>
      <c r="G440" s="85"/>
      <c r="H440" s="85"/>
      <c r="I440" s="87"/>
      <c r="J440" s="85"/>
      <c r="K440" s="85"/>
      <c r="L440" s="10"/>
      <c r="M440" s="10"/>
      <c r="N440" s="10"/>
      <c r="O440" s="10"/>
      <c r="P440" s="85"/>
      <c r="Q440" s="88"/>
      <c r="R440" s="3">
        <f>IFERROR(VLOOKUP(TablaSeptiembre[[#This Row],[BARRIO]],SECTOR!$A:$B,2,0),"")</f>
      </c>
      <c r="S440" s="89"/>
      <c r="T440" s="90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6"/>
      <c r="AZ440" s="120">
        <f>COUNTIF(U440:AY440,"A")</f>
      </c>
      <c r="BA440" s="121">
        <f>COUNTIF(U440:AY440,"F")</f>
      </c>
      <c r="BB440" s="119">
        <f>COUNTIF(U440:AY440,"E")</f>
      </c>
    </row>
    <row r="441" spans="1:54" x14ac:dyDescent="0.2">
      <c r="A441" s="84"/>
      <c r="B441" s="85"/>
      <c r="C441" s="85"/>
      <c r="D441" s="85"/>
      <c r="E441" s="86"/>
      <c r="F441" s="16">
        <f>IF(E441="","",DATEDIF(E441,$I$7,"Y"))</f>
      </c>
      <c r="G441" s="85"/>
      <c r="H441" s="85"/>
      <c r="I441" s="87"/>
      <c r="J441" s="85"/>
      <c r="K441" s="85"/>
      <c r="L441" s="10"/>
      <c r="M441" s="10"/>
      <c r="N441" s="10"/>
      <c r="O441" s="10"/>
      <c r="P441" s="85"/>
      <c r="Q441" s="88"/>
      <c r="R441" s="3">
        <f>IFERROR(VLOOKUP(TablaSeptiembre[[#This Row],[BARRIO]],SECTOR!$A:$B,2,0),"")</f>
      </c>
      <c r="S441" s="89"/>
      <c r="T441" s="90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6"/>
      <c r="AZ441" s="120">
        <f>COUNTIF(U441:AY441,"A")</f>
      </c>
      <c r="BA441" s="121">
        <f>COUNTIF(U441:AY441,"F")</f>
      </c>
      <c r="BB441" s="119">
        <f>COUNTIF(U441:AY441,"E")</f>
      </c>
    </row>
    <row r="442" spans="1:54" x14ac:dyDescent="0.2">
      <c r="A442" s="84"/>
      <c r="B442" s="85"/>
      <c r="C442" s="85"/>
      <c r="D442" s="85"/>
      <c r="E442" s="86"/>
      <c r="F442" s="16">
        <f>IF(E442="","",DATEDIF(E442,$I$7,"Y"))</f>
      </c>
      <c r="G442" s="85"/>
      <c r="H442" s="85"/>
      <c r="I442" s="87"/>
      <c r="J442" s="85"/>
      <c r="K442" s="85"/>
      <c r="L442" s="10"/>
      <c r="M442" s="10"/>
      <c r="N442" s="10"/>
      <c r="O442" s="10"/>
      <c r="P442" s="85"/>
      <c r="Q442" s="88"/>
      <c r="R442" s="3">
        <f>IFERROR(VLOOKUP(TablaSeptiembre[[#This Row],[BARRIO]],SECTOR!$A:$B,2,0),"")</f>
      </c>
      <c r="S442" s="89"/>
      <c r="T442" s="90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6"/>
      <c r="AZ442" s="120">
        <f>COUNTIF(U442:AY442,"A")</f>
      </c>
      <c r="BA442" s="121">
        <f>COUNTIF(U442:AY442,"F")</f>
      </c>
      <c r="BB442" s="119">
        <f>COUNTIF(U442:AY442,"E")</f>
      </c>
    </row>
    <row r="443" spans="1:54" x14ac:dyDescent="0.2">
      <c r="A443" s="84"/>
      <c r="B443" s="85"/>
      <c r="C443" s="85"/>
      <c r="D443" s="85"/>
      <c r="E443" s="86"/>
      <c r="F443" s="16">
        <f>IF(E443="","",DATEDIF(E443,$I$7,"Y"))</f>
      </c>
      <c r="G443" s="85"/>
      <c r="H443" s="85"/>
      <c r="I443" s="87"/>
      <c r="J443" s="85"/>
      <c r="K443" s="85"/>
      <c r="L443" s="10"/>
      <c r="M443" s="10"/>
      <c r="N443" s="10"/>
      <c r="O443" s="10"/>
      <c r="P443" s="85"/>
      <c r="Q443" s="88"/>
      <c r="R443" s="3">
        <f>IFERROR(VLOOKUP(TablaSeptiembre[[#This Row],[BARRIO]],SECTOR!$A:$B,2,0),"")</f>
      </c>
      <c r="S443" s="89"/>
      <c r="T443" s="90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6"/>
      <c r="AZ443" s="120">
        <f>COUNTIF(U443:AY443,"A")</f>
      </c>
      <c r="BA443" s="121">
        <f>COUNTIF(U443:AY443,"F")</f>
      </c>
      <c r="BB443" s="119">
        <f>COUNTIF(U443:AY443,"E")</f>
      </c>
    </row>
    <row r="444" spans="1:54" x14ac:dyDescent="0.2">
      <c r="A444" s="84"/>
      <c r="B444" s="85"/>
      <c r="C444" s="85"/>
      <c r="D444" s="85"/>
      <c r="E444" s="86"/>
      <c r="F444" s="16">
        <f>IF(E444="","",DATEDIF(E444,$I$7,"Y"))</f>
      </c>
      <c r="G444" s="85"/>
      <c r="H444" s="85"/>
      <c r="I444" s="87"/>
      <c r="J444" s="85"/>
      <c r="K444" s="85"/>
      <c r="L444" s="10"/>
      <c r="M444" s="10"/>
      <c r="N444" s="10"/>
      <c r="O444" s="10"/>
      <c r="P444" s="85"/>
      <c r="Q444" s="88"/>
      <c r="R444" s="3">
        <f>IFERROR(VLOOKUP(TablaSeptiembre[[#This Row],[BARRIO]],SECTOR!$A:$B,2,0),"")</f>
      </c>
      <c r="S444" s="89"/>
      <c r="T444" s="90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6"/>
      <c r="AZ444" s="120">
        <f>COUNTIF(U444:AY444,"A")</f>
      </c>
      <c r="BA444" s="121">
        <f>COUNTIF(U444:AY444,"F")</f>
      </c>
      <c r="BB444" s="119">
        <f>COUNTIF(U444:AY444,"E")</f>
      </c>
    </row>
    <row r="445" spans="1:54" x14ac:dyDescent="0.2">
      <c r="A445" s="84"/>
      <c r="B445" s="85"/>
      <c r="C445" s="85"/>
      <c r="D445" s="85"/>
      <c r="E445" s="86"/>
      <c r="F445" s="16">
        <f>IF(E445="","",DATEDIF(E445,$I$7,"Y"))</f>
      </c>
      <c r="G445" s="85"/>
      <c r="H445" s="85"/>
      <c r="I445" s="87"/>
      <c r="J445" s="85"/>
      <c r="K445" s="85"/>
      <c r="L445" s="10"/>
      <c r="M445" s="10"/>
      <c r="N445" s="10"/>
      <c r="O445" s="10"/>
      <c r="P445" s="85"/>
      <c r="Q445" s="88"/>
      <c r="R445" s="3">
        <f>IFERROR(VLOOKUP(TablaSeptiembre[[#This Row],[BARRIO]],SECTOR!$A:$B,2,0),"")</f>
      </c>
      <c r="S445" s="89"/>
      <c r="T445" s="90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6"/>
      <c r="AZ445" s="120">
        <f>COUNTIF(U445:AY445,"A")</f>
      </c>
      <c r="BA445" s="121">
        <f>COUNTIF(U445:AY445,"F")</f>
      </c>
      <c r="BB445" s="119">
        <f>COUNTIF(U445:AY445,"E")</f>
      </c>
    </row>
    <row r="446" spans="1:54" x14ac:dyDescent="0.2">
      <c r="A446" s="84"/>
      <c r="B446" s="85"/>
      <c r="C446" s="85"/>
      <c r="D446" s="85"/>
      <c r="E446" s="86"/>
      <c r="F446" s="16">
        <f>IF(E446="","",DATEDIF(E446,$I$7,"Y"))</f>
      </c>
      <c r="G446" s="85"/>
      <c r="H446" s="85"/>
      <c r="I446" s="87"/>
      <c r="J446" s="85"/>
      <c r="K446" s="85"/>
      <c r="L446" s="10"/>
      <c r="M446" s="10"/>
      <c r="N446" s="10"/>
      <c r="O446" s="10"/>
      <c r="P446" s="85"/>
      <c r="Q446" s="88"/>
      <c r="R446" s="3">
        <f>IFERROR(VLOOKUP(TablaSeptiembre[[#This Row],[BARRIO]],SECTOR!$A:$B,2,0),"")</f>
      </c>
      <c r="S446" s="89"/>
      <c r="T446" s="90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6"/>
      <c r="AZ446" s="120">
        <f>COUNTIF(U446:AY446,"A")</f>
      </c>
      <c r="BA446" s="121">
        <f>COUNTIF(U446:AY446,"F")</f>
      </c>
      <c r="BB446" s="119">
        <f>COUNTIF(U446:AY446,"E")</f>
      </c>
    </row>
    <row r="447" spans="1:54" x14ac:dyDescent="0.2">
      <c r="A447" s="84"/>
      <c r="B447" s="85"/>
      <c r="C447" s="85"/>
      <c r="D447" s="85"/>
      <c r="E447" s="86"/>
      <c r="F447" s="16">
        <f>IF(E447="","",DATEDIF(E447,$I$7,"Y"))</f>
      </c>
      <c r="G447" s="85"/>
      <c r="H447" s="85"/>
      <c r="I447" s="87"/>
      <c r="J447" s="85"/>
      <c r="K447" s="85"/>
      <c r="L447" s="10"/>
      <c r="M447" s="10"/>
      <c r="N447" s="10"/>
      <c r="O447" s="10"/>
      <c r="P447" s="85"/>
      <c r="Q447" s="88"/>
      <c r="R447" s="3">
        <f>IFERROR(VLOOKUP(TablaSeptiembre[[#This Row],[BARRIO]],SECTOR!$A:$B,2,0),"")</f>
      </c>
      <c r="S447" s="89"/>
      <c r="T447" s="90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6"/>
      <c r="AZ447" s="120">
        <f>COUNTIF(U447:AY447,"A")</f>
      </c>
      <c r="BA447" s="121">
        <f>COUNTIF(U447:AY447,"F")</f>
      </c>
      <c r="BB447" s="119">
        <f>COUNTIF(U447:AY447,"E")</f>
      </c>
    </row>
    <row r="448" spans="1:54" x14ac:dyDescent="0.2">
      <c r="A448" s="84"/>
      <c r="B448" s="85"/>
      <c r="C448" s="85"/>
      <c r="D448" s="85"/>
      <c r="E448" s="86"/>
      <c r="F448" s="16">
        <f>IF(E448="","",DATEDIF(E448,$I$7,"Y"))</f>
      </c>
      <c r="G448" s="85"/>
      <c r="H448" s="85"/>
      <c r="I448" s="87"/>
      <c r="J448" s="85"/>
      <c r="K448" s="85"/>
      <c r="L448" s="10"/>
      <c r="M448" s="10"/>
      <c r="N448" s="10"/>
      <c r="O448" s="10"/>
      <c r="P448" s="85"/>
      <c r="Q448" s="88"/>
      <c r="R448" s="3">
        <f>IFERROR(VLOOKUP(TablaSeptiembre[[#This Row],[BARRIO]],SECTOR!$A:$B,2,0),"")</f>
      </c>
      <c r="S448" s="89"/>
      <c r="T448" s="90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6"/>
      <c r="AZ448" s="120">
        <f>COUNTIF(U448:AY448,"A")</f>
      </c>
      <c r="BA448" s="121">
        <f>COUNTIF(U448:AY448,"F")</f>
      </c>
      <c r="BB448" s="119">
        <f>COUNTIF(U448:AY448,"E")</f>
      </c>
    </row>
    <row r="449" spans="1:54" x14ac:dyDescent="0.2">
      <c r="A449" s="84"/>
      <c r="B449" s="85"/>
      <c r="C449" s="85"/>
      <c r="D449" s="85"/>
      <c r="E449" s="86"/>
      <c r="F449" s="16">
        <f>IF(E449="","",DATEDIF(E449,$I$7,"Y"))</f>
      </c>
      <c r="G449" s="85"/>
      <c r="H449" s="85"/>
      <c r="I449" s="87"/>
      <c r="J449" s="85"/>
      <c r="K449" s="85"/>
      <c r="L449" s="10"/>
      <c r="M449" s="10"/>
      <c r="N449" s="10"/>
      <c r="O449" s="10"/>
      <c r="P449" s="85"/>
      <c r="Q449" s="88"/>
      <c r="R449" s="3">
        <f>IFERROR(VLOOKUP(TablaSeptiembre[[#This Row],[BARRIO]],SECTOR!$A:$B,2,0),"")</f>
      </c>
      <c r="S449" s="89"/>
      <c r="T449" s="90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6"/>
      <c r="AZ449" s="120">
        <f>COUNTIF(U449:AY449,"A")</f>
      </c>
      <c r="BA449" s="121">
        <f>COUNTIF(U449:AY449,"F")</f>
      </c>
      <c r="BB449" s="119">
        <f>COUNTIF(U449:AY449,"E")</f>
      </c>
    </row>
    <row r="450" spans="1:54" x14ac:dyDescent="0.2">
      <c r="A450" s="84"/>
      <c r="B450" s="85"/>
      <c r="C450" s="85"/>
      <c r="D450" s="85"/>
      <c r="E450" s="86"/>
      <c r="F450" s="16">
        <f>IF(E450="","",DATEDIF(E450,$I$7,"Y"))</f>
      </c>
      <c r="G450" s="85"/>
      <c r="H450" s="85"/>
      <c r="I450" s="87"/>
      <c r="J450" s="85"/>
      <c r="K450" s="85"/>
      <c r="L450" s="10"/>
      <c r="M450" s="10"/>
      <c r="N450" s="10"/>
      <c r="O450" s="10"/>
      <c r="P450" s="85"/>
      <c r="Q450" s="88"/>
      <c r="R450" s="3">
        <f>IFERROR(VLOOKUP(TablaSeptiembre[[#This Row],[BARRIO]],SECTOR!$A:$B,2,0),"")</f>
      </c>
      <c r="S450" s="89"/>
      <c r="T450" s="90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6"/>
      <c r="AZ450" s="120">
        <f>COUNTIF(U450:AY450,"A")</f>
      </c>
      <c r="BA450" s="121">
        <f>COUNTIF(U450:AY450,"F")</f>
      </c>
      <c r="BB450" s="119">
        <f>COUNTIF(U450:AY450,"E")</f>
      </c>
    </row>
    <row r="451" spans="1:54" x14ac:dyDescent="0.2">
      <c r="A451" s="84"/>
      <c r="B451" s="85"/>
      <c r="C451" s="85"/>
      <c r="D451" s="85"/>
      <c r="E451" s="86"/>
      <c r="F451" s="16">
        <f>IF(E451="","",DATEDIF(E451,$I$7,"Y"))</f>
      </c>
      <c r="G451" s="85"/>
      <c r="H451" s="85"/>
      <c r="I451" s="87"/>
      <c r="J451" s="85"/>
      <c r="K451" s="85"/>
      <c r="L451" s="10"/>
      <c r="M451" s="10"/>
      <c r="N451" s="10"/>
      <c r="O451" s="10"/>
      <c r="P451" s="85"/>
      <c r="Q451" s="88"/>
      <c r="R451" s="3">
        <f>IFERROR(VLOOKUP(TablaSeptiembre[[#This Row],[BARRIO]],SECTOR!$A:$B,2,0),"")</f>
      </c>
      <c r="S451" s="89"/>
      <c r="T451" s="90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6"/>
      <c r="AZ451" s="120">
        <f>COUNTIF(U451:AY451,"A")</f>
      </c>
      <c r="BA451" s="121">
        <f>COUNTIF(U451:AY451,"F")</f>
      </c>
      <c r="BB451" s="119">
        <f>COUNTIF(U451:AY451,"E")</f>
      </c>
    </row>
    <row r="452" spans="1:54" x14ac:dyDescent="0.2">
      <c r="A452" s="84"/>
      <c r="B452" s="85"/>
      <c r="C452" s="85"/>
      <c r="D452" s="85"/>
      <c r="E452" s="86"/>
      <c r="F452" s="16">
        <f>IF(E452="","",DATEDIF(E452,$I$7,"Y"))</f>
      </c>
      <c r="G452" s="85"/>
      <c r="H452" s="85"/>
      <c r="I452" s="87"/>
      <c r="J452" s="85"/>
      <c r="K452" s="85"/>
      <c r="L452" s="10"/>
      <c r="M452" s="10"/>
      <c r="N452" s="10"/>
      <c r="O452" s="10"/>
      <c r="P452" s="85"/>
      <c r="Q452" s="88"/>
      <c r="R452" s="3">
        <f>IFERROR(VLOOKUP(TablaSeptiembre[[#This Row],[BARRIO]],SECTOR!$A:$B,2,0),"")</f>
      </c>
      <c r="S452" s="89"/>
      <c r="T452" s="90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6"/>
      <c r="AZ452" s="120">
        <f>COUNTIF(U452:AY452,"A")</f>
      </c>
      <c r="BA452" s="121">
        <f>COUNTIF(U452:AY452,"F")</f>
      </c>
      <c r="BB452" s="119">
        <f>COUNTIF(U452:AY452,"E")</f>
      </c>
    </row>
    <row r="453" spans="1:54" x14ac:dyDescent="0.2">
      <c r="A453" s="84"/>
      <c r="B453" s="85"/>
      <c r="C453" s="85"/>
      <c r="D453" s="85"/>
      <c r="E453" s="86"/>
      <c r="F453" s="16">
        <f>IF(E453="","",DATEDIF(E453,$I$7,"Y"))</f>
      </c>
      <c r="G453" s="85"/>
      <c r="H453" s="85"/>
      <c r="I453" s="87"/>
      <c r="J453" s="85"/>
      <c r="K453" s="85"/>
      <c r="L453" s="10"/>
      <c r="M453" s="10"/>
      <c r="N453" s="10"/>
      <c r="O453" s="10"/>
      <c r="P453" s="85"/>
      <c r="Q453" s="88"/>
      <c r="R453" s="3">
        <f>IFERROR(VLOOKUP(TablaSeptiembre[[#This Row],[BARRIO]],SECTOR!$A:$B,2,0),"")</f>
      </c>
      <c r="S453" s="89"/>
      <c r="T453" s="90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6"/>
      <c r="AZ453" s="120">
        <f>COUNTIF(U453:AY453,"A")</f>
      </c>
      <c r="BA453" s="121">
        <f>COUNTIF(U453:AY453,"F")</f>
      </c>
      <c r="BB453" s="119">
        <f>COUNTIF(U453:AY453,"E")</f>
      </c>
    </row>
    <row r="454" spans="1:54" x14ac:dyDescent="0.2">
      <c r="A454" s="84"/>
      <c r="B454" s="85"/>
      <c r="C454" s="85"/>
      <c r="D454" s="85"/>
      <c r="E454" s="86"/>
      <c r="F454" s="16">
        <f>IF(E454="","",DATEDIF(E454,$I$7,"Y"))</f>
      </c>
      <c r="G454" s="85"/>
      <c r="H454" s="85"/>
      <c r="I454" s="87"/>
      <c r="J454" s="85"/>
      <c r="K454" s="85"/>
      <c r="L454" s="10"/>
      <c r="M454" s="10"/>
      <c r="N454" s="10"/>
      <c r="O454" s="10"/>
      <c r="P454" s="85"/>
      <c r="Q454" s="88"/>
      <c r="R454" s="3">
        <f>IFERROR(VLOOKUP(TablaSeptiembre[[#This Row],[BARRIO]],SECTOR!$A:$B,2,0),"")</f>
      </c>
      <c r="S454" s="89"/>
      <c r="T454" s="90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6"/>
      <c r="AZ454" s="120">
        <f>COUNTIF(U454:AY454,"A")</f>
      </c>
      <c r="BA454" s="121">
        <f>COUNTIF(U454:AY454,"F")</f>
      </c>
      <c r="BB454" s="119">
        <f>COUNTIF(U454:AY454,"E")</f>
      </c>
    </row>
    <row r="455" spans="1:54" x14ac:dyDescent="0.2">
      <c r="A455" s="84"/>
      <c r="B455" s="85"/>
      <c r="C455" s="85"/>
      <c r="D455" s="85"/>
      <c r="E455" s="86"/>
      <c r="F455" s="16">
        <f>IF(E455="","",DATEDIF(E455,$I$7,"Y"))</f>
      </c>
      <c r="G455" s="85"/>
      <c r="H455" s="85"/>
      <c r="I455" s="87"/>
      <c r="J455" s="85"/>
      <c r="K455" s="85"/>
      <c r="L455" s="10"/>
      <c r="M455" s="10"/>
      <c r="N455" s="10"/>
      <c r="O455" s="10"/>
      <c r="P455" s="85"/>
      <c r="Q455" s="88"/>
      <c r="R455" s="3">
        <f>IFERROR(VLOOKUP(TablaSeptiembre[[#This Row],[BARRIO]],SECTOR!$A:$B,2,0),"")</f>
      </c>
      <c r="S455" s="89"/>
      <c r="T455" s="90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6"/>
      <c r="AZ455" s="120">
        <f>COUNTIF(U455:AY455,"A")</f>
      </c>
      <c r="BA455" s="121">
        <f>COUNTIF(U455:AY455,"F")</f>
      </c>
      <c r="BB455" s="119">
        <f>COUNTIF(U455:AY455,"E")</f>
      </c>
    </row>
    <row r="456" spans="1:54" x14ac:dyDescent="0.2">
      <c r="A456" s="84"/>
      <c r="B456" s="85"/>
      <c r="C456" s="85"/>
      <c r="D456" s="85"/>
      <c r="E456" s="86"/>
      <c r="F456" s="16">
        <f>IF(E456="","",DATEDIF(E456,$I$7,"Y"))</f>
      </c>
      <c r="G456" s="85"/>
      <c r="H456" s="85"/>
      <c r="I456" s="87"/>
      <c r="J456" s="85"/>
      <c r="K456" s="85"/>
      <c r="L456" s="10"/>
      <c r="M456" s="10"/>
      <c r="N456" s="10"/>
      <c r="O456" s="10"/>
      <c r="P456" s="85"/>
      <c r="Q456" s="88"/>
      <c r="R456" s="3">
        <f>IFERROR(VLOOKUP(TablaSeptiembre[[#This Row],[BARRIO]],SECTOR!$A:$B,2,0),"")</f>
      </c>
      <c r="S456" s="89"/>
      <c r="T456" s="90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6"/>
      <c r="AZ456" s="120">
        <f>COUNTIF(U456:AY456,"A")</f>
      </c>
      <c r="BA456" s="121">
        <f>COUNTIF(U456:AY456,"F")</f>
      </c>
      <c r="BB456" s="119">
        <f>COUNTIF(U456:AY456,"E")</f>
      </c>
    </row>
    <row r="457" spans="1:54" x14ac:dyDescent="0.2">
      <c r="A457" s="84"/>
      <c r="B457" s="85"/>
      <c r="C457" s="85"/>
      <c r="D457" s="85"/>
      <c r="E457" s="86"/>
      <c r="F457" s="16">
        <f>IF(E457="","",DATEDIF(E457,$I$7,"Y"))</f>
      </c>
      <c r="G457" s="85"/>
      <c r="H457" s="85"/>
      <c r="I457" s="87"/>
      <c r="J457" s="85"/>
      <c r="K457" s="85"/>
      <c r="L457" s="10"/>
      <c r="M457" s="10"/>
      <c r="N457" s="10"/>
      <c r="O457" s="10"/>
      <c r="P457" s="85"/>
      <c r="Q457" s="88"/>
      <c r="R457" s="3">
        <f>IFERROR(VLOOKUP(TablaSeptiembre[[#This Row],[BARRIO]],SECTOR!$A:$B,2,0),"")</f>
      </c>
      <c r="S457" s="89"/>
      <c r="T457" s="90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6"/>
      <c r="AZ457" s="120">
        <f>COUNTIF(U457:AY457,"A")</f>
      </c>
      <c r="BA457" s="121">
        <f>COUNTIF(U457:AY457,"F")</f>
      </c>
      <c r="BB457" s="119">
        <f>COUNTIF(U457:AY457,"E")</f>
      </c>
    </row>
    <row r="458" spans="1:54" x14ac:dyDescent="0.2">
      <c r="A458" s="84"/>
      <c r="B458" s="85"/>
      <c r="C458" s="85"/>
      <c r="D458" s="85"/>
      <c r="E458" s="86"/>
      <c r="F458" s="16">
        <f>IF(E458="","",DATEDIF(E458,$I$7,"Y"))</f>
      </c>
      <c r="G458" s="85"/>
      <c r="H458" s="85"/>
      <c r="I458" s="87"/>
      <c r="J458" s="85"/>
      <c r="K458" s="85"/>
      <c r="L458" s="10"/>
      <c r="M458" s="10"/>
      <c r="N458" s="10"/>
      <c r="O458" s="10"/>
      <c r="P458" s="85"/>
      <c r="Q458" s="88"/>
      <c r="R458" s="3">
        <f>IFERROR(VLOOKUP(TablaSeptiembre[[#This Row],[BARRIO]],SECTOR!$A:$B,2,0),"")</f>
      </c>
      <c r="S458" s="89"/>
      <c r="T458" s="90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6"/>
      <c r="AZ458" s="120">
        <f>COUNTIF(U458:AY458,"A")</f>
      </c>
      <c r="BA458" s="121">
        <f>COUNTIF(U458:AY458,"F")</f>
      </c>
      <c r="BB458" s="119">
        <f>COUNTIF(U458:AY458,"E")</f>
      </c>
    </row>
    <row r="459" spans="1:54" x14ac:dyDescent="0.2">
      <c r="A459" s="84"/>
      <c r="B459" s="85"/>
      <c r="C459" s="85"/>
      <c r="D459" s="85"/>
      <c r="E459" s="86"/>
      <c r="F459" s="16">
        <f>IF(E459="","",DATEDIF(E459,$I$7,"Y"))</f>
      </c>
      <c r="G459" s="85"/>
      <c r="H459" s="85"/>
      <c r="I459" s="87"/>
      <c r="J459" s="85"/>
      <c r="K459" s="85"/>
      <c r="L459" s="10"/>
      <c r="M459" s="10"/>
      <c r="N459" s="10"/>
      <c r="O459" s="10"/>
      <c r="P459" s="85"/>
      <c r="Q459" s="88"/>
      <c r="R459" s="3">
        <f>IFERROR(VLOOKUP(TablaSeptiembre[[#This Row],[BARRIO]],SECTOR!$A:$B,2,0),"")</f>
      </c>
      <c r="S459" s="89"/>
      <c r="T459" s="90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6"/>
      <c r="AZ459" s="120">
        <f>COUNTIF(U459:AY459,"A")</f>
      </c>
      <c r="BA459" s="121">
        <f>COUNTIF(U459:AY459,"F")</f>
      </c>
      <c r="BB459" s="119">
        <f>COUNTIF(U459:AY459,"E")</f>
      </c>
    </row>
    <row r="460" spans="1:54" x14ac:dyDescent="0.2">
      <c r="A460" s="84"/>
      <c r="B460" s="85"/>
      <c r="C460" s="85"/>
      <c r="D460" s="85"/>
      <c r="E460" s="86"/>
      <c r="F460" s="16">
        <f>IF(E460="","",DATEDIF(E460,$I$7,"Y"))</f>
      </c>
      <c r="G460" s="85"/>
      <c r="H460" s="85"/>
      <c r="I460" s="87"/>
      <c r="J460" s="85"/>
      <c r="K460" s="85"/>
      <c r="L460" s="10"/>
      <c r="M460" s="10"/>
      <c r="N460" s="10"/>
      <c r="O460" s="10"/>
      <c r="P460" s="85"/>
      <c r="Q460" s="88"/>
      <c r="R460" s="3">
        <f>IFERROR(VLOOKUP(TablaSeptiembre[[#This Row],[BARRIO]],SECTOR!$A:$B,2,0),"")</f>
      </c>
      <c r="S460" s="89"/>
      <c r="T460" s="90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6"/>
      <c r="AZ460" s="120">
        <f>COUNTIF(U460:AY460,"A")</f>
      </c>
      <c r="BA460" s="121">
        <f>COUNTIF(U460:AY460,"F")</f>
      </c>
      <c r="BB460" s="119">
        <f>COUNTIF(U460:AY460,"E")</f>
      </c>
    </row>
    <row r="461" spans="1:54" x14ac:dyDescent="0.2">
      <c r="A461" s="84"/>
      <c r="B461" s="85"/>
      <c r="C461" s="85"/>
      <c r="D461" s="85"/>
      <c r="E461" s="86"/>
      <c r="F461" s="16">
        <f>IF(E461="","",DATEDIF(E461,$I$7,"Y"))</f>
      </c>
      <c r="G461" s="85"/>
      <c r="H461" s="85"/>
      <c r="I461" s="87"/>
      <c r="J461" s="85"/>
      <c r="K461" s="85"/>
      <c r="L461" s="10"/>
      <c r="M461" s="10"/>
      <c r="N461" s="10"/>
      <c r="O461" s="10"/>
      <c r="P461" s="85"/>
      <c r="Q461" s="88"/>
      <c r="R461" s="3">
        <f>IFERROR(VLOOKUP(TablaSeptiembre[[#This Row],[BARRIO]],SECTOR!$A:$B,2,0),"")</f>
      </c>
      <c r="S461" s="89"/>
      <c r="T461" s="90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6"/>
      <c r="AZ461" s="120">
        <f>COUNTIF(U461:AY461,"A")</f>
      </c>
      <c r="BA461" s="121">
        <f>COUNTIF(U461:AY461,"F")</f>
      </c>
      <c r="BB461" s="119">
        <f>COUNTIF(U461:AY461,"E")</f>
      </c>
    </row>
    <row r="462" spans="1:54" x14ac:dyDescent="0.2">
      <c r="A462" s="84"/>
      <c r="B462" s="85"/>
      <c r="C462" s="85"/>
      <c r="D462" s="85"/>
      <c r="E462" s="86"/>
      <c r="F462" s="16">
        <f>IF(E462="","",DATEDIF(E462,$I$7,"Y"))</f>
      </c>
      <c r="G462" s="85"/>
      <c r="H462" s="85"/>
      <c r="I462" s="87"/>
      <c r="J462" s="85"/>
      <c r="K462" s="85"/>
      <c r="L462" s="10"/>
      <c r="M462" s="10"/>
      <c r="N462" s="10"/>
      <c r="O462" s="10"/>
      <c r="P462" s="85"/>
      <c r="Q462" s="88"/>
      <c r="R462" s="3">
        <f>IFERROR(VLOOKUP(TablaSeptiembre[[#This Row],[BARRIO]],SECTOR!$A:$B,2,0),"")</f>
      </c>
      <c r="S462" s="89"/>
      <c r="T462" s="90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6"/>
      <c r="AZ462" s="120">
        <f>COUNTIF(U462:AY462,"A")</f>
      </c>
      <c r="BA462" s="121">
        <f>COUNTIF(U462:AY462,"F")</f>
      </c>
      <c r="BB462" s="119">
        <f>COUNTIF(U462:AY462,"E")</f>
      </c>
    </row>
    <row r="463" spans="1:54" x14ac:dyDescent="0.2">
      <c r="A463" s="84"/>
      <c r="B463" s="85"/>
      <c r="C463" s="85"/>
      <c r="D463" s="85"/>
      <c r="E463" s="86"/>
      <c r="F463" s="16">
        <f>IF(E463="","",DATEDIF(E463,$I$7,"Y"))</f>
      </c>
      <c r="G463" s="85"/>
      <c r="H463" s="85"/>
      <c r="I463" s="87"/>
      <c r="J463" s="85"/>
      <c r="K463" s="85"/>
      <c r="L463" s="10"/>
      <c r="M463" s="10"/>
      <c r="N463" s="10"/>
      <c r="O463" s="10"/>
      <c r="P463" s="85"/>
      <c r="Q463" s="88"/>
      <c r="R463" s="3">
        <f>IFERROR(VLOOKUP(TablaSeptiembre[[#This Row],[BARRIO]],SECTOR!$A:$B,2,0),"")</f>
      </c>
      <c r="S463" s="89"/>
      <c r="T463" s="90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6"/>
      <c r="AZ463" s="120">
        <f>COUNTIF(U463:AY463,"A")</f>
      </c>
      <c r="BA463" s="121">
        <f>COUNTIF(U463:AY463,"F")</f>
      </c>
      <c r="BB463" s="119">
        <f>COUNTIF(U463:AY463,"E")</f>
      </c>
    </row>
    <row r="464" spans="1:54" x14ac:dyDescent="0.2">
      <c r="A464" s="84"/>
      <c r="B464" s="85"/>
      <c r="C464" s="85"/>
      <c r="D464" s="85"/>
      <c r="E464" s="86"/>
      <c r="F464" s="16">
        <f>IF(E464="","",DATEDIF(E464,$I$7,"Y"))</f>
      </c>
      <c r="G464" s="85"/>
      <c r="H464" s="85"/>
      <c r="I464" s="87"/>
      <c r="J464" s="85"/>
      <c r="K464" s="85"/>
      <c r="L464" s="10"/>
      <c r="M464" s="10"/>
      <c r="N464" s="10"/>
      <c r="O464" s="10"/>
      <c r="P464" s="85"/>
      <c r="Q464" s="88"/>
      <c r="R464" s="3">
        <f>IFERROR(VLOOKUP(TablaSeptiembre[[#This Row],[BARRIO]],SECTOR!$A:$B,2,0),"")</f>
      </c>
      <c r="S464" s="89"/>
      <c r="T464" s="90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6"/>
      <c r="AZ464" s="120">
        <f>COUNTIF(U464:AY464,"A")</f>
      </c>
      <c r="BA464" s="121">
        <f>COUNTIF(U464:AY464,"F")</f>
      </c>
      <c r="BB464" s="119">
        <f>COUNTIF(U464:AY464,"E")</f>
      </c>
    </row>
    <row r="465" spans="1:54" x14ac:dyDescent="0.2">
      <c r="A465" s="84"/>
      <c r="B465" s="85"/>
      <c r="C465" s="85"/>
      <c r="D465" s="85"/>
      <c r="E465" s="86"/>
      <c r="F465" s="16">
        <f>IF(E465="","",DATEDIF(E465,$I$7,"Y"))</f>
      </c>
      <c r="G465" s="85"/>
      <c r="H465" s="85"/>
      <c r="I465" s="87"/>
      <c r="J465" s="85"/>
      <c r="K465" s="85"/>
      <c r="L465" s="10"/>
      <c r="M465" s="10"/>
      <c r="N465" s="10"/>
      <c r="O465" s="10"/>
      <c r="P465" s="85"/>
      <c r="Q465" s="88"/>
      <c r="R465" s="3">
        <f>IFERROR(VLOOKUP(TablaSeptiembre[[#This Row],[BARRIO]],SECTOR!$A:$B,2,0),"")</f>
      </c>
      <c r="S465" s="89"/>
      <c r="T465" s="90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6"/>
      <c r="AZ465" s="120">
        <f>COUNTIF(U465:AY465,"A")</f>
      </c>
      <c r="BA465" s="121">
        <f>COUNTIF(U465:AY465,"F")</f>
      </c>
      <c r="BB465" s="119">
        <f>COUNTIF(U465:AY465,"E")</f>
      </c>
    </row>
    <row r="466" spans="1:54" x14ac:dyDescent="0.2">
      <c r="A466" s="84"/>
      <c r="B466" s="85"/>
      <c r="C466" s="85"/>
      <c r="D466" s="85"/>
      <c r="E466" s="86"/>
      <c r="F466" s="16">
        <f>IF(E466="","",DATEDIF(E466,$I$7,"Y"))</f>
      </c>
      <c r="G466" s="85"/>
      <c r="H466" s="85"/>
      <c r="I466" s="87"/>
      <c r="J466" s="85"/>
      <c r="K466" s="85"/>
      <c r="L466" s="10"/>
      <c r="M466" s="10"/>
      <c r="N466" s="10"/>
      <c r="O466" s="10"/>
      <c r="P466" s="85"/>
      <c r="Q466" s="88"/>
      <c r="R466" s="3">
        <f>IFERROR(VLOOKUP(TablaSeptiembre[[#This Row],[BARRIO]],SECTOR!$A:$B,2,0),"")</f>
      </c>
      <c r="S466" s="89"/>
      <c r="T466" s="90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6"/>
      <c r="AZ466" s="120">
        <f>COUNTIF(U466:AY466,"A")</f>
      </c>
      <c r="BA466" s="121">
        <f>COUNTIF(U466:AY466,"F")</f>
      </c>
      <c r="BB466" s="119">
        <f>COUNTIF(U466:AY466,"E")</f>
      </c>
    </row>
    <row r="467" spans="1:54" x14ac:dyDescent="0.2">
      <c r="A467" s="84"/>
      <c r="B467" s="85"/>
      <c r="C467" s="85"/>
      <c r="D467" s="85"/>
      <c r="E467" s="86"/>
      <c r="F467" s="16">
        <f>IF(E467="","",DATEDIF(E467,$I$7,"Y"))</f>
      </c>
      <c r="G467" s="85"/>
      <c r="H467" s="85"/>
      <c r="I467" s="87"/>
      <c r="J467" s="85"/>
      <c r="K467" s="85"/>
      <c r="L467" s="10"/>
      <c r="M467" s="10"/>
      <c r="N467" s="10"/>
      <c r="O467" s="10"/>
      <c r="P467" s="85"/>
      <c r="Q467" s="88"/>
      <c r="R467" s="3">
        <f>IFERROR(VLOOKUP(TablaSeptiembre[[#This Row],[BARRIO]],SECTOR!$A:$B,2,0),"")</f>
      </c>
      <c r="S467" s="89"/>
      <c r="T467" s="90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6"/>
      <c r="AZ467" s="120">
        <f>COUNTIF(U467:AY467,"A")</f>
      </c>
      <c r="BA467" s="121">
        <f>COUNTIF(U467:AY467,"F")</f>
      </c>
      <c r="BB467" s="119">
        <f>COUNTIF(U467:AY467,"E")</f>
      </c>
    </row>
    <row r="468" spans="1:54" x14ac:dyDescent="0.2">
      <c r="A468" s="84"/>
      <c r="B468" s="85"/>
      <c r="C468" s="85"/>
      <c r="D468" s="85"/>
      <c r="E468" s="86"/>
      <c r="F468" s="16">
        <f>IF(E468="","",DATEDIF(E468,$I$7,"Y"))</f>
      </c>
      <c r="G468" s="85"/>
      <c r="H468" s="85"/>
      <c r="I468" s="87"/>
      <c r="J468" s="85"/>
      <c r="K468" s="85"/>
      <c r="L468" s="10"/>
      <c r="M468" s="10"/>
      <c r="N468" s="10"/>
      <c r="O468" s="10"/>
      <c r="P468" s="85"/>
      <c r="Q468" s="88"/>
      <c r="R468" s="3">
        <f>IFERROR(VLOOKUP(TablaSeptiembre[[#This Row],[BARRIO]],SECTOR!$A:$B,2,0),"")</f>
      </c>
      <c r="S468" s="89"/>
      <c r="T468" s="90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6"/>
      <c r="AZ468" s="120">
        <f>COUNTIF(U468:AY468,"A")</f>
      </c>
      <c r="BA468" s="121">
        <f>COUNTIF(U468:AY468,"F")</f>
      </c>
      <c r="BB468" s="119">
        <f>COUNTIF(U468:AY468,"E")</f>
      </c>
    </row>
    <row r="469" spans="1:54" x14ac:dyDescent="0.2">
      <c r="A469" s="84"/>
      <c r="B469" s="85"/>
      <c r="C469" s="85"/>
      <c r="D469" s="85"/>
      <c r="E469" s="86"/>
      <c r="F469" s="16">
        <f>IF(E469="","",DATEDIF(E469,$I$7,"Y"))</f>
      </c>
      <c r="G469" s="85"/>
      <c r="H469" s="85"/>
      <c r="I469" s="87"/>
      <c r="J469" s="85"/>
      <c r="K469" s="85"/>
      <c r="L469" s="10"/>
      <c r="M469" s="10"/>
      <c r="N469" s="10"/>
      <c r="O469" s="10"/>
      <c r="P469" s="85"/>
      <c r="Q469" s="88"/>
      <c r="R469" s="3">
        <f>IFERROR(VLOOKUP(TablaSeptiembre[[#This Row],[BARRIO]],SECTOR!$A:$B,2,0),"")</f>
      </c>
      <c r="S469" s="89"/>
      <c r="T469" s="90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6"/>
      <c r="AZ469" s="120">
        <f>COUNTIF(U469:AY469,"A")</f>
      </c>
      <c r="BA469" s="121">
        <f>COUNTIF(U469:AY469,"F")</f>
      </c>
      <c r="BB469" s="119">
        <f>COUNTIF(U469:AY469,"E")</f>
      </c>
    </row>
    <row r="470" spans="1:54" x14ac:dyDescent="0.2">
      <c r="A470" s="84"/>
      <c r="B470" s="85"/>
      <c r="C470" s="85"/>
      <c r="D470" s="85"/>
      <c r="E470" s="86"/>
      <c r="F470" s="16">
        <f>IF(E470="","",DATEDIF(E470,$I$7,"Y"))</f>
      </c>
      <c r="G470" s="85"/>
      <c r="H470" s="85"/>
      <c r="I470" s="87"/>
      <c r="J470" s="85"/>
      <c r="K470" s="85"/>
      <c r="L470" s="10"/>
      <c r="M470" s="10"/>
      <c r="N470" s="10"/>
      <c r="O470" s="10"/>
      <c r="P470" s="85"/>
      <c r="Q470" s="88"/>
      <c r="R470" s="3">
        <f>IFERROR(VLOOKUP(TablaSeptiembre[[#This Row],[BARRIO]],SECTOR!$A:$B,2,0),"")</f>
      </c>
      <c r="S470" s="89"/>
      <c r="T470" s="90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6"/>
      <c r="AZ470" s="120">
        <f>COUNTIF(U470:AY470,"A")</f>
      </c>
      <c r="BA470" s="121">
        <f>COUNTIF(U470:AY470,"F")</f>
      </c>
      <c r="BB470" s="119">
        <f>COUNTIF(U470:AY470,"E")</f>
      </c>
    </row>
    <row r="471" spans="1:54" x14ac:dyDescent="0.2">
      <c r="A471" s="84"/>
      <c r="B471" s="85"/>
      <c r="C471" s="85"/>
      <c r="D471" s="85"/>
      <c r="E471" s="86"/>
      <c r="F471" s="16">
        <f>IF(E471="","",DATEDIF(E471,$I$7,"Y"))</f>
      </c>
      <c r="G471" s="85"/>
      <c r="H471" s="85"/>
      <c r="I471" s="87"/>
      <c r="J471" s="85"/>
      <c r="K471" s="85"/>
      <c r="L471" s="10"/>
      <c r="M471" s="10"/>
      <c r="N471" s="10"/>
      <c r="O471" s="10"/>
      <c r="P471" s="85"/>
      <c r="Q471" s="88"/>
      <c r="R471" s="3">
        <f>IFERROR(VLOOKUP(TablaSeptiembre[[#This Row],[BARRIO]],SECTOR!$A:$B,2,0),"")</f>
      </c>
      <c r="S471" s="89"/>
      <c r="T471" s="90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6"/>
      <c r="AZ471" s="120">
        <f>COUNTIF(U471:AY471,"A")</f>
      </c>
      <c r="BA471" s="121">
        <f>COUNTIF(U471:AY471,"F")</f>
      </c>
      <c r="BB471" s="119">
        <f>COUNTIF(U471:AY471,"E")</f>
      </c>
    </row>
    <row r="472" spans="1:54" x14ac:dyDescent="0.2">
      <c r="A472" s="84"/>
      <c r="B472" s="85"/>
      <c r="C472" s="85"/>
      <c r="D472" s="85"/>
      <c r="E472" s="86"/>
      <c r="F472" s="16">
        <f>IF(E472="","",DATEDIF(E472,$I$7,"Y"))</f>
      </c>
      <c r="G472" s="85"/>
      <c r="H472" s="85"/>
      <c r="I472" s="87"/>
      <c r="J472" s="85"/>
      <c r="K472" s="85"/>
      <c r="L472" s="10"/>
      <c r="M472" s="10"/>
      <c r="N472" s="10"/>
      <c r="O472" s="10"/>
      <c r="P472" s="85"/>
      <c r="Q472" s="88"/>
      <c r="R472" s="3">
        <f>IFERROR(VLOOKUP(TablaSeptiembre[[#This Row],[BARRIO]],SECTOR!$A:$B,2,0),"")</f>
      </c>
      <c r="S472" s="89"/>
      <c r="T472" s="90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6"/>
      <c r="AZ472" s="120">
        <f>COUNTIF(U472:AY472,"A")</f>
      </c>
      <c r="BA472" s="121">
        <f>COUNTIF(U472:AY472,"F")</f>
      </c>
      <c r="BB472" s="119">
        <f>COUNTIF(U472:AY472,"E")</f>
      </c>
    </row>
    <row r="473" spans="1:54" x14ac:dyDescent="0.2">
      <c r="A473" s="84"/>
      <c r="B473" s="85"/>
      <c r="C473" s="85"/>
      <c r="D473" s="85"/>
      <c r="E473" s="86"/>
      <c r="F473" s="16">
        <f>IF(E473="","",DATEDIF(E473,$I$7,"Y"))</f>
      </c>
      <c r="G473" s="85"/>
      <c r="H473" s="85"/>
      <c r="I473" s="87"/>
      <c r="J473" s="85"/>
      <c r="K473" s="85"/>
      <c r="L473" s="10"/>
      <c r="M473" s="10"/>
      <c r="N473" s="10"/>
      <c r="O473" s="10"/>
      <c r="P473" s="85"/>
      <c r="Q473" s="88"/>
      <c r="R473" s="3">
        <f>IFERROR(VLOOKUP(TablaSeptiembre[[#This Row],[BARRIO]],SECTOR!$A:$B,2,0),"")</f>
      </c>
      <c r="S473" s="89"/>
      <c r="T473" s="90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6"/>
      <c r="AZ473" s="120">
        <f>COUNTIF(U473:AY473,"A")</f>
      </c>
      <c r="BA473" s="121">
        <f>COUNTIF(U473:AY473,"F")</f>
      </c>
      <c r="BB473" s="119">
        <f>COUNTIF(U473:AY473,"E")</f>
      </c>
    </row>
    <row r="474" spans="1:54" x14ac:dyDescent="0.2">
      <c r="A474" s="84"/>
      <c r="B474" s="85"/>
      <c r="C474" s="85"/>
      <c r="D474" s="85"/>
      <c r="E474" s="86"/>
      <c r="F474" s="16">
        <f>IF(E474="","",DATEDIF(E474,$I$7,"Y"))</f>
      </c>
      <c r="G474" s="85"/>
      <c r="H474" s="85"/>
      <c r="I474" s="87"/>
      <c r="J474" s="85"/>
      <c r="K474" s="85"/>
      <c r="L474" s="10"/>
      <c r="M474" s="10"/>
      <c r="N474" s="10"/>
      <c r="O474" s="10"/>
      <c r="P474" s="85"/>
      <c r="Q474" s="88"/>
      <c r="R474" s="3">
        <f>IFERROR(VLOOKUP(TablaSeptiembre[[#This Row],[BARRIO]],SECTOR!$A:$B,2,0),"")</f>
      </c>
      <c r="S474" s="89"/>
      <c r="T474" s="90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6"/>
      <c r="AZ474" s="120">
        <f>COUNTIF(U474:AY474,"A")</f>
      </c>
      <c r="BA474" s="121">
        <f>COUNTIF(U474:AY474,"F")</f>
      </c>
      <c r="BB474" s="119">
        <f>COUNTIF(U474:AY474,"E")</f>
      </c>
    </row>
    <row r="475" spans="1:54" x14ac:dyDescent="0.2">
      <c r="A475" s="84"/>
      <c r="B475" s="85"/>
      <c r="C475" s="85"/>
      <c r="D475" s="85"/>
      <c r="E475" s="86"/>
      <c r="F475" s="16">
        <f>IF(E475="","",DATEDIF(E475,$I$7,"Y"))</f>
      </c>
      <c r="G475" s="85"/>
      <c r="H475" s="85"/>
      <c r="I475" s="87"/>
      <c r="J475" s="85"/>
      <c r="K475" s="85"/>
      <c r="L475" s="10"/>
      <c r="M475" s="10"/>
      <c r="N475" s="10"/>
      <c r="O475" s="10"/>
      <c r="P475" s="85"/>
      <c r="Q475" s="88"/>
      <c r="R475" s="3">
        <f>IFERROR(VLOOKUP(TablaSeptiembre[[#This Row],[BARRIO]],SECTOR!$A:$B,2,0),"")</f>
      </c>
      <c r="S475" s="89"/>
      <c r="T475" s="90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6"/>
      <c r="AZ475" s="120">
        <f>COUNTIF(U475:AY475,"A")</f>
      </c>
      <c r="BA475" s="121">
        <f>COUNTIF(U475:AY475,"F")</f>
      </c>
      <c r="BB475" s="119">
        <f>COUNTIF(U475:AY475,"E")</f>
      </c>
    </row>
    <row r="476" spans="1:54" x14ac:dyDescent="0.2">
      <c r="A476" s="84"/>
      <c r="B476" s="85"/>
      <c r="C476" s="85"/>
      <c r="D476" s="85"/>
      <c r="E476" s="86"/>
      <c r="F476" s="16">
        <f>IF(E476="","",DATEDIF(E476,$I$7,"Y"))</f>
      </c>
      <c r="G476" s="85"/>
      <c r="H476" s="85"/>
      <c r="I476" s="87"/>
      <c r="J476" s="85"/>
      <c r="K476" s="85"/>
      <c r="L476" s="10"/>
      <c r="M476" s="10"/>
      <c r="N476" s="10"/>
      <c r="O476" s="10"/>
      <c r="P476" s="85"/>
      <c r="Q476" s="88"/>
      <c r="R476" s="3">
        <f>IFERROR(VLOOKUP(TablaSeptiembre[[#This Row],[BARRIO]],SECTOR!$A:$B,2,0),"")</f>
      </c>
      <c r="S476" s="89"/>
      <c r="T476" s="90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6"/>
      <c r="AZ476" s="120">
        <f>COUNTIF(U476:AY476,"A")</f>
      </c>
      <c r="BA476" s="121">
        <f>COUNTIF(U476:AY476,"F")</f>
      </c>
      <c r="BB476" s="119">
        <f>COUNTIF(U476:AY476,"E")</f>
      </c>
    </row>
    <row r="477" spans="1:54" x14ac:dyDescent="0.2">
      <c r="A477" s="84"/>
      <c r="B477" s="85"/>
      <c r="C477" s="85"/>
      <c r="D477" s="85"/>
      <c r="E477" s="86"/>
      <c r="F477" s="16">
        <f>IF(E477="","",DATEDIF(E477,$I$7,"Y"))</f>
      </c>
      <c r="G477" s="85"/>
      <c r="H477" s="85"/>
      <c r="I477" s="87"/>
      <c r="J477" s="85"/>
      <c r="K477" s="85"/>
      <c r="L477" s="10"/>
      <c r="M477" s="10"/>
      <c r="N477" s="10"/>
      <c r="O477" s="10"/>
      <c r="P477" s="85"/>
      <c r="Q477" s="88"/>
      <c r="R477" s="3">
        <f>IFERROR(VLOOKUP(TablaSeptiembre[[#This Row],[BARRIO]],SECTOR!$A:$B,2,0),"")</f>
      </c>
      <c r="S477" s="89"/>
      <c r="T477" s="90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6"/>
      <c r="AZ477" s="120">
        <f>COUNTIF(U477:AY477,"A")</f>
      </c>
      <c r="BA477" s="121">
        <f>COUNTIF(U477:AY477,"F")</f>
      </c>
      <c r="BB477" s="119">
        <f>COUNTIF(U477:AY477,"E")</f>
      </c>
    </row>
    <row r="478" spans="1:54" x14ac:dyDescent="0.2">
      <c r="A478" s="84"/>
      <c r="B478" s="85"/>
      <c r="C478" s="85"/>
      <c r="D478" s="85"/>
      <c r="E478" s="86"/>
      <c r="F478" s="16">
        <f>IF(E478="","",DATEDIF(E478,$I$7,"Y"))</f>
      </c>
      <c r="G478" s="85"/>
      <c r="H478" s="85"/>
      <c r="I478" s="87"/>
      <c r="J478" s="85"/>
      <c r="K478" s="85"/>
      <c r="L478" s="10"/>
      <c r="M478" s="10"/>
      <c r="N478" s="10"/>
      <c r="O478" s="10"/>
      <c r="P478" s="85"/>
      <c r="Q478" s="88"/>
      <c r="R478" s="3">
        <f>IFERROR(VLOOKUP(TablaSeptiembre[[#This Row],[BARRIO]],SECTOR!$A:$B,2,0),"")</f>
      </c>
      <c r="S478" s="89"/>
      <c r="T478" s="90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6"/>
      <c r="AZ478" s="120">
        <f>COUNTIF(U478:AY478,"A")</f>
      </c>
      <c r="BA478" s="121">
        <f>COUNTIF(U478:AY478,"F")</f>
      </c>
      <c r="BB478" s="119">
        <f>COUNTIF(U478:AY478,"E")</f>
      </c>
    </row>
    <row r="479" spans="1:54" x14ac:dyDescent="0.2">
      <c r="A479" s="84"/>
      <c r="B479" s="85"/>
      <c r="C479" s="85"/>
      <c r="D479" s="85"/>
      <c r="E479" s="86"/>
      <c r="F479" s="16">
        <f>IF(E479="","",DATEDIF(E479,$I$7,"Y"))</f>
      </c>
      <c r="G479" s="85"/>
      <c r="H479" s="85"/>
      <c r="I479" s="87"/>
      <c r="J479" s="85"/>
      <c r="K479" s="85"/>
      <c r="L479" s="10"/>
      <c r="M479" s="10"/>
      <c r="N479" s="10"/>
      <c r="O479" s="10"/>
      <c r="P479" s="85"/>
      <c r="Q479" s="88"/>
      <c r="R479" s="3">
        <f>IFERROR(VLOOKUP(TablaSeptiembre[[#This Row],[BARRIO]],SECTOR!$A:$B,2,0),"")</f>
      </c>
      <c r="S479" s="89"/>
      <c r="T479" s="90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6"/>
      <c r="AZ479" s="120">
        <f>COUNTIF(U479:AY479,"A")</f>
      </c>
      <c r="BA479" s="121">
        <f>COUNTIF(U479:AY479,"F")</f>
      </c>
      <c r="BB479" s="119">
        <f>COUNTIF(U479:AY479,"E")</f>
      </c>
    </row>
    <row r="480" spans="1:54" x14ac:dyDescent="0.2">
      <c r="A480" s="84"/>
      <c r="B480" s="85"/>
      <c r="C480" s="85"/>
      <c r="D480" s="85"/>
      <c r="E480" s="86"/>
      <c r="F480" s="16">
        <f>IF(E480="","",DATEDIF(E480,$I$7,"Y"))</f>
      </c>
      <c r="G480" s="85"/>
      <c r="H480" s="85"/>
      <c r="I480" s="87"/>
      <c r="J480" s="85"/>
      <c r="K480" s="85"/>
      <c r="L480" s="10"/>
      <c r="M480" s="10"/>
      <c r="N480" s="10"/>
      <c r="O480" s="10"/>
      <c r="P480" s="85"/>
      <c r="Q480" s="88"/>
      <c r="R480" s="3">
        <f>IFERROR(VLOOKUP(TablaSeptiembre[[#This Row],[BARRIO]],SECTOR!$A:$B,2,0),"")</f>
      </c>
      <c r="S480" s="89"/>
      <c r="T480" s="90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6"/>
      <c r="AZ480" s="120">
        <f>COUNTIF(U480:AY480,"A")</f>
      </c>
      <c r="BA480" s="121">
        <f>COUNTIF(U480:AY480,"F")</f>
      </c>
      <c r="BB480" s="119">
        <f>COUNTIF(U480:AY480,"E")</f>
      </c>
    </row>
    <row r="481" spans="1:54" x14ac:dyDescent="0.2">
      <c r="A481" s="84"/>
      <c r="B481" s="85"/>
      <c r="C481" s="85"/>
      <c r="D481" s="85"/>
      <c r="E481" s="86"/>
      <c r="F481" s="16">
        <f>IF(E481="","",DATEDIF(E481,$I$7,"Y"))</f>
      </c>
      <c r="G481" s="85"/>
      <c r="H481" s="85"/>
      <c r="I481" s="87"/>
      <c r="J481" s="85"/>
      <c r="K481" s="85"/>
      <c r="L481" s="10"/>
      <c r="M481" s="10"/>
      <c r="N481" s="10"/>
      <c r="O481" s="10"/>
      <c r="P481" s="85"/>
      <c r="Q481" s="88"/>
      <c r="R481" s="3">
        <f>IFERROR(VLOOKUP(TablaSeptiembre[[#This Row],[BARRIO]],SECTOR!$A:$B,2,0),"")</f>
      </c>
      <c r="S481" s="89"/>
      <c r="T481" s="90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6"/>
      <c r="AZ481" s="120">
        <f>COUNTIF(U481:AY481,"A")</f>
      </c>
      <c r="BA481" s="121">
        <f>COUNTIF(U481:AY481,"F")</f>
      </c>
      <c r="BB481" s="119">
        <f>COUNTIF(U481:AY481,"E")</f>
      </c>
    </row>
    <row r="482" spans="1:54" x14ac:dyDescent="0.2">
      <c r="A482" s="84"/>
      <c r="B482" s="85"/>
      <c r="C482" s="85"/>
      <c r="D482" s="85"/>
      <c r="E482" s="86"/>
      <c r="F482" s="16">
        <f>IF(E482="","",DATEDIF(E482,$I$7,"Y"))</f>
      </c>
      <c r="G482" s="85"/>
      <c r="H482" s="85"/>
      <c r="I482" s="87"/>
      <c r="J482" s="85"/>
      <c r="K482" s="85"/>
      <c r="L482" s="10"/>
      <c r="M482" s="10"/>
      <c r="N482" s="10"/>
      <c r="O482" s="10"/>
      <c r="P482" s="85"/>
      <c r="Q482" s="88"/>
      <c r="R482" s="3">
        <f>IFERROR(VLOOKUP(TablaSeptiembre[[#This Row],[BARRIO]],SECTOR!$A:$B,2,0),"")</f>
      </c>
      <c r="S482" s="89"/>
      <c r="T482" s="90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6"/>
      <c r="AZ482" s="120">
        <f>COUNTIF(U482:AY482,"A")</f>
      </c>
      <c r="BA482" s="121">
        <f>COUNTIF(U482:AY482,"F")</f>
      </c>
      <c r="BB482" s="119">
        <f>COUNTIF(U482:AY482,"E")</f>
      </c>
    </row>
    <row r="483" spans="1:54" x14ac:dyDescent="0.2">
      <c r="A483" s="84"/>
      <c r="B483" s="85"/>
      <c r="C483" s="85"/>
      <c r="D483" s="85"/>
      <c r="E483" s="86"/>
      <c r="F483" s="16">
        <f>IF(E483="","",DATEDIF(E483,$I$7,"Y"))</f>
      </c>
      <c r="G483" s="85"/>
      <c r="H483" s="85"/>
      <c r="I483" s="87"/>
      <c r="J483" s="85"/>
      <c r="K483" s="85"/>
      <c r="L483" s="10"/>
      <c r="M483" s="10"/>
      <c r="N483" s="10"/>
      <c r="O483" s="10"/>
      <c r="P483" s="85"/>
      <c r="Q483" s="88"/>
      <c r="R483" s="3">
        <f>IFERROR(VLOOKUP(TablaSeptiembre[[#This Row],[BARRIO]],SECTOR!$A:$B,2,0),"")</f>
      </c>
      <c r="S483" s="89"/>
      <c r="T483" s="90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6"/>
      <c r="AZ483" s="120">
        <f>COUNTIF(U483:AY483,"A")</f>
      </c>
      <c r="BA483" s="121">
        <f>COUNTIF(U483:AY483,"F")</f>
      </c>
      <c r="BB483" s="119">
        <f>COUNTIF(U483:AY483,"E")</f>
      </c>
    </row>
    <row r="484" spans="1:54" x14ac:dyDescent="0.2">
      <c r="A484" s="84"/>
      <c r="B484" s="85"/>
      <c r="C484" s="85"/>
      <c r="D484" s="85"/>
      <c r="E484" s="86"/>
      <c r="F484" s="16">
        <f>IF(E484="","",DATEDIF(E484,$I$7,"Y"))</f>
      </c>
      <c r="G484" s="85"/>
      <c r="H484" s="85"/>
      <c r="I484" s="87"/>
      <c r="J484" s="85"/>
      <c r="K484" s="85"/>
      <c r="L484" s="10"/>
      <c r="M484" s="10"/>
      <c r="N484" s="10"/>
      <c r="O484" s="10"/>
      <c r="P484" s="85"/>
      <c r="Q484" s="88"/>
      <c r="R484" s="3">
        <f>IFERROR(VLOOKUP(TablaSeptiembre[[#This Row],[BARRIO]],SECTOR!$A:$B,2,0),"")</f>
      </c>
      <c r="S484" s="89"/>
      <c r="T484" s="90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6"/>
      <c r="AZ484" s="120">
        <f>COUNTIF(U484:AY484,"A")</f>
      </c>
      <c r="BA484" s="121">
        <f>COUNTIF(U484:AY484,"F")</f>
      </c>
      <c r="BB484" s="119">
        <f>COUNTIF(U484:AY484,"E")</f>
      </c>
    </row>
    <row r="485" spans="1:54" x14ac:dyDescent="0.2">
      <c r="A485" s="84"/>
      <c r="B485" s="85"/>
      <c r="C485" s="85"/>
      <c r="D485" s="85"/>
      <c r="E485" s="86"/>
      <c r="F485" s="16">
        <f>IF(E485="","",DATEDIF(E485,$I$7,"Y"))</f>
      </c>
      <c r="G485" s="85"/>
      <c r="H485" s="85"/>
      <c r="I485" s="87"/>
      <c r="J485" s="85"/>
      <c r="K485" s="85"/>
      <c r="L485" s="10"/>
      <c r="M485" s="10"/>
      <c r="N485" s="10"/>
      <c r="O485" s="10"/>
      <c r="P485" s="85"/>
      <c r="Q485" s="88"/>
      <c r="R485" s="3">
        <f>IFERROR(VLOOKUP(TablaSeptiembre[[#This Row],[BARRIO]],SECTOR!$A:$B,2,0),"")</f>
      </c>
      <c r="S485" s="89"/>
      <c r="T485" s="90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6"/>
      <c r="AZ485" s="120">
        <f>COUNTIF(U485:AY485,"A")</f>
      </c>
      <c r="BA485" s="121">
        <f>COUNTIF(U485:AY485,"F")</f>
      </c>
      <c r="BB485" s="119">
        <f>COUNTIF(U485:AY485,"E")</f>
      </c>
    </row>
    <row r="486" spans="1:54" x14ac:dyDescent="0.2">
      <c r="A486" s="84"/>
      <c r="B486" s="85"/>
      <c r="C486" s="85"/>
      <c r="D486" s="85"/>
      <c r="E486" s="86"/>
      <c r="F486" s="16">
        <f>IF(E486="","",DATEDIF(E486,$I$7,"Y"))</f>
      </c>
      <c r="G486" s="85"/>
      <c r="H486" s="85"/>
      <c r="I486" s="87"/>
      <c r="J486" s="85"/>
      <c r="K486" s="85"/>
      <c r="L486" s="10"/>
      <c r="M486" s="10"/>
      <c r="N486" s="10"/>
      <c r="O486" s="10"/>
      <c r="P486" s="85"/>
      <c r="Q486" s="88"/>
      <c r="R486" s="3">
        <f>IFERROR(VLOOKUP(TablaSeptiembre[[#This Row],[BARRIO]],SECTOR!$A:$B,2,0),"")</f>
      </c>
      <c r="S486" s="89"/>
      <c r="T486" s="90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6"/>
      <c r="AZ486" s="120">
        <f>COUNTIF(U486:AY486,"A")</f>
      </c>
      <c r="BA486" s="121">
        <f>COUNTIF(U486:AY486,"F")</f>
      </c>
      <c r="BB486" s="119">
        <f>COUNTIF(U486:AY486,"E")</f>
      </c>
    </row>
    <row r="487" spans="1:54" x14ac:dyDescent="0.2">
      <c r="A487" s="84"/>
      <c r="B487" s="85"/>
      <c r="C487" s="85"/>
      <c r="D487" s="85"/>
      <c r="E487" s="86"/>
      <c r="F487" s="16">
        <f>IF(E487="","",DATEDIF(E487,$I$7,"Y"))</f>
      </c>
      <c r="G487" s="85"/>
      <c r="H487" s="85"/>
      <c r="I487" s="87"/>
      <c r="J487" s="85"/>
      <c r="K487" s="85"/>
      <c r="L487" s="10"/>
      <c r="M487" s="10"/>
      <c r="N487" s="10"/>
      <c r="O487" s="10"/>
      <c r="P487" s="85"/>
      <c r="Q487" s="88"/>
      <c r="R487" s="3">
        <f>IFERROR(VLOOKUP(TablaSeptiembre[[#This Row],[BARRIO]],SECTOR!$A:$B,2,0),"")</f>
      </c>
      <c r="S487" s="89"/>
      <c r="T487" s="90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6"/>
      <c r="AZ487" s="120">
        <f>COUNTIF(U487:AY487,"A")</f>
      </c>
      <c r="BA487" s="121">
        <f>COUNTIF(U487:AY487,"F")</f>
      </c>
      <c r="BB487" s="119">
        <f>COUNTIF(U487:AY487,"E")</f>
      </c>
    </row>
    <row r="488" spans="1:54" x14ac:dyDescent="0.2">
      <c r="A488" s="84"/>
      <c r="B488" s="85"/>
      <c r="C488" s="85"/>
      <c r="D488" s="85"/>
      <c r="E488" s="86"/>
      <c r="F488" s="16">
        <f>IF(E488="","",DATEDIF(E488,$I$7,"Y"))</f>
      </c>
      <c r="G488" s="85"/>
      <c r="H488" s="85"/>
      <c r="I488" s="87"/>
      <c r="J488" s="85"/>
      <c r="K488" s="85"/>
      <c r="L488" s="10"/>
      <c r="M488" s="10"/>
      <c r="N488" s="10"/>
      <c r="O488" s="10"/>
      <c r="P488" s="85"/>
      <c r="Q488" s="88"/>
      <c r="R488" s="3">
        <f>IFERROR(VLOOKUP(TablaSeptiembre[[#This Row],[BARRIO]],SECTOR!$A:$B,2,0),"")</f>
      </c>
      <c r="S488" s="89"/>
      <c r="T488" s="90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6"/>
      <c r="AZ488" s="120">
        <f>COUNTIF(U488:AY488,"A")</f>
      </c>
      <c r="BA488" s="121">
        <f>COUNTIF(U488:AY488,"F")</f>
      </c>
      <c r="BB488" s="119">
        <f>COUNTIF(U488:AY488,"E")</f>
      </c>
    </row>
    <row r="489" spans="1:54" x14ac:dyDescent="0.2">
      <c r="A489" s="84"/>
      <c r="B489" s="85"/>
      <c r="C489" s="85"/>
      <c r="D489" s="85"/>
      <c r="E489" s="86"/>
      <c r="F489" s="16">
        <f>IF(E489="","",DATEDIF(E489,$I$7,"Y"))</f>
      </c>
      <c r="G489" s="85"/>
      <c r="H489" s="85"/>
      <c r="I489" s="87"/>
      <c r="J489" s="85"/>
      <c r="K489" s="85"/>
      <c r="L489" s="10"/>
      <c r="M489" s="10"/>
      <c r="N489" s="10"/>
      <c r="O489" s="10"/>
      <c r="P489" s="85"/>
      <c r="Q489" s="88"/>
      <c r="R489" s="3">
        <f>IFERROR(VLOOKUP(TablaSeptiembre[[#This Row],[BARRIO]],SECTOR!$A:$B,2,0),"")</f>
      </c>
      <c r="S489" s="89"/>
      <c r="T489" s="90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6"/>
      <c r="AZ489" s="120">
        <f>COUNTIF(U489:AY489,"A")</f>
      </c>
      <c r="BA489" s="121">
        <f>COUNTIF(U489:AY489,"F")</f>
      </c>
      <c r="BB489" s="119">
        <f>COUNTIF(U489:AY489,"E")</f>
      </c>
    </row>
    <row r="490" spans="1:54" x14ac:dyDescent="0.2">
      <c r="A490" s="84"/>
      <c r="B490" s="85"/>
      <c r="C490" s="85"/>
      <c r="D490" s="85"/>
      <c r="E490" s="86"/>
      <c r="F490" s="16">
        <f>IF(E490="","",DATEDIF(E490,$I$7,"Y"))</f>
      </c>
      <c r="G490" s="85"/>
      <c r="H490" s="85"/>
      <c r="I490" s="87"/>
      <c r="J490" s="85"/>
      <c r="K490" s="85"/>
      <c r="L490" s="10"/>
      <c r="M490" s="10"/>
      <c r="N490" s="10"/>
      <c r="O490" s="10"/>
      <c r="P490" s="85"/>
      <c r="Q490" s="88"/>
      <c r="R490" s="3">
        <f>IFERROR(VLOOKUP(TablaSeptiembre[[#This Row],[BARRIO]],SECTOR!$A:$B,2,0),"")</f>
      </c>
      <c r="S490" s="89"/>
      <c r="T490" s="90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6"/>
      <c r="AZ490" s="120">
        <f>COUNTIF(U490:AY490,"A")</f>
      </c>
      <c r="BA490" s="121">
        <f>COUNTIF(U490:AY490,"F")</f>
      </c>
      <c r="BB490" s="119">
        <f>COUNTIF(U490:AY490,"E")</f>
      </c>
    </row>
    <row r="491" spans="1:54" x14ac:dyDescent="0.2">
      <c r="A491" s="84"/>
      <c r="B491" s="85"/>
      <c r="C491" s="85"/>
      <c r="D491" s="85"/>
      <c r="E491" s="86"/>
      <c r="F491" s="16">
        <f>IF(E491="","",DATEDIF(E491,$I$7,"Y"))</f>
      </c>
      <c r="G491" s="85"/>
      <c r="H491" s="85"/>
      <c r="I491" s="87"/>
      <c r="J491" s="85"/>
      <c r="K491" s="85"/>
      <c r="L491" s="10"/>
      <c r="M491" s="10"/>
      <c r="N491" s="10"/>
      <c r="O491" s="10"/>
      <c r="P491" s="85"/>
      <c r="Q491" s="88"/>
      <c r="R491" s="3">
        <f>IFERROR(VLOOKUP(TablaSeptiembre[[#This Row],[BARRIO]],SECTOR!$A:$B,2,0),"")</f>
      </c>
      <c r="S491" s="89"/>
      <c r="T491" s="90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6"/>
      <c r="AZ491" s="120">
        <f>COUNTIF(U491:AY491,"A")</f>
      </c>
      <c r="BA491" s="121">
        <f>COUNTIF(U491:AY491,"F")</f>
      </c>
      <c r="BB491" s="119">
        <f>COUNTIF(U491:AY491,"E")</f>
      </c>
    </row>
    <row r="492" spans="1:54" x14ac:dyDescent="0.2">
      <c r="A492" s="84"/>
      <c r="B492" s="85"/>
      <c r="C492" s="85"/>
      <c r="D492" s="85"/>
      <c r="E492" s="86"/>
      <c r="F492" s="16">
        <f>IF(E492="","",DATEDIF(E492,$I$7,"Y"))</f>
      </c>
      <c r="G492" s="85"/>
      <c r="H492" s="85"/>
      <c r="I492" s="87"/>
      <c r="J492" s="85"/>
      <c r="K492" s="85"/>
      <c r="L492" s="10"/>
      <c r="M492" s="10"/>
      <c r="N492" s="10"/>
      <c r="O492" s="10"/>
      <c r="P492" s="85"/>
      <c r="Q492" s="88"/>
      <c r="R492" s="3">
        <f>IFERROR(VLOOKUP(TablaSeptiembre[[#This Row],[BARRIO]],SECTOR!$A:$B,2,0),"")</f>
      </c>
      <c r="S492" s="89"/>
      <c r="T492" s="90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6"/>
      <c r="AZ492" s="120">
        <f>COUNTIF(U492:AY492,"A")</f>
      </c>
      <c r="BA492" s="121">
        <f>COUNTIF(U492:AY492,"F")</f>
      </c>
      <c r="BB492" s="119">
        <f>COUNTIF(U492:AY492,"E")</f>
      </c>
    </row>
    <row r="493" spans="1:54" x14ac:dyDescent="0.2">
      <c r="A493" s="84"/>
      <c r="B493" s="85"/>
      <c r="C493" s="85"/>
      <c r="D493" s="85"/>
      <c r="E493" s="86"/>
      <c r="F493" s="16">
        <f>IF(E493="","",DATEDIF(E493,$I$7,"Y"))</f>
      </c>
      <c r="G493" s="85"/>
      <c r="H493" s="85"/>
      <c r="I493" s="87"/>
      <c r="J493" s="85"/>
      <c r="K493" s="85"/>
      <c r="L493" s="10"/>
      <c r="M493" s="10"/>
      <c r="N493" s="10"/>
      <c r="O493" s="10"/>
      <c r="P493" s="85"/>
      <c r="Q493" s="88"/>
      <c r="R493" s="3">
        <f>IFERROR(VLOOKUP(TablaSeptiembre[[#This Row],[BARRIO]],SECTOR!$A:$B,2,0),"")</f>
      </c>
      <c r="S493" s="89"/>
      <c r="T493" s="90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6"/>
      <c r="AZ493" s="120">
        <f>COUNTIF(U493:AY493,"A")</f>
      </c>
      <c r="BA493" s="121">
        <f>COUNTIF(U493:AY493,"F")</f>
      </c>
      <c r="BB493" s="119">
        <f>COUNTIF(U493:AY493,"E")</f>
      </c>
    </row>
    <row r="494" spans="1:54" x14ac:dyDescent="0.2">
      <c r="A494" s="84"/>
      <c r="B494" s="85"/>
      <c r="C494" s="85"/>
      <c r="D494" s="85"/>
      <c r="E494" s="86"/>
      <c r="F494" s="16">
        <f>IF(E494="","",DATEDIF(E494,$I$7,"Y"))</f>
      </c>
      <c r="G494" s="85"/>
      <c r="H494" s="85"/>
      <c r="I494" s="87"/>
      <c r="J494" s="85"/>
      <c r="K494" s="85"/>
      <c r="L494" s="10"/>
      <c r="M494" s="10"/>
      <c r="N494" s="10"/>
      <c r="O494" s="10"/>
      <c r="P494" s="85"/>
      <c r="Q494" s="88"/>
      <c r="R494" s="3">
        <f>IFERROR(VLOOKUP(TablaSeptiembre[[#This Row],[BARRIO]],SECTOR!$A:$B,2,0),"")</f>
      </c>
      <c r="S494" s="89"/>
      <c r="T494" s="90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6"/>
      <c r="AZ494" s="120">
        <f>COUNTIF(U494:AY494,"A")</f>
      </c>
      <c r="BA494" s="121">
        <f>COUNTIF(U494:AY494,"F")</f>
      </c>
      <c r="BB494" s="119">
        <f>COUNTIF(U494:AY494,"E")</f>
      </c>
    </row>
    <row r="495" spans="1:54" x14ac:dyDescent="0.2">
      <c r="A495" s="84"/>
      <c r="B495" s="85"/>
      <c r="C495" s="85"/>
      <c r="D495" s="85"/>
      <c r="E495" s="86"/>
      <c r="F495" s="16">
        <f>IF(E495="","",DATEDIF(E495,$I$7,"Y"))</f>
      </c>
      <c r="G495" s="85"/>
      <c r="H495" s="85"/>
      <c r="I495" s="87"/>
      <c r="J495" s="85"/>
      <c r="K495" s="85"/>
      <c r="L495" s="10"/>
      <c r="M495" s="10"/>
      <c r="N495" s="10"/>
      <c r="O495" s="10"/>
      <c r="P495" s="85"/>
      <c r="Q495" s="88"/>
      <c r="R495" s="3">
        <f>IFERROR(VLOOKUP(TablaSeptiembre[[#This Row],[BARRIO]],SECTOR!$A:$B,2,0),"")</f>
      </c>
      <c r="S495" s="89"/>
      <c r="T495" s="90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6"/>
      <c r="AZ495" s="120">
        <f>COUNTIF(U495:AY495,"A")</f>
      </c>
      <c r="BA495" s="121">
        <f>COUNTIF(U495:AY495,"F")</f>
      </c>
      <c r="BB495" s="119">
        <f>COUNTIF(U495:AY495,"E")</f>
      </c>
    </row>
    <row r="496" spans="1:54" x14ac:dyDescent="0.2">
      <c r="A496" s="84"/>
      <c r="B496" s="85"/>
      <c r="C496" s="85"/>
      <c r="D496" s="85"/>
      <c r="E496" s="86"/>
      <c r="F496" s="16">
        <f>IF(E496="","",DATEDIF(E496,$I$7,"Y"))</f>
      </c>
      <c r="G496" s="85"/>
      <c r="H496" s="85"/>
      <c r="I496" s="87"/>
      <c r="J496" s="85"/>
      <c r="K496" s="85"/>
      <c r="L496" s="10"/>
      <c r="M496" s="10"/>
      <c r="N496" s="10"/>
      <c r="O496" s="10"/>
      <c r="P496" s="85"/>
      <c r="Q496" s="88"/>
      <c r="R496" s="3">
        <f>IFERROR(VLOOKUP(TablaSeptiembre[[#This Row],[BARRIO]],SECTOR!$A:$B,2,0),"")</f>
      </c>
      <c r="S496" s="89"/>
      <c r="T496" s="90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6"/>
      <c r="AZ496" s="120">
        <f>COUNTIF(U496:AY496,"A")</f>
      </c>
      <c r="BA496" s="121">
        <f>COUNTIF(U496:AY496,"F")</f>
      </c>
      <c r="BB496" s="119">
        <f>COUNTIF(U496:AY496,"E")</f>
      </c>
    </row>
    <row r="497" spans="1:54" x14ac:dyDescent="0.2">
      <c r="A497" s="84"/>
      <c r="B497" s="85"/>
      <c r="C497" s="85"/>
      <c r="D497" s="85"/>
      <c r="E497" s="86"/>
      <c r="F497" s="16">
        <f>IF(E497="","",DATEDIF(E497,$I$7,"Y"))</f>
      </c>
      <c r="G497" s="85"/>
      <c r="H497" s="85"/>
      <c r="I497" s="87"/>
      <c r="J497" s="85"/>
      <c r="K497" s="85"/>
      <c r="L497" s="10"/>
      <c r="M497" s="10"/>
      <c r="N497" s="10"/>
      <c r="O497" s="10"/>
      <c r="P497" s="85"/>
      <c r="Q497" s="88"/>
      <c r="R497" s="3">
        <f>IFERROR(VLOOKUP(TablaSeptiembre[[#This Row],[BARRIO]],SECTOR!$A:$B,2,0),"")</f>
      </c>
      <c r="S497" s="89"/>
      <c r="T497" s="90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6"/>
      <c r="AZ497" s="120">
        <f>COUNTIF(U497:AY497,"A")</f>
      </c>
      <c r="BA497" s="121">
        <f>COUNTIF(U497:AY497,"F")</f>
      </c>
      <c r="BB497" s="119">
        <f>COUNTIF(U497:AY497,"E")</f>
      </c>
    </row>
    <row r="498" spans="1:54" x14ac:dyDescent="0.2">
      <c r="A498" s="84"/>
      <c r="B498" s="85"/>
      <c r="C498" s="85"/>
      <c r="D498" s="85"/>
      <c r="E498" s="86"/>
      <c r="F498" s="16">
        <f>IF(E498="","",DATEDIF(E498,$I$7,"Y"))</f>
      </c>
      <c r="G498" s="85"/>
      <c r="H498" s="85"/>
      <c r="I498" s="87"/>
      <c r="J498" s="85"/>
      <c r="K498" s="85"/>
      <c r="L498" s="10"/>
      <c r="M498" s="10"/>
      <c r="N498" s="10"/>
      <c r="O498" s="10"/>
      <c r="P498" s="85"/>
      <c r="Q498" s="88"/>
      <c r="R498" s="3">
        <f>IFERROR(VLOOKUP(TablaSeptiembre[[#This Row],[BARRIO]],SECTOR!$A:$B,2,0),"")</f>
      </c>
      <c r="S498" s="89"/>
      <c r="T498" s="90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6"/>
      <c r="AZ498" s="120">
        <f>COUNTIF(U498:AY498,"A")</f>
      </c>
      <c r="BA498" s="121">
        <f>COUNTIF(U498:AY498,"F")</f>
      </c>
      <c r="BB498" s="119">
        <f>COUNTIF(U498:AY498,"E")</f>
      </c>
    </row>
    <row r="499" spans="1:54" x14ac:dyDescent="0.2">
      <c r="A499" s="84"/>
      <c r="B499" s="85"/>
      <c r="C499" s="85"/>
      <c r="D499" s="85"/>
      <c r="E499" s="86"/>
      <c r="F499" s="16">
        <f>IF(E499="","",DATEDIF(E499,$I$7,"Y"))</f>
      </c>
      <c r="G499" s="85"/>
      <c r="H499" s="85"/>
      <c r="I499" s="87"/>
      <c r="J499" s="85"/>
      <c r="K499" s="85"/>
      <c r="L499" s="10"/>
      <c r="M499" s="10"/>
      <c r="N499" s="10"/>
      <c r="O499" s="10"/>
      <c r="P499" s="85"/>
      <c r="Q499" s="88"/>
      <c r="R499" s="3">
        <f>IFERROR(VLOOKUP(TablaSeptiembre[[#This Row],[BARRIO]],SECTOR!$A:$B,2,0),"")</f>
      </c>
      <c r="S499" s="89"/>
      <c r="T499" s="90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6"/>
      <c r="AZ499" s="120">
        <f>COUNTIF(U499:AY499,"A")</f>
      </c>
      <c r="BA499" s="121">
        <f>COUNTIF(U499:AY499,"F")</f>
      </c>
      <c r="BB499" s="119">
        <f>COUNTIF(U499:AY499,"E")</f>
      </c>
    </row>
    <row r="500" spans="1:54" x14ac:dyDescent="0.2">
      <c r="A500" s="84"/>
      <c r="B500" s="85"/>
      <c r="C500" s="85"/>
      <c r="D500" s="85"/>
      <c r="E500" s="86"/>
      <c r="F500" s="16">
        <f>IF(E500="","",DATEDIF(E500,$I$7,"Y"))</f>
      </c>
      <c r="G500" s="85"/>
      <c r="H500" s="85"/>
      <c r="I500" s="87"/>
      <c r="J500" s="85"/>
      <c r="K500" s="85"/>
      <c r="L500" s="10"/>
      <c r="M500" s="10"/>
      <c r="N500" s="10"/>
      <c r="O500" s="10"/>
      <c r="P500" s="85"/>
      <c r="Q500" s="88"/>
      <c r="R500" s="3">
        <f>IFERROR(VLOOKUP(TablaSeptiembre[[#This Row],[BARRIO]],SECTOR!$A:$B,2,0),"")</f>
      </c>
      <c r="S500" s="89"/>
      <c r="T500" s="90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6"/>
      <c r="AZ500" s="120">
        <f>COUNTIF(U500:AY500,"A")</f>
      </c>
      <c r="BA500" s="121">
        <f>COUNTIF(U500:AY500,"F")</f>
      </c>
      <c r="BB500" s="119">
        <f>COUNTIF(U500:AY500,"E")</f>
      </c>
    </row>
    <row r="501" spans="1:54" x14ac:dyDescent="0.2">
      <c r="A501" s="84"/>
      <c r="B501" s="85"/>
      <c r="C501" s="85"/>
      <c r="D501" s="85"/>
      <c r="E501" s="86"/>
      <c r="F501" s="16">
        <f>IF(E501="","",DATEDIF(E501,$I$7,"Y"))</f>
      </c>
      <c r="G501" s="85"/>
      <c r="H501" s="85"/>
      <c r="I501" s="87"/>
      <c r="J501" s="85"/>
      <c r="K501" s="85"/>
      <c r="L501" s="10"/>
      <c r="M501" s="10"/>
      <c r="N501" s="10"/>
      <c r="O501" s="10"/>
      <c r="P501" s="85"/>
      <c r="Q501" s="88"/>
      <c r="R501" s="3">
        <f>IFERROR(VLOOKUP(TablaSeptiembre[[#This Row],[BARRIO]],SECTOR!$A:$B,2,0),"")</f>
      </c>
      <c r="S501" s="89"/>
      <c r="T501" s="90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6"/>
      <c r="AZ501" s="120">
        <f>COUNTIF(U501:AY501,"A")</f>
      </c>
      <c r="BA501" s="121">
        <f>COUNTIF(U501:AY501,"F")</f>
      </c>
      <c r="BB501" s="119">
        <f>COUNTIF(U501:AY501,"E")</f>
      </c>
    </row>
    <row r="502" spans="1:54" x14ac:dyDescent="0.2">
      <c r="A502" s="84"/>
      <c r="B502" s="85"/>
      <c r="C502" s="85"/>
      <c r="D502" s="85"/>
      <c r="E502" s="86"/>
      <c r="F502" s="16">
        <f>IF(E502="","",DATEDIF(E502,$I$7,"Y"))</f>
      </c>
      <c r="G502" s="85"/>
      <c r="H502" s="85"/>
      <c r="I502" s="87"/>
      <c r="J502" s="85"/>
      <c r="K502" s="85"/>
      <c r="L502" s="10"/>
      <c r="M502" s="10"/>
      <c r="N502" s="10"/>
      <c r="O502" s="10"/>
      <c r="P502" s="85"/>
      <c r="Q502" s="88"/>
      <c r="R502" s="3">
        <f>IFERROR(VLOOKUP(TablaSeptiembre[[#This Row],[BARRIO]],SECTOR!$A:$B,2,0),"")</f>
      </c>
      <c r="S502" s="89"/>
      <c r="T502" s="90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6"/>
      <c r="AZ502" s="120">
        <f>COUNTIF(U502:AY502,"A")</f>
      </c>
      <c r="BA502" s="121">
        <f>COUNTIF(U502:AY502,"F")</f>
      </c>
      <c r="BB502" s="119">
        <f>COUNTIF(U502:AY502,"E")</f>
      </c>
    </row>
    <row r="503" spans="1:54" x14ac:dyDescent="0.2">
      <c r="A503" s="84"/>
      <c r="B503" s="85"/>
      <c r="C503" s="85"/>
      <c r="D503" s="85"/>
      <c r="E503" s="86"/>
      <c r="F503" s="16">
        <f>IF(E503="","",DATEDIF(E503,$I$7,"Y"))</f>
      </c>
      <c r="G503" s="85"/>
      <c r="H503" s="85"/>
      <c r="I503" s="87"/>
      <c r="J503" s="85"/>
      <c r="K503" s="85"/>
      <c r="L503" s="10"/>
      <c r="M503" s="10"/>
      <c r="N503" s="10"/>
      <c r="O503" s="10"/>
      <c r="P503" s="85"/>
      <c r="Q503" s="88"/>
      <c r="R503" s="3">
        <f>IFERROR(VLOOKUP(TablaSeptiembre[[#This Row],[BARRIO]],SECTOR!$A:$B,2,0),"")</f>
      </c>
      <c r="S503" s="89"/>
      <c r="T503" s="90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6"/>
      <c r="AZ503" s="120">
        <f>COUNTIF(U503:AY503,"A")</f>
      </c>
      <c r="BA503" s="121">
        <f>COUNTIF(U503:AY503,"F")</f>
      </c>
      <c r="BB503" s="119">
        <f>COUNTIF(U503:AY503,"E")</f>
      </c>
    </row>
    <row r="504" spans="1:54" x14ac:dyDescent="0.2">
      <c r="A504" s="100"/>
      <c r="B504" s="101"/>
      <c r="C504" s="101"/>
      <c r="D504" s="101"/>
      <c r="E504" s="102"/>
      <c r="F504" s="31">
        <f>IF(E504="","",DATEDIF(E504,$I$7,"Y"))</f>
      </c>
      <c r="G504" s="101"/>
      <c r="H504" s="101"/>
      <c r="I504" s="103"/>
      <c r="J504" s="101"/>
      <c r="K504" s="101"/>
      <c r="L504" s="10"/>
      <c r="M504" s="10"/>
      <c r="N504" s="10"/>
      <c r="O504" s="10"/>
      <c r="P504" s="101"/>
      <c r="Q504" s="91"/>
      <c r="R504" s="14">
        <f>IFERROR(VLOOKUP(TablaSeptiembre[[#This Row],[BARRIO]],SECTOR!$A:$B,2,0),"")</f>
      </c>
      <c r="S504" s="104"/>
      <c r="T504" s="10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7"/>
      <c r="AZ504" s="120">
        <f>COUNTIF(U504:AY504,"A")</f>
      </c>
      <c r="BA504" s="121">
        <f>COUNTIF(U504:AY504,"F")</f>
      </c>
      <c r="BB504" s="118">
        <f>COUNTIF(U504:AY504,"E")</f>
      </c>
    </row>
  </sheetData>
  <sheetProtection sheet="1" objects="1" scenarios="1" autoFilter="0"/>
  <mergeCells count="137">
    <mergeCell ref="B2:B5"/>
    <mergeCell ref="C2:I2"/>
    <mergeCell ref="C3:G3"/>
    <mergeCell ref="C4:G4"/>
    <mergeCell ref="C5:G5"/>
    <mergeCell ref="B7:C7"/>
    <mergeCell ref="D7:G7"/>
    <mergeCell ref="W7:AE7"/>
    <mergeCell ref="AG7:AH7"/>
    <mergeCell ref="AI7:AM7"/>
    <mergeCell ref="AO7:AQ7"/>
    <mergeCell ref="B8:C8"/>
    <mergeCell ref="D8:G8"/>
    <mergeCell ref="S8:T8"/>
    <mergeCell ref="W8:AA8"/>
    <mergeCell ref="AB8:AC8"/>
    <mergeCell ref="AD8:AH8"/>
    <mergeCell ref="AK8:AR8"/>
    <mergeCell ref="AS8:BB8"/>
    <mergeCell ref="B9:C9"/>
    <mergeCell ref="D9:G9"/>
    <mergeCell ref="W9:Y9"/>
    <mergeCell ref="Z9:AA9"/>
    <mergeCell ref="AD9:AF9"/>
    <mergeCell ref="AG9:AH9"/>
    <mergeCell ref="AK9:AL9"/>
    <mergeCell ref="AM9:AN9"/>
    <mergeCell ref="AO9:AP9"/>
    <mergeCell ref="AQ9:AR9"/>
    <mergeCell ref="AS9:BB9"/>
    <mergeCell ref="B10:C10"/>
    <mergeCell ref="D10:G10"/>
    <mergeCell ref="W10:Y10"/>
    <mergeCell ref="Z10:AA10"/>
    <mergeCell ref="AD10:AF10"/>
    <mergeCell ref="AG10:AH10"/>
    <mergeCell ref="AK10:AL10"/>
    <mergeCell ref="AM10:AN10"/>
    <mergeCell ref="AO10:AP10"/>
    <mergeCell ref="AQ10:AR10"/>
    <mergeCell ref="AS10:BB10"/>
    <mergeCell ref="W11:Y11"/>
    <mergeCell ref="Z11:AA11"/>
    <mergeCell ref="AD11:AF11"/>
    <mergeCell ref="AG11:AH11"/>
    <mergeCell ref="AK11:AL11"/>
    <mergeCell ref="AM11:AN11"/>
    <mergeCell ref="AO11:AP11"/>
    <mergeCell ref="AQ11:AR11"/>
    <mergeCell ref="AS11:BB13"/>
    <mergeCell ref="AQ12:AR12"/>
    <mergeCell ref="AQ13:AR13"/>
    <mergeCell ref="B12:B18"/>
    <mergeCell ref="C12:I12"/>
    <mergeCell ref="W12:Y12"/>
    <mergeCell ref="Z12:AA12"/>
    <mergeCell ref="AD12:AF12"/>
    <mergeCell ref="AG12:AH12"/>
    <mergeCell ref="AK12:AL12"/>
    <mergeCell ref="AM12:AN12"/>
    <mergeCell ref="AO12:AP12"/>
    <mergeCell ref="F13:G13"/>
    <mergeCell ref="O13:Q13"/>
    <mergeCell ref="W13:Y13"/>
    <mergeCell ref="Z13:AA13"/>
    <mergeCell ref="AD13:AF13"/>
    <mergeCell ref="AG13:AH13"/>
    <mergeCell ref="AK13:AL13"/>
    <mergeCell ref="AM13:AN13"/>
    <mergeCell ref="AO13:AP13"/>
    <mergeCell ref="C14:C15"/>
    <mergeCell ref="D14:D15"/>
    <mergeCell ref="F14:G15"/>
    <mergeCell ref="H14:H15"/>
    <mergeCell ref="I14:I15"/>
    <mergeCell ref="K14:K15"/>
    <mergeCell ref="L14:L15"/>
    <mergeCell ref="AX15:BA16"/>
    <mergeCell ref="C16:I16"/>
    <mergeCell ref="K16:K17"/>
    <mergeCell ref="L16:L17"/>
    <mergeCell ref="O16:P16"/>
    <mergeCell ref="W16:Y16"/>
    <mergeCell ref="AM14:AN14"/>
    <mergeCell ref="AO14:AP14"/>
    <mergeCell ref="AQ14:AR14"/>
    <mergeCell ref="AV14:AW14"/>
    <mergeCell ref="O15:P15"/>
    <mergeCell ref="W15:Y15"/>
    <mergeCell ref="Z15:AA15"/>
    <mergeCell ref="AD15:AF15"/>
    <mergeCell ref="AG15:AH15"/>
    <mergeCell ref="AK15:AL15"/>
    <mergeCell ref="O14:P14"/>
    <mergeCell ref="W14:Y14"/>
    <mergeCell ref="Z14:AA14"/>
    <mergeCell ref="AD14:AF14"/>
    <mergeCell ref="AG14:AH14"/>
    <mergeCell ref="AK14:AL14"/>
    <mergeCell ref="Z16:AA16"/>
    <mergeCell ref="AD16:AF16"/>
    <mergeCell ref="AG16:AH16"/>
    <mergeCell ref="AK16:AL16"/>
    <mergeCell ref="AM16:AN16"/>
    <mergeCell ref="AV16:AW16"/>
    <mergeCell ref="AM15:AN15"/>
    <mergeCell ref="AO15:AP15"/>
    <mergeCell ref="AQ15:AR15"/>
    <mergeCell ref="AV15:AW15"/>
    <mergeCell ref="AD17:AF17"/>
    <mergeCell ref="AG17:AH17"/>
    <mergeCell ref="AN17:AP17"/>
    <mergeCell ref="AV17:AW17"/>
    <mergeCell ref="AX17:AZ17"/>
    <mergeCell ref="C18:D18"/>
    <mergeCell ref="E18:G18"/>
    <mergeCell ref="H18:I18"/>
    <mergeCell ref="O18:P18"/>
    <mergeCell ref="W18:Y18"/>
    <mergeCell ref="C17:D17"/>
    <mergeCell ref="E17:G17"/>
    <mergeCell ref="H17:I17"/>
    <mergeCell ref="O17:P17"/>
    <mergeCell ref="W17:Y17"/>
    <mergeCell ref="Z17:AA17"/>
    <mergeCell ref="U21:AY22"/>
    <mergeCell ref="AZ21:BB22"/>
    <mergeCell ref="Z18:AA18"/>
    <mergeCell ref="AN18:AP18"/>
    <mergeCell ref="AV18:AW18"/>
    <mergeCell ref="AX18:AZ18"/>
    <mergeCell ref="K19:L19"/>
    <mergeCell ref="O19:P19"/>
    <mergeCell ref="W19:Y19"/>
    <mergeCell ref="Z19:AA19"/>
    <mergeCell ref="AV19:AW19"/>
    <mergeCell ref="AX19:AZ19"/>
  </mergeCells>
  <dataValidations count="12">
    <dataValidation type="custom" allowBlank="1" showInputMessage="1" showErrorMessage="1" errorTitle="SÓLO MAYÚSCULA" sqref="S24:S504">
      <formula1>EXACT(S24, UPPER(S24))</formula1>
    </dataValidation>
    <dataValidation type="custom" allowBlank="1" showInputMessage="1" showErrorMessage="1" errorTitle="SÓLO MAÚSCULA" sqref="P24:P504">
      <formula1>EXACT(P24, UPPER(P24))</formula1>
    </dataValidation>
    <dataValidation type="custom" allowBlank="1" showInputMessage="1" showErrorMessage="1" errorTitle="ERROR" error="SÓLO MAYÚSCULAS" sqref="B24:D504 J24:J504">
      <formula1>EXACT(B24, UPPER(B24))</formula1>
    </dataValidation>
    <dataValidation type="list" allowBlank="1" showInputMessage="1" showErrorMessage="1" sqref="N24:N504">
      <formula1>"SI, NO"</formula1>
    </dataValidation>
    <dataValidation type="list" allowBlank="1" showInputMessage="1" showErrorMessage="1" sqref="G24:G504">
      <formula1>"R.C, T.I, C.C, C.E, PPT, PEP, NES"</formula1>
    </dataValidation>
    <dataValidation type="list" allowBlank="1" showInputMessage="1" showErrorMessage="1" sqref="I24:I504">
      <formula1>"HOMBRE, MUJER"</formula1>
    </dataValidation>
    <dataValidation type="list" allowBlank="1" showInputMessage="1" showErrorMessage="1" sqref="L24:L504">
      <formula1>"OLFATIVA Y TACTO, MENTAL, MOVILIDAD, MULTIPLE, ORAL, PSICOSOCIAL, VISUAL, VOZ Y HABLA, NO SABE NOMBRARLA, N/A"</formula1>
    </dataValidation>
    <dataValidation type="list" allowBlank="1" showInputMessage="1" showErrorMessage="1" sqref="M24:M504">
      <formula1>"HETEROSEXUAL, LESBIANA, ASEXUAL, BISEXUAL, GAY, INTERSEXUAL, NO BINARIO, PANSEXUAL, QUEER, TRANSEXUAL O TRANSGÉNERO, OTRO"</formula1>
    </dataValidation>
    <dataValidation type="list" allowBlank="1" showInputMessage="1" showErrorMessage="1" sqref="O24:O504">
      <formula1>"AFROCOLOMBIANO, INDÍGENA, MESTIZO, MULATO, NO SABE NO RESPONDE, OTRO, PALENQUERO, RAIZAL, ROM GITANO"</formula1>
    </dataValidation>
    <dataValidation type="list" allowBlank="1" showInputMessage="1" showErrorMessage="1" sqref="O23">
      <formula1>"AFRO, INDIGENA, MESTIZA"</formula1>
    </dataValidation>
    <dataValidation type="list" allowBlank="1" showErrorMessage="1" sqref="AI7">
      <formula1>$BH$11:$BH$23</formula1>
    </dataValidation>
    <dataValidation type="list" allowBlank="1" showInputMessage="1" showErrorMessage="1" sqref="Q24:Q504">
      <formula1>SECTOR!$A$2:$A$83</formula1>
    </dataValidation>
  </dataValidations>
  <pageMargins left="0.7" right="0.7" top="0.75" bottom="0.75" header="0.3" footer="0.3"/>
  <pageSetup orientation="portrait"/>
  <ignoredErrors>
    <ignoredError sqref="O23" listDataValidation="1"/>
  </ignoredErrors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2:BB504"/>
  <sheetViews>
    <sheetView showGridLines="0" zoomScaleNormal="100" workbookViewId="0">
      <selection activeCell="A24" sqref="A24"/>
    </sheetView>
  </sheetViews>
  <sheetFormatPr defaultColWidth="9.14453125" defaultRowHeight="15" x14ac:dyDescent="0.2"/>
  <cols>
    <col min="1" max="1" width="6.1875" style="34" customWidth="1"/>
    <col min="2" max="2" width="21.7890625" style="34" customWidth="1"/>
    <col min="3" max="3" width="21.65625" style="34" customWidth="1"/>
    <col min="4" max="4" width="21.7890625" style="34" customWidth="1"/>
    <col min="5" max="5" width="19.50390625" style="34" customWidth="1"/>
    <col min="6" max="6" width="11.1640625" style="34" customWidth="1"/>
    <col min="7" max="7" width="11.56640625" style="34" customWidth="1"/>
    <col min="8" max="8" width="18.4296875" style="34" customWidth="1"/>
    <col min="9" max="9" width="22.59765625" style="34" customWidth="1"/>
    <col min="10" max="10" width="35.109375" style="34" customWidth="1"/>
    <col min="11" max="11" width="11.43359375" style="34" customWidth="1"/>
    <col min="12" max="12" width="16.8125" style="34" customWidth="1"/>
    <col min="13" max="14" width="10.22265625" style="34" customWidth="1"/>
    <col min="15" max="15" width="23.9453125" style="34" bestFit="1" customWidth="1"/>
    <col min="16" max="16" width="23.40625" style="34" customWidth="1"/>
    <col min="17" max="17" width="18.0234375" style="34" customWidth="1"/>
    <col min="18" max="18" width="16.6796875" style="34" customWidth="1"/>
    <col min="19" max="19" width="18.6953125" style="34" bestFit="1" customWidth="1"/>
    <col min="20" max="20" width="17.62109375" style="34" customWidth="1"/>
    <col min="21" max="35" width="5.91796875" style="34" customWidth="1"/>
    <col min="36" max="36" width="6.05078125" style="34" customWidth="1"/>
    <col min="37" max="54" width="5.91796875" style="34" customWidth="1"/>
    <col min="55" max="55" width="9.14453125" style="34"/>
    <col min="56" max="56" width="13.5859375" style="34" bestFit="1" customWidth="1"/>
    <col min="57" max="59" width="10.76171875" style="34" bestFit="1" customWidth="1"/>
    <col min="60" max="16384" width="9.14453125" style="34"/>
  </cols>
  <sheetData>
    <row r="2" spans="1:54" x14ac:dyDescent="0.2">
      <c r="B2" s="244"/>
      <c r="C2" s="247" t="s">
        <v>0</v>
      </c>
      <c r="D2" s="248"/>
      <c r="E2" s="248"/>
      <c r="F2" s="248"/>
      <c r="G2" s="248"/>
      <c r="H2" s="248"/>
      <c r="I2" s="249"/>
    </row>
    <row r="3" spans="1:54" x14ac:dyDescent="0.2">
      <c r="B3" s="245"/>
      <c r="C3" s="250" t="s">
        <v>1</v>
      </c>
      <c r="D3" s="251"/>
      <c r="E3" s="251"/>
      <c r="F3" s="251"/>
      <c r="G3" s="252"/>
      <c r="H3" s="35" t="s">
        <v>2</v>
      </c>
      <c r="I3" s="35" t="s">
        <v>3</v>
      </c>
    </row>
    <row r="4" spans="1:54" x14ac:dyDescent="0.2">
      <c r="B4" s="245"/>
      <c r="C4" s="250" t="s">
        <v>4</v>
      </c>
      <c r="D4" s="251"/>
      <c r="E4" s="251"/>
      <c r="F4" s="251"/>
      <c r="G4" s="252"/>
      <c r="H4" s="35" t="s">
        <v>5</v>
      </c>
      <c r="I4" s="36" t="s">
        <v>6</v>
      </c>
    </row>
    <row r="5" spans="1:54" ht="60" customHeight="1" x14ac:dyDescent="0.2">
      <c r="B5" s="246"/>
      <c r="C5" s="253" t="s">
        <v>7</v>
      </c>
      <c r="D5" s="254"/>
      <c r="E5" s="254"/>
      <c r="F5" s="254"/>
      <c r="G5" s="255"/>
      <c r="H5" s="35" t="s">
        <v>8</v>
      </c>
      <c r="I5" s="37">
        <v>46073</v>
      </c>
    </row>
    <row r="7" spans="1:54" ht="22.5" customHeight="1" x14ac:dyDescent="0.2">
      <c r="A7" s="13"/>
      <c r="B7" s="256" t="s">
        <v>9</v>
      </c>
      <c r="C7" s="257"/>
      <c r="D7" s="230"/>
      <c r="E7" s="231"/>
      <c r="F7" s="231"/>
      <c r="G7" s="232"/>
      <c r="H7" s="38"/>
      <c r="I7" s="39"/>
      <c r="J7" s="40"/>
      <c r="K7" s="40"/>
      <c r="L7" s="12"/>
      <c r="M7" s="12"/>
      <c r="N7" s="12"/>
      <c r="O7" s="12"/>
      <c r="P7" s="12"/>
      <c r="Q7" s="12"/>
      <c r="R7" s="12"/>
      <c r="S7" s="12"/>
      <c r="T7" s="41"/>
      <c r="U7" s="42"/>
      <c r="V7" s="42"/>
      <c r="W7" s="258"/>
      <c r="X7" s="258"/>
      <c r="Y7" s="258"/>
      <c r="Z7" s="258"/>
      <c r="AA7" s="258"/>
      <c r="AB7" s="258"/>
      <c r="AC7" s="258"/>
      <c r="AD7" s="258"/>
      <c r="AE7" s="258"/>
      <c r="AF7" s="13"/>
      <c r="AG7" s="234"/>
      <c r="AH7" s="152"/>
      <c r="AI7" s="233"/>
      <c r="AJ7" s="152"/>
      <c r="AK7" s="152"/>
      <c r="AL7" s="152"/>
      <c r="AM7" s="152"/>
      <c r="AN7" s="13"/>
      <c r="AO7" s="234"/>
      <c r="AP7" s="152"/>
      <c r="AQ7" s="152"/>
      <c r="AR7" s="44"/>
      <c r="AS7" s="45"/>
      <c r="AT7" s="45"/>
      <c r="AU7" s="45"/>
      <c r="AV7" s="45"/>
      <c r="AW7" s="45"/>
      <c r="AX7" s="45"/>
      <c r="AY7" s="12"/>
      <c r="AZ7" s="13"/>
      <c r="BA7" s="13"/>
      <c r="BB7" s="13"/>
    </row>
    <row r="8" spans="1:54" ht="21.75" customHeight="1" x14ac:dyDescent="0.2">
      <c r="A8" s="13"/>
      <c r="B8" s="235" t="s">
        <v>10</v>
      </c>
      <c r="C8" s="236"/>
      <c r="D8" s="223"/>
      <c r="E8" s="224"/>
      <c r="F8" s="224"/>
      <c r="G8" s="225"/>
      <c r="H8" s="11"/>
      <c r="I8" s="11"/>
      <c r="J8" s="11"/>
      <c r="K8" s="11"/>
      <c r="L8" s="12"/>
      <c r="M8" s="12"/>
      <c r="N8" s="12"/>
      <c r="O8" s="12"/>
      <c r="P8" s="12"/>
      <c r="Q8" s="12"/>
      <c r="R8" s="12"/>
      <c r="S8" s="237" t="s">
        <v>11</v>
      </c>
      <c r="T8" s="238"/>
      <c r="U8" s="13"/>
      <c r="V8" s="13"/>
      <c r="W8" s="239" t="s">
        <v>12</v>
      </c>
      <c r="X8" s="239"/>
      <c r="Y8" s="239"/>
      <c r="Z8" s="239"/>
      <c r="AA8" s="239"/>
      <c r="AB8" s="240"/>
      <c r="AC8" s="152"/>
      <c r="AD8" s="241" t="s">
        <v>13</v>
      </c>
      <c r="AE8" s="241"/>
      <c r="AF8" s="241"/>
      <c r="AG8" s="241"/>
      <c r="AH8" s="241"/>
      <c r="AI8" s="12"/>
      <c r="AJ8" s="12"/>
      <c r="AK8" s="242" t="s">
        <v>14</v>
      </c>
      <c r="AL8" s="243"/>
      <c r="AM8" s="243"/>
      <c r="AN8" s="243"/>
      <c r="AO8" s="243"/>
      <c r="AP8" s="243"/>
      <c r="AQ8" s="243"/>
      <c r="AR8" s="243"/>
      <c r="AS8" s="183"/>
      <c r="AT8" s="183"/>
      <c r="AU8" s="183"/>
      <c r="AV8" s="183"/>
      <c r="AW8" s="183"/>
      <c r="AX8" s="183"/>
      <c r="AY8" s="183"/>
      <c r="AZ8" s="183"/>
      <c r="BA8" s="183"/>
      <c r="BB8" s="183"/>
    </row>
    <row r="9" spans="1:54" ht="20.25" customHeight="1" x14ac:dyDescent="0.2">
      <c r="A9" s="13"/>
      <c r="B9" s="228" t="s">
        <v>15</v>
      </c>
      <c r="C9" s="229"/>
      <c r="D9" s="230"/>
      <c r="E9" s="231"/>
      <c r="F9" s="231"/>
      <c r="G9" s="232"/>
      <c r="H9" s="13"/>
      <c r="I9" s="13"/>
      <c r="J9" s="12"/>
      <c r="K9" s="12"/>
      <c r="L9" s="12"/>
      <c r="M9" s="12"/>
      <c r="N9" s="12"/>
      <c r="O9" s="12"/>
      <c r="P9" s="12"/>
      <c r="Q9" s="12"/>
      <c r="R9" s="12"/>
      <c r="S9" s="46" t="s">
        <v>16</v>
      </c>
      <c r="T9" s="114">
        <f>COUNTIFS(TablaOctubre[TIPO DISCAPACIDAD], S9)</f>
      </c>
      <c r="U9" s="13"/>
      <c r="V9" s="13"/>
      <c r="W9" s="164" t="s">
        <v>17</v>
      </c>
      <c r="X9" s="164"/>
      <c r="Y9" s="164"/>
      <c r="Z9" s="147">
        <f>COUNTIFS(TablaOctubre[ORI. SEXUAL], W9)</f>
      </c>
      <c r="AA9" s="148"/>
      <c r="AB9" s="13"/>
      <c r="AC9" s="13"/>
      <c r="AD9" s="164" t="s">
        <v>18</v>
      </c>
      <c r="AE9" s="164"/>
      <c r="AF9" s="164"/>
      <c r="AG9" s="165">
        <f>COUNTIFS(TablaOctubre[[ETNIA ]], AD9)</f>
      </c>
      <c r="AH9" s="165"/>
      <c r="AI9" s="12"/>
      <c r="AJ9" s="12"/>
      <c r="AK9" s="226">
        <v>1</v>
      </c>
      <c r="AL9" s="226"/>
      <c r="AM9" s="202">
        <f>COUNTIFS(TablaOctubre[[ COMUNA]], AK9)</f>
      </c>
      <c r="AN9" s="202"/>
      <c r="AO9" s="227">
        <v>3</v>
      </c>
      <c r="AP9" s="227"/>
      <c r="AQ9" s="218">
        <f>COUNTIFS(TablaOctubre[[ COMUNA]], AO9)</f>
      </c>
      <c r="AR9" s="218"/>
      <c r="AS9" s="183"/>
      <c r="AT9" s="183"/>
      <c r="AU9" s="183"/>
      <c r="AV9" s="183"/>
      <c r="AW9" s="183"/>
      <c r="AX9" s="183"/>
      <c r="AY9" s="183"/>
      <c r="AZ9" s="183"/>
      <c r="BA9" s="183"/>
      <c r="BB9" s="183"/>
    </row>
    <row r="10" spans="1:54" ht="21.75" customHeight="1" x14ac:dyDescent="0.2">
      <c r="A10" s="13"/>
      <c r="B10" s="221" t="s">
        <v>19</v>
      </c>
      <c r="C10" s="222"/>
      <c r="D10" s="223"/>
      <c r="E10" s="224"/>
      <c r="F10" s="224"/>
      <c r="G10" s="225"/>
      <c r="H10" s="13"/>
      <c r="I10" s="13"/>
      <c r="J10" s="12"/>
      <c r="K10" s="12"/>
      <c r="L10" s="12"/>
      <c r="M10" s="12"/>
      <c r="N10" s="12"/>
      <c r="O10" s="12"/>
      <c r="P10" s="12"/>
      <c r="Q10" s="12"/>
      <c r="R10" s="12"/>
      <c r="S10" s="47" t="s">
        <v>20</v>
      </c>
      <c r="T10" s="115">
        <f>COUNTIFS(TablaOctubre[TIPO DISCAPACIDAD], S10)</f>
      </c>
      <c r="U10" s="13"/>
      <c r="V10" s="13"/>
      <c r="W10" s="164" t="s">
        <v>21</v>
      </c>
      <c r="X10" s="164"/>
      <c r="Y10" s="164"/>
      <c r="Z10" s="147">
        <f>COUNTIFS(TablaOctubre[ORI. SEXUAL], W10)</f>
      </c>
      <c r="AA10" s="148"/>
      <c r="AB10" s="13"/>
      <c r="AC10" s="13"/>
      <c r="AD10" s="164" t="s">
        <v>22</v>
      </c>
      <c r="AE10" s="164"/>
      <c r="AF10" s="164"/>
      <c r="AG10" s="165">
        <f>COUNTIFS(TablaOctubre[[ETNIA ]], AD10)</f>
      </c>
      <c r="AH10" s="165"/>
      <c r="AI10" s="12"/>
      <c r="AJ10" s="12"/>
      <c r="AK10" s="226">
        <v>2</v>
      </c>
      <c r="AL10" s="226"/>
      <c r="AM10" s="202">
        <f>COUNTIFS(TablaOctubre[[ COMUNA]], AK10)</f>
      </c>
      <c r="AN10" s="202"/>
      <c r="AO10" s="227">
        <v>4</v>
      </c>
      <c r="AP10" s="227"/>
      <c r="AQ10" s="218">
        <f>COUNTIFS(TablaOctubre[[ COMUNA]], AO10)</f>
      </c>
      <c r="AR10" s="218"/>
      <c r="AS10" s="183"/>
      <c r="AT10" s="183"/>
      <c r="AU10" s="183"/>
      <c r="AV10" s="183"/>
      <c r="AW10" s="183"/>
      <c r="AX10" s="183"/>
      <c r="AY10" s="183"/>
      <c r="AZ10" s="183"/>
      <c r="BA10" s="183"/>
      <c r="BB10" s="183"/>
    </row>
    <row r="11" spans="1:54" ht="26.25" customHeight="1" x14ac:dyDescent="0.2">
      <c r="A11" s="13"/>
      <c r="B11" s="13"/>
      <c r="C11" s="33"/>
      <c r="D11" s="33"/>
      <c r="E11" s="33"/>
      <c r="F11" s="33"/>
      <c r="G11" s="33"/>
      <c r="H11" s="33"/>
      <c r="I11" s="33"/>
      <c r="J11" s="33"/>
      <c r="K11" s="33"/>
      <c r="L11" s="12"/>
      <c r="M11" s="12"/>
      <c r="N11" s="12"/>
      <c r="O11" s="12"/>
      <c r="P11" s="12"/>
      <c r="Q11" s="12"/>
      <c r="R11" s="12"/>
      <c r="S11" s="47" t="s">
        <v>23</v>
      </c>
      <c r="T11" s="115">
        <f>COUNTIFS(TablaOctubre[TIPO DISCAPACIDAD], S11)</f>
      </c>
      <c r="U11" s="13"/>
      <c r="V11" s="13"/>
      <c r="W11" s="164" t="s">
        <v>24</v>
      </c>
      <c r="X11" s="164"/>
      <c r="Y11" s="164"/>
      <c r="Z11" s="147">
        <f>COUNTIFS(TablaOctubre[ORI. SEXUAL], W11)</f>
      </c>
      <c r="AA11" s="148"/>
      <c r="AB11" s="13"/>
      <c r="AC11" s="13"/>
      <c r="AD11" s="164" t="s">
        <v>25</v>
      </c>
      <c r="AE11" s="164"/>
      <c r="AF11" s="164"/>
      <c r="AG11" s="165">
        <f>COUNTIFS(TablaOctubre[[ETNIA ]], AD11)</f>
      </c>
      <c r="AH11" s="165"/>
      <c r="AI11" s="13"/>
      <c r="AJ11" s="13"/>
      <c r="AK11" s="201" t="s">
        <v>26</v>
      </c>
      <c r="AL11" s="201"/>
      <c r="AM11" s="202">
        <f>COUNTIFS(TablaOctubre[[ COMUNA]], AK11)</f>
      </c>
      <c r="AN11" s="202"/>
      <c r="AO11" s="219" t="s">
        <v>27</v>
      </c>
      <c r="AP11" s="219"/>
      <c r="AQ11" s="218">
        <f>COUNTIFS(TablaOctubre[[ COMUNA]], AO11)</f>
      </c>
      <c r="AR11" s="218"/>
      <c r="AS11" s="220"/>
      <c r="AT11" s="220"/>
      <c r="AU11" s="220"/>
      <c r="AV11" s="220"/>
      <c r="AW11" s="220"/>
      <c r="AX11" s="220"/>
      <c r="AY11" s="220"/>
      <c r="AZ11" s="220"/>
      <c r="BA11" s="220"/>
      <c r="BB11" s="220"/>
    </row>
    <row r="12" spans="1:54" ht="26.25" customHeight="1" thickBot="1" x14ac:dyDescent="0.25">
      <c r="A12" s="13"/>
      <c r="B12" s="195" t="s">
        <v>28</v>
      </c>
      <c r="C12" s="198" t="s">
        <v>29</v>
      </c>
      <c r="D12" s="199"/>
      <c r="E12" s="199"/>
      <c r="F12" s="199"/>
      <c r="G12" s="199"/>
      <c r="H12" s="199"/>
      <c r="I12" s="200"/>
      <c r="L12" s="12"/>
      <c r="M12" s="12"/>
      <c r="N12" s="12"/>
      <c r="O12" s="12"/>
      <c r="P12" s="12"/>
      <c r="Q12" s="12"/>
      <c r="R12" s="12"/>
      <c r="S12" s="48" t="s">
        <v>30</v>
      </c>
      <c r="T12" s="115">
        <f>COUNTIFS(TablaOctubre[TIPO DISCAPACIDAD], S12)</f>
      </c>
      <c r="U12" s="13"/>
      <c r="V12" s="13"/>
      <c r="W12" s="164" t="s">
        <v>31</v>
      </c>
      <c r="X12" s="164"/>
      <c r="Y12" s="164"/>
      <c r="Z12" s="147">
        <f>COUNTIFS(TablaOctubre[ORI. SEXUAL], W12)</f>
      </c>
      <c r="AA12" s="148"/>
      <c r="AB12" s="13"/>
      <c r="AC12" s="13"/>
      <c r="AD12" s="164" t="s">
        <v>32</v>
      </c>
      <c r="AE12" s="164"/>
      <c r="AF12" s="164"/>
      <c r="AG12" s="165">
        <f>COUNTIFS(TablaOctubre[[ETNIA ]], AD12)</f>
      </c>
      <c r="AH12" s="165"/>
      <c r="AI12" s="49"/>
      <c r="AJ12" s="49"/>
      <c r="AK12" s="201" t="s">
        <v>33</v>
      </c>
      <c r="AL12" s="201"/>
      <c r="AM12" s="202">
        <f>COUNTIFS(TablaOctubre[[ COMUNA]], AK12)</f>
      </c>
      <c r="AN12" s="202"/>
      <c r="AO12" s="180"/>
      <c r="AP12" s="180"/>
      <c r="AQ12" s="183"/>
      <c r="AR12" s="183"/>
      <c r="AS12" s="220"/>
      <c r="AT12" s="220"/>
      <c r="AU12" s="220"/>
      <c r="AV12" s="220"/>
      <c r="AW12" s="220"/>
      <c r="AX12" s="220"/>
      <c r="AY12" s="220"/>
      <c r="AZ12" s="220"/>
      <c r="BA12" s="220"/>
      <c r="BB12" s="220"/>
    </row>
    <row r="13" spans="1:54" ht="29.25" customHeight="1" thickBot="1" x14ac:dyDescent="0.25">
      <c r="B13" s="196"/>
      <c r="C13" s="50" t="s">
        <v>34</v>
      </c>
      <c r="D13" s="51" t="s">
        <v>35</v>
      </c>
      <c r="E13" s="51" t="s">
        <v>36</v>
      </c>
      <c r="F13" s="203" t="s">
        <v>37</v>
      </c>
      <c r="G13" s="204"/>
      <c r="H13" s="52" t="s">
        <v>38</v>
      </c>
      <c r="I13" s="53" t="s">
        <v>39</v>
      </c>
      <c r="K13" s="54"/>
      <c r="L13" s="55"/>
      <c r="M13" s="12"/>
      <c r="N13" s="12"/>
      <c r="O13" s="205" t="s">
        <v>40</v>
      </c>
      <c r="P13" s="206"/>
      <c r="Q13" s="207"/>
      <c r="R13" s="56"/>
      <c r="S13" s="57" t="s">
        <v>41</v>
      </c>
      <c r="T13" s="115">
        <f>COUNTIFS(TablaOctubre[TIPO DISCAPACIDAD], S13)</f>
      </c>
      <c r="U13" s="56"/>
      <c r="V13" s="56"/>
      <c r="W13" s="160" t="s">
        <v>42</v>
      </c>
      <c r="X13" s="160"/>
      <c r="Y13" s="160"/>
      <c r="Z13" s="147">
        <f>COUNTIFS(TablaOctubre[ORI. SEXUAL], W13)</f>
      </c>
      <c r="AA13" s="148"/>
      <c r="AB13" s="58"/>
      <c r="AC13" s="59"/>
      <c r="AD13" s="208" t="s">
        <v>43</v>
      </c>
      <c r="AE13" s="208"/>
      <c r="AF13" s="208"/>
      <c r="AG13" s="165">
        <f>COUNTIFS(TablaOctubre[[ETNIA ]], AD13)</f>
      </c>
      <c r="AH13" s="165"/>
      <c r="AI13" s="56"/>
      <c r="AJ13" s="56"/>
      <c r="AK13" s="209"/>
      <c r="AL13" s="209"/>
      <c r="AM13" s="182"/>
      <c r="AN13" s="182"/>
      <c r="AO13" s="180"/>
      <c r="AP13" s="180"/>
      <c r="AQ13" s="183"/>
      <c r="AR13" s="183"/>
      <c r="AS13" s="220"/>
      <c r="AT13" s="220"/>
      <c r="AU13" s="220"/>
      <c r="AV13" s="220"/>
      <c r="AW13" s="220"/>
      <c r="AX13" s="220"/>
      <c r="AY13" s="220"/>
      <c r="AZ13" s="220"/>
      <c r="BA13" s="220"/>
      <c r="BB13" s="220"/>
    </row>
    <row r="14" spans="1:54" ht="19.5" customHeight="1" thickBot="1" x14ac:dyDescent="0.25">
      <c r="A14" s="13"/>
      <c r="B14" s="196"/>
      <c r="C14" s="210"/>
      <c r="D14" s="210"/>
      <c r="E14" s="8"/>
      <c r="F14" s="212"/>
      <c r="G14" s="213"/>
      <c r="H14" s="210"/>
      <c r="I14" s="210"/>
      <c r="K14" s="216" t="s">
        <v>44</v>
      </c>
      <c r="L14" s="184">
        <f>COUNTIFS(TablaOctubre[SEXO], K14)</f>
      </c>
      <c r="M14" s="12"/>
      <c r="N14" s="12"/>
      <c r="O14" s="158" t="s">
        <v>45</v>
      </c>
      <c r="P14" s="159"/>
      <c r="Q14" s="116">
        <f>COUNTIFS(TablaOctubre[EDAD], "&lt;6")</f>
      </c>
      <c r="R14" s="56"/>
      <c r="S14" s="47" t="s">
        <v>46</v>
      </c>
      <c r="T14" s="115">
        <f>COUNTIFS(TablaOctubre[TIPO DISCAPACIDAD], S14)</f>
      </c>
      <c r="U14" s="60"/>
      <c r="V14" s="56"/>
      <c r="W14" s="160" t="s">
        <v>47</v>
      </c>
      <c r="X14" s="160"/>
      <c r="Y14" s="160"/>
      <c r="Z14" s="147">
        <f>COUNTIFS(TablaOctubre[ORI. SEXUAL], W14)</f>
      </c>
      <c r="AA14" s="148"/>
      <c r="AB14" s="13"/>
      <c r="AC14" s="13"/>
      <c r="AD14" s="164" t="s">
        <v>48</v>
      </c>
      <c r="AE14" s="164"/>
      <c r="AF14" s="164"/>
      <c r="AG14" s="165">
        <f>COUNTIFS(TablaOctubre[[ETNIA ]], AD14)</f>
      </c>
      <c r="AH14" s="165"/>
      <c r="AI14" s="56"/>
      <c r="AJ14" s="56"/>
      <c r="AK14" s="194"/>
      <c r="AL14" s="194"/>
      <c r="AM14" s="182"/>
      <c r="AN14" s="182"/>
      <c r="AO14" s="180"/>
      <c r="AP14" s="180"/>
      <c r="AQ14" s="183"/>
      <c r="AR14" s="183"/>
      <c r="AV14" s="151"/>
      <c r="AW14" s="152"/>
      <c r="BB14" s="13"/>
    </row>
    <row r="15" spans="1:54" ht="19.5" customHeight="1" thickBot="1" x14ac:dyDescent="0.25">
      <c r="A15" s="13"/>
      <c r="B15" s="196"/>
      <c r="C15" s="211"/>
      <c r="D15" s="211"/>
      <c r="E15" s="9"/>
      <c r="F15" s="214"/>
      <c r="G15" s="215"/>
      <c r="H15" s="211"/>
      <c r="I15" s="211"/>
      <c r="K15" s="217"/>
      <c r="L15" s="185"/>
      <c r="M15" s="12"/>
      <c r="N15" s="12"/>
      <c r="O15" s="192" t="s">
        <v>49</v>
      </c>
      <c r="P15" s="193"/>
      <c r="Q15" s="116">
        <f>COUNTIFS(TablaOctubre[EDAD], "&gt;5", TablaOctubre[EDAD], "&lt;11")</f>
      </c>
      <c r="R15" s="56"/>
      <c r="S15" s="57" t="s">
        <v>50</v>
      </c>
      <c r="T15" s="115">
        <f>COUNTIFS(TablaOctubre[TIPO DISCAPACIDAD], S15)</f>
      </c>
      <c r="U15" s="60"/>
      <c r="V15" s="56"/>
      <c r="W15" s="160" t="s">
        <v>51</v>
      </c>
      <c r="X15" s="160"/>
      <c r="Y15" s="160"/>
      <c r="Z15" s="147">
        <f>COUNTIFS(TablaOctubre[ORI. SEXUAL], W15)</f>
      </c>
      <c r="AA15" s="148"/>
      <c r="AB15" s="58"/>
      <c r="AC15" s="59"/>
      <c r="AD15" s="179" t="s">
        <v>52</v>
      </c>
      <c r="AE15" s="179"/>
      <c r="AF15" s="179"/>
      <c r="AG15" s="165">
        <f>COUNTIFS(TablaOctubre[[ETNIA ]], AD15)</f>
      </c>
      <c r="AH15" s="165"/>
      <c r="AI15" s="56"/>
      <c r="AJ15" s="56"/>
      <c r="AK15" s="180"/>
      <c r="AL15" s="181"/>
      <c r="AM15" s="182"/>
      <c r="AN15" s="182"/>
      <c r="AO15" s="180"/>
      <c r="AP15" s="180"/>
      <c r="AQ15" s="183"/>
      <c r="AR15" s="183"/>
      <c r="AV15" s="151"/>
      <c r="AW15" s="152"/>
      <c r="AX15" s="186" t="s">
        <v>53</v>
      </c>
      <c r="AY15" s="186"/>
      <c r="AZ15" s="186"/>
      <c r="BA15" s="186"/>
      <c r="BB15" s="13"/>
    </row>
    <row r="16" spans="1:54" ht="19.5" customHeight="1" thickBot="1" x14ac:dyDescent="0.25">
      <c r="A16" s="13"/>
      <c r="B16" s="196"/>
      <c r="C16" s="187" t="s">
        <v>54</v>
      </c>
      <c r="D16" s="188"/>
      <c r="E16" s="188"/>
      <c r="F16" s="188"/>
      <c r="G16" s="188"/>
      <c r="H16" s="188"/>
      <c r="I16" s="189"/>
      <c r="K16" s="190" t="s">
        <v>55</v>
      </c>
      <c r="L16" s="184">
        <f>COUNTIFS(TablaOctubre[SEXO], K16)</f>
      </c>
      <c r="M16" s="12"/>
      <c r="N16" s="12"/>
      <c r="O16" s="158" t="s">
        <v>56</v>
      </c>
      <c r="P16" s="159"/>
      <c r="Q16" s="116">
        <f>COUNTIFS(TablaOctubre[EDAD], "&gt;10", TablaOctubre[EDAD], "&lt;15")</f>
      </c>
      <c r="R16" s="56"/>
      <c r="S16" s="47" t="s">
        <v>57</v>
      </c>
      <c r="T16" s="115">
        <f>COUNTIFS(TablaOctubre[TIPO DISCAPACIDAD], S16)</f>
      </c>
      <c r="U16" s="60"/>
      <c r="V16" s="56"/>
      <c r="W16" s="160" t="s">
        <v>58</v>
      </c>
      <c r="X16" s="160"/>
      <c r="Y16" s="160"/>
      <c r="Z16" s="147">
        <f>COUNTIFS(TablaOctubre[ORI. SEXUAL], W16)</f>
      </c>
      <c r="AA16" s="148"/>
      <c r="AB16" s="58"/>
      <c r="AC16" s="59"/>
      <c r="AD16" s="179" t="s">
        <v>59</v>
      </c>
      <c r="AE16" s="179"/>
      <c r="AF16" s="179"/>
      <c r="AG16" s="165">
        <f>COUNTIFS(TablaOctubre[[ETNIA ]], AD16)</f>
      </c>
      <c r="AH16" s="165"/>
      <c r="AI16" s="56"/>
      <c r="AJ16" s="56"/>
      <c r="AK16" s="180"/>
      <c r="AL16" s="180"/>
      <c r="AM16" s="181"/>
      <c r="AN16" s="181"/>
      <c r="AO16" s="56"/>
      <c r="AP16" s="56"/>
      <c r="AQ16" s="33"/>
      <c r="AV16" s="151"/>
      <c r="AW16" s="152"/>
      <c r="AX16" s="186"/>
      <c r="AY16" s="186"/>
      <c r="AZ16" s="186"/>
      <c r="BA16" s="186"/>
      <c r="BB16" s="13"/>
    </row>
    <row r="17" spans="1:54" ht="19.5" customHeight="1" thickBot="1" x14ac:dyDescent="0.25">
      <c r="A17" s="13"/>
      <c r="B17" s="196"/>
      <c r="C17" s="175" t="s">
        <v>60</v>
      </c>
      <c r="D17" s="176"/>
      <c r="E17" s="175" t="s">
        <v>61</v>
      </c>
      <c r="F17" s="177"/>
      <c r="G17" s="176"/>
      <c r="H17" s="175" t="s">
        <v>62</v>
      </c>
      <c r="I17" s="176"/>
      <c r="K17" s="191"/>
      <c r="L17" s="185"/>
      <c r="M17" s="12"/>
      <c r="N17" s="12"/>
      <c r="O17" s="158" t="s">
        <v>63</v>
      </c>
      <c r="P17" s="159"/>
      <c r="Q17" s="116">
        <f>COUNTIFS(TablaOctubre[EDAD], "&gt;14", TablaOctubre[EDAD], "&lt;20")</f>
      </c>
      <c r="R17" s="56"/>
      <c r="S17" s="57" t="s">
        <v>64</v>
      </c>
      <c r="T17" s="115">
        <f>COUNTIFS(TablaOctubre[TIPO DISCAPACIDAD], S17)</f>
      </c>
      <c r="U17" s="61"/>
      <c r="V17" s="60"/>
      <c r="W17" s="178" t="s">
        <v>65</v>
      </c>
      <c r="X17" s="178"/>
      <c r="Y17" s="178"/>
      <c r="Z17" s="147">
        <f>COUNTIFS(TablaOctubre[ORI. SEXUAL], W17)</f>
      </c>
      <c r="AA17" s="148"/>
      <c r="AB17" s="13"/>
      <c r="AC17" s="13"/>
      <c r="AD17" s="164" t="s">
        <v>66</v>
      </c>
      <c r="AE17" s="164"/>
      <c r="AF17" s="164"/>
      <c r="AG17" s="165">
        <f>COUNTIFS(TablaOctubre[[ETNIA ]], AD17)</f>
      </c>
      <c r="AH17" s="165"/>
      <c r="AI17" s="56"/>
      <c r="AJ17" s="56"/>
      <c r="AK17" s="56"/>
      <c r="AL17" s="56"/>
      <c r="AM17" s="56"/>
      <c r="AN17" s="149"/>
      <c r="AO17" s="150"/>
      <c r="AP17" s="150"/>
      <c r="AQ17" s="33"/>
      <c r="AV17" s="151"/>
      <c r="AW17" s="152"/>
      <c r="AX17" s="166" t="s">
        <v>67</v>
      </c>
      <c r="AY17" s="167"/>
      <c r="AZ17" s="168"/>
      <c r="BA17" s="62" t="s">
        <v>68</v>
      </c>
      <c r="BB17" s="13"/>
    </row>
    <row r="18" spans="1:54" ht="19.5" customHeight="1" thickBot="1" x14ac:dyDescent="0.25">
      <c r="A18" s="13"/>
      <c r="B18" s="197"/>
      <c r="C18" s="169"/>
      <c r="D18" s="170"/>
      <c r="E18" s="169"/>
      <c r="F18" s="171"/>
      <c r="G18" s="170"/>
      <c r="H18" s="169"/>
      <c r="I18" s="170"/>
      <c r="L18" s="12"/>
      <c r="M18" s="12"/>
      <c r="N18" s="12"/>
      <c r="O18" s="158" t="s">
        <v>69</v>
      </c>
      <c r="P18" s="159"/>
      <c r="Q18" s="116">
        <f>COUNTIFS(TablaOctubre[EDAD], "&gt;19", TablaOctubre[EDAD], "&lt;60")</f>
      </c>
      <c r="R18" s="56"/>
      <c r="S18" s="47" t="s">
        <v>70</v>
      </c>
      <c r="T18" s="115">
        <f>COUNTIFS(TablaOctubre[TIPO DISCAPACIDAD], S18)</f>
      </c>
      <c r="U18" s="60"/>
      <c r="V18" s="56"/>
      <c r="W18" s="172" t="s">
        <v>71</v>
      </c>
      <c r="X18" s="173"/>
      <c r="Y18" s="174"/>
      <c r="Z18" s="147">
        <f>COUNTIFS(TablaOctubre[ORI. SEXUAL], W18)</f>
      </c>
      <c r="AA18" s="148"/>
      <c r="AB18" s="13"/>
      <c r="AC18" s="13"/>
      <c r="AD18" s="13"/>
      <c r="AE18" s="13"/>
      <c r="AF18" s="13"/>
      <c r="AG18" s="13"/>
      <c r="AH18" s="60"/>
      <c r="AI18" s="56"/>
      <c r="AJ18" s="56"/>
      <c r="AK18" s="56"/>
      <c r="AL18" s="56"/>
      <c r="AM18" s="56"/>
      <c r="AN18" s="149"/>
      <c r="AO18" s="150"/>
      <c r="AP18" s="150"/>
      <c r="AQ18" s="33"/>
      <c r="AV18" s="151"/>
      <c r="AW18" s="152"/>
      <c r="AX18" s="153" t="s">
        <v>72</v>
      </c>
      <c r="AY18" s="154"/>
      <c r="AZ18" s="155"/>
      <c r="BA18" s="63" t="s">
        <v>73</v>
      </c>
      <c r="BB18" s="13"/>
    </row>
    <row r="19" spans="1:54" ht="19.5" customHeight="1" thickBot="1" x14ac:dyDescent="0.25">
      <c r="A19" s="13"/>
      <c r="B19" s="64"/>
      <c r="C19" s="43"/>
      <c r="D19" s="43"/>
      <c r="E19" s="43"/>
      <c r="F19" s="65"/>
      <c r="G19" s="66"/>
      <c r="H19" s="66"/>
      <c r="I19" s="66"/>
      <c r="J19" s="66"/>
      <c r="K19" s="156" t="s">
        <v>74</v>
      </c>
      <c r="L19" s="157"/>
      <c r="M19" s="12"/>
      <c r="N19" s="12"/>
      <c r="O19" s="158" t="s">
        <v>75</v>
      </c>
      <c r="P19" s="159"/>
      <c r="Q19" s="116">
        <f>COUNTIFS(TablaOctubre[EDAD], "&gt;59")</f>
      </c>
      <c r="R19" s="56"/>
      <c r="U19" s="60"/>
      <c r="V19" s="56"/>
      <c r="W19" s="160" t="s">
        <v>66</v>
      </c>
      <c r="X19" s="160"/>
      <c r="Y19" s="160"/>
      <c r="Z19" s="147">
        <f>COUNTIFS(TablaOctubre[ORI. SEXUAL], W19)</f>
      </c>
      <c r="AA19" s="148"/>
      <c r="AB19" s="13"/>
      <c r="AC19" s="13"/>
      <c r="AD19" s="13"/>
      <c r="AE19" s="13"/>
      <c r="AF19" s="13"/>
      <c r="AG19" s="13"/>
      <c r="AH19" s="67"/>
      <c r="AI19" s="68"/>
      <c r="AJ19" s="68" t="s">
        <v>76</v>
      </c>
      <c r="AK19" s="68"/>
      <c r="AL19" s="68"/>
      <c r="AM19" s="68"/>
      <c r="AN19" s="68"/>
      <c r="AO19" s="68"/>
      <c r="AP19" s="68"/>
      <c r="AQ19" s="33"/>
      <c r="AV19" s="151"/>
      <c r="AW19" s="152"/>
      <c r="AX19" s="161" t="s">
        <v>77</v>
      </c>
      <c r="AY19" s="162"/>
      <c r="AZ19" s="163"/>
      <c r="BA19" s="69" t="s">
        <v>78</v>
      </c>
      <c r="BB19" s="13"/>
    </row>
    <row r="20" spans="1:54" ht="20.25" customHeight="1" thickBot="1" x14ac:dyDescent="0.25">
      <c r="A20" s="13"/>
      <c r="B20" s="33"/>
      <c r="C20" s="33"/>
      <c r="D20" s="33"/>
      <c r="E20" s="33"/>
      <c r="F20" s="65"/>
      <c r="G20" s="66"/>
      <c r="H20" s="66"/>
      <c r="I20" s="66"/>
      <c r="J20" s="66"/>
      <c r="K20" s="70" t="s">
        <v>79</v>
      </c>
      <c r="L20" s="117">
        <f>COUNTIF(TablaOctubre[VICTIMA CONF. ARMADO], K20)</f>
      </c>
      <c r="M20" s="12"/>
      <c r="N20" s="12"/>
      <c r="O20" s="12"/>
      <c r="P20" s="12"/>
      <c r="Q20" s="12"/>
      <c r="R20" s="12"/>
      <c r="S20" s="12"/>
      <c r="T20" s="3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68"/>
      <c r="AI20" s="68"/>
      <c r="AJ20" s="68"/>
      <c r="AK20" s="68"/>
      <c r="AL20" s="68"/>
      <c r="AM20" s="68"/>
      <c r="AN20" s="68"/>
      <c r="AO20" s="68"/>
      <c r="AP20" s="68"/>
      <c r="AQ20" s="33"/>
      <c r="AR20" s="33"/>
      <c r="AS20" s="33"/>
      <c r="AT20" s="33"/>
      <c r="AU20" s="33"/>
      <c r="AV20" s="33"/>
      <c r="AW20" s="33"/>
      <c r="AX20" s="33"/>
      <c r="AY20" s="33"/>
      <c r="AZ20" s="13"/>
      <c r="BA20" s="13"/>
      <c r="BB20" s="13"/>
    </row>
    <row r="21" spans="1:54" ht="18.75" customHeight="1" thickBot="1" x14ac:dyDescent="0.25">
      <c r="A21" s="13"/>
      <c r="B21" s="13"/>
      <c r="C21" s="33"/>
      <c r="D21" s="33"/>
      <c r="E21" s="33"/>
      <c r="F21" s="33"/>
      <c r="G21" s="33"/>
      <c r="H21" s="33"/>
      <c r="I21" s="33"/>
      <c r="J21" s="33"/>
      <c r="K21" s="71" t="s">
        <v>80</v>
      </c>
      <c r="L21" s="117">
        <f>COUNTIF(TablaOctubre[VICTIMA CONF. ARMADO], K21)</f>
      </c>
      <c r="M21" s="12"/>
      <c r="N21" s="12"/>
      <c r="O21" s="12"/>
      <c r="P21" s="12"/>
      <c r="Q21" s="12"/>
      <c r="R21" s="12"/>
      <c r="S21" s="12"/>
      <c r="T21" s="33"/>
      <c r="U21" s="135" t="s">
        <v>142</v>
      </c>
      <c r="V21" s="136"/>
      <c r="W21" s="136"/>
      <c r="X21" s="136"/>
      <c r="Y21" s="136"/>
      <c r="Z21" s="136"/>
      <c r="AA21" s="136"/>
      <c r="AB21" s="136"/>
      <c r="AC21" s="136"/>
      <c r="AD21" s="136"/>
      <c r="AE21" s="136"/>
      <c r="AF21" s="136"/>
      <c r="AG21" s="136"/>
      <c r="AH21" s="136"/>
      <c r="AI21" s="136"/>
      <c r="AJ21" s="136"/>
      <c r="AK21" s="136"/>
      <c r="AL21" s="136"/>
      <c r="AM21" s="136"/>
      <c r="AN21" s="136"/>
      <c r="AO21" s="136"/>
      <c r="AP21" s="136"/>
      <c r="AQ21" s="136"/>
      <c r="AR21" s="136"/>
      <c r="AS21" s="136"/>
      <c r="AT21" s="136"/>
      <c r="AU21" s="136"/>
      <c r="AV21" s="136"/>
      <c r="AW21" s="136"/>
      <c r="AX21" s="136"/>
      <c r="AY21" s="137"/>
      <c r="AZ21" s="141" t="s">
        <v>81</v>
      </c>
      <c r="BA21" s="142"/>
      <c r="BB21" s="143"/>
    </row>
    <row r="22" spans="1:54" ht="15" customHeight="1" thickBot="1" x14ac:dyDescent="0.25">
      <c r="A22" s="13"/>
      <c r="B22" s="13"/>
      <c r="C22" s="33"/>
      <c r="D22" s="33"/>
      <c r="E22" s="33"/>
      <c r="F22" s="33"/>
      <c r="G22" s="33"/>
      <c r="H22" s="33"/>
      <c r="I22" s="33"/>
      <c r="J22" s="33"/>
      <c r="K22" s="33"/>
      <c r="L22" s="72"/>
      <c r="M22" s="72"/>
      <c r="N22" s="72"/>
      <c r="O22" s="72"/>
      <c r="P22" s="72"/>
      <c r="Q22" s="12"/>
      <c r="R22" s="12"/>
      <c r="S22" s="12"/>
      <c r="T22" s="73"/>
      <c r="U22" s="138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  <c r="AF22" s="139"/>
      <c r="AG22" s="139"/>
      <c r="AH22" s="139"/>
      <c r="AI22" s="139"/>
      <c r="AJ22" s="139"/>
      <c r="AK22" s="139"/>
      <c r="AL22" s="139"/>
      <c r="AM22" s="139"/>
      <c r="AN22" s="139"/>
      <c r="AO22" s="139"/>
      <c r="AP22" s="139"/>
      <c r="AQ22" s="139"/>
      <c r="AR22" s="139"/>
      <c r="AS22" s="139"/>
      <c r="AT22" s="139"/>
      <c r="AU22" s="139"/>
      <c r="AV22" s="139"/>
      <c r="AW22" s="139"/>
      <c r="AX22" s="139"/>
      <c r="AY22" s="140"/>
      <c r="AZ22" s="144"/>
      <c r="BA22" s="145"/>
      <c r="BB22" s="146"/>
    </row>
    <row r="23" spans="1:54" ht="42" customHeight="1" x14ac:dyDescent="0.2">
      <c r="A23" s="74" t="s">
        <v>82</v>
      </c>
      <c r="B23" s="108" t="s">
        <v>83</v>
      </c>
      <c r="C23" s="108" t="s">
        <v>84</v>
      </c>
      <c r="D23" s="108" t="s">
        <v>85</v>
      </c>
      <c r="E23" s="108" t="s">
        <v>86</v>
      </c>
      <c r="F23" s="109" t="s">
        <v>87</v>
      </c>
      <c r="G23" s="110" t="s">
        <v>88</v>
      </c>
      <c r="H23" s="109" t="s">
        <v>89</v>
      </c>
      <c r="I23" s="111" t="s">
        <v>90</v>
      </c>
      <c r="J23" s="112" t="s">
        <v>91</v>
      </c>
      <c r="K23" s="75" t="s">
        <v>92</v>
      </c>
      <c r="L23" s="76" t="s">
        <v>93</v>
      </c>
      <c r="M23" s="77" t="s">
        <v>94</v>
      </c>
      <c r="N23" s="78" t="s">
        <v>95</v>
      </c>
      <c r="O23" s="79" t="s">
        <v>96</v>
      </c>
      <c r="P23" s="113" t="s">
        <v>97</v>
      </c>
      <c r="Q23" s="80" t="s">
        <v>98</v>
      </c>
      <c r="R23" s="80" t="s">
        <v>99</v>
      </c>
      <c r="S23" s="80" t="s">
        <v>100</v>
      </c>
      <c r="T23" s="81" t="s">
        <v>101</v>
      </c>
      <c r="U23" s="28" t="s">
        <v>102</v>
      </c>
      <c r="V23" s="28" t="s">
        <v>103</v>
      </c>
      <c r="W23" s="27" t="s">
        <v>104</v>
      </c>
      <c r="X23" s="122" t="s">
        <v>105</v>
      </c>
      <c r="Y23" s="26" t="s">
        <v>106</v>
      </c>
      <c r="Z23" s="26" t="s">
        <v>107</v>
      </c>
      <c r="AA23" s="28" t="s">
        <v>108</v>
      </c>
      <c r="AB23" s="28" t="s">
        <v>109</v>
      </c>
      <c r="AC23" s="28" t="s">
        <v>110</v>
      </c>
      <c r="AD23" s="26" t="s">
        <v>111</v>
      </c>
      <c r="AE23" s="122" t="s">
        <v>112</v>
      </c>
      <c r="AF23" s="26" t="s">
        <v>113</v>
      </c>
      <c r="AG23" s="122" t="s">
        <v>114</v>
      </c>
      <c r="AH23" s="26" t="s">
        <v>115</v>
      </c>
      <c r="AI23" s="28" t="s">
        <v>116</v>
      </c>
      <c r="AJ23" s="28" t="s">
        <v>117</v>
      </c>
      <c r="AK23" s="28" t="s">
        <v>118</v>
      </c>
      <c r="AL23" s="122" t="s">
        <v>119</v>
      </c>
      <c r="AM23" s="26" t="s">
        <v>120</v>
      </c>
      <c r="AN23" s="122" t="s">
        <v>121</v>
      </c>
      <c r="AO23" s="122" t="s">
        <v>122</v>
      </c>
      <c r="AP23" s="28" t="s">
        <v>123</v>
      </c>
      <c r="AQ23" s="125" t="s">
        <v>124</v>
      </c>
      <c r="AR23" s="29" t="s">
        <v>125</v>
      </c>
      <c r="AS23" s="123" t="s">
        <v>126</v>
      </c>
      <c r="AT23" s="26" t="s">
        <v>127</v>
      </c>
      <c r="AU23" s="122" t="s">
        <v>128</v>
      </c>
      <c r="AV23" s="122" t="s">
        <v>129</v>
      </c>
      <c r="AW23" s="28" t="s">
        <v>130</v>
      </c>
      <c r="AX23" s="124" t="s">
        <v>131</v>
      </c>
      <c r="AY23" s="122" t="s">
        <v>132</v>
      </c>
      <c r="AZ23" s="82" t="s">
        <v>68</v>
      </c>
      <c r="BA23" s="82" t="s">
        <v>73</v>
      </c>
      <c r="BB23" s="83" t="s">
        <v>78</v>
      </c>
    </row>
    <row r="24" spans="1:54" ht="15.75" customHeight="1" x14ac:dyDescent="0.2">
      <c r="A24" s="84"/>
      <c r="B24" s="85"/>
      <c r="C24" s="85"/>
      <c r="D24" s="85"/>
      <c r="E24" s="86"/>
      <c r="F24" s="16">
        <f>IF(E24="","",DATEDIF(E24,$I$7,"Y"))</f>
      </c>
      <c r="G24" s="85"/>
      <c r="H24" s="85"/>
      <c r="I24" s="87"/>
      <c r="J24" s="85"/>
      <c r="K24" s="85"/>
      <c r="L24" s="2"/>
      <c r="M24" s="2"/>
      <c r="N24" s="2"/>
      <c r="O24" s="2"/>
      <c r="P24" s="85"/>
      <c r="Q24" s="88"/>
      <c r="R24" s="3">
        <f>IFERROR(VLOOKUP(TablaOctubre[[#This Row],[BARRIO]],SECTOR!$A:$B,2,0),"")</f>
      </c>
      <c r="S24" s="89"/>
      <c r="T24" s="90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17">
        <f>COUNTIF(U24:AY24,"A")</f>
      </c>
      <c r="BA24" s="17">
        <f>COUNTIF(U24:AY24,"F")</f>
      </c>
      <c r="BB24" s="17">
        <f>COUNTIF(U24:AY24,"E")</f>
      </c>
    </row>
    <row r="25" spans="1:54" ht="15.75" customHeight="1" x14ac:dyDescent="0.2">
      <c r="A25" s="84"/>
      <c r="B25" s="85"/>
      <c r="C25" s="85"/>
      <c r="D25" s="85"/>
      <c r="E25" s="86"/>
      <c r="F25" s="16">
        <f>IF(E25="","",DATEDIF(E25,$I$7,"Y"))</f>
      </c>
      <c r="G25" s="85"/>
      <c r="H25" s="85"/>
      <c r="I25" s="87"/>
      <c r="J25" s="85"/>
      <c r="K25" s="85"/>
      <c r="L25" s="2"/>
      <c r="M25" s="2"/>
      <c r="N25" s="1"/>
      <c r="O25" s="1"/>
      <c r="P25" s="85"/>
      <c r="Q25" s="88"/>
      <c r="R25" s="3">
        <f>IFERROR(VLOOKUP(TablaOctubre[[#This Row],[BARRIO]],SECTOR!$A:$B,2,0),"")</f>
      </c>
      <c r="S25" s="89"/>
      <c r="T25" s="90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17">
        <f>COUNTIF(U25:AY25,"A")</f>
      </c>
      <c r="BA25" s="17">
        <f>COUNTIF(U25:AY25,"F")</f>
      </c>
      <c r="BB25" s="17">
        <f>COUNTIF(U25:AY25,"E")</f>
      </c>
    </row>
    <row r="26" spans="1:54" ht="15.75" customHeight="1" x14ac:dyDescent="0.2">
      <c r="A26" s="84"/>
      <c r="B26" s="85"/>
      <c r="C26" s="85"/>
      <c r="D26" s="85"/>
      <c r="E26" s="86"/>
      <c r="F26" s="16">
        <f>IF(E26="","",DATEDIF(E26,$I$7,"Y"))</f>
      </c>
      <c r="G26" s="85"/>
      <c r="H26" s="85"/>
      <c r="I26" s="87"/>
      <c r="J26" s="85"/>
      <c r="K26" s="85"/>
      <c r="L26" s="2"/>
      <c r="M26" s="2"/>
      <c r="N26" s="1"/>
      <c r="O26" s="1"/>
      <c r="P26" s="85"/>
      <c r="Q26" s="88"/>
      <c r="R26" s="3">
        <f>IFERROR(VLOOKUP(TablaOctubre[[#This Row],[BARRIO]],SECTOR!$A:$B,2,0),"")</f>
      </c>
      <c r="S26" s="89"/>
      <c r="T26" s="90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17">
        <f>COUNTIF(U26:AY26,"A")</f>
      </c>
      <c r="BA26" s="17">
        <f>COUNTIF(U26:AY26,"F")</f>
      </c>
      <c r="BB26" s="17">
        <f>COUNTIF(U26:AY26,"E")</f>
      </c>
    </row>
    <row r="27" spans="1:54" ht="15.75" customHeight="1" x14ac:dyDescent="0.2">
      <c r="A27" s="84"/>
      <c r="B27" s="85"/>
      <c r="C27" s="85"/>
      <c r="D27" s="85"/>
      <c r="E27" s="86"/>
      <c r="F27" s="16">
        <f>IF(E27="","",DATEDIF(E27,$I$7,"Y"))</f>
      </c>
      <c r="G27" s="85"/>
      <c r="H27" s="85"/>
      <c r="I27" s="87"/>
      <c r="J27" s="85"/>
      <c r="K27" s="85"/>
      <c r="L27" s="2"/>
      <c r="M27" s="2"/>
      <c r="N27" s="1"/>
      <c r="O27" s="1"/>
      <c r="P27" s="85"/>
      <c r="Q27" s="88"/>
      <c r="R27" s="3">
        <f>IFERROR(VLOOKUP(TablaOctubre[[#This Row],[BARRIO]],SECTOR!$A:$B,2,0),"")</f>
      </c>
      <c r="S27" s="89"/>
      <c r="T27" s="90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17">
        <f>COUNTIF(U27:AY27,"A")</f>
      </c>
      <c r="BA27" s="17">
        <f>COUNTIF(U27:AY27,"F")</f>
      </c>
      <c r="BB27" s="17">
        <f>COUNTIF(U27:AY27,"E")</f>
      </c>
    </row>
    <row r="28" spans="1:54" ht="15.75" customHeight="1" x14ac:dyDescent="0.2">
      <c r="A28" s="84"/>
      <c r="B28" s="85"/>
      <c r="C28" s="85"/>
      <c r="D28" s="85"/>
      <c r="E28" s="86"/>
      <c r="F28" s="16">
        <f>IF(E28="","",DATEDIF(E28,$I$7,"Y"))</f>
      </c>
      <c r="G28" s="85"/>
      <c r="H28" s="85"/>
      <c r="I28" s="87"/>
      <c r="J28" s="85"/>
      <c r="K28" s="85"/>
      <c r="L28" s="2"/>
      <c r="M28" s="2"/>
      <c r="N28" s="1"/>
      <c r="O28" s="1"/>
      <c r="P28" s="85"/>
      <c r="Q28" s="88"/>
      <c r="R28" s="3">
        <f>IFERROR(VLOOKUP(TablaOctubre[[#This Row],[BARRIO]],SECTOR!$A:$B,2,0),"")</f>
      </c>
      <c r="S28" s="89"/>
      <c r="T28" s="90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17">
        <f>COUNTIF(U28:AY28,"A")</f>
      </c>
      <c r="BA28" s="17">
        <f>COUNTIF(U28:AY28,"F")</f>
      </c>
      <c r="BB28" s="17">
        <f>COUNTIF(U28:AY28,"E")</f>
      </c>
    </row>
    <row r="29" spans="1:54" ht="15.75" customHeight="1" x14ac:dyDescent="0.2">
      <c r="A29" s="84"/>
      <c r="B29" s="85"/>
      <c r="C29" s="85"/>
      <c r="D29" s="85"/>
      <c r="E29" s="86"/>
      <c r="F29" s="16">
        <f>IF(E29="","",DATEDIF(E29,$I$7,"Y"))</f>
      </c>
      <c r="G29" s="85"/>
      <c r="H29" s="85"/>
      <c r="I29" s="87"/>
      <c r="J29" s="85"/>
      <c r="K29" s="85"/>
      <c r="L29" s="2"/>
      <c r="M29" s="2"/>
      <c r="N29" s="1"/>
      <c r="O29" s="1"/>
      <c r="P29" s="85"/>
      <c r="Q29" s="88"/>
      <c r="R29" s="3">
        <f>IFERROR(VLOOKUP(TablaOctubre[[#This Row],[BARRIO]],SECTOR!$A:$B,2,0),"")</f>
      </c>
      <c r="S29" s="89"/>
      <c r="T29" s="90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17">
        <f>COUNTIF(U29:AY29,"A")</f>
      </c>
      <c r="BA29" s="17">
        <f>COUNTIF(U29:AY29,"F")</f>
      </c>
      <c r="BB29" s="17">
        <f>COUNTIF(U29:AY29,"E")</f>
      </c>
    </row>
    <row r="30" spans="1:54" ht="15.75" customHeight="1" x14ac:dyDescent="0.2">
      <c r="A30" s="84"/>
      <c r="B30" s="85"/>
      <c r="C30" s="85"/>
      <c r="D30" s="85"/>
      <c r="E30" s="86"/>
      <c r="F30" s="16">
        <f>IF(E30="","",DATEDIF(E30,$I$7,"Y"))</f>
      </c>
      <c r="G30" s="85"/>
      <c r="H30" s="85"/>
      <c r="I30" s="87"/>
      <c r="J30" s="85"/>
      <c r="K30" s="85"/>
      <c r="L30" s="2"/>
      <c r="M30" s="2"/>
      <c r="N30" s="1"/>
      <c r="O30" s="1"/>
      <c r="P30" s="85"/>
      <c r="Q30" s="88"/>
      <c r="R30" s="3">
        <f>IFERROR(VLOOKUP(TablaOctubre[[#This Row],[BARRIO]],SECTOR!$A:$B,2,0),"")</f>
      </c>
      <c r="S30" s="89"/>
      <c r="T30" s="90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17">
        <f>COUNTIF(U30:AY30,"A")</f>
      </c>
      <c r="BA30" s="17">
        <f>COUNTIF(U30:AY30,"F")</f>
      </c>
      <c r="BB30" s="17">
        <f>COUNTIF(U30:AY30,"E")</f>
      </c>
    </row>
    <row r="31" spans="1:54" ht="15.75" customHeight="1" x14ac:dyDescent="0.2">
      <c r="A31" s="84"/>
      <c r="B31" s="85"/>
      <c r="C31" s="85"/>
      <c r="D31" s="85"/>
      <c r="E31" s="86"/>
      <c r="F31" s="16">
        <f>IF(E31="","",DATEDIF(E31,$I$7,"Y"))</f>
      </c>
      <c r="G31" s="85"/>
      <c r="H31" s="85"/>
      <c r="I31" s="87"/>
      <c r="J31" s="85"/>
      <c r="K31" s="85"/>
      <c r="L31" s="2"/>
      <c r="M31" s="2"/>
      <c r="N31" s="1"/>
      <c r="O31" s="1"/>
      <c r="P31" s="85"/>
      <c r="Q31" s="88"/>
      <c r="R31" s="3">
        <f>IFERROR(VLOOKUP(TablaOctubre[[#This Row],[BARRIO]],SECTOR!$A:$B,2,0),"")</f>
      </c>
      <c r="S31" s="89"/>
      <c r="T31" s="90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17">
        <f>COUNTIF(U31:AY31,"A")</f>
      </c>
      <c r="BA31" s="17">
        <f>COUNTIF(U31:AY31,"F")</f>
      </c>
      <c r="BB31" s="17">
        <f>COUNTIF(U31:AY31,"E")</f>
      </c>
    </row>
    <row r="32" spans="1:54" ht="15.75" customHeight="1" x14ac:dyDescent="0.2">
      <c r="A32" s="84"/>
      <c r="B32" s="85"/>
      <c r="C32" s="85"/>
      <c r="D32" s="85"/>
      <c r="E32" s="86"/>
      <c r="F32" s="16">
        <f>IF(E32="","",DATEDIF(E32,$I$7,"Y"))</f>
      </c>
      <c r="G32" s="85"/>
      <c r="H32" s="85"/>
      <c r="I32" s="87"/>
      <c r="J32" s="85"/>
      <c r="K32" s="85"/>
      <c r="L32" s="2"/>
      <c r="M32" s="2"/>
      <c r="N32" s="1"/>
      <c r="O32" s="1"/>
      <c r="P32" s="85"/>
      <c r="Q32" s="88"/>
      <c r="R32" s="3">
        <f>IFERROR(VLOOKUP(TablaOctubre[[#This Row],[BARRIO]],SECTOR!$A:$B,2,0),"")</f>
      </c>
      <c r="S32" s="89"/>
      <c r="T32" s="90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17">
        <f>COUNTIF(U32:AY32,"A")</f>
      </c>
      <c r="BA32" s="17">
        <f>COUNTIF(U32:AY32,"F")</f>
      </c>
      <c r="BB32" s="17">
        <f>COUNTIF(U32:AY32,"E")</f>
      </c>
    </row>
    <row r="33" spans="1:54" ht="15.75" customHeight="1" x14ac:dyDescent="0.2">
      <c r="A33" s="84"/>
      <c r="B33" s="85"/>
      <c r="C33" s="85"/>
      <c r="D33" s="85"/>
      <c r="E33" s="86"/>
      <c r="F33" s="16">
        <f>IF(E33="","",DATEDIF(E33,$I$7,"Y"))</f>
      </c>
      <c r="G33" s="85"/>
      <c r="H33" s="85"/>
      <c r="I33" s="87"/>
      <c r="J33" s="85"/>
      <c r="K33" s="85"/>
      <c r="L33" s="2"/>
      <c r="M33" s="2"/>
      <c r="N33" s="1"/>
      <c r="O33" s="1"/>
      <c r="P33" s="85"/>
      <c r="Q33" s="88"/>
      <c r="R33" s="3">
        <f>IFERROR(VLOOKUP(TablaOctubre[[#This Row],[BARRIO]],SECTOR!$A:$B,2,0),"")</f>
      </c>
      <c r="S33" s="89"/>
      <c r="T33" s="90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17">
        <f>COUNTIF(U33:AY33,"A")</f>
      </c>
      <c r="BA33" s="17">
        <f>COUNTIF(U33:AY33,"F")</f>
      </c>
      <c r="BB33" s="17">
        <f>COUNTIF(U33:AY33,"E")</f>
      </c>
    </row>
    <row r="34" spans="1:54" ht="15.75" customHeight="1" x14ac:dyDescent="0.2">
      <c r="A34" s="84"/>
      <c r="B34" s="85"/>
      <c r="C34" s="85"/>
      <c r="D34" s="85"/>
      <c r="E34" s="86"/>
      <c r="F34" s="16">
        <f>IF(E34="","",DATEDIF(E34,$I$7,"Y"))</f>
      </c>
      <c r="G34" s="85"/>
      <c r="H34" s="85"/>
      <c r="I34" s="87"/>
      <c r="J34" s="85"/>
      <c r="K34" s="85"/>
      <c r="L34" s="2"/>
      <c r="M34" s="2"/>
      <c r="N34" s="1"/>
      <c r="O34" s="1"/>
      <c r="P34" s="85"/>
      <c r="Q34" s="88"/>
      <c r="R34" s="3">
        <f>IFERROR(VLOOKUP(TablaOctubre[[#This Row],[BARRIO]],SECTOR!$A:$B,2,0),"")</f>
      </c>
      <c r="S34" s="89"/>
      <c r="T34" s="90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17">
        <f>COUNTIF(U34:AY34,"A")</f>
      </c>
      <c r="BA34" s="17">
        <f>COUNTIF(U34:AY34,"F")</f>
      </c>
      <c r="BB34" s="17">
        <f>COUNTIF(U34:AY34,"E")</f>
      </c>
    </row>
    <row r="35" spans="1:54" ht="15.75" customHeight="1" x14ac:dyDescent="0.2">
      <c r="A35" s="84"/>
      <c r="B35" s="85"/>
      <c r="C35" s="85"/>
      <c r="D35" s="85"/>
      <c r="E35" s="86"/>
      <c r="F35" s="16">
        <f>IF(E35="","",DATEDIF(E35,$I$7,"Y"))</f>
      </c>
      <c r="G35" s="85"/>
      <c r="H35" s="85"/>
      <c r="I35" s="87"/>
      <c r="J35" s="85"/>
      <c r="K35" s="85"/>
      <c r="L35" s="2"/>
      <c r="M35" s="2"/>
      <c r="N35" s="1"/>
      <c r="O35" s="1"/>
      <c r="P35" s="85"/>
      <c r="Q35" s="88"/>
      <c r="R35" s="3">
        <f>IFERROR(VLOOKUP(TablaOctubre[[#This Row],[BARRIO]],SECTOR!$A:$B,2,0),"")</f>
      </c>
      <c r="S35" s="89"/>
      <c r="T35" s="90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17">
        <f>COUNTIF(U35:AY35,"A")</f>
      </c>
      <c r="BA35" s="17">
        <f>COUNTIF(U35:AY35,"F")</f>
      </c>
      <c r="BB35" s="17">
        <f>COUNTIF(U35:AY35,"E")</f>
      </c>
    </row>
    <row r="36" spans="1:54" ht="15.75" customHeight="1" x14ac:dyDescent="0.2">
      <c r="A36" s="84"/>
      <c r="B36" s="85"/>
      <c r="C36" s="85"/>
      <c r="D36" s="85"/>
      <c r="E36" s="86"/>
      <c r="F36" s="16">
        <f>IF(E36="","",DATEDIF(E36,$I$7,"Y"))</f>
      </c>
      <c r="G36" s="85"/>
      <c r="H36" s="85"/>
      <c r="I36" s="87"/>
      <c r="J36" s="85"/>
      <c r="K36" s="85"/>
      <c r="L36" s="2"/>
      <c r="M36" s="2"/>
      <c r="N36" s="1"/>
      <c r="O36" s="1"/>
      <c r="P36" s="85"/>
      <c r="Q36" s="88"/>
      <c r="R36" s="3">
        <f>IFERROR(VLOOKUP(TablaOctubre[[#This Row],[BARRIO]],SECTOR!$A:$B,2,0),"")</f>
      </c>
      <c r="S36" s="89"/>
      <c r="T36" s="90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17">
        <f>COUNTIF(U36:AY36,"A")</f>
      </c>
      <c r="BA36" s="17">
        <f>COUNTIF(U36:AY36,"F")</f>
      </c>
      <c r="BB36" s="17">
        <f>COUNTIF(U36:AY36,"E")</f>
      </c>
    </row>
    <row r="37" spans="1:54" ht="15.75" customHeight="1" x14ac:dyDescent="0.2">
      <c r="A37" s="84"/>
      <c r="B37" s="85"/>
      <c r="C37" s="85"/>
      <c r="D37" s="85"/>
      <c r="E37" s="86"/>
      <c r="F37" s="16">
        <f>IF(E37="","",DATEDIF(E37,$I$7,"Y"))</f>
      </c>
      <c r="G37" s="85"/>
      <c r="H37" s="85"/>
      <c r="I37" s="87"/>
      <c r="J37" s="85"/>
      <c r="K37" s="85"/>
      <c r="L37" s="2"/>
      <c r="M37" s="2"/>
      <c r="N37" s="1"/>
      <c r="O37" s="1"/>
      <c r="P37" s="85"/>
      <c r="Q37" s="88"/>
      <c r="R37" s="3">
        <f>IFERROR(VLOOKUP(TablaOctubre[[#This Row],[BARRIO]],SECTOR!$A:$B,2,0),"")</f>
      </c>
      <c r="S37" s="89"/>
      <c r="T37" s="90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17">
        <f>COUNTIF(U37:AY37,"A")</f>
      </c>
      <c r="BA37" s="17">
        <f>COUNTIF(U37:AY37,"F")</f>
      </c>
      <c r="BB37" s="17">
        <f>COUNTIF(U37:AY37,"E")</f>
      </c>
    </row>
    <row r="38" spans="1:54" ht="15.75" customHeight="1" x14ac:dyDescent="0.2">
      <c r="A38" s="84"/>
      <c r="B38" s="85"/>
      <c r="C38" s="85"/>
      <c r="D38" s="85"/>
      <c r="E38" s="86"/>
      <c r="F38" s="16">
        <f>IF(E38="","",DATEDIF(E38,$I$7,"Y"))</f>
      </c>
      <c r="G38" s="85"/>
      <c r="H38" s="85"/>
      <c r="I38" s="87"/>
      <c r="J38" s="85"/>
      <c r="K38" s="85"/>
      <c r="L38" s="2"/>
      <c r="M38" s="2"/>
      <c r="N38" s="1"/>
      <c r="O38" s="1"/>
      <c r="P38" s="85"/>
      <c r="Q38" s="88"/>
      <c r="R38" s="3">
        <f>IFERROR(VLOOKUP(TablaOctubre[[#This Row],[BARRIO]],SECTOR!$A:$B,2,0),"")</f>
      </c>
      <c r="S38" s="89"/>
      <c r="T38" s="90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17">
        <f>COUNTIF(U38:AY38,"A")</f>
      </c>
      <c r="BA38" s="17">
        <f>COUNTIF(U38:AY38,"F")</f>
      </c>
      <c r="BB38" s="17">
        <f>COUNTIF(U38:AY38,"E")</f>
      </c>
    </row>
    <row r="39" spans="1:54" ht="15.75" customHeight="1" x14ac:dyDescent="0.2">
      <c r="A39" s="84"/>
      <c r="B39" s="85"/>
      <c r="C39" s="85"/>
      <c r="D39" s="85"/>
      <c r="E39" s="86"/>
      <c r="F39" s="16">
        <f>IF(E39="","",DATEDIF(E39,$I$7,"Y"))</f>
      </c>
      <c r="G39" s="85"/>
      <c r="H39" s="85"/>
      <c r="I39" s="87"/>
      <c r="J39" s="85"/>
      <c r="K39" s="85"/>
      <c r="L39" s="2"/>
      <c r="M39" s="2"/>
      <c r="N39" s="1"/>
      <c r="O39" s="1"/>
      <c r="P39" s="85"/>
      <c r="Q39" s="88"/>
      <c r="R39" s="3">
        <f>IFERROR(VLOOKUP(TablaOctubre[[#This Row],[BARRIO]],SECTOR!$A:$B,2,0),"")</f>
      </c>
      <c r="S39" s="89"/>
      <c r="T39" s="90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17">
        <f>COUNTIF(U39:AY39,"A")</f>
      </c>
      <c r="BA39" s="17">
        <f>COUNTIF(U39:AY39,"F")</f>
      </c>
      <c r="BB39" s="17">
        <f>COUNTIF(U39:AY39,"E")</f>
      </c>
    </row>
    <row r="40" spans="1:54" ht="15.75" customHeight="1" x14ac:dyDescent="0.2">
      <c r="A40" s="84"/>
      <c r="B40" s="85"/>
      <c r="C40" s="85"/>
      <c r="D40" s="85"/>
      <c r="E40" s="86"/>
      <c r="F40" s="16">
        <f>IF(E40="","",DATEDIF(E40,$I$7,"Y"))</f>
      </c>
      <c r="G40" s="85"/>
      <c r="H40" s="85"/>
      <c r="I40" s="87"/>
      <c r="J40" s="85"/>
      <c r="K40" s="85"/>
      <c r="L40" s="2"/>
      <c r="M40" s="2"/>
      <c r="N40" s="1"/>
      <c r="O40" s="1"/>
      <c r="P40" s="85"/>
      <c r="Q40" s="88"/>
      <c r="R40" s="3">
        <f>IFERROR(VLOOKUP(TablaOctubre[[#This Row],[BARRIO]],SECTOR!$A:$B,2,0),"")</f>
      </c>
      <c r="S40" s="89"/>
      <c r="T40" s="90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17">
        <f>COUNTIF(U40:AY40,"A")</f>
      </c>
      <c r="BA40" s="17">
        <f>COUNTIF(U40:AY40,"F")</f>
      </c>
      <c r="BB40" s="17">
        <f>COUNTIF(U40:AY40,"E")</f>
      </c>
    </row>
    <row r="41" spans="1:54" ht="15.75" customHeight="1" x14ac:dyDescent="0.2">
      <c r="A41" s="84"/>
      <c r="B41" s="85"/>
      <c r="C41" s="85"/>
      <c r="D41" s="85"/>
      <c r="E41" s="86"/>
      <c r="F41" s="16">
        <f>IF(E41="","",DATEDIF(E41,$I$7,"Y"))</f>
      </c>
      <c r="G41" s="85"/>
      <c r="H41" s="85"/>
      <c r="I41" s="87"/>
      <c r="J41" s="85"/>
      <c r="K41" s="85"/>
      <c r="L41" s="2"/>
      <c r="M41" s="2"/>
      <c r="N41" s="1"/>
      <c r="O41" s="1"/>
      <c r="P41" s="85"/>
      <c r="Q41" s="88"/>
      <c r="R41" s="3">
        <f>IFERROR(VLOOKUP(TablaOctubre[[#This Row],[BARRIO]],SECTOR!$A:$B,2,0),"")</f>
      </c>
      <c r="S41" s="89"/>
      <c r="T41" s="90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17">
        <f>COUNTIF(U41:AY41,"A")</f>
      </c>
      <c r="BA41" s="17">
        <f>COUNTIF(U41:AY41,"F")</f>
      </c>
      <c r="BB41" s="17">
        <f>COUNTIF(U41:AY41,"E")</f>
      </c>
    </row>
    <row r="42" spans="1:54" ht="15.75" customHeight="1" x14ac:dyDescent="0.2">
      <c r="A42" s="84"/>
      <c r="B42" s="85"/>
      <c r="C42" s="85"/>
      <c r="D42" s="85"/>
      <c r="E42" s="86"/>
      <c r="F42" s="16">
        <f>IF(E42="","",DATEDIF(E42,$I$7,"Y"))</f>
      </c>
      <c r="G42" s="85"/>
      <c r="H42" s="85"/>
      <c r="I42" s="87"/>
      <c r="J42" s="85"/>
      <c r="K42" s="85"/>
      <c r="L42" s="2"/>
      <c r="M42" s="2"/>
      <c r="N42" s="1"/>
      <c r="O42" s="1"/>
      <c r="P42" s="85"/>
      <c r="Q42" s="88"/>
      <c r="R42" s="3">
        <f>IFERROR(VLOOKUP(TablaOctubre[[#This Row],[BARRIO]],SECTOR!$A:$B,2,0),"")</f>
      </c>
      <c r="S42" s="89"/>
      <c r="T42" s="90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17">
        <f>COUNTIF(U42:AY42,"A")</f>
      </c>
      <c r="BA42" s="17">
        <f>COUNTIF(U42:AY42,"F")</f>
      </c>
      <c r="BB42" s="17">
        <f>COUNTIF(U42:AY42,"E")</f>
      </c>
    </row>
    <row r="43" spans="1:54" ht="15.75" customHeight="1" x14ac:dyDescent="0.2">
      <c r="A43" s="84"/>
      <c r="B43" s="85"/>
      <c r="C43" s="85"/>
      <c r="D43" s="85"/>
      <c r="E43" s="86"/>
      <c r="F43" s="16">
        <f>IF(E43="","",DATEDIF(E43,$I$7,"Y"))</f>
      </c>
      <c r="G43" s="85"/>
      <c r="H43" s="85"/>
      <c r="I43" s="87"/>
      <c r="J43" s="85"/>
      <c r="K43" s="85"/>
      <c r="L43" s="2"/>
      <c r="M43" s="2"/>
      <c r="N43" s="1"/>
      <c r="O43" s="1"/>
      <c r="P43" s="85"/>
      <c r="Q43" s="88"/>
      <c r="R43" s="3">
        <f>IFERROR(VLOOKUP(TablaOctubre[[#This Row],[BARRIO]],SECTOR!$A:$B,2,0),"")</f>
      </c>
      <c r="S43" s="89"/>
      <c r="T43" s="90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17">
        <f>COUNTIF(U43:AY43,"A")</f>
      </c>
      <c r="BA43" s="17">
        <f>COUNTIF(U43:AY43,"F")</f>
      </c>
      <c r="BB43" s="17">
        <f>COUNTIF(U43:AY43,"E")</f>
      </c>
    </row>
    <row r="44" spans="1:54" ht="15.75" customHeight="1" x14ac:dyDescent="0.2">
      <c r="A44" s="84"/>
      <c r="B44" s="85"/>
      <c r="C44" s="85"/>
      <c r="D44" s="85"/>
      <c r="E44" s="86"/>
      <c r="F44" s="16">
        <f>IF(E44="","",DATEDIF(E44,$I$7,"Y"))</f>
      </c>
      <c r="G44" s="85"/>
      <c r="H44" s="85"/>
      <c r="I44" s="87"/>
      <c r="J44" s="85"/>
      <c r="K44" s="85"/>
      <c r="L44" s="2"/>
      <c r="M44" s="2"/>
      <c r="N44" s="1"/>
      <c r="O44" s="1"/>
      <c r="P44" s="85"/>
      <c r="Q44" s="88"/>
      <c r="R44" s="3">
        <f>IFERROR(VLOOKUP(TablaOctubre[[#This Row],[BARRIO]],SECTOR!$A:$B,2,0),"")</f>
      </c>
      <c r="S44" s="89"/>
      <c r="T44" s="90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17">
        <f>COUNTIF(U44:AY44,"A")</f>
      </c>
      <c r="BA44" s="17">
        <f>COUNTIF(U44:AY44,"F")</f>
      </c>
      <c r="BB44" s="17">
        <f>COUNTIF(U44:AY44,"E")</f>
      </c>
    </row>
    <row r="45" spans="1:54" ht="15.75" customHeight="1" x14ac:dyDescent="0.2">
      <c r="A45" s="84"/>
      <c r="B45" s="85"/>
      <c r="C45" s="85"/>
      <c r="D45" s="85"/>
      <c r="E45" s="86"/>
      <c r="F45" s="16">
        <f>IF(E45="","",DATEDIF(E45,$I$7,"Y"))</f>
      </c>
      <c r="G45" s="85"/>
      <c r="H45" s="85"/>
      <c r="I45" s="87"/>
      <c r="J45" s="85"/>
      <c r="K45" s="85"/>
      <c r="L45" s="2"/>
      <c r="M45" s="2"/>
      <c r="N45" s="1"/>
      <c r="O45" s="1"/>
      <c r="P45" s="85"/>
      <c r="Q45" s="88"/>
      <c r="R45" s="3">
        <f>IFERROR(VLOOKUP(TablaOctubre[[#This Row],[BARRIO]],SECTOR!$A:$B,2,0),"")</f>
      </c>
      <c r="S45" s="89"/>
      <c r="T45" s="90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17">
        <f>COUNTIF(U45:AY45,"A")</f>
      </c>
      <c r="BA45" s="17">
        <f>COUNTIF(U45:AY45,"F")</f>
      </c>
      <c r="BB45" s="17">
        <f>COUNTIF(U45:AY45,"E")</f>
      </c>
    </row>
    <row r="46" spans="1:54" ht="15.75" customHeight="1" x14ac:dyDescent="0.2">
      <c r="A46" s="84"/>
      <c r="B46" s="85"/>
      <c r="C46" s="85"/>
      <c r="D46" s="85"/>
      <c r="E46" s="86"/>
      <c r="F46" s="16">
        <f>IF(E46="","",DATEDIF(E46,$I$7,"Y"))</f>
      </c>
      <c r="G46" s="85"/>
      <c r="H46" s="85"/>
      <c r="I46" s="87"/>
      <c r="J46" s="85"/>
      <c r="K46" s="85"/>
      <c r="L46" s="2"/>
      <c r="M46" s="2"/>
      <c r="N46" s="1"/>
      <c r="O46" s="1"/>
      <c r="P46" s="85"/>
      <c r="Q46" s="88"/>
      <c r="R46" s="3">
        <f>IFERROR(VLOOKUP(TablaOctubre[[#This Row],[BARRIO]],SECTOR!$A:$B,2,0),"")</f>
      </c>
      <c r="S46" s="89"/>
      <c r="T46" s="90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17">
        <f>COUNTIF(U46:AY46,"A")</f>
      </c>
      <c r="BA46" s="17">
        <f>COUNTIF(U46:AY46,"F")</f>
      </c>
      <c r="BB46" s="17">
        <f>COUNTIF(U46:AY46,"E")</f>
      </c>
    </row>
    <row r="47" spans="1:54" ht="15.75" customHeight="1" x14ac:dyDescent="0.2">
      <c r="A47" s="84"/>
      <c r="B47" s="85"/>
      <c r="C47" s="85"/>
      <c r="D47" s="85"/>
      <c r="E47" s="86"/>
      <c r="F47" s="16">
        <f>IF(E47="","",DATEDIF(E47,$I$7,"Y"))</f>
      </c>
      <c r="G47" s="85"/>
      <c r="H47" s="85"/>
      <c r="I47" s="87"/>
      <c r="J47" s="85"/>
      <c r="K47" s="85"/>
      <c r="L47" s="2"/>
      <c r="M47" s="2"/>
      <c r="N47" s="1"/>
      <c r="O47" s="1"/>
      <c r="P47" s="85"/>
      <c r="Q47" s="88"/>
      <c r="R47" s="3">
        <f>IFERROR(VLOOKUP(TablaOctubre[[#This Row],[BARRIO]],SECTOR!$A:$B,2,0),"")</f>
      </c>
      <c r="S47" s="89"/>
      <c r="T47" s="90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17">
        <f>COUNTIF(U47:AY47,"A")</f>
      </c>
      <c r="BA47" s="17">
        <f>COUNTIF(U47:AY47,"F")</f>
      </c>
      <c r="BB47" s="17">
        <f>COUNTIF(U47:AY47,"E")</f>
      </c>
    </row>
    <row r="48" spans="1:54" ht="15.75" customHeight="1" x14ac:dyDescent="0.2">
      <c r="A48" s="84"/>
      <c r="B48" s="85"/>
      <c r="C48" s="85"/>
      <c r="D48" s="85"/>
      <c r="E48" s="86"/>
      <c r="F48" s="16">
        <f>IF(E48="","",DATEDIF(E48,$I$7,"Y"))</f>
      </c>
      <c r="G48" s="85"/>
      <c r="H48" s="85"/>
      <c r="I48" s="87"/>
      <c r="J48" s="85"/>
      <c r="K48" s="85"/>
      <c r="L48" s="2"/>
      <c r="M48" s="2"/>
      <c r="N48" s="1"/>
      <c r="O48" s="1"/>
      <c r="P48" s="85"/>
      <c r="Q48" s="88"/>
      <c r="R48" s="3">
        <f>IFERROR(VLOOKUP(TablaOctubre[[#This Row],[BARRIO]],SECTOR!$A:$B,2,0),"")</f>
      </c>
      <c r="S48" s="89"/>
      <c r="T48" s="90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17">
        <f>COUNTIF(U48:AY48,"A")</f>
      </c>
      <c r="BA48" s="17">
        <f>COUNTIF(U48:AY48,"F")</f>
      </c>
      <c r="BB48" s="17">
        <f>COUNTIF(U48:AY48,"E")</f>
      </c>
    </row>
    <row r="49" spans="1:54" ht="15.75" customHeight="1" x14ac:dyDescent="0.2">
      <c r="A49" s="84"/>
      <c r="B49" s="85"/>
      <c r="C49" s="85"/>
      <c r="D49" s="85"/>
      <c r="E49" s="86"/>
      <c r="F49" s="16">
        <f>IF(E49="","",DATEDIF(E49,$I$7,"Y"))</f>
      </c>
      <c r="G49" s="85"/>
      <c r="H49" s="85"/>
      <c r="I49" s="87"/>
      <c r="J49" s="85"/>
      <c r="K49" s="85"/>
      <c r="L49" s="2"/>
      <c r="M49" s="2"/>
      <c r="N49" s="1"/>
      <c r="O49" s="1"/>
      <c r="P49" s="85"/>
      <c r="Q49" s="88"/>
      <c r="R49" s="3">
        <f>IFERROR(VLOOKUP(TablaOctubre[[#This Row],[BARRIO]],SECTOR!$A:$B,2,0),"")</f>
      </c>
      <c r="S49" s="89"/>
      <c r="T49" s="90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17">
        <f>COUNTIF(U49:AY49,"A")</f>
      </c>
      <c r="BA49" s="17">
        <f>COUNTIF(U49:AY49,"F")</f>
      </c>
      <c r="BB49" s="17">
        <f>COUNTIF(U49:AY49,"E")</f>
      </c>
    </row>
    <row r="50" spans="1:54" ht="15.75" customHeight="1" x14ac:dyDescent="0.2">
      <c r="A50" s="84"/>
      <c r="B50" s="85"/>
      <c r="C50" s="85"/>
      <c r="D50" s="85"/>
      <c r="E50" s="86"/>
      <c r="F50" s="16">
        <f>IF(E50="","",DATEDIF(E50,$I$7,"Y"))</f>
      </c>
      <c r="G50" s="85"/>
      <c r="H50" s="85"/>
      <c r="I50" s="87"/>
      <c r="J50" s="85"/>
      <c r="K50" s="85"/>
      <c r="L50" s="2"/>
      <c r="M50" s="2"/>
      <c r="N50" s="1"/>
      <c r="O50" s="1"/>
      <c r="P50" s="85"/>
      <c r="Q50" s="88"/>
      <c r="R50" s="3">
        <f>IFERROR(VLOOKUP(TablaOctubre[[#This Row],[BARRIO]],SECTOR!$A:$B,2,0),"")</f>
      </c>
      <c r="S50" s="89"/>
      <c r="T50" s="90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17">
        <f>COUNTIF(U50:AY50,"A")</f>
      </c>
      <c r="BA50" s="17">
        <f>COUNTIF(U50:AY50,"F")</f>
      </c>
      <c r="BB50" s="17">
        <f>COUNTIF(U50:AY50,"E")</f>
      </c>
    </row>
    <row r="51" spans="1:54" ht="15.75" customHeight="1" x14ac:dyDescent="0.2">
      <c r="A51" s="84"/>
      <c r="B51" s="85"/>
      <c r="C51" s="85"/>
      <c r="D51" s="85"/>
      <c r="E51" s="86"/>
      <c r="F51" s="16">
        <f>IF(E51="","",DATEDIF(E51,$I$7,"Y"))</f>
      </c>
      <c r="G51" s="85"/>
      <c r="H51" s="85"/>
      <c r="I51" s="87"/>
      <c r="J51" s="85"/>
      <c r="K51" s="85"/>
      <c r="L51" s="2"/>
      <c r="M51" s="2"/>
      <c r="N51" s="1"/>
      <c r="O51" s="1"/>
      <c r="P51" s="85"/>
      <c r="Q51" s="88"/>
      <c r="R51" s="3">
        <f>IFERROR(VLOOKUP(TablaOctubre[[#This Row],[BARRIO]],SECTOR!$A:$B,2,0),"")</f>
      </c>
      <c r="S51" s="89"/>
      <c r="T51" s="90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17">
        <f>COUNTIF(U51:AY51,"A")</f>
      </c>
      <c r="BA51" s="17">
        <f>COUNTIF(U51:AY51,"F")</f>
      </c>
      <c r="BB51" s="17">
        <f>COUNTIF(U51:AY51,"E")</f>
      </c>
    </row>
    <row r="52" spans="1:54" ht="15.75" customHeight="1" x14ac:dyDescent="0.2">
      <c r="A52" s="84"/>
      <c r="B52" s="85"/>
      <c r="C52" s="85"/>
      <c r="D52" s="85"/>
      <c r="E52" s="86"/>
      <c r="F52" s="16">
        <f>IF(E52="","",DATEDIF(E52,$I$7,"Y"))</f>
      </c>
      <c r="G52" s="85"/>
      <c r="H52" s="85"/>
      <c r="I52" s="87"/>
      <c r="J52" s="85"/>
      <c r="K52" s="85"/>
      <c r="L52" s="2"/>
      <c r="M52" s="2"/>
      <c r="N52" s="1"/>
      <c r="O52" s="1"/>
      <c r="P52" s="85"/>
      <c r="Q52" s="88"/>
      <c r="R52" s="3">
        <f>IFERROR(VLOOKUP(TablaOctubre[[#This Row],[BARRIO]],SECTOR!$A:$B,2,0),"")</f>
      </c>
      <c r="S52" s="89"/>
      <c r="T52" s="90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17">
        <f>COUNTIF(U52:AY52,"A")</f>
      </c>
      <c r="BA52" s="17">
        <f>COUNTIF(U52:AY52,"F")</f>
      </c>
      <c r="BB52" s="17">
        <f>COUNTIF(U52:AY52,"E")</f>
      </c>
    </row>
    <row r="53" spans="1:54" ht="15.75" customHeight="1" x14ac:dyDescent="0.2">
      <c r="A53" s="84"/>
      <c r="B53" s="85"/>
      <c r="C53" s="85"/>
      <c r="D53" s="85"/>
      <c r="E53" s="86"/>
      <c r="F53" s="16">
        <f>IF(E53="","",DATEDIF(E53,$I$7,"Y"))</f>
      </c>
      <c r="G53" s="85"/>
      <c r="H53" s="85"/>
      <c r="I53" s="87"/>
      <c r="J53" s="85"/>
      <c r="K53" s="85"/>
      <c r="L53" s="2"/>
      <c r="M53" s="2"/>
      <c r="N53" s="1"/>
      <c r="O53" s="1"/>
      <c r="P53" s="85"/>
      <c r="Q53" s="88"/>
      <c r="R53" s="3">
        <f>IFERROR(VLOOKUP(TablaOctubre[[#This Row],[BARRIO]],SECTOR!$A:$B,2,0),"")</f>
      </c>
      <c r="S53" s="89"/>
      <c r="T53" s="90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17">
        <f>COUNTIF(U53:AY53,"A")</f>
      </c>
      <c r="BA53" s="17">
        <f>COUNTIF(U53:AY53,"F")</f>
      </c>
      <c r="BB53" s="17">
        <f>COUNTIF(U53:AY53,"E")</f>
      </c>
    </row>
    <row r="54" spans="1:54" ht="15.75" customHeight="1" x14ac:dyDescent="0.2">
      <c r="A54" s="84"/>
      <c r="B54" s="85"/>
      <c r="C54" s="85"/>
      <c r="D54" s="85"/>
      <c r="E54" s="86"/>
      <c r="F54" s="16">
        <f>IF(E54="","",DATEDIF(E54,$I$7,"Y"))</f>
      </c>
      <c r="G54" s="85"/>
      <c r="H54" s="85"/>
      <c r="I54" s="87"/>
      <c r="J54" s="85"/>
      <c r="K54" s="85"/>
      <c r="L54" s="2"/>
      <c r="M54" s="2"/>
      <c r="N54" s="1"/>
      <c r="O54" s="1"/>
      <c r="P54" s="85"/>
      <c r="Q54" s="88"/>
      <c r="R54" s="3">
        <f>IFERROR(VLOOKUP(TablaOctubre[[#This Row],[BARRIO]],SECTOR!$A:$B,2,0),"")</f>
      </c>
      <c r="S54" s="89"/>
      <c r="T54" s="90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17">
        <f>COUNTIF(U54:AY54,"A")</f>
      </c>
      <c r="BA54" s="17">
        <f>COUNTIF(U54:AY54,"F")</f>
      </c>
      <c r="BB54" s="17">
        <f>COUNTIF(U54:AY54,"E")</f>
      </c>
    </row>
    <row r="55" spans="1:54" ht="15.75" customHeight="1" x14ac:dyDescent="0.2">
      <c r="A55" s="84"/>
      <c r="B55" s="85"/>
      <c r="C55" s="85"/>
      <c r="D55" s="85"/>
      <c r="E55" s="86"/>
      <c r="F55" s="16">
        <f>IF(E55="","",DATEDIF(E55,$I$7,"Y"))</f>
      </c>
      <c r="G55" s="85"/>
      <c r="H55" s="85"/>
      <c r="I55" s="87"/>
      <c r="J55" s="85"/>
      <c r="K55" s="85"/>
      <c r="L55" s="2"/>
      <c r="M55" s="2"/>
      <c r="N55" s="1"/>
      <c r="O55" s="1"/>
      <c r="P55" s="85"/>
      <c r="Q55" s="88"/>
      <c r="R55" s="3">
        <f>IFERROR(VLOOKUP(TablaOctubre[[#This Row],[BARRIO]],SECTOR!$A:$B,2,0),"")</f>
      </c>
      <c r="S55" s="89"/>
      <c r="T55" s="90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17">
        <f>COUNTIF(U55:AY55,"A")</f>
      </c>
      <c r="BA55" s="17">
        <f>COUNTIF(U55:AY55,"F")</f>
      </c>
      <c r="BB55" s="17">
        <f>COUNTIF(U55:AY55,"E")</f>
      </c>
    </row>
    <row r="56" spans="1:54" ht="15.75" customHeight="1" x14ac:dyDescent="0.2">
      <c r="A56" s="84"/>
      <c r="B56" s="85"/>
      <c r="C56" s="85"/>
      <c r="D56" s="85"/>
      <c r="E56" s="86"/>
      <c r="F56" s="16">
        <f>IF(E56="","",DATEDIF(E56,$I$7,"Y"))</f>
      </c>
      <c r="G56" s="85"/>
      <c r="H56" s="85"/>
      <c r="I56" s="87"/>
      <c r="J56" s="85"/>
      <c r="K56" s="85"/>
      <c r="L56" s="2"/>
      <c r="M56" s="2"/>
      <c r="N56" s="1"/>
      <c r="O56" s="1"/>
      <c r="P56" s="85"/>
      <c r="Q56" s="88"/>
      <c r="R56" s="3">
        <f>IFERROR(VLOOKUP(TablaOctubre[[#This Row],[BARRIO]],SECTOR!$A:$B,2,0),"")</f>
      </c>
      <c r="S56" s="89"/>
      <c r="T56" s="90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17">
        <f>COUNTIF(U56:AY56,"A")</f>
      </c>
      <c r="BA56" s="17">
        <f>COUNTIF(U56:AY56,"F")</f>
      </c>
      <c r="BB56" s="17">
        <f>COUNTIF(U56:AY56,"E")</f>
      </c>
    </row>
    <row r="57" spans="1:54" ht="15.75" customHeight="1" x14ac:dyDescent="0.2">
      <c r="A57" s="84"/>
      <c r="B57" s="85"/>
      <c r="C57" s="85"/>
      <c r="D57" s="85"/>
      <c r="E57" s="86"/>
      <c r="F57" s="16">
        <f>IF(E57="","",DATEDIF(E57,$I$7,"Y"))</f>
      </c>
      <c r="G57" s="85"/>
      <c r="H57" s="85"/>
      <c r="I57" s="87"/>
      <c r="J57" s="85"/>
      <c r="K57" s="85"/>
      <c r="L57" s="2"/>
      <c r="M57" s="2"/>
      <c r="N57" s="1"/>
      <c r="O57" s="1"/>
      <c r="P57" s="85"/>
      <c r="Q57" s="88"/>
      <c r="R57" s="3">
        <f>IFERROR(VLOOKUP(TablaOctubre[[#This Row],[BARRIO]],SECTOR!$A:$B,2,0),"")</f>
      </c>
      <c r="S57" s="89"/>
      <c r="T57" s="90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17">
        <f>COUNTIF(U57:AY57,"A")</f>
      </c>
      <c r="BA57" s="17">
        <f>COUNTIF(U57:AY57,"F")</f>
      </c>
      <c r="BB57" s="17">
        <f>COUNTIF(U57:AY57,"E")</f>
      </c>
    </row>
    <row r="58" spans="1:54" ht="15.75" customHeight="1" x14ac:dyDescent="0.2">
      <c r="A58" s="84"/>
      <c r="B58" s="85"/>
      <c r="C58" s="85"/>
      <c r="D58" s="85"/>
      <c r="E58" s="86"/>
      <c r="F58" s="16">
        <f>IF(E58="","",DATEDIF(E58,$I$7,"Y"))</f>
      </c>
      <c r="G58" s="85"/>
      <c r="H58" s="85"/>
      <c r="I58" s="87"/>
      <c r="J58" s="85"/>
      <c r="K58" s="85"/>
      <c r="L58" s="2"/>
      <c r="M58" s="2"/>
      <c r="N58" s="1"/>
      <c r="O58" s="1"/>
      <c r="P58" s="85"/>
      <c r="Q58" s="88"/>
      <c r="R58" s="3">
        <f>IFERROR(VLOOKUP(TablaOctubre[[#This Row],[BARRIO]],SECTOR!$A:$B,2,0),"")</f>
      </c>
      <c r="S58" s="89"/>
      <c r="T58" s="90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17">
        <f>COUNTIF(U58:AY58,"A")</f>
      </c>
      <c r="BA58" s="17">
        <f>COUNTIF(U58:AY58,"F")</f>
      </c>
      <c r="BB58" s="17">
        <f>COUNTIF(U58:AY58,"E")</f>
      </c>
    </row>
    <row r="59" spans="1:54" ht="15.75" customHeight="1" x14ac:dyDescent="0.2">
      <c r="A59" s="84"/>
      <c r="B59" s="85"/>
      <c r="C59" s="85"/>
      <c r="D59" s="85"/>
      <c r="E59" s="86"/>
      <c r="F59" s="16">
        <f>IF(E59="","",DATEDIF(E59,$I$7,"Y"))</f>
      </c>
      <c r="G59" s="85"/>
      <c r="H59" s="85"/>
      <c r="I59" s="87"/>
      <c r="J59" s="85"/>
      <c r="K59" s="85"/>
      <c r="L59" s="2"/>
      <c r="M59" s="2"/>
      <c r="N59" s="1"/>
      <c r="O59" s="1"/>
      <c r="P59" s="85"/>
      <c r="Q59" s="88"/>
      <c r="R59" s="3">
        <f>IFERROR(VLOOKUP(TablaOctubre[[#This Row],[BARRIO]],SECTOR!$A:$B,2,0),"")</f>
      </c>
      <c r="S59" s="89"/>
      <c r="T59" s="90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17">
        <f>COUNTIF(U59:AY59,"A")</f>
      </c>
      <c r="BA59" s="17">
        <f>COUNTIF(U59:AY59,"F")</f>
      </c>
      <c r="BB59" s="17">
        <f>COUNTIF(U59:AY59,"E")</f>
      </c>
    </row>
    <row r="60" spans="1:54" ht="15.75" customHeight="1" x14ac:dyDescent="0.2">
      <c r="A60" s="84"/>
      <c r="B60" s="85"/>
      <c r="C60" s="85"/>
      <c r="D60" s="85"/>
      <c r="E60" s="86"/>
      <c r="F60" s="16">
        <f>IF(E60="","",DATEDIF(E60,$I$7,"Y"))</f>
      </c>
      <c r="G60" s="85"/>
      <c r="H60" s="85"/>
      <c r="I60" s="87"/>
      <c r="J60" s="85"/>
      <c r="K60" s="85"/>
      <c r="L60" s="2"/>
      <c r="M60" s="2"/>
      <c r="N60" s="1"/>
      <c r="O60" s="1"/>
      <c r="P60" s="85"/>
      <c r="Q60" s="88"/>
      <c r="R60" s="3">
        <f>IFERROR(VLOOKUP(TablaOctubre[[#This Row],[BARRIO]],SECTOR!$A:$B,2,0),"")</f>
      </c>
      <c r="S60" s="89"/>
      <c r="T60" s="90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17">
        <f>COUNTIF(U60:AY60,"A")</f>
      </c>
      <c r="BA60" s="17">
        <f>COUNTIF(U60:AY60,"F")</f>
      </c>
      <c r="BB60" s="17">
        <f>COUNTIF(U60:AY60,"E")</f>
      </c>
    </row>
    <row r="61" spans="1:54" ht="15.75" customHeight="1" x14ac:dyDescent="0.2">
      <c r="A61" s="84"/>
      <c r="B61" s="85"/>
      <c r="C61" s="85"/>
      <c r="D61" s="85"/>
      <c r="E61" s="86"/>
      <c r="F61" s="16">
        <f>IF(E61="","",DATEDIF(E61,$I$7,"Y"))</f>
      </c>
      <c r="G61" s="85"/>
      <c r="H61" s="85"/>
      <c r="I61" s="87"/>
      <c r="J61" s="85"/>
      <c r="K61" s="85"/>
      <c r="L61" s="2"/>
      <c r="M61" s="2"/>
      <c r="N61" s="1"/>
      <c r="O61" s="1"/>
      <c r="P61" s="85"/>
      <c r="Q61" s="88"/>
      <c r="R61" s="3">
        <f>IFERROR(VLOOKUP(TablaOctubre[[#This Row],[BARRIO]],SECTOR!$A:$B,2,0),"")</f>
      </c>
      <c r="S61" s="89"/>
      <c r="T61" s="90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17">
        <f>COUNTIF(U61:AY61,"A")</f>
      </c>
      <c r="BA61" s="17">
        <f>COUNTIF(U61:AY61,"F")</f>
      </c>
      <c r="BB61" s="17">
        <f>COUNTIF(U61:AY61,"E")</f>
      </c>
    </row>
    <row r="62" spans="1:54" ht="15.75" customHeight="1" x14ac:dyDescent="0.2">
      <c r="A62" s="84"/>
      <c r="B62" s="85"/>
      <c r="C62" s="85"/>
      <c r="D62" s="85"/>
      <c r="E62" s="86"/>
      <c r="F62" s="16">
        <f>IF(E62="","",DATEDIF(E62,$I$7,"Y"))</f>
      </c>
      <c r="G62" s="85"/>
      <c r="H62" s="85"/>
      <c r="I62" s="87"/>
      <c r="J62" s="85"/>
      <c r="K62" s="85"/>
      <c r="L62" s="2"/>
      <c r="M62" s="2"/>
      <c r="N62" s="1"/>
      <c r="O62" s="1"/>
      <c r="P62" s="85"/>
      <c r="Q62" s="88"/>
      <c r="R62" s="3">
        <f>IFERROR(VLOOKUP(TablaOctubre[[#This Row],[BARRIO]],SECTOR!$A:$B,2,0),"")</f>
      </c>
      <c r="S62" s="89"/>
      <c r="T62" s="90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17">
        <f>COUNTIF(U62:AY62,"A")</f>
      </c>
      <c r="BA62" s="17">
        <f>COUNTIF(U62:AY62,"F")</f>
      </c>
      <c r="BB62" s="17">
        <f>COUNTIF(U62:AY62,"E")</f>
      </c>
    </row>
    <row r="63" spans="1:54" ht="15.75" customHeight="1" x14ac:dyDescent="0.2">
      <c r="A63" s="84"/>
      <c r="B63" s="85"/>
      <c r="C63" s="85"/>
      <c r="D63" s="85"/>
      <c r="E63" s="86"/>
      <c r="F63" s="16">
        <f>IF(E63="","",DATEDIF(E63,$I$7,"Y"))</f>
      </c>
      <c r="G63" s="85"/>
      <c r="H63" s="85"/>
      <c r="I63" s="87"/>
      <c r="J63" s="85"/>
      <c r="K63" s="85"/>
      <c r="L63" s="2"/>
      <c r="M63" s="2"/>
      <c r="N63" s="1"/>
      <c r="O63" s="1"/>
      <c r="P63" s="85"/>
      <c r="Q63" s="88"/>
      <c r="R63" s="3">
        <f>IFERROR(VLOOKUP(TablaOctubre[[#This Row],[BARRIO]],SECTOR!$A:$B,2,0),"")</f>
      </c>
      <c r="S63" s="89"/>
      <c r="T63" s="90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17">
        <f>COUNTIF(U63:AY63,"A")</f>
      </c>
      <c r="BA63" s="17">
        <f>COUNTIF(U63:AY63,"F")</f>
      </c>
      <c r="BB63" s="17">
        <f>COUNTIF(U63:AY63,"E")</f>
      </c>
    </row>
    <row r="64" spans="1:54" ht="15.75" customHeight="1" x14ac:dyDescent="0.2">
      <c r="A64" s="84"/>
      <c r="B64" s="85"/>
      <c r="C64" s="85"/>
      <c r="D64" s="85"/>
      <c r="E64" s="86"/>
      <c r="F64" s="16">
        <f>IF(E64="","",DATEDIF(E64,$I$7,"Y"))</f>
      </c>
      <c r="G64" s="85"/>
      <c r="H64" s="85"/>
      <c r="I64" s="87"/>
      <c r="J64" s="85"/>
      <c r="K64" s="85"/>
      <c r="L64" s="2"/>
      <c r="M64" s="2"/>
      <c r="N64" s="1"/>
      <c r="O64" s="1"/>
      <c r="P64" s="85"/>
      <c r="Q64" s="88"/>
      <c r="R64" s="3">
        <f>IFERROR(VLOOKUP(TablaOctubre[[#This Row],[BARRIO]],SECTOR!$A:$B,2,0),"")</f>
      </c>
      <c r="S64" s="89"/>
      <c r="T64" s="90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17">
        <f>COUNTIF(U64:AY64,"A")</f>
      </c>
      <c r="BA64" s="17">
        <f>COUNTIF(U64:AY64,"F")</f>
      </c>
      <c r="BB64" s="17">
        <f>COUNTIF(U64:AY64,"E")</f>
      </c>
    </row>
    <row r="65" spans="1:54" ht="15.75" customHeight="1" x14ac:dyDescent="0.2">
      <c r="A65" s="84"/>
      <c r="B65" s="85"/>
      <c r="C65" s="85"/>
      <c r="D65" s="85"/>
      <c r="E65" s="86"/>
      <c r="F65" s="16">
        <f>IF(E65="","",DATEDIF(E65,$I$7,"Y"))</f>
      </c>
      <c r="G65" s="85"/>
      <c r="H65" s="85"/>
      <c r="I65" s="87"/>
      <c r="J65" s="85"/>
      <c r="K65" s="85"/>
      <c r="L65" s="2"/>
      <c r="M65" s="2"/>
      <c r="N65" s="1"/>
      <c r="O65" s="1"/>
      <c r="P65" s="85"/>
      <c r="Q65" s="88"/>
      <c r="R65" s="3">
        <f>IFERROR(VLOOKUP(TablaOctubre[[#This Row],[BARRIO]],SECTOR!$A:$B,2,0),"")</f>
      </c>
      <c r="S65" s="89"/>
      <c r="T65" s="90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17">
        <f>COUNTIF(U65:AY65,"A")</f>
      </c>
      <c r="BA65" s="17">
        <f>COUNTIF(U65:AY65,"F")</f>
      </c>
      <c r="BB65" s="17">
        <f>COUNTIF(U65:AY65,"E")</f>
      </c>
    </row>
    <row r="66" spans="1:54" ht="15.75" customHeight="1" x14ac:dyDescent="0.2">
      <c r="A66" s="84"/>
      <c r="B66" s="85"/>
      <c r="C66" s="85"/>
      <c r="D66" s="85"/>
      <c r="E66" s="86"/>
      <c r="F66" s="16">
        <f>IF(E66="","",DATEDIF(E66,$I$7,"Y"))</f>
      </c>
      <c r="G66" s="85"/>
      <c r="H66" s="85"/>
      <c r="I66" s="87"/>
      <c r="J66" s="85"/>
      <c r="K66" s="85"/>
      <c r="L66" s="2"/>
      <c r="M66" s="2"/>
      <c r="N66" s="1"/>
      <c r="O66" s="1"/>
      <c r="P66" s="85"/>
      <c r="Q66" s="88"/>
      <c r="R66" s="3">
        <f>IFERROR(VLOOKUP(TablaOctubre[[#This Row],[BARRIO]],SECTOR!$A:$B,2,0),"")</f>
      </c>
      <c r="S66" s="89"/>
      <c r="T66" s="90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17">
        <f>COUNTIF(U66:AY66,"A")</f>
      </c>
      <c r="BA66" s="17">
        <f>COUNTIF(U66:AY66,"F")</f>
      </c>
      <c r="BB66" s="17">
        <f>COUNTIF(U66:AY66,"E")</f>
      </c>
    </row>
    <row r="67" spans="1:54" ht="15.75" customHeight="1" x14ac:dyDescent="0.2">
      <c r="A67" s="84"/>
      <c r="B67" s="91"/>
      <c r="C67" s="91"/>
      <c r="D67" s="91"/>
      <c r="E67" s="92"/>
      <c r="F67" s="16">
        <f>IF(E67="","",DATEDIF(E67,$I$7,"Y"))</f>
      </c>
      <c r="G67" s="91"/>
      <c r="H67" s="91"/>
      <c r="I67" s="93"/>
      <c r="J67" s="91"/>
      <c r="K67" s="91"/>
      <c r="L67" s="2"/>
      <c r="M67" s="2"/>
      <c r="N67" s="1"/>
      <c r="O67" s="1"/>
      <c r="P67" s="85"/>
      <c r="Q67" s="88"/>
      <c r="R67" s="3">
        <f>IFERROR(VLOOKUP(TablaOctubre[[#This Row],[BARRIO]],SECTOR!$A:$B,2,0),"")</f>
      </c>
      <c r="S67" s="89"/>
      <c r="T67" s="90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17">
        <f>COUNTIF(U67:AY67,"A")</f>
      </c>
      <c r="BA67" s="17">
        <f>COUNTIF(U67:AY67,"F")</f>
      </c>
      <c r="BB67" s="17">
        <f>COUNTIF(U67:AY67,"E")</f>
      </c>
    </row>
    <row r="68" spans="1:54" ht="15.75" customHeight="1" x14ac:dyDescent="0.2">
      <c r="A68" s="84"/>
      <c r="B68" s="94"/>
      <c r="C68" s="94"/>
      <c r="D68" s="94"/>
      <c r="E68" s="95"/>
      <c r="F68" s="16">
        <f>IF(E68="","",DATEDIF(E68,$I$7,"Y"))</f>
      </c>
      <c r="G68" s="94"/>
      <c r="H68" s="94"/>
      <c r="I68" s="96"/>
      <c r="J68" s="94"/>
      <c r="K68" s="94"/>
      <c r="L68" s="2"/>
      <c r="M68" s="2"/>
      <c r="N68" s="1"/>
      <c r="O68" s="1"/>
      <c r="P68" s="85"/>
      <c r="Q68" s="88"/>
      <c r="R68" s="3">
        <f>IFERROR(VLOOKUP(TablaOctubre[[#This Row],[BARRIO]],SECTOR!$A:$B,2,0),"")</f>
      </c>
      <c r="S68" s="89"/>
      <c r="T68" s="90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17">
        <f>COUNTIF(U68:AY68,"A")</f>
      </c>
      <c r="BA68" s="17">
        <f>COUNTIF(U68:AY68,"F")</f>
      </c>
      <c r="BB68" s="17">
        <f>COUNTIF(U68:AY68,"E")</f>
      </c>
    </row>
    <row r="69" spans="1:54" ht="15.75" customHeight="1" x14ac:dyDescent="0.2">
      <c r="A69" s="84"/>
      <c r="B69" s="97"/>
      <c r="C69" s="97"/>
      <c r="D69" s="97"/>
      <c r="E69" s="98"/>
      <c r="F69" s="16">
        <f>IF(E69="","",DATEDIF(E69,$I$7,"Y"))</f>
      </c>
      <c r="G69" s="97"/>
      <c r="H69" s="97"/>
      <c r="I69" s="99"/>
      <c r="J69" s="97"/>
      <c r="K69" s="97"/>
      <c r="L69" s="2"/>
      <c r="M69" s="2"/>
      <c r="N69" s="1"/>
      <c r="O69" s="1"/>
      <c r="P69" s="85"/>
      <c r="Q69" s="88"/>
      <c r="R69" s="3">
        <f>IFERROR(VLOOKUP(TablaOctubre[[#This Row],[BARRIO]],SECTOR!$A:$B,2,0),"")</f>
      </c>
      <c r="S69" s="89"/>
      <c r="T69" s="90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5"/>
      <c r="AZ69" s="18">
        <f>COUNTIF(U69:AY69,"A")</f>
      </c>
      <c r="BA69" s="17">
        <f>COUNTIF(U69:AY69,"F")</f>
      </c>
      <c r="BB69" s="17">
        <f>COUNTIF(U69:AY69,"E")</f>
      </c>
    </row>
    <row r="70" spans="1:54" ht="15.75" customHeight="1" x14ac:dyDescent="0.2">
      <c r="A70" s="84"/>
      <c r="B70" s="97"/>
      <c r="C70" s="97"/>
      <c r="D70" s="97"/>
      <c r="E70" s="98"/>
      <c r="F70" s="16">
        <f>IF(E70="","",DATEDIF(E70,$I$7,"Y"))</f>
      </c>
      <c r="G70" s="97"/>
      <c r="H70" s="97"/>
      <c r="I70" s="99"/>
      <c r="J70" s="97"/>
      <c r="K70" s="97"/>
      <c r="L70" s="2"/>
      <c r="M70" s="2"/>
      <c r="N70" s="1"/>
      <c r="O70" s="1"/>
      <c r="P70" s="85"/>
      <c r="Q70" s="88"/>
      <c r="R70" s="3">
        <f>IFERROR(VLOOKUP(TablaOctubre[[#This Row],[BARRIO]],SECTOR!$A:$B,2,0),"")</f>
      </c>
      <c r="S70" s="89"/>
      <c r="T70" s="90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6"/>
      <c r="AZ70" s="19">
        <f>COUNTIF(U70:AY70,"A")</f>
      </c>
      <c r="BA70" s="17">
        <f>COUNTIF(U70:AY70,"F")</f>
      </c>
      <c r="BB70" s="17">
        <f>COUNTIF(U70:AY70,"E")</f>
      </c>
    </row>
    <row r="71" spans="1:54" ht="15.75" customHeight="1" x14ac:dyDescent="0.2">
      <c r="A71" s="84"/>
      <c r="B71" s="97"/>
      <c r="C71" s="97"/>
      <c r="D71" s="97"/>
      <c r="E71" s="98"/>
      <c r="F71" s="16">
        <f>IF(E71="","",DATEDIF(E71,$I$7,"Y"))</f>
      </c>
      <c r="G71" s="97"/>
      <c r="H71" s="97"/>
      <c r="I71" s="99"/>
      <c r="J71" s="97"/>
      <c r="K71" s="97"/>
      <c r="L71" s="2"/>
      <c r="M71" s="2"/>
      <c r="N71" s="1"/>
      <c r="O71" s="1"/>
      <c r="P71" s="85"/>
      <c r="Q71" s="88"/>
      <c r="R71" s="3">
        <f>IFERROR(VLOOKUP(TablaOctubre[[#This Row],[BARRIO]],SECTOR!$A:$B,2,0),"")</f>
      </c>
      <c r="S71" s="89"/>
      <c r="T71" s="90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6"/>
      <c r="AZ71" s="19">
        <f>COUNTIF(U71:AY71,"A")</f>
      </c>
      <c r="BA71" s="17">
        <f>COUNTIF(U71:AY71,"F")</f>
      </c>
      <c r="BB71" s="17">
        <f>COUNTIF(U71:AY71,"E")</f>
      </c>
    </row>
    <row r="72" spans="1:54" ht="15.75" customHeight="1" x14ac:dyDescent="0.2">
      <c r="A72" s="84"/>
      <c r="B72" s="97"/>
      <c r="C72" s="97"/>
      <c r="D72" s="97"/>
      <c r="E72" s="98"/>
      <c r="F72" s="16">
        <f>IF(E72="","",DATEDIF(E72,$I$7,"Y"))</f>
      </c>
      <c r="G72" s="97"/>
      <c r="H72" s="97"/>
      <c r="I72" s="99"/>
      <c r="J72" s="97"/>
      <c r="K72" s="97"/>
      <c r="L72" s="2"/>
      <c r="M72" s="2"/>
      <c r="N72" s="1"/>
      <c r="O72" s="1"/>
      <c r="P72" s="85"/>
      <c r="Q72" s="88"/>
      <c r="R72" s="3">
        <f>IFERROR(VLOOKUP(TablaOctubre[[#This Row],[BARRIO]],SECTOR!$A:$B,2,0),"")</f>
      </c>
      <c r="S72" s="89"/>
      <c r="T72" s="90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6"/>
      <c r="AZ72" s="19">
        <f>COUNTIF(U72:AY72,"A")</f>
      </c>
      <c r="BA72" s="17">
        <f>COUNTIF(U72:AY72,"F")</f>
      </c>
      <c r="BB72" s="17">
        <f>COUNTIF(U72:AY72,"E")</f>
      </c>
    </row>
    <row r="73" spans="1:54" ht="15.75" customHeight="1" x14ac:dyDescent="0.2">
      <c r="A73" s="84"/>
      <c r="B73" s="97"/>
      <c r="C73" s="97"/>
      <c r="D73" s="97"/>
      <c r="E73" s="98"/>
      <c r="F73" s="16">
        <f>IF(E73="","",DATEDIF(E73,$I$7,"Y"))</f>
      </c>
      <c r="G73" s="97"/>
      <c r="H73" s="97"/>
      <c r="I73" s="99"/>
      <c r="J73" s="97"/>
      <c r="K73" s="97"/>
      <c r="L73" s="2"/>
      <c r="M73" s="2"/>
      <c r="N73" s="1"/>
      <c r="O73" s="1"/>
      <c r="P73" s="85"/>
      <c r="Q73" s="88"/>
      <c r="R73" s="3">
        <f>IFERROR(VLOOKUP(TablaOctubre[[#This Row],[BARRIO]],SECTOR!$A:$B,2,0),"")</f>
      </c>
      <c r="S73" s="89"/>
      <c r="T73" s="90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6"/>
      <c r="AZ73" s="19">
        <f>COUNTIF(U73:AY73,"A")</f>
      </c>
      <c r="BA73" s="17">
        <f>COUNTIF(U73:AY73,"F")</f>
      </c>
      <c r="BB73" s="17">
        <f>COUNTIF(U73:AY73,"E")</f>
      </c>
    </row>
    <row r="74" spans="1:54" ht="15.75" customHeight="1" x14ac:dyDescent="0.2">
      <c r="A74" s="84"/>
      <c r="B74" s="97"/>
      <c r="C74" s="97"/>
      <c r="D74" s="97"/>
      <c r="E74" s="98"/>
      <c r="F74" s="16">
        <f>IF(E74="","",DATEDIF(E74,$I$7,"Y"))</f>
      </c>
      <c r="G74" s="97"/>
      <c r="H74" s="97"/>
      <c r="I74" s="99"/>
      <c r="J74" s="97"/>
      <c r="K74" s="97"/>
      <c r="L74" s="2"/>
      <c r="M74" s="2"/>
      <c r="N74" s="1"/>
      <c r="O74" s="1"/>
      <c r="P74" s="85"/>
      <c r="Q74" s="88"/>
      <c r="R74" s="3">
        <f>IFERROR(VLOOKUP(TablaOctubre[[#This Row],[BARRIO]],SECTOR!$A:$B,2,0),"")</f>
      </c>
      <c r="S74" s="89"/>
      <c r="T74" s="90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6"/>
      <c r="AZ74" s="19">
        <f>COUNTIF(U74:AY74,"A")</f>
      </c>
      <c r="BA74" s="17">
        <f>COUNTIF(U74:AY74,"F")</f>
      </c>
      <c r="BB74" s="17">
        <f>COUNTIF(U74:AY74,"E")</f>
      </c>
    </row>
    <row r="75" spans="1:54" ht="15.75" customHeight="1" x14ac:dyDescent="0.2">
      <c r="A75" s="84"/>
      <c r="B75" s="97"/>
      <c r="C75" s="97"/>
      <c r="D75" s="97"/>
      <c r="E75" s="98"/>
      <c r="F75" s="16">
        <f>IF(E75="","",DATEDIF(E75,$I$7,"Y"))</f>
      </c>
      <c r="G75" s="97"/>
      <c r="H75" s="97"/>
      <c r="I75" s="99"/>
      <c r="J75" s="97"/>
      <c r="K75" s="97"/>
      <c r="L75" s="2"/>
      <c r="M75" s="2"/>
      <c r="N75" s="1"/>
      <c r="O75" s="1"/>
      <c r="P75" s="85"/>
      <c r="Q75" s="88"/>
      <c r="R75" s="3">
        <f>IFERROR(VLOOKUP(TablaOctubre[[#This Row],[BARRIO]],SECTOR!$A:$B,2,0),"")</f>
      </c>
      <c r="S75" s="89"/>
      <c r="T75" s="90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6"/>
      <c r="AZ75" s="19">
        <f>COUNTIF(U75:AY75,"A")</f>
      </c>
      <c r="BA75" s="17">
        <f>COUNTIF(U75:AY75,"F")</f>
      </c>
      <c r="BB75" s="17">
        <f>COUNTIF(U75:AY75,"E")</f>
      </c>
    </row>
    <row r="76" spans="1:54" ht="15.75" customHeight="1" x14ac:dyDescent="0.2">
      <c r="A76" s="84"/>
      <c r="B76" s="97"/>
      <c r="C76" s="97"/>
      <c r="D76" s="97"/>
      <c r="E76" s="98"/>
      <c r="F76" s="16">
        <f>IF(E76="","",DATEDIF(E76,$I$7,"Y"))</f>
      </c>
      <c r="G76" s="97"/>
      <c r="H76" s="97"/>
      <c r="I76" s="99"/>
      <c r="J76" s="97"/>
      <c r="K76" s="97"/>
      <c r="L76" s="2"/>
      <c r="M76" s="2"/>
      <c r="N76" s="1"/>
      <c r="O76" s="1"/>
      <c r="P76" s="85"/>
      <c r="Q76" s="88"/>
      <c r="R76" s="3">
        <f>IFERROR(VLOOKUP(TablaOctubre[[#This Row],[BARRIO]],SECTOR!$A:$B,2,0),"")</f>
      </c>
      <c r="S76" s="89"/>
      <c r="T76" s="90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6"/>
      <c r="AZ76" s="19">
        <f>COUNTIF(U76:AY76,"A")</f>
      </c>
      <c r="BA76" s="17">
        <f>COUNTIF(U76:AY76,"F")</f>
      </c>
      <c r="BB76" s="17">
        <f>COUNTIF(U76:AY76,"E")</f>
      </c>
    </row>
    <row r="77" spans="1:54" ht="15.75" customHeight="1" x14ac:dyDescent="0.2">
      <c r="A77" s="84"/>
      <c r="B77" s="97"/>
      <c r="C77" s="97"/>
      <c r="D77" s="97"/>
      <c r="E77" s="98"/>
      <c r="F77" s="16">
        <f>IF(E77="","",DATEDIF(E77,$I$7,"Y"))</f>
      </c>
      <c r="G77" s="97"/>
      <c r="H77" s="97"/>
      <c r="I77" s="99"/>
      <c r="J77" s="97"/>
      <c r="K77" s="97"/>
      <c r="L77" s="2"/>
      <c r="M77" s="2"/>
      <c r="N77" s="1"/>
      <c r="O77" s="1"/>
      <c r="P77" s="85"/>
      <c r="Q77" s="88"/>
      <c r="R77" s="3">
        <f>IFERROR(VLOOKUP(TablaOctubre[[#This Row],[BARRIO]],SECTOR!$A:$B,2,0),"")</f>
      </c>
      <c r="S77" s="89"/>
      <c r="T77" s="90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6"/>
      <c r="AZ77" s="19">
        <f>COUNTIF(U77:AY77,"A")</f>
      </c>
      <c r="BA77" s="17">
        <f>COUNTIF(U77:AY77,"F")</f>
      </c>
      <c r="BB77" s="17">
        <f>COUNTIF(U77:AY77,"E")</f>
      </c>
    </row>
    <row r="78" spans="1:54" ht="15.75" customHeight="1" x14ac:dyDescent="0.2">
      <c r="A78" s="84"/>
      <c r="B78" s="97"/>
      <c r="C78" s="97"/>
      <c r="D78" s="97"/>
      <c r="E78" s="98"/>
      <c r="F78" s="16">
        <f>IF(E78="","",DATEDIF(E78,$I$7,"Y"))</f>
      </c>
      <c r="G78" s="97"/>
      <c r="H78" s="97"/>
      <c r="I78" s="99"/>
      <c r="J78" s="97"/>
      <c r="K78" s="97"/>
      <c r="L78" s="2"/>
      <c r="M78" s="2"/>
      <c r="N78" s="1"/>
      <c r="O78" s="1"/>
      <c r="P78" s="85"/>
      <c r="Q78" s="88"/>
      <c r="R78" s="3">
        <f>IFERROR(VLOOKUP(TablaOctubre[[#This Row],[BARRIO]],SECTOR!$A:$B,2,0),"")</f>
      </c>
      <c r="S78" s="89"/>
      <c r="T78" s="90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6"/>
      <c r="AZ78" s="19">
        <f>COUNTIF(U78:AY78,"A")</f>
      </c>
      <c r="BA78" s="17">
        <f>COUNTIF(U78:AY78,"F")</f>
      </c>
      <c r="BB78" s="17">
        <f>COUNTIF(U78:AY78,"E")</f>
      </c>
    </row>
    <row r="79" spans="1:54" ht="15.75" customHeight="1" x14ac:dyDescent="0.2">
      <c r="A79" s="84"/>
      <c r="B79" s="85"/>
      <c r="C79" s="85"/>
      <c r="D79" s="85"/>
      <c r="E79" s="86"/>
      <c r="F79" s="16">
        <f>IF(E79="","",DATEDIF(E79,$I$7,"Y"))</f>
      </c>
      <c r="G79" s="85"/>
      <c r="H79" s="85"/>
      <c r="I79" s="87"/>
      <c r="J79" s="85"/>
      <c r="K79" s="85"/>
      <c r="L79" s="2"/>
      <c r="M79" s="2"/>
      <c r="N79" s="1"/>
      <c r="O79" s="1"/>
      <c r="P79" s="85"/>
      <c r="Q79" s="88"/>
      <c r="R79" s="3">
        <f>IFERROR(VLOOKUP(TablaOctubre[[#This Row],[BARRIO]],SECTOR!$A:$B,2,0),"")</f>
      </c>
      <c r="S79" s="89"/>
      <c r="T79" s="90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6"/>
      <c r="AZ79" s="19">
        <f>COUNTIF(U79:AY79,"A")</f>
      </c>
      <c r="BA79" s="17">
        <f>COUNTIF(U79:AY79,"F")</f>
      </c>
      <c r="BB79" s="17">
        <f>COUNTIF(U79:AY79,"E")</f>
      </c>
    </row>
    <row r="80" spans="1:54" ht="15.75" customHeight="1" x14ac:dyDescent="0.2">
      <c r="A80" s="84"/>
      <c r="B80" s="85"/>
      <c r="C80" s="85"/>
      <c r="D80" s="85"/>
      <c r="E80" s="86"/>
      <c r="F80" s="16">
        <f>IF(E80="","",DATEDIF(E80,$I$7,"Y"))</f>
      </c>
      <c r="G80" s="85"/>
      <c r="H80" s="85"/>
      <c r="I80" s="87"/>
      <c r="J80" s="85"/>
      <c r="K80" s="85"/>
      <c r="L80" s="2"/>
      <c r="M80" s="2"/>
      <c r="N80" s="1"/>
      <c r="O80" s="1"/>
      <c r="P80" s="85"/>
      <c r="Q80" s="88"/>
      <c r="R80" s="3">
        <f>IFERROR(VLOOKUP(TablaOctubre[[#This Row],[BARRIO]],SECTOR!$A:$B,2,0),"")</f>
      </c>
      <c r="S80" s="89"/>
      <c r="T80" s="90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6"/>
      <c r="AZ80" s="19">
        <f>COUNTIF(U80:AY80,"A")</f>
      </c>
      <c r="BA80" s="17">
        <f>COUNTIF(U80:AY80,"F")</f>
      </c>
      <c r="BB80" s="17">
        <f>COUNTIF(U80:AY80,"E")</f>
      </c>
    </row>
    <row r="81" spans="1:54" ht="15.75" customHeight="1" x14ac:dyDescent="0.2">
      <c r="A81" s="84"/>
      <c r="B81" s="85"/>
      <c r="C81" s="85"/>
      <c r="D81" s="85"/>
      <c r="E81" s="86"/>
      <c r="F81" s="16">
        <f>IF(E81="","",DATEDIF(E81,$I$7,"Y"))</f>
      </c>
      <c r="G81" s="85"/>
      <c r="H81" s="85"/>
      <c r="I81" s="87"/>
      <c r="J81" s="85"/>
      <c r="K81" s="85"/>
      <c r="L81" s="2"/>
      <c r="M81" s="2"/>
      <c r="N81" s="1"/>
      <c r="O81" s="1"/>
      <c r="P81" s="85"/>
      <c r="Q81" s="88"/>
      <c r="R81" s="3">
        <f>IFERROR(VLOOKUP(TablaOctubre[[#This Row],[BARRIO]],SECTOR!$A:$B,2,0),"")</f>
      </c>
      <c r="S81" s="89"/>
      <c r="T81" s="90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6"/>
      <c r="AZ81" s="19">
        <f>COUNTIF(U81:AY81,"A")</f>
      </c>
      <c r="BA81" s="17">
        <f>COUNTIF(U81:AY81,"F")</f>
      </c>
      <c r="BB81" s="17">
        <f>COUNTIF(U81:AY81,"E")</f>
      </c>
    </row>
    <row r="82" spans="1:54" ht="15.75" customHeight="1" x14ac:dyDescent="0.2">
      <c r="A82" s="84"/>
      <c r="B82" s="85"/>
      <c r="C82" s="85"/>
      <c r="D82" s="85"/>
      <c r="E82" s="86"/>
      <c r="F82" s="16">
        <f>IF(E82="","",DATEDIF(E82,$I$7,"Y"))</f>
      </c>
      <c r="G82" s="85"/>
      <c r="H82" s="85"/>
      <c r="I82" s="87"/>
      <c r="J82" s="85"/>
      <c r="K82" s="85"/>
      <c r="L82" s="2"/>
      <c r="M82" s="2"/>
      <c r="N82" s="1"/>
      <c r="O82" s="1"/>
      <c r="P82" s="85"/>
      <c r="Q82" s="88"/>
      <c r="R82" s="3">
        <f>IFERROR(VLOOKUP(TablaOctubre[[#This Row],[BARRIO]],SECTOR!$A:$B,2,0),"")</f>
      </c>
      <c r="S82" s="89"/>
      <c r="T82" s="90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6"/>
      <c r="AZ82" s="19">
        <f>COUNTIF(U82:AY82,"A")</f>
      </c>
      <c r="BA82" s="17">
        <f>COUNTIF(U82:AY82,"F")</f>
      </c>
      <c r="BB82" s="17">
        <f>COUNTIF(U82:AY82,"E")</f>
      </c>
    </row>
    <row r="83" spans="1:54" ht="15.75" customHeight="1" x14ac:dyDescent="0.2">
      <c r="A83" s="84"/>
      <c r="B83" s="85"/>
      <c r="C83" s="85"/>
      <c r="D83" s="85"/>
      <c r="E83" s="86"/>
      <c r="F83" s="16">
        <f>IF(E83="","",DATEDIF(E83,$I$7,"Y"))</f>
      </c>
      <c r="G83" s="85"/>
      <c r="H83" s="85"/>
      <c r="I83" s="87"/>
      <c r="J83" s="85"/>
      <c r="K83" s="85"/>
      <c r="L83" s="2"/>
      <c r="M83" s="2"/>
      <c r="N83" s="1"/>
      <c r="O83" s="1"/>
      <c r="P83" s="85"/>
      <c r="Q83" s="88"/>
      <c r="R83" s="3">
        <f>IFERROR(VLOOKUP(TablaOctubre[[#This Row],[BARRIO]],SECTOR!$A:$B,2,0),"")</f>
      </c>
      <c r="S83" s="89"/>
      <c r="T83" s="90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6"/>
      <c r="AZ83" s="19">
        <f>COUNTIF(U83:AY83,"A")</f>
      </c>
      <c r="BA83" s="17">
        <f>COUNTIF(U83:AY83,"F")</f>
      </c>
      <c r="BB83" s="17">
        <f>COUNTIF(U83:AY83,"E")</f>
      </c>
    </row>
    <row r="84" spans="1:54" ht="15.75" customHeight="1" x14ac:dyDescent="0.2">
      <c r="A84" s="84"/>
      <c r="B84" s="85"/>
      <c r="C84" s="85"/>
      <c r="D84" s="85"/>
      <c r="E84" s="86"/>
      <c r="F84" s="16">
        <f>IF(E84="","",DATEDIF(E84,$I$7,"Y"))</f>
      </c>
      <c r="G84" s="85"/>
      <c r="H84" s="85"/>
      <c r="I84" s="87"/>
      <c r="J84" s="85"/>
      <c r="K84" s="85"/>
      <c r="L84" s="2"/>
      <c r="M84" s="2"/>
      <c r="N84" s="1"/>
      <c r="O84" s="1"/>
      <c r="P84" s="85"/>
      <c r="Q84" s="88"/>
      <c r="R84" s="3">
        <f>IFERROR(VLOOKUP(TablaOctubre[[#This Row],[BARRIO]],SECTOR!$A:$B,2,0),"")</f>
      </c>
      <c r="S84" s="89"/>
      <c r="T84" s="90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6"/>
      <c r="AZ84" s="19">
        <f>COUNTIF(U84:AY84,"A")</f>
      </c>
      <c r="BA84" s="17">
        <f>COUNTIF(U84:AY84,"F")</f>
      </c>
      <c r="BB84" s="17">
        <f>COUNTIF(U84:AY84,"E")</f>
      </c>
    </row>
    <row r="85" spans="1:54" ht="15.75" customHeight="1" x14ac:dyDescent="0.2">
      <c r="A85" s="84"/>
      <c r="B85" s="85"/>
      <c r="C85" s="85"/>
      <c r="D85" s="85"/>
      <c r="E85" s="86"/>
      <c r="F85" s="16">
        <f>IF(E85="","",DATEDIF(E85,$I$7,"Y"))</f>
      </c>
      <c r="G85" s="85"/>
      <c r="H85" s="85"/>
      <c r="I85" s="87"/>
      <c r="J85" s="85"/>
      <c r="K85" s="85"/>
      <c r="L85" s="2"/>
      <c r="M85" s="2"/>
      <c r="N85" s="1"/>
      <c r="O85" s="1"/>
      <c r="P85" s="85"/>
      <c r="Q85" s="88"/>
      <c r="R85" s="3">
        <f>IFERROR(VLOOKUP(TablaOctubre[[#This Row],[BARRIO]],SECTOR!$A:$B,2,0),"")</f>
      </c>
      <c r="S85" s="89"/>
      <c r="T85" s="90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6"/>
      <c r="AZ85" s="19">
        <f>COUNTIF(U85:AY85,"A")</f>
      </c>
      <c r="BA85" s="17">
        <f>COUNTIF(U85:AY85,"F")</f>
      </c>
      <c r="BB85" s="17">
        <f>COUNTIF(U85:AY85,"E")</f>
      </c>
    </row>
    <row r="86" spans="1:54" ht="15.75" customHeight="1" x14ac:dyDescent="0.2">
      <c r="A86" s="84"/>
      <c r="B86" s="85"/>
      <c r="C86" s="85"/>
      <c r="D86" s="85"/>
      <c r="E86" s="86"/>
      <c r="F86" s="16">
        <f>IF(E86="","",DATEDIF(E86,$I$7,"Y"))</f>
      </c>
      <c r="G86" s="85"/>
      <c r="H86" s="85"/>
      <c r="I86" s="87"/>
      <c r="J86" s="85"/>
      <c r="K86" s="85"/>
      <c r="L86" s="2"/>
      <c r="M86" s="2"/>
      <c r="N86" s="1"/>
      <c r="O86" s="1"/>
      <c r="P86" s="85"/>
      <c r="Q86" s="88"/>
      <c r="R86" s="3">
        <f>IFERROR(VLOOKUP(TablaOctubre[[#This Row],[BARRIO]],SECTOR!$A:$B,2,0),"")</f>
      </c>
      <c r="S86" s="89"/>
      <c r="T86" s="90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6"/>
      <c r="AZ86" s="19">
        <f>COUNTIF(U86:AY86,"A")</f>
      </c>
      <c r="BA86" s="17">
        <f>COUNTIF(U86:AY86,"F")</f>
      </c>
      <c r="BB86" s="17">
        <f>COUNTIF(U86:AY86,"E")</f>
      </c>
    </row>
    <row r="87" spans="1:54" ht="15.75" customHeight="1" x14ac:dyDescent="0.2">
      <c r="A87" s="84"/>
      <c r="B87" s="85"/>
      <c r="C87" s="85"/>
      <c r="D87" s="85"/>
      <c r="E87" s="86"/>
      <c r="F87" s="16">
        <f>IF(E87="","",DATEDIF(E87,$I$7,"Y"))</f>
      </c>
      <c r="G87" s="85"/>
      <c r="H87" s="85"/>
      <c r="I87" s="87"/>
      <c r="J87" s="85"/>
      <c r="K87" s="85"/>
      <c r="L87" s="2"/>
      <c r="M87" s="2"/>
      <c r="N87" s="1"/>
      <c r="O87" s="1"/>
      <c r="P87" s="85"/>
      <c r="Q87" s="88"/>
      <c r="R87" s="3">
        <f>IFERROR(VLOOKUP(TablaOctubre[[#This Row],[BARRIO]],SECTOR!$A:$B,2,0),"")</f>
      </c>
      <c r="S87" s="89"/>
      <c r="T87" s="90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6"/>
      <c r="AZ87" s="19">
        <f>COUNTIF(U87:AY87,"A")</f>
      </c>
      <c r="BA87" s="17">
        <f>COUNTIF(U87:AY87,"F")</f>
      </c>
      <c r="BB87" s="17">
        <f>COUNTIF(U87:AY87,"E")</f>
      </c>
    </row>
    <row r="88" spans="1:54" ht="15.75" customHeight="1" x14ac:dyDescent="0.2">
      <c r="A88" s="84"/>
      <c r="B88" s="85"/>
      <c r="C88" s="85"/>
      <c r="D88" s="85"/>
      <c r="E88" s="86"/>
      <c r="F88" s="16">
        <f>IF(E88="","",DATEDIF(E88,$I$7,"Y"))</f>
      </c>
      <c r="G88" s="85"/>
      <c r="H88" s="85"/>
      <c r="I88" s="87"/>
      <c r="J88" s="85"/>
      <c r="K88" s="85"/>
      <c r="L88" s="2"/>
      <c r="M88" s="2"/>
      <c r="N88" s="1"/>
      <c r="O88" s="1"/>
      <c r="P88" s="85"/>
      <c r="Q88" s="88"/>
      <c r="R88" s="3">
        <f>IFERROR(VLOOKUP(TablaOctubre[[#This Row],[BARRIO]],SECTOR!$A:$B,2,0),"")</f>
      </c>
      <c r="S88" s="89"/>
      <c r="T88" s="90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6"/>
      <c r="AZ88" s="19">
        <f>COUNTIF(U88:AY88,"A")</f>
      </c>
      <c r="BA88" s="17">
        <f>COUNTIF(U88:AY88,"F")</f>
      </c>
      <c r="BB88" s="17">
        <f>COUNTIF(U88:AY88,"E")</f>
      </c>
    </row>
    <row r="89" spans="1:54" ht="15.75" customHeight="1" x14ac:dyDescent="0.2">
      <c r="A89" s="84"/>
      <c r="B89" s="85"/>
      <c r="C89" s="85"/>
      <c r="D89" s="85"/>
      <c r="E89" s="86"/>
      <c r="F89" s="16">
        <f>IF(E89="","",DATEDIF(E89,$I$7,"Y"))</f>
      </c>
      <c r="G89" s="85"/>
      <c r="H89" s="85"/>
      <c r="I89" s="87"/>
      <c r="J89" s="85"/>
      <c r="K89" s="85"/>
      <c r="L89" s="2"/>
      <c r="M89" s="2"/>
      <c r="N89" s="1"/>
      <c r="O89" s="1"/>
      <c r="P89" s="85"/>
      <c r="Q89" s="88"/>
      <c r="R89" s="3">
        <f>IFERROR(VLOOKUP(TablaOctubre[[#This Row],[BARRIO]],SECTOR!$A:$B,2,0),"")</f>
      </c>
      <c r="S89" s="89"/>
      <c r="T89" s="90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6"/>
      <c r="AZ89" s="19">
        <f>COUNTIF(U89:AY89,"A")</f>
      </c>
      <c r="BA89" s="17">
        <f>COUNTIF(U89:AY89,"F")</f>
      </c>
      <c r="BB89" s="17">
        <f>COUNTIF(U89:AY89,"E")</f>
      </c>
    </row>
    <row r="90" spans="1:54" ht="15.75" customHeight="1" x14ac:dyDescent="0.2">
      <c r="A90" s="84"/>
      <c r="B90" s="85"/>
      <c r="C90" s="85"/>
      <c r="D90" s="85"/>
      <c r="E90" s="86"/>
      <c r="F90" s="16">
        <f>IF(E90="","",DATEDIF(E90,$I$7,"Y"))</f>
      </c>
      <c r="G90" s="85"/>
      <c r="H90" s="85"/>
      <c r="I90" s="87"/>
      <c r="J90" s="85"/>
      <c r="K90" s="85"/>
      <c r="L90" s="2"/>
      <c r="M90" s="2"/>
      <c r="N90" s="1"/>
      <c r="O90" s="1"/>
      <c r="P90" s="85"/>
      <c r="Q90" s="88"/>
      <c r="R90" s="3">
        <f>IFERROR(VLOOKUP(TablaOctubre[[#This Row],[BARRIO]],SECTOR!$A:$B,2,0),"")</f>
      </c>
      <c r="S90" s="89"/>
      <c r="T90" s="90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6"/>
      <c r="AZ90" s="19">
        <f>COUNTIF(U90:AY90,"A")</f>
      </c>
      <c r="BA90" s="17">
        <f>COUNTIF(U90:AY90,"F")</f>
      </c>
      <c r="BB90" s="17">
        <f>COUNTIF(U90:AY90,"E")</f>
      </c>
    </row>
    <row r="91" spans="1:54" ht="15.75" customHeight="1" x14ac:dyDescent="0.2">
      <c r="A91" s="84"/>
      <c r="B91" s="85"/>
      <c r="C91" s="85"/>
      <c r="D91" s="85"/>
      <c r="E91" s="86"/>
      <c r="F91" s="16">
        <f>IF(E91="","",DATEDIF(E91,$I$7,"Y"))</f>
      </c>
      <c r="G91" s="85"/>
      <c r="H91" s="85"/>
      <c r="I91" s="87"/>
      <c r="J91" s="85"/>
      <c r="K91" s="85"/>
      <c r="L91" s="2"/>
      <c r="M91" s="2"/>
      <c r="N91" s="1"/>
      <c r="O91" s="1"/>
      <c r="P91" s="85"/>
      <c r="Q91" s="88"/>
      <c r="R91" s="3">
        <f>IFERROR(VLOOKUP(TablaOctubre[[#This Row],[BARRIO]],SECTOR!$A:$B,2,0),"")</f>
      </c>
      <c r="S91" s="89"/>
      <c r="T91" s="90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6"/>
      <c r="AZ91" s="19">
        <f>COUNTIF(U91:AY91,"A")</f>
      </c>
      <c r="BA91" s="17">
        <f>COUNTIF(U91:AY91,"F")</f>
      </c>
      <c r="BB91" s="17">
        <f>COUNTIF(U91:AY91,"E")</f>
      </c>
    </row>
    <row r="92" spans="1:54" ht="15.75" customHeight="1" x14ac:dyDescent="0.2">
      <c r="A92" s="84"/>
      <c r="B92" s="85"/>
      <c r="C92" s="85"/>
      <c r="D92" s="85"/>
      <c r="E92" s="86"/>
      <c r="F92" s="16">
        <f>IF(E92="","",DATEDIF(E92,$I$7,"Y"))</f>
      </c>
      <c r="G92" s="85"/>
      <c r="H92" s="85"/>
      <c r="I92" s="87"/>
      <c r="J92" s="85"/>
      <c r="K92" s="85"/>
      <c r="L92" s="2"/>
      <c r="M92" s="2"/>
      <c r="N92" s="1"/>
      <c r="O92" s="1"/>
      <c r="P92" s="85"/>
      <c r="Q92" s="88"/>
      <c r="R92" s="3">
        <f>IFERROR(VLOOKUP(TablaOctubre[[#This Row],[BARRIO]],SECTOR!$A:$B,2,0),"")</f>
      </c>
      <c r="S92" s="89"/>
      <c r="T92" s="90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6"/>
      <c r="AZ92" s="19">
        <f>COUNTIF(U92:AY92,"A")</f>
      </c>
      <c r="BA92" s="17">
        <f>COUNTIF(U92:AY92,"F")</f>
      </c>
      <c r="BB92" s="17">
        <f>COUNTIF(U92:AY92,"E")</f>
      </c>
    </row>
    <row r="93" spans="1:54" ht="15.75" customHeight="1" x14ac:dyDescent="0.2">
      <c r="A93" s="84"/>
      <c r="B93" s="85"/>
      <c r="C93" s="85"/>
      <c r="D93" s="85"/>
      <c r="E93" s="86"/>
      <c r="F93" s="16">
        <f>IF(E93="","",DATEDIF(E93,$I$7,"Y"))</f>
      </c>
      <c r="G93" s="85"/>
      <c r="H93" s="85"/>
      <c r="I93" s="87"/>
      <c r="J93" s="85"/>
      <c r="K93" s="85"/>
      <c r="L93" s="2"/>
      <c r="M93" s="2"/>
      <c r="N93" s="1"/>
      <c r="O93" s="1"/>
      <c r="P93" s="85"/>
      <c r="Q93" s="88"/>
      <c r="R93" s="3">
        <f>IFERROR(VLOOKUP(TablaOctubre[[#This Row],[BARRIO]],SECTOR!$A:$B,2,0),"")</f>
      </c>
      <c r="S93" s="89"/>
      <c r="T93" s="90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6"/>
      <c r="AZ93" s="19">
        <f>COUNTIF(U93:AY93,"A")</f>
      </c>
      <c r="BA93" s="17">
        <f>COUNTIF(U93:AY93,"F")</f>
      </c>
      <c r="BB93" s="17">
        <f>COUNTIF(U93:AY93,"E")</f>
      </c>
    </row>
    <row r="94" spans="1:54" ht="15.75" customHeight="1" x14ac:dyDescent="0.2">
      <c r="A94" s="84"/>
      <c r="B94" s="85"/>
      <c r="C94" s="85"/>
      <c r="D94" s="85"/>
      <c r="E94" s="86"/>
      <c r="F94" s="16">
        <f>IF(E94="","",DATEDIF(E94,$I$7,"Y"))</f>
      </c>
      <c r="G94" s="85"/>
      <c r="H94" s="85"/>
      <c r="I94" s="87"/>
      <c r="J94" s="85"/>
      <c r="K94" s="85"/>
      <c r="L94" s="2"/>
      <c r="M94" s="2"/>
      <c r="N94" s="1"/>
      <c r="O94" s="1"/>
      <c r="P94" s="85"/>
      <c r="Q94" s="88"/>
      <c r="R94" s="3">
        <f>IFERROR(VLOOKUP(TablaOctubre[[#This Row],[BARRIO]],SECTOR!$A:$B,2,0),"")</f>
      </c>
      <c r="S94" s="89"/>
      <c r="T94" s="90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6"/>
      <c r="AZ94" s="19">
        <f>COUNTIF(U94:AY94,"A")</f>
      </c>
      <c r="BA94" s="17">
        <f>COUNTIF(U94:AY94,"F")</f>
      </c>
      <c r="BB94" s="17">
        <f>COUNTIF(U94:AY94,"E")</f>
      </c>
    </row>
    <row r="95" spans="1:54" ht="15.75" customHeight="1" x14ac:dyDescent="0.2">
      <c r="A95" s="84"/>
      <c r="B95" s="85"/>
      <c r="C95" s="85"/>
      <c r="D95" s="85"/>
      <c r="E95" s="86"/>
      <c r="F95" s="16">
        <f>IF(E95="","",DATEDIF(E95,$I$7,"Y"))</f>
      </c>
      <c r="G95" s="85"/>
      <c r="H95" s="85"/>
      <c r="I95" s="87"/>
      <c r="J95" s="85"/>
      <c r="K95" s="85"/>
      <c r="L95" s="2"/>
      <c r="M95" s="2"/>
      <c r="N95" s="1"/>
      <c r="O95" s="1"/>
      <c r="P95" s="85"/>
      <c r="Q95" s="88"/>
      <c r="R95" s="3">
        <f>IFERROR(VLOOKUP(TablaOctubre[[#This Row],[BARRIO]],SECTOR!$A:$B,2,0),"")</f>
      </c>
      <c r="S95" s="89"/>
      <c r="T95" s="90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6"/>
      <c r="AZ95" s="19">
        <f>COUNTIF(U95:AY95,"A")</f>
      </c>
      <c r="BA95" s="17">
        <f>COUNTIF(U95:AY95,"F")</f>
      </c>
      <c r="BB95" s="17">
        <f>COUNTIF(U95:AY95,"E")</f>
      </c>
    </row>
    <row r="96" spans="1:54" ht="15.75" customHeight="1" x14ac:dyDescent="0.2">
      <c r="A96" s="84"/>
      <c r="B96" s="85"/>
      <c r="C96" s="85"/>
      <c r="D96" s="85"/>
      <c r="E96" s="86"/>
      <c r="F96" s="16">
        <f>IF(E96="","",DATEDIF(E96,$I$7,"Y"))</f>
      </c>
      <c r="G96" s="85"/>
      <c r="H96" s="85"/>
      <c r="I96" s="87"/>
      <c r="J96" s="85"/>
      <c r="K96" s="85"/>
      <c r="L96" s="2"/>
      <c r="M96" s="2"/>
      <c r="N96" s="1"/>
      <c r="O96" s="1"/>
      <c r="P96" s="85"/>
      <c r="Q96" s="88"/>
      <c r="R96" s="3">
        <f>IFERROR(VLOOKUP(TablaOctubre[[#This Row],[BARRIO]],SECTOR!$A:$B,2,0),"")</f>
      </c>
      <c r="S96" s="89"/>
      <c r="T96" s="90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7"/>
      <c r="AZ96" s="30">
        <f>COUNTIF(U96:AY96,"A")</f>
      </c>
      <c r="BA96" s="17">
        <f>COUNTIF(U96:AY96,"F")</f>
      </c>
      <c r="BB96" s="17">
        <f>COUNTIF(U96:AY96,"E")</f>
      </c>
    </row>
    <row r="97" spans="1:54" ht="15.75" customHeight="1" x14ac:dyDescent="0.2">
      <c r="A97" s="84"/>
      <c r="B97" s="85"/>
      <c r="C97" s="85"/>
      <c r="D97" s="85"/>
      <c r="E97" s="86"/>
      <c r="F97" s="16">
        <f>IF(E97="","",DATEDIF(E97,$I$7,"Y"))</f>
      </c>
      <c r="G97" s="85"/>
      <c r="H97" s="85"/>
      <c r="I97" s="87"/>
      <c r="J97" s="85"/>
      <c r="K97" s="85"/>
      <c r="L97" s="2"/>
      <c r="M97" s="2"/>
      <c r="N97" s="1"/>
      <c r="O97" s="1"/>
      <c r="P97" s="85"/>
      <c r="Q97" s="88"/>
      <c r="R97" s="3">
        <f>IFERROR(VLOOKUP(TablaOctubre[[#This Row],[BARRIO]],SECTOR!$A:$B,2,0),"")</f>
      </c>
      <c r="S97" s="89"/>
      <c r="T97" s="90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6"/>
      <c r="AZ97" s="30">
        <f>COUNTIF(U97:AY97,"A")</f>
      </c>
      <c r="BA97" s="17">
        <f>COUNTIF(U97:AY97,"F")</f>
      </c>
      <c r="BB97" s="17">
        <f>COUNTIF(U97:AY97,"E")</f>
      </c>
    </row>
    <row r="98" spans="1:54" ht="15.75" customHeight="1" x14ac:dyDescent="0.2">
      <c r="A98" s="84"/>
      <c r="B98" s="85"/>
      <c r="C98" s="85"/>
      <c r="D98" s="85"/>
      <c r="E98" s="86"/>
      <c r="F98" s="16">
        <f>IF(E98="","",DATEDIF(E98,$I$7,"Y"))</f>
      </c>
      <c r="G98" s="85"/>
      <c r="H98" s="85"/>
      <c r="I98" s="87"/>
      <c r="J98" s="85"/>
      <c r="K98" s="85"/>
      <c r="L98" s="2"/>
      <c r="M98" s="2"/>
      <c r="N98" s="1"/>
      <c r="O98" s="1"/>
      <c r="P98" s="85"/>
      <c r="Q98" s="88"/>
      <c r="R98" s="3">
        <f>IFERROR(VLOOKUP(TablaOctubre[[#This Row],[BARRIO]],SECTOR!$A:$B,2,0),"")</f>
      </c>
      <c r="S98" s="89"/>
      <c r="T98" s="90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6"/>
      <c r="AZ98" s="30">
        <f>COUNTIF(U98:AY98,"A")</f>
      </c>
      <c r="BA98" s="17">
        <f>COUNTIF(U98:AY98,"F")</f>
      </c>
      <c r="BB98" s="17">
        <f>COUNTIF(U98:AY98,"E")</f>
      </c>
    </row>
    <row r="99" spans="1:54" ht="15.75" customHeight="1" x14ac:dyDescent="0.2">
      <c r="A99" s="84"/>
      <c r="B99" s="85"/>
      <c r="C99" s="85"/>
      <c r="D99" s="85"/>
      <c r="E99" s="86"/>
      <c r="F99" s="16">
        <f>IF(E99="","",DATEDIF(E99,$I$7,"Y"))</f>
      </c>
      <c r="G99" s="85"/>
      <c r="H99" s="85"/>
      <c r="I99" s="87"/>
      <c r="J99" s="85"/>
      <c r="K99" s="85"/>
      <c r="L99" s="2"/>
      <c r="M99" s="2"/>
      <c r="N99" s="1"/>
      <c r="O99" s="1"/>
      <c r="P99" s="85"/>
      <c r="Q99" s="88"/>
      <c r="R99" s="3">
        <f>IFERROR(VLOOKUP(TablaOctubre[[#This Row],[BARRIO]],SECTOR!$A:$B,2,0),"")</f>
      </c>
      <c r="S99" s="89"/>
      <c r="T99" s="90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6"/>
      <c r="AZ99" s="30">
        <f>COUNTIF(U99:AY99,"A")</f>
      </c>
      <c r="BA99" s="17">
        <f>COUNTIF(U99:AY99,"F")</f>
      </c>
      <c r="BB99" s="17">
        <f>COUNTIF(U99:AY99,"E")</f>
      </c>
    </row>
    <row r="100" spans="1:54" ht="15.75" customHeight="1" x14ac:dyDescent="0.2">
      <c r="A100" s="84"/>
      <c r="B100" s="85"/>
      <c r="C100" s="85"/>
      <c r="D100" s="85"/>
      <c r="E100" s="86"/>
      <c r="F100" s="16">
        <f>IF(E100="","",DATEDIF(E100,$I$7,"Y"))</f>
      </c>
      <c r="G100" s="85"/>
      <c r="H100" s="85"/>
      <c r="I100" s="87"/>
      <c r="J100" s="85"/>
      <c r="K100" s="85"/>
      <c r="L100" s="2"/>
      <c r="M100" s="2"/>
      <c r="N100" s="1"/>
      <c r="O100" s="1"/>
      <c r="P100" s="85"/>
      <c r="Q100" s="88"/>
      <c r="R100" s="3">
        <f>IFERROR(VLOOKUP(TablaOctubre[[#This Row],[BARRIO]],SECTOR!$A:$B,2,0),"")</f>
      </c>
      <c r="S100" s="89"/>
      <c r="T100" s="90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6"/>
      <c r="AZ100" s="30">
        <f>COUNTIF(U100:AY100,"A")</f>
      </c>
      <c r="BA100" s="17">
        <f>COUNTIF(U100:AY100,"F")</f>
      </c>
      <c r="BB100" s="17">
        <f>COUNTIF(U100:AY100,"E")</f>
      </c>
    </row>
    <row r="101" spans="1:54" ht="15.75" customHeight="1" x14ac:dyDescent="0.2">
      <c r="A101" s="84"/>
      <c r="B101" s="85"/>
      <c r="C101" s="85"/>
      <c r="D101" s="85"/>
      <c r="E101" s="86"/>
      <c r="F101" s="16">
        <f>IF(E101="","",DATEDIF(E101,$I$7,"Y"))</f>
      </c>
      <c r="G101" s="85"/>
      <c r="H101" s="85"/>
      <c r="I101" s="87"/>
      <c r="J101" s="85"/>
      <c r="K101" s="85"/>
      <c r="L101" s="2"/>
      <c r="M101" s="2"/>
      <c r="N101" s="1"/>
      <c r="O101" s="1"/>
      <c r="P101" s="85"/>
      <c r="Q101" s="88"/>
      <c r="R101" s="3">
        <f>IFERROR(VLOOKUP(TablaOctubre[[#This Row],[BARRIO]],SECTOR!$A:$B,2,0),"")</f>
      </c>
      <c r="S101" s="89"/>
      <c r="T101" s="90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6"/>
      <c r="AZ101" s="30">
        <f>COUNTIF(U101:AY101,"A")</f>
      </c>
      <c r="BA101" s="17">
        <f>COUNTIF(U101:AY101,"F")</f>
      </c>
      <c r="BB101" s="17">
        <f>COUNTIF(U101:AY101,"E")</f>
      </c>
    </row>
    <row r="102" spans="1:54" ht="15.75" customHeight="1" x14ac:dyDescent="0.2">
      <c r="A102" s="84"/>
      <c r="B102" s="85"/>
      <c r="C102" s="85"/>
      <c r="D102" s="85"/>
      <c r="E102" s="86"/>
      <c r="F102" s="16">
        <f>IF(E102="","",DATEDIF(E102,$I$7,"Y"))</f>
      </c>
      <c r="G102" s="85"/>
      <c r="H102" s="85"/>
      <c r="I102" s="87"/>
      <c r="J102" s="85"/>
      <c r="K102" s="85"/>
      <c r="L102" s="2"/>
      <c r="M102" s="2"/>
      <c r="N102" s="1"/>
      <c r="O102" s="1"/>
      <c r="P102" s="85"/>
      <c r="Q102" s="88"/>
      <c r="R102" s="3">
        <f>IFERROR(VLOOKUP(TablaOctubre[[#This Row],[BARRIO]],SECTOR!$A:$B,2,0),"")</f>
      </c>
      <c r="S102" s="89"/>
      <c r="T102" s="90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6"/>
      <c r="AZ102" s="30">
        <f>COUNTIF(U102:AY102,"A")</f>
      </c>
      <c r="BA102" s="17">
        <f>COUNTIF(U102:AY102,"F")</f>
      </c>
      <c r="BB102" s="17">
        <f>COUNTIF(U102:AY102,"E")</f>
      </c>
    </row>
    <row r="103" spans="1:54" ht="15.75" customHeight="1" x14ac:dyDescent="0.2">
      <c r="A103" s="84"/>
      <c r="B103" s="85"/>
      <c r="C103" s="85"/>
      <c r="D103" s="85"/>
      <c r="E103" s="86"/>
      <c r="F103" s="16">
        <f>IF(E103="","",DATEDIF(E103,$I$7,"Y"))</f>
      </c>
      <c r="G103" s="85"/>
      <c r="H103" s="85"/>
      <c r="I103" s="87"/>
      <c r="J103" s="85"/>
      <c r="K103" s="85"/>
      <c r="L103" s="2"/>
      <c r="M103" s="2"/>
      <c r="N103" s="1"/>
      <c r="O103" s="1"/>
      <c r="P103" s="85"/>
      <c r="Q103" s="88"/>
      <c r="R103" s="3">
        <f>IFERROR(VLOOKUP(TablaOctubre[[#This Row],[BARRIO]],SECTOR!$A:$B,2,0),"")</f>
      </c>
      <c r="S103" s="89"/>
      <c r="T103" s="90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6"/>
      <c r="AZ103" s="30">
        <f>COUNTIF(U103:AY103,"A")</f>
      </c>
      <c r="BA103" s="17">
        <f>COUNTIF(U103:AY103,"F")</f>
      </c>
      <c r="BB103" s="17">
        <f>COUNTIF(U103:AY103,"E")</f>
      </c>
    </row>
    <row r="104" spans="1:54" ht="15.75" customHeight="1" x14ac:dyDescent="0.2">
      <c r="A104" s="84"/>
      <c r="B104" s="85"/>
      <c r="C104" s="85"/>
      <c r="D104" s="85"/>
      <c r="E104" s="86"/>
      <c r="F104" s="16">
        <f>IF(E104="","",DATEDIF(E104,$I$7,"Y"))</f>
      </c>
      <c r="G104" s="85"/>
      <c r="H104" s="85"/>
      <c r="I104" s="87"/>
      <c r="J104" s="85"/>
      <c r="K104" s="85"/>
      <c r="L104" s="2"/>
      <c r="M104" s="2"/>
      <c r="N104" s="1"/>
      <c r="O104" s="1"/>
      <c r="P104" s="85"/>
      <c r="Q104" s="88"/>
      <c r="R104" s="3">
        <f>IFERROR(VLOOKUP(TablaOctubre[[#This Row],[BARRIO]],SECTOR!$A:$B,2,0),"")</f>
      </c>
      <c r="S104" s="89"/>
      <c r="T104" s="90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6"/>
      <c r="AZ104" s="30">
        <f>COUNTIF(U104:AY104,"A")</f>
      </c>
      <c r="BA104" s="17">
        <f>COUNTIF(U104:AY104,"F")</f>
      </c>
      <c r="BB104" s="17">
        <f>COUNTIF(U104:AY104,"E")</f>
      </c>
    </row>
    <row r="105" spans="1:54" ht="15.75" customHeight="1" x14ac:dyDescent="0.2">
      <c r="A105" s="84"/>
      <c r="B105" s="85"/>
      <c r="C105" s="85"/>
      <c r="D105" s="85"/>
      <c r="E105" s="86"/>
      <c r="F105" s="16">
        <f>IF(E105="","",DATEDIF(E105,$I$7,"Y"))</f>
      </c>
      <c r="G105" s="85"/>
      <c r="H105" s="85"/>
      <c r="I105" s="87"/>
      <c r="J105" s="85"/>
      <c r="K105" s="85"/>
      <c r="L105" s="2"/>
      <c r="M105" s="2"/>
      <c r="N105" s="1"/>
      <c r="O105" s="1"/>
      <c r="P105" s="85"/>
      <c r="Q105" s="88"/>
      <c r="R105" s="3">
        <f>IFERROR(VLOOKUP(TablaOctubre[[#This Row],[BARRIO]],SECTOR!$A:$B,2,0),"")</f>
      </c>
      <c r="S105" s="89"/>
      <c r="T105" s="90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6"/>
      <c r="AZ105" s="30">
        <f>COUNTIF(U105:AY105,"A")</f>
      </c>
      <c r="BA105" s="17">
        <f>COUNTIF(U105:AY105,"F")</f>
      </c>
      <c r="BB105" s="17">
        <f>COUNTIF(U105:AY105,"E")</f>
      </c>
    </row>
    <row r="106" spans="1:54" ht="15.75" customHeight="1" x14ac:dyDescent="0.2">
      <c r="A106" s="84"/>
      <c r="B106" s="85"/>
      <c r="C106" s="85"/>
      <c r="D106" s="85"/>
      <c r="E106" s="86"/>
      <c r="F106" s="16">
        <f>IF(E106="","",DATEDIF(E106,$I$7,"Y"))</f>
      </c>
      <c r="G106" s="85"/>
      <c r="H106" s="85"/>
      <c r="I106" s="87"/>
      <c r="J106" s="85"/>
      <c r="K106" s="85"/>
      <c r="L106" s="2"/>
      <c r="M106" s="2"/>
      <c r="N106" s="1"/>
      <c r="O106" s="1"/>
      <c r="P106" s="85"/>
      <c r="Q106" s="88"/>
      <c r="R106" s="3">
        <f>IFERROR(VLOOKUP(TablaOctubre[[#This Row],[BARRIO]],SECTOR!$A:$B,2,0),"")</f>
      </c>
      <c r="S106" s="89"/>
      <c r="T106" s="90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6"/>
      <c r="AZ106" s="30">
        <f>COUNTIF(U106:AY106,"A")</f>
      </c>
      <c r="BA106" s="17">
        <f>COUNTIF(U106:AY106,"F")</f>
      </c>
      <c r="BB106" s="17">
        <f>COUNTIF(U106:AY106,"E")</f>
      </c>
    </row>
    <row r="107" spans="1:54" ht="15.75" customHeight="1" x14ac:dyDescent="0.2">
      <c r="A107" s="84"/>
      <c r="B107" s="85"/>
      <c r="C107" s="85"/>
      <c r="D107" s="85"/>
      <c r="E107" s="86"/>
      <c r="F107" s="16">
        <f>IF(E107="","",DATEDIF(E107,$I$7,"Y"))</f>
      </c>
      <c r="G107" s="85"/>
      <c r="H107" s="85"/>
      <c r="I107" s="87"/>
      <c r="J107" s="85"/>
      <c r="K107" s="85"/>
      <c r="L107" s="2"/>
      <c r="M107" s="2"/>
      <c r="N107" s="1"/>
      <c r="O107" s="1"/>
      <c r="P107" s="85"/>
      <c r="Q107" s="88"/>
      <c r="R107" s="3">
        <f>IFERROR(VLOOKUP(TablaOctubre[[#This Row],[BARRIO]],SECTOR!$A:$B,2,0),"")</f>
      </c>
      <c r="S107" s="89"/>
      <c r="T107" s="90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6"/>
      <c r="AZ107" s="30">
        <f>COUNTIF(U107:AY107,"A")</f>
      </c>
      <c r="BA107" s="17">
        <f>COUNTIF(U107:AY107,"F")</f>
      </c>
      <c r="BB107" s="17">
        <f>COUNTIF(U107:AY107,"E")</f>
      </c>
    </row>
    <row r="108" spans="1:54" ht="15.75" customHeight="1" x14ac:dyDescent="0.2">
      <c r="A108" s="84"/>
      <c r="B108" s="85"/>
      <c r="C108" s="85"/>
      <c r="D108" s="85"/>
      <c r="E108" s="86"/>
      <c r="F108" s="16">
        <f>IF(E108="","",DATEDIF(E108,$I$7,"Y"))</f>
      </c>
      <c r="G108" s="85"/>
      <c r="H108" s="85"/>
      <c r="I108" s="87"/>
      <c r="J108" s="85"/>
      <c r="K108" s="85"/>
      <c r="L108" s="2"/>
      <c r="M108" s="2"/>
      <c r="N108" s="1"/>
      <c r="O108" s="1"/>
      <c r="P108" s="85"/>
      <c r="Q108" s="88"/>
      <c r="R108" s="3">
        <f>IFERROR(VLOOKUP(TablaOctubre[[#This Row],[BARRIO]],SECTOR!$A:$B,2,0),"")</f>
      </c>
      <c r="S108" s="89"/>
      <c r="T108" s="90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6"/>
      <c r="AZ108" s="30">
        <f>COUNTIF(U108:AY108,"A")</f>
      </c>
      <c r="BA108" s="17">
        <f>COUNTIF(U108:AY108,"F")</f>
      </c>
      <c r="BB108" s="17">
        <f>COUNTIF(U108:AY108,"E")</f>
      </c>
    </row>
    <row r="109" spans="1:54" ht="15.75" customHeight="1" x14ac:dyDescent="0.2">
      <c r="A109" s="84"/>
      <c r="B109" s="85"/>
      <c r="C109" s="85"/>
      <c r="D109" s="85"/>
      <c r="E109" s="86"/>
      <c r="F109" s="16">
        <f>IF(E109="","",DATEDIF(E109,$I$7,"Y"))</f>
      </c>
      <c r="G109" s="85"/>
      <c r="H109" s="85"/>
      <c r="I109" s="87"/>
      <c r="J109" s="85"/>
      <c r="K109" s="85"/>
      <c r="L109" s="2"/>
      <c r="M109" s="2"/>
      <c r="N109" s="1"/>
      <c r="O109" s="1"/>
      <c r="P109" s="85"/>
      <c r="Q109" s="88"/>
      <c r="R109" s="3">
        <f>IFERROR(VLOOKUP(TablaOctubre[[#This Row],[BARRIO]],SECTOR!$A:$B,2,0),"")</f>
      </c>
      <c r="S109" s="89"/>
      <c r="T109" s="90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6"/>
      <c r="AZ109" s="30">
        <f>COUNTIF(U109:AY109,"A")</f>
      </c>
      <c r="BA109" s="17">
        <f>COUNTIF(U109:AY109,"F")</f>
      </c>
      <c r="BB109" s="17">
        <f>COUNTIF(U109:AY109,"E")</f>
      </c>
    </row>
    <row r="110" spans="1:54" ht="15.75" customHeight="1" x14ac:dyDescent="0.2">
      <c r="A110" s="84"/>
      <c r="B110" s="85"/>
      <c r="C110" s="85"/>
      <c r="D110" s="85"/>
      <c r="E110" s="86"/>
      <c r="F110" s="16">
        <f>IF(E110="","",DATEDIF(E110,$I$7,"Y"))</f>
      </c>
      <c r="G110" s="85"/>
      <c r="H110" s="85"/>
      <c r="I110" s="87"/>
      <c r="J110" s="85"/>
      <c r="K110" s="85"/>
      <c r="L110" s="2"/>
      <c r="M110" s="2"/>
      <c r="N110" s="1"/>
      <c r="O110" s="1"/>
      <c r="P110" s="85"/>
      <c r="Q110" s="88"/>
      <c r="R110" s="3">
        <f>IFERROR(VLOOKUP(TablaOctubre[[#This Row],[BARRIO]],SECTOR!$A:$B,2,0),"")</f>
      </c>
      <c r="S110" s="89"/>
      <c r="T110" s="90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6"/>
      <c r="AZ110" s="30">
        <f>COUNTIF(U110:AY110,"A")</f>
      </c>
      <c r="BA110" s="17">
        <f>COUNTIF(U110:AY110,"F")</f>
      </c>
      <c r="BB110" s="17">
        <f>COUNTIF(U110:AY110,"E")</f>
      </c>
    </row>
    <row r="111" spans="1:54" ht="15.75" customHeight="1" x14ac:dyDescent="0.2">
      <c r="A111" s="84"/>
      <c r="B111" s="85"/>
      <c r="C111" s="85"/>
      <c r="D111" s="85"/>
      <c r="E111" s="86"/>
      <c r="F111" s="16">
        <f>IF(E111="","",DATEDIF(E111,$I$7,"Y"))</f>
      </c>
      <c r="G111" s="85"/>
      <c r="H111" s="85"/>
      <c r="I111" s="87"/>
      <c r="J111" s="85"/>
      <c r="K111" s="85"/>
      <c r="L111" s="2"/>
      <c r="M111" s="2"/>
      <c r="N111" s="1"/>
      <c r="O111" s="1"/>
      <c r="P111" s="85"/>
      <c r="Q111" s="88"/>
      <c r="R111" s="3">
        <f>IFERROR(VLOOKUP(TablaOctubre[[#This Row],[BARRIO]],SECTOR!$A:$B,2,0),"")</f>
      </c>
      <c r="S111" s="89"/>
      <c r="T111" s="90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6"/>
      <c r="AZ111" s="30">
        <f>COUNTIF(U111:AY111,"A")</f>
      </c>
      <c r="BA111" s="17">
        <f>COUNTIF(U111:AY111,"F")</f>
      </c>
      <c r="BB111" s="17">
        <f>COUNTIF(U111:AY111,"E")</f>
      </c>
    </row>
    <row r="112" spans="1:54" ht="15.75" customHeight="1" x14ac:dyDescent="0.2">
      <c r="A112" s="84"/>
      <c r="B112" s="85"/>
      <c r="C112" s="85"/>
      <c r="D112" s="85"/>
      <c r="E112" s="86"/>
      <c r="F112" s="16">
        <f>IF(E112="","",DATEDIF(E112,$I$7,"Y"))</f>
      </c>
      <c r="G112" s="85"/>
      <c r="H112" s="85"/>
      <c r="I112" s="87"/>
      <c r="J112" s="85"/>
      <c r="K112" s="85"/>
      <c r="L112" s="2"/>
      <c r="M112" s="2"/>
      <c r="N112" s="1"/>
      <c r="O112" s="1"/>
      <c r="P112" s="85"/>
      <c r="Q112" s="88"/>
      <c r="R112" s="3">
        <f>IFERROR(VLOOKUP(TablaOctubre[[#This Row],[BARRIO]],SECTOR!$A:$B,2,0),"")</f>
      </c>
      <c r="S112" s="89"/>
      <c r="T112" s="90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6"/>
      <c r="AZ112" s="30">
        <f>COUNTIF(U112:AY112,"A")</f>
      </c>
      <c r="BA112" s="17">
        <f>COUNTIF(U112:AY112,"F")</f>
      </c>
      <c r="BB112" s="17">
        <f>COUNTIF(U112:AY112,"E")</f>
      </c>
    </row>
    <row r="113" spans="1:54" ht="15.75" customHeight="1" x14ac:dyDescent="0.2">
      <c r="A113" s="84"/>
      <c r="B113" s="85"/>
      <c r="C113" s="85"/>
      <c r="D113" s="85"/>
      <c r="E113" s="86"/>
      <c r="F113" s="16">
        <f>IF(E113="","",DATEDIF(E113,$I$7,"Y"))</f>
      </c>
      <c r="G113" s="85"/>
      <c r="H113" s="85"/>
      <c r="I113" s="87"/>
      <c r="J113" s="85"/>
      <c r="K113" s="85"/>
      <c r="L113" s="2"/>
      <c r="M113" s="2"/>
      <c r="N113" s="1"/>
      <c r="O113" s="1"/>
      <c r="P113" s="85"/>
      <c r="Q113" s="88"/>
      <c r="R113" s="3">
        <f>IFERROR(VLOOKUP(TablaOctubre[[#This Row],[BARRIO]],SECTOR!$A:$B,2,0),"")</f>
      </c>
      <c r="S113" s="89"/>
      <c r="T113" s="90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6"/>
      <c r="AZ113" s="30">
        <f>COUNTIF(U113:AY113,"A")</f>
      </c>
      <c r="BA113" s="17">
        <f>COUNTIF(U113:AY113,"F")</f>
      </c>
      <c r="BB113" s="17">
        <f>COUNTIF(U113:AY113,"E")</f>
      </c>
    </row>
    <row r="114" spans="1:54" ht="15.75" customHeight="1" x14ac:dyDescent="0.2">
      <c r="A114" s="84"/>
      <c r="B114" s="85"/>
      <c r="C114" s="85"/>
      <c r="D114" s="85"/>
      <c r="E114" s="86"/>
      <c r="F114" s="16">
        <f>IF(E114="","",DATEDIF(E114,$I$7,"Y"))</f>
      </c>
      <c r="G114" s="85"/>
      <c r="H114" s="85"/>
      <c r="I114" s="87"/>
      <c r="J114" s="85"/>
      <c r="K114" s="85"/>
      <c r="L114" s="2"/>
      <c r="M114" s="2"/>
      <c r="N114" s="1"/>
      <c r="O114" s="1"/>
      <c r="P114" s="85"/>
      <c r="Q114" s="88"/>
      <c r="R114" s="3">
        <f>IFERROR(VLOOKUP(TablaOctubre[[#This Row],[BARRIO]],SECTOR!$A:$B,2,0),"")</f>
      </c>
      <c r="S114" s="89"/>
      <c r="T114" s="90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6"/>
      <c r="AZ114" s="30">
        <f>COUNTIF(U114:AY114,"A")</f>
      </c>
      <c r="BA114" s="17">
        <f>COUNTIF(U114:AY114,"F")</f>
      </c>
      <c r="BB114" s="17">
        <f>COUNTIF(U114:AY114,"E")</f>
      </c>
    </row>
    <row r="115" spans="1:54" ht="15.75" customHeight="1" x14ac:dyDescent="0.2">
      <c r="A115" s="84"/>
      <c r="B115" s="85"/>
      <c r="C115" s="85"/>
      <c r="D115" s="85"/>
      <c r="E115" s="86"/>
      <c r="F115" s="16">
        <f>IF(E115="","",DATEDIF(E115,$I$7,"Y"))</f>
      </c>
      <c r="G115" s="85"/>
      <c r="H115" s="85"/>
      <c r="I115" s="87"/>
      <c r="J115" s="85"/>
      <c r="K115" s="85"/>
      <c r="L115" s="2"/>
      <c r="M115" s="2"/>
      <c r="N115" s="1"/>
      <c r="O115" s="1"/>
      <c r="P115" s="85"/>
      <c r="Q115" s="88"/>
      <c r="R115" s="3">
        <f>IFERROR(VLOOKUP(TablaOctubre[[#This Row],[BARRIO]],SECTOR!$A:$B,2,0),"")</f>
      </c>
      <c r="S115" s="89"/>
      <c r="T115" s="90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6"/>
      <c r="AZ115" s="30">
        <f>COUNTIF(U115:AY115,"A")</f>
      </c>
      <c r="BA115" s="17">
        <f>COUNTIF(U115:AY115,"F")</f>
      </c>
      <c r="BB115" s="17">
        <f>COUNTIF(U115:AY115,"E")</f>
      </c>
    </row>
    <row r="116" spans="1:54" ht="15.75" customHeight="1" x14ac:dyDescent="0.2">
      <c r="A116" s="84"/>
      <c r="B116" s="85"/>
      <c r="C116" s="85"/>
      <c r="D116" s="85"/>
      <c r="E116" s="86"/>
      <c r="F116" s="16">
        <f>IF(E116="","",DATEDIF(E116,$I$7,"Y"))</f>
      </c>
      <c r="G116" s="85"/>
      <c r="H116" s="85"/>
      <c r="I116" s="87"/>
      <c r="J116" s="85"/>
      <c r="K116" s="85"/>
      <c r="L116" s="2"/>
      <c r="M116" s="2"/>
      <c r="N116" s="1"/>
      <c r="O116" s="1"/>
      <c r="P116" s="85"/>
      <c r="Q116" s="88"/>
      <c r="R116" s="3">
        <f>IFERROR(VLOOKUP(TablaOctubre[[#This Row],[BARRIO]],SECTOR!$A:$B,2,0),"")</f>
      </c>
      <c r="S116" s="89"/>
      <c r="T116" s="90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6"/>
      <c r="AZ116" s="30">
        <f>COUNTIF(U116:AY116,"A")</f>
      </c>
      <c r="BA116" s="17">
        <f>COUNTIF(U116:AY116,"F")</f>
      </c>
      <c r="BB116" s="17">
        <f>COUNTIF(U116:AY116,"E")</f>
      </c>
    </row>
    <row r="117" spans="1:54" ht="15.75" customHeight="1" x14ac:dyDescent="0.2">
      <c r="A117" s="84"/>
      <c r="B117" s="85"/>
      <c r="C117" s="85"/>
      <c r="D117" s="85"/>
      <c r="E117" s="86"/>
      <c r="F117" s="16">
        <f>IF(E117="","",DATEDIF(E117,$I$7,"Y"))</f>
      </c>
      <c r="G117" s="85"/>
      <c r="H117" s="85"/>
      <c r="I117" s="87"/>
      <c r="J117" s="85"/>
      <c r="K117" s="85"/>
      <c r="L117" s="2"/>
      <c r="M117" s="2"/>
      <c r="N117" s="1"/>
      <c r="O117" s="1"/>
      <c r="P117" s="85"/>
      <c r="Q117" s="88"/>
      <c r="R117" s="3">
        <f>IFERROR(VLOOKUP(TablaOctubre[[#This Row],[BARRIO]],SECTOR!$A:$B,2,0),"")</f>
      </c>
      <c r="S117" s="89"/>
      <c r="T117" s="90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6"/>
      <c r="AZ117" s="30">
        <f>COUNTIF(U117:AY117,"A")</f>
      </c>
      <c r="BA117" s="17">
        <f>COUNTIF(U117:AY117,"F")</f>
      </c>
      <c r="BB117" s="17">
        <f>COUNTIF(U117:AY117,"E")</f>
      </c>
    </row>
    <row r="118" spans="1:54" ht="15.75" customHeight="1" x14ac:dyDescent="0.2">
      <c r="A118" s="84"/>
      <c r="B118" s="85"/>
      <c r="C118" s="85"/>
      <c r="D118" s="85"/>
      <c r="E118" s="86"/>
      <c r="F118" s="16">
        <f>IF(E118="","",DATEDIF(E118,$I$7,"Y"))</f>
      </c>
      <c r="G118" s="85"/>
      <c r="H118" s="85"/>
      <c r="I118" s="87"/>
      <c r="J118" s="85"/>
      <c r="K118" s="85"/>
      <c r="L118" s="2"/>
      <c r="M118" s="2"/>
      <c r="N118" s="1"/>
      <c r="O118" s="1"/>
      <c r="P118" s="85"/>
      <c r="Q118" s="88"/>
      <c r="R118" s="3">
        <f>IFERROR(VLOOKUP(TablaOctubre[[#This Row],[BARRIO]],SECTOR!$A:$B,2,0),"")</f>
      </c>
      <c r="S118" s="89"/>
      <c r="T118" s="90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6"/>
      <c r="AZ118" s="30">
        <f>COUNTIF(U118:AY118,"A")</f>
      </c>
      <c r="BA118" s="17">
        <f>COUNTIF(U118:AY118,"F")</f>
      </c>
      <c r="BB118" s="17">
        <f>COUNTIF(U118:AY118,"E")</f>
      </c>
    </row>
    <row r="119" spans="1:54" ht="15.75" customHeight="1" x14ac:dyDescent="0.2">
      <c r="A119" s="84"/>
      <c r="B119" s="85"/>
      <c r="C119" s="85"/>
      <c r="D119" s="85"/>
      <c r="E119" s="86"/>
      <c r="F119" s="16">
        <f>IF(E119="","",DATEDIF(E119,$I$7,"Y"))</f>
      </c>
      <c r="G119" s="85"/>
      <c r="H119" s="85"/>
      <c r="I119" s="87"/>
      <c r="J119" s="85"/>
      <c r="K119" s="85"/>
      <c r="L119" s="2"/>
      <c r="M119" s="2"/>
      <c r="N119" s="1"/>
      <c r="O119" s="1"/>
      <c r="P119" s="85"/>
      <c r="Q119" s="88"/>
      <c r="R119" s="3">
        <f>IFERROR(VLOOKUP(TablaOctubre[[#This Row],[BARRIO]],SECTOR!$A:$B,2,0),"")</f>
      </c>
      <c r="S119" s="89"/>
      <c r="T119" s="90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6"/>
      <c r="AZ119" s="30">
        <f>COUNTIF(U119:AY119,"A")</f>
      </c>
      <c r="BA119" s="17">
        <f>COUNTIF(U119:AY119,"F")</f>
      </c>
      <c r="BB119" s="17">
        <f>COUNTIF(U119:AY119,"E")</f>
      </c>
    </row>
    <row r="120" spans="1:54" ht="15.75" customHeight="1" x14ac:dyDescent="0.2">
      <c r="A120" s="84"/>
      <c r="B120" s="85"/>
      <c r="C120" s="85"/>
      <c r="D120" s="85"/>
      <c r="E120" s="86"/>
      <c r="F120" s="16">
        <f>IF(E120="","",DATEDIF(E120,$I$7,"Y"))</f>
      </c>
      <c r="G120" s="85"/>
      <c r="H120" s="85"/>
      <c r="I120" s="87"/>
      <c r="J120" s="85"/>
      <c r="K120" s="85"/>
      <c r="L120" s="2"/>
      <c r="M120" s="2"/>
      <c r="N120" s="1"/>
      <c r="O120" s="1"/>
      <c r="P120" s="85"/>
      <c r="Q120" s="88"/>
      <c r="R120" s="3">
        <f>IFERROR(VLOOKUP(TablaOctubre[[#This Row],[BARRIO]],SECTOR!$A:$B,2,0),"")</f>
      </c>
      <c r="S120" s="89"/>
      <c r="T120" s="90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6"/>
      <c r="AZ120" s="30">
        <f>COUNTIF(U120:AY120,"A")</f>
      </c>
      <c r="BA120" s="17">
        <f>COUNTIF(U120:AY120,"F")</f>
      </c>
      <c r="BB120" s="17">
        <f>COUNTIF(U120:AY120,"E")</f>
      </c>
    </row>
    <row r="121" spans="1:54" ht="15.75" customHeight="1" x14ac:dyDescent="0.2">
      <c r="A121" s="84"/>
      <c r="B121" s="85"/>
      <c r="C121" s="85"/>
      <c r="D121" s="85"/>
      <c r="E121" s="86"/>
      <c r="F121" s="16">
        <f>IF(E121="","",DATEDIF(E121,$I$7,"Y"))</f>
      </c>
      <c r="G121" s="85"/>
      <c r="H121" s="85"/>
      <c r="I121" s="87"/>
      <c r="J121" s="85"/>
      <c r="K121" s="85"/>
      <c r="L121" s="2"/>
      <c r="M121" s="2"/>
      <c r="N121" s="1"/>
      <c r="O121" s="1"/>
      <c r="P121" s="85"/>
      <c r="Q121" s="88"/>
      <c r="R121" s="3">
        <f>IFERROR(VLOOKUP(TablaOctubre[[#This Row],[BARRIO]],SECTOR!$A:$B,2,0),"")</f>
      </c>
      <c r="S121" s="89"/>
      <c r="T121" s="90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6"/>
      <c r="AZ121" s="30">
        <f>COUNTIF(U121:AY121,"A")</f>
      </c>
      <c r="BA121" s="17">
        <f>COUNTIF(U121:AY121,"F")</f>
      </c>
      <c r="BB121" s="17">
        <f>COUNTIF(U121:AY121,"E")</f>
      </c>
    </row>
    <row r="122" spans="1:54" ht="15.75" customHeight="1" x14ac:dyDescent="0.2">
      <c r="A122" s="84"/>
      <c r="B122" s="85"/>
      <c r="C122" s="85"/>
      <c r="D122" s="85"/>
      <c r="E122" s="86"/>
      <c r="F122" s="16">
        <f>IF(E122="","",DATEDIF(E122,$I$7,"Y"))</f>
      </c>
      <c r="G122" s="85"/>
      <c r="H122" s="85"/>
      <c r="I122" s="87"/>
      <c r="J122" s="85"/>
      <c r="K122" s="85"/>
      <c r="L122" s="2"/>
      <c r="M122" s="2"/>
      <c r="N122" s="1"/>
      <c r="O122" s="1"/>
      <c r="P122" s="85"/>
      <c r="Q122" s="88"/>
      <c r="R122" s="3">
        <f>IFERROR(VLOOKUP(TablaOctubre[[#This Row],[BARRIO]],SECTOR!$A:$B,2,0),"")</f>
      </c>
      <c r="S122" s="89"/>
      <c r="T122" s="90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30">
        <f>COUNTIF(U122:AY122,"A")</f>
      </c>
      <c r="BA122" s="17">
        <f>COUNTIF(U122:AY122,"F")</f>
      </c>
      <c r="BB122" s="17">
        <f>COUNTIF(U122:AY122,"E")</f>
      </c>
    </row>
    <row r="123" spans="1:54" x14ac:dyDescent="0.2">
      <c r="A123" s="100"/>
      <c r="B123" s="101"/>
      <c r="C123" s="101"/>
      <c r="D123" s="101"/>
      <c r="E123" s="102"/>
      <c r="F123" s="16">
        <f>IF(E123="","",DATEDIF(E123,$I$7,"Y"))</f>
      </c>
      <c r="G123" s="101"/>
      <c r="H123" s="101"/>
      <c r="I123" s="103"/>
      <c r="J123" s="101"/>
      <c r="K123" s="101"/>
      <c r="L123" s="10"/>
      <c r="M123" s="10"/>
      <c r="N123" s="10"/>
      <c r="O123" s="10"/>
      <c r="P123" s="101"/>
      <c r="Q123" s="88"/>
      <c r="R123" s="3">
        <f>IFERROR(VLOOKUP(TablaOctubre[[#This Row],[BARRIO]],SECTOR!$A:$B,2,0),"")</f>
      </c>
      <c r="S123" s="104"/>
      <c r="T123" s="10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7"/>
      <c r="AZ123" s="30">
        <f>COUNTIF(U123:AY123,"A")</f>
      </c>
      <c r="BA123" s="32">
        <f>COUNTIF(U123:AY123,"F")</f>
      </c>
      <c r="BB123" s="118">
        <f>COUNTIF(U123:AY123,"E")</f>
      </c>
    </row>
    <row r="124" spans="1:54" x14ac:dyDescent="0.2">
      <c r="A124" s="100"/>
      <c r="B124" s="101"/>
      <c r="C124" s="101"/>
      <c r="D124" s="101"/>
      <c r="E124" s="102"/>
      <c r="F124" s="16">
        <f>IF(E124="","",DATEDIF(E124,$I$7,"Y"))</f>
      </c>
      <c r="G124" s="101"/>
      <c r="H124" s="101"/>
      <c r="I124" s="103"/>
      <c r="J124" s="101"/>
      <c r="K124" s="101"/>
      <c r="L124" s="10"/>
      <c r="M124" s="10"/>
      <c r="N124" s="10"/>
      <c r="O124" s="10"/>
      <c r="P124" s="101"/>
      <c r="Q124" s="88"/>
      <c r="R124" s="3">
        <f>IFERROR(VLOOKUP(TablaOctubre[[#This Row],[BARRIO]],SECTOR!$A:$B,2,0),"")</f>
      </c>
      <c r="S124" s="104"/>
      <c r="T124" s="10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7"/>
      <c r="AZ124" s="30">
        <f>COUNTIF(U124:AY124,"A")</f>
      </c>
      <c r="BA124" s="32">
        <f>COUNTIF(U124:AY124,"F")</f>
      </c>
      <c r="BB124" s="118">
        <f>COUNTIF(U124:AY124,"E")</f>
      </c>
    </row>
    <row r="125" spans="1:54" x14ac:dyDescent="0.2">
      <c r="A125" s="100"/>
      <c r="B125" s="106"/>
      <c r="C125" s="101"/>
      <c r="D125" s="101"/>
      <c r="E125" s="102"/>
      <c r="F125" s="16">
        <f>IF(E125="","",DATEDIF(E125,$I$7,"Y"))</f>
      </c>
      <c r="G125" s="101"/>
      <c r="H125" s="101"/>
      <c r="I125" s="103"/>
      <c r="J125" s="101"/>
      <c r="K125" s="101"/>
      <c r="L125" s="10"/>
      <c r="M125" s="10"/>
      <c r="N125" s="10"/>
      <c r="O125" s="10"/>
      <c r="P125" s="101"/>
      <c r="Q125" s="88"/>
      <c r="R125" s="3">
        <f>IFERROR(VLOOKUP(TablaOctubre[[#This Row],[BARRIO]],SECTOR!$A:$B,2,0),"")</f>
      </c>
      <c r="S125" s="104"/>
      <c r="T125" s="10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7"/>
      <c r="AZ125" s="30">
        <f>COUNTIF(U125:AY125,"A")</f>
      </c>
      <c r="BA125" s="32">
        <f>COUNTIF(U125:AY125,"F")</f>
      </c>
      <c r="BB125" s="118">
        <f>COUNTIF(U125:AY125,"E")</f>
      </c>
    </row>
    <row r="126" spans="1:54" x14ac:dyDescent="0.2">
      <c r="A126" s="84"/>
      <c r="B126" s="107"/>
      <c r="C126" s="85"/>
      <c r="D126" s="85"/>
      <c r="E126" s="86"/>
      <c r="F126" s="16">
        <f>IF(E126="","",DATEDIF(E126,$I$7,"Y"))</f>
      </c>
      <c r="G126" s="85"/>
      <c r="H126" s="85"/>
      <c r="I126" s="87"/>
      <c r="J126" s="85"/>
      <c r="K126" s="85"/>
      <c r="L126" s="10"/>
      <c r="M126" s="10"/>
      <c r="N126" s="10"/>
      <c r="O126" s="10"/>
      <c r="P126" s="85"/>
      <c r="Q126" s="88"/>
      <c r="R126" s="3">
        <f>IFERROR(VLOOKUP(TablaOctubre[[#This Row],[BARRIO]],SECTOR!$A:$B,2,0),"")</f>
      </c>
      <c r="S126" s="89"/>
      <c r="T126" s="90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6"/>
      <c r="AZ126" s="30">
        <f>COUNTIF(U126:AY126,"A")</f>
      </c>
      <c r="BA126" s="32">
        <f>COUNTIF(U126:AY126,"F")</f>
      </c>
      <c r="BB126" s="119">
        <f>COUNTIF(U126:AY126,"E")</f>
      </c>
    </row>
    <row r="127" spans="1:54" x14ac:dyDescent="0.2">
      <c r="A127" s="84"/>
      <c r="B127" s="107"/>
      <c r="C127" s="85"/>
      <c r="D127" s="85"/>
      <c r="E127" s="86"/>
      <c r="F127" s="16">
        <f>IF(E127="","",DATEDIF(E127,$I$7,"Y"))</f>
      </c>
      <c r="G127" s="85"/>
      <c r="H127" s="85"/>
      <c r="I127" s="87"/>
      <c r="J127" s="85"/>
      <c r="K127" s="85"/>
      <c r="L127" s="10"/>
      <c r="M127" s="10"/>
      <c r="N127" s="10"/>
      <c r="O127" s="10"/>
      <c r="P127" s="85"/>
      <c r="Q127" s="88"/>
      <c r="R127" s="3">
        <f>IFERROR(VLOOKUP(TablaOctubre[[#This Row],[BARRIO]],SECTOR!$A:$B,2,0),"")</f>
      </c>
      <c r="S127" s="89"/>
      <c r="T127" s="90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6"/>
      <c r="AZ127" s="120">
        <f>COUNTIF(U127:AY127,"A")</f>
      </c>
      <c r="BA127" s="121">
        <f>COUNTIF(U127:AY127,"F")</f>
      </c>
      <c r="BB127" s="119">
        <f>COUNTIF(U127:AY127,"E")</f>
      </c>
    </row>
    <row r="128" spans="1:54" x14ac:dyDescent="0.2">
      <c r="A128" s="84"/>
      <c r="B128" s="107"/>
      <c r="C128" s="85"/>
      <c r="D128" s="85"/>
      <c r="E128" s="86"/>
      <c r="F128" s="16">
        <f>IF(E128="","",DATEDIF(E128,$I$7,"Y"))</f>
      </c>
      <c r="G128" s="85"/>
      <c r="H128" s="85"/>
      <c r="I128" s="87"/>
      <c r="J128" s="85"/>
      <c r="K128" s="85"/>
      <c r="L128" s="10"/>
      <c r="M128" s="10"/>
      <c r="N128" s="10"/>
      <c r="O128" s="10"/>
      <c r="P128" s="85"/>
      <c r="Q128" s="88"/>
      <c r="R128" s="3">
        <f>IFERROR(VLOOKUP(TablaOctubre[[#This Row],[BARRIO]],SECTOR!$A:$B,2,0),"")</f>
      </c>
      <c r="S128" s="89"/>
      <c r="T128" s="90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6"/>
      <c r="AZ128" s="120">
        <f>COUNTIF(U128:AY128,"A")</f>
      </c>
      <c r="BA128" s="121">
        <f>COUNTIF(U128:AY128,"F")</f>
      </c>
      <c r="BB128" s="119">
        <f>COUNTIF(U128:AY128,"E")</f>
      </c>
    </row>
    <row r="129" spans="1:54" x14ac:dyDescent="0.2">
      <c r="A129" s="84"/>
      <c r="B129" s="107"/>
      <c r="C129" s="85"/>
      <c r="D129" s="85"/>
      <c r="E129" s="86"/>
      <c r="F129" s="16">
        <f>IF(E129="","",DATEDIF(E129,$I$7,"Y"))</f>
      </c>
      <c r="G129" s="85"/>
      <c r="H129" s="85"/>
      <c r="I129" s="87"/>
      <c r="J129" s="85"/>
      <c r="K129" s="85"/>
      <c r="L129" s="10"/>
      <c r="M129" s="10"/>
      <c r="N129" s="10"/>
      <c r="O129" s="10"/>
      <c r="P129" s="85"/>
      <c r="Q129" s="88"/>
      <c r="R129" s="3">
        <f>IFERROR(VLOOKUP(TablaOctubre[[#This Row],[BARRIO]],SECTOR!$A:$B,2,0),"")</f>
      </c>
      <c r="S129" s="89"/>
      <c r="T129" s="90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6"/>
      <c r="AZ129" s="120">
        <f>COUNTIF(U129:AY129,"A")</f>
      </c>
      <c r="BA129" s="121">
        <f>COUNTIF(U129:AY129,"F")</f>
      </c>
      <c r="BB129" s="119">
        <f>COUNTIF(U129:AY129,"E")</f>
      </c>
    </row>
    <row r="130" spans="1:54" x14ac:dyDescent="0.2">
      <c r="A130" s="84"/>
      <c r="B130" s="107"/>
      <c r="C130" s="85"/>
      <c r="D130" s="85"/>
      <c r="E130" s="86"/>
      <c r="F130" s="16">
        <f>IF(E130="","",DATEDIF(E130,$I$7,"Y"))</f>
      </c>
      <c r="G130" s="85"/>
      <c r="H130" s="85"/>
      <c r="I130" s="87"/>
      <c r="J130" s="85"/>
      <c r="K130" s="85"/>
      <c r="L130" s="10"/>
      <c r="M130" s="10"/>
      <c r="N130" s="10"/>
      <c r="O130" s="10"/>
      <c r="P130" s="85"/>
      <c r="Q130" s="88"/>
      <c r="R130" s="3">
        <f>IFERROR(VLOOKUP(TablaOctubre[[#This Row],[BARRIO]],SECTOR!$A:$B,2,0),"")</f>
      </c>
      <c r="S130" s="89"/>
      <c r="T130" s="90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6"/>
      <c r="AZ130" s="120">
        <f>COUNTIF(U130:AY130,"A")</f>
      </c>
      <c r="BA130" s="121">
        <f>COUNTIF(U130:AY130,"F")</f>
      </c>
      <c r="BB130" s="119">
        <f>COUNTIF(U130:AY130,"E")</f>
      </c>
    </row>
    <row r="131" spans="1:54" x14ac:dyDescent="0.2">
      <c r="A131" s="84"/>
      <c r="B131" s="107"/>
      <c r="C131" s="85"/>
      <c r="D131" s="85"/>
      <c r="E131" s="86"/>
      <c r="F131" s="16">
        <f>IF(E131="","",DATEDIF(E131,$I$7,"Y"))</f>
      </c>
      <c r="G131" s="85"/>
      <c r="H131" s="85"/>
      <c r="I131" s="87"/>
      <c r="J131" s="85"/>
      <c r="K131" s="85"/>
      <c r="L131" s="10"/>
      <c r="M131" s="10"/>
      <c r="N131" s="10"/>
      <c r="O131" s="10"/>
      <c r="P131" s="85"/>
      <c r="Q131" s="88"/>
      <c r="R131" s="3">
        <f>IFERROR(VLOOKUP(TablaOctubre[[#This Row],[BARRIO]],SECTOR!$A:$B,2,0),"")</f>
      </c>
      <c r="S131" s="89"/>
      <c r="T131" s="90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6"/>
      <c r="AZ131" s="120">
        <f>COUNTIF(U131:AY131,"A")</f>
      </c>
      <c r="BA131" s="121">
        <f>COUNTIF(U131:AY131,"F")</f>
      </c>
      <c r="BB131" s="119">
        <f>COUNTIF(U131:AY131,"E")</f>
      </c>
    </row>
    <row r="132" spans="1:54" x14ac:dyDescent="0.2">
      <c r="A132" s="84"/>
      <c r="B132" s="107"/>
      <c r="C132" s="85"/>
      <c r="D132" s="85"/>
      <c r="E132" s="86"/>
      <c r="F132" s="16">
        <f>IF(E132="","",DATEDIF(E132,$I$7,"Y"))</f>
      </c>
      <c r="G132" s="85"/>
      <c r="H132" s="85"/>
      <c r="I132" s="87"/>
      <c r="J132" s="85"/>
      <c r="K132" s="85"/>
      <c r="L132" s="10"/>
      <c r="M132" s="10"/>
      <c r="N132" s="10"/>
      <c r="O132" s="10"/>
      <c r="P132" s="85"/>
      <c r="Q132" s="88"/>
      <c r="R132" s="3">
        <f>IFERROR(VLOOKUP(TablaOctubre[[#This Row],[BARRIO]],SECTOR!$A:$B,2,0),"")</f>
      </c>
      <c r="S132" s="89"/>
      <c r="T132" s="90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6"/>
      <c r="AZ132" s="120">
        <f>COUNTIF(U132:AY132,"A")</f>
      </c>
      <c r="BA132" s="121">
        <f>COUNTIF(U132:AY132,"F")</f>
      </c>
      <c r="BB132" s="119">
        <f>COUNTIF(U132:AY132,"E")</f>
      </c>
    </row>
    <row r="133" spans="1:54" x14ac:dyDescent="0.2">
      <c r="A133" s="84"/>
      <c r="B133" s="107"/>
      <c r="C133" s="85"/>
      <c r="D133" s="85"/>
      <c r="E133" s="86"/>
      <c r="F133" s="16">
        <f>IF(E133="","",DATEDIF(E133,$I$7,"Y"))</f>
      </c>
      <c r="G133" s="85"/>
      <c r="H133" s="85"/>
      <c r="I133" s="87"/>
      <c r="J133" s="85"/>
      <c r="K133" s="85"/>
      <c r="L133" s="10"/>
      <c r="M133" s="10"/>
      <c r="N133" s="10"/>
      <c r="O133" s="10"/>
      <c r="P133" s="85"/>
      <c r="Q133" s="88"/>
      <c r="R133" s="3">
        <f>IFERROR(VLOOKUP(TablaOctubre[[#This Row],[BARRIO]],SECTOR!$A:$B,2,0),"")</f>
      </c>
      <c r="S133" s="89"/>
      <c r="T133" s="90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6"/>
      <c r="AZ133" s="120">
        <f>COUNTIF(U133:AY133,"A")</f>
      </c>
      <c r="BA133" s="121">
        <f>COUNTIF(U133:AY133,"F")</f>
      </c>
      <c r="BB133" s="119">
        <f>COUNTIF(U133:AY133,"E")</f>
      </c>
    </row>
    <row r="134" spans="1:54" x14ac:dyDescent="0.2">
      <c r="A134" s="84"/>
      <c r="B134" s="107"/>
      <c r="C134" s="85"/>
      <c r="D134" s="85"/>
      <c r="E134" s="86"/>
      <c r="F134" s="16">
        <f>IF(E134="","",DATEDIF(E134,$I$7,"Y"))</f>
      </c>
      <c r="G134" s="85"/>
      <c r="H134" s="85"/>
      <c r="I134" s="87"/>
      <c r="J134" s="85"/>
      <c r="K134" s="85"/>
      <c r="L134" s="10"/>
      <c r="M134" s="10"/>
      <c r="N134" s="10"/>
      <c r="O134" s="10"/>
      <c r="P134" s="85"/>
      <c r="Q134" s="88"/>
      <c r="R134" s="3">
        <f>IFERROR(VLOOKUP(TablaOctubre[[#This Row],[BARRIO]],SECTOR!$A:$B,2,0),"")</f>
      </c>
      <c r="S134" s="89"/>
      <c r="T134" s="90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6"/>
      <c r="AZ134" s="120">
        <f>COUNTIF(U134:AY134,"A")</f>
      </c>
      <c r="BA134" s="121">
        <f>COUNTIF(U134:AY134,"F")</f>
      </c>
      <c r="BB134" s="119">
        <f>COUNTIF(U134:AY134,"E")</f>
      </c>
    </row>
    <row r="135" spans="1:54" x14ac:dyDescent="0.2">
      <c r="A135" s="84"/>
      <c r="B135" s="107"/>
      <c r="C135" s="85"/>
      <c r="D135" s="85"/>
      <c r="E135" s="86"/>
      <c r="F135" s="16">
        <f>IF(E135="","",DATEDIF(E135,$I$7,"Y"))</f>
      </c>
      <c r="G135" s="85"/>
      <c r="H135" s="85"/>
      <c r="I135" s="87"/>
      <c r="J135" s="85"/>
      <c r="K135" s="85"/>
      <c r="L135" s="10"/>
      <c r="M135" s="10"/>
      <c r="N135" s="10"/>
      <c r="O135" s="10"/>
      <c r="P135" s="85"/>
      <c r="Q135" s="88"/>
      <c r="R135" s="3">
        <f>IFERROR(VLOOKUP(TablaOctubre[[#This Row],[BARRIO]],SECTOR!$A:$B,2,0),"")</f>
      </c>
      <c r="S135" s="89"/>
      <c r="T135" s="90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6"/>
      <c r="AZ135" s="120">
        <f>COUNTIF(U135:AY135,"A")</f>
      </c>
      <c r="BA135" s="121">
        <f>COUNTIF(U135:AY135,"F")</f>
      </c>
      <c r="BB135" s="119">
        <f>COUNTIF(U135:AY135,"E")</f>
      </c>
    </row>
    <row r="136" spans="1:54" x14ac:dyDescent="0.2">
      <c r="A136" s="84"/>
      <c r="B136" s="107"/>
      <c r="C136" s="85"/>
      <c r="D136" s="85"/>
      <c r="E136" s="86"/>
      <c r="F136" s="16">
        <f>IF(E136="","",DATEDIF(E136,$I$7,"Y"))</f>
      </c>
      <c r="G136" s="85"/>
      <c r="H136" s="85"/>
      <c r="I136" s="87"/>
      <c r="J136" s="85"/>
      <c r="K136" s="85"/>
      <c r="L136" s="10"/>
      <c r="M136" s="10"/>
      <c r="N136" s="10"/>
      <c r="O136" s="10"/>
      <c r="P136" s="85"/>
      <c r="Q136" s="88"/>
      <c r="R136" s="3">
        <f>IFERROR(VLOOKUP(TablaOctubre[[#This Row],[BARRIO]],SECTOR!$A:$B,2,0),"")</f>
      </c>
      <c r="S136" s="89"/>
      <c r="T136" s="90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6"/>
      <c r="AZ136" s="120">
        <f>COUNTIF(U136:AY136,"A")</f>
      </c>
      <c r="BA136" s="121">
        <f>COUNTIF(U136:AY136,"F")</f>
      </c>
      <c r="BB136" s="119">
        <f>COUNTIF(U136:AY136,"E")</f>
      </c>
    </row>
    <row r="137" spans="1:54" x14ac:dyDescent="0.2">
      <c r="A137" s="84"/>
      <c r="B137" s="107"/>
      <c r="C137" s="85"/>
      <c r="D137" s="85"/>
      <c r="E137" s="86"/>
      <c r="F137" s="16">
        <f>IF(E137="","",DATEDIF(E137,$I$7,"Y"))</f>
      </c>
      <c r="G137" s="85"/>
      <c r="H137" s="85"/>
      <c r="I137" s="87"/>
      <c r="J137" s="85"/>
      <c r="K137" s="85"/>
      <c r="L137" s="10"/>
      <c r="M137" s="10"/>
      <c r="N137" s="10"/>
      <c r="O137" s="10"/>
      <c r="P137" s="85"/>
      <c r="Q137" s="88"/>
      <c r="R137" s="3">
        <f>IFERROR(VLOOKUP(TablaOctubre[[#This Row],[BARRIO]],SECTOR!$A:$B,2,0),"")</f>
      </c>
      <c r="S137" s="89"/>
      <c r="T137" s="90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6"/>
      <c r="AZ137" s="120">
        <f>COUNTIF(U137:AY137,"A")</f>
      </c>
      <c r="BA137" s="121">
        <f>COUNTIF(U137:AY137,"F")</f>
      </c>
      <c r="BB137" s="119">
        <f>COUNTIF(U137:AY137,"E")</f>
      </c>
    </row>
    <row r="138" spans="1:54" x14ac:dyDescent="0.2">
      <c r="A138" s="84"/>
      <c r="B138" s="107"/>
      <c r="C138" s="85"/>
      <c r="D138" s="85"/>
      <c r="E138" s="86"/>
      <c r="F138" s="16">
        <f>IF(E138="","",DATEDIF(E138,$I$7,"Y"))</f>
      </c>
      <c r="G138" s="85"/>
      <c r="H138" s="85"/>
      <c r="I138" s="87"/>
      <c r="J138" s="85"/>
      <c r="K138" s="85"/>
      <c r="L138" s="10"/>
      <c r="M138" s="10"/>
      <c r="N138" s="10"/>
      <c r="O138" s="10"/>
      <c r="P138" s="85"/>
      <c r="Q138" s="88"/>
      <c r="R138" s="3">
        <f>IFERROR(VLOOKUP(TablaOctubre[[#This Row],[BARRIO]],SECTOR!$A:$B,2,0),"")</f>
      </c>
      <c r="S138" s="89"/>
      <c r="T138" s="90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6"/>
      <c r="AZ138" s="120">
        <f>COUNTIF(U138:AY138,"A")</f>
      </c>
      <c r="BA138" s="121">
        <f>COUNTIF(U138:AY138,"F")</f>
      </c>
      <c r="BB138" s="119">
        <f>COUNTIF(U138:AY138,"E")</f>
      </c>
    </row>
    <row r="139" spans="1:54" x14ac:dyDescent="0.2">
      <c r="A139" s="84"/>
      <c r="B139" s="107"/>
      <c r="C139" s="85"/>
      <c r="D139" s="85"/>
      <c r="E139" s="86"/>
      <c r="F139" s="16">
        <f>IF(E139="","",DATEDIF(E139,$I$7,"Y"))</f>
      </c>
      <c r="G139" s="85"/>
      <c r="H139" s="85"/>
      <c r="I139" s="87"/>
      <c r="J139" s="85"/>
      <c r="K139" s="85"/>
      <c r="L139" s="10"/>
      <c r="M139" s="10"/>
      <c r="N139" s="10"/>
      <c r="O139" s="10"/>
      <c r="P139" s="85"/>
      <c r="Q139" s="88"/>
      <c r="R139" s="3">
        <f>IFERROR(VLOOKUP(TablaOctubre[[#This Row],[BARRIO]],SECTOR!$A:$B,2,0),"")</f>
      </c>
      <c r="S139" s="89"/>
      <c r="T139" s="90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6"/>
      <c r="AZ139" s="120">
        <f>COUNTIF(U139:AY139,"A")</f>
      </c>
      <c r="BA139" s="121">
        <f>COUNTIF(U139:AY139,"F")</f>
      </c>
      <c r="BB139" s="119">
        <f>COUNTIF(U139:AY139,"E")</f>
      </c>
    </row>
    <row r="140" spans="1:54" x14ac:dyDescent="0.2">
      <c r="A140" s="84"/>
      <c r="B140" s="107"/>
      <c r="C140" s="85"/>
      <c r="D140" s="85"/>
      <c r="E140" s="86"/>
      <c r="F140" s="16">
        <f>IF(E140="","",DATEDIF(E140,$I$7,"Y"))</f>
      </c>
      <c r="G140" s="85"/>
      <c r="H140" s="85"/>
      <c r="I140" s="87"/>
      <c r="J140" s="85"/>
      <c r="K140" s="85"/>
      <c r="L140" s="10"/>
      <c r="M140" s="10"/>
      <c r="N140" s="10"/>
      <c r="O140" s="10"/>
      <c r="P140" s="85"/>
      <c r="Q140" s="88"/>
      <c r="R140" s="3">
        <f>IFERROR(VLOOKUP(TablaOctubre[[#This Row],[BARRIO]],SECTOR!$A:$B,2,0),"")</f>
      </c>
      <c r="S140" s="89"/>
      <c r="T140" s="90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6"/>
      <c r="AZ140" s="120">
        <f>COUNTIF(U140:AY140,"A")</f>
      </c>
      <c r="BA140" s="121">
        <f>COUNTIF(U140:AY140,"F")</f>
      </c>
      <c r="BB140" s="119">
        <f>COUNTIF(U140:AY140,"E")</f>
      </c>
    </row>
    <row r="141" spans="1:54" x14ac:dyDescent="0.2">
      <c r="A141" s="84"/>
      <c r="B141" s="107"/>
      <c r="C141" s="85"/>
      <c r="D141" s="85"/>
      <c r="E141" s="86"/>
      <c r="F141" s="16">
        <f>IF(E141="","",DATEDIF(E141,$I$7,"Y"))</f>
      </c>
      <c r="G141" s="85"/>
      <c r="H141" s="85"/>
      <c r="I141" s="87"/>
      <c r="J141" s="85"/>
      <c r="K141" s="85"/>
      <c r="L141" s="10"/>
      <c r="M141" s="10"/>
      <c r="N141" s="10"/>
      <c r="O141" s="10"/>
      <c r="P141" s="85"/>
      <c r="Q141" s="88"/>
      <c r="R141" s="3">
        <f>IFERROR(VLOOKUP(TablaOctubre[[#This Row],[BARRIO]],SECTOR!$A:$B,2,0),"")</f>
      </c>
      <c r="S141" s="89"/>
      <c r="T141" s="90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6"/>
      <c r="AZ141" s="120">
        <f>COUNTIF(U141:AY141,"A")</f>
      </c>
      <c r="BA141" s="121">
        <f>COUNTIF(U141:AY141,"F")</f>
      </c>
      <c r="BB141" s="119">
        <f>COUNTIF(U141:AY141,"E")</f>
      </c>
    </row>
    <row r="142" spans="1:54" x14ac:dyDescent="0.2">
      <c r="A142" s="84"/>
      <c r="B142" s="107"/>
      <c r="C142" s="85"/>
      <c r="D142" s="85"/>
      <c r="E142" s="86"/>
      <c r="F142" s="16">
        <f>IF(E142="","",DATEDIF(E142,$I$7,"Y"))</f>
      </c>
      <c r="G142" s="85"/>
      <c r="H142" s="85"/>
      <c r="I142" s="87"/>
      <c r="J142" s="85"/>
      <c r="K142" s="85"/>
      <c r="L142" s="10"/>
      <c r="M142" s="10"/>
      <c r="N142" s="10"/>
      <c r="O142" s="10"/>
      <c r="P142" s="85"/>
      <c r="Q142" s="88"/>
      <c r="R142" s="3">
        <f>IFERROR(VLOOKUP(TablaOctubre[[#This Row],[BARRIO]],SECTOR!$A:$B,2,0),"")</f>
      </c>
      <c r="S142" s="89"/>
      <c r="T142" s="90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6"/>
      <c r="AZ142" s="120">
        <f>COUNTIF(U142:AY142,"A")</f>
      </c>
      <c r="BA142" s="121">
        <f>COUNTIF(U142:AY142,"F")</f>
      </c>
      <c r="BB142" s="119">
        <f>COUNTIF(U142:AY142,"E")</f>
      </c>
    </row>
    <row r="143" spans="1:54" x14ac:dyDescent="0.2">
      <c r="A143" s="84"/>
      <c r="B143" s="107"/>
      <c r="C143" s="85"/>
      <c r="D143" s="85"/>
      <c r="E143" s="86"/>
      <c r="F143" s="16">
        <f>IF(E143="","",DATEDIF(E143,$I$7,"Y"))</f>
      </c>
      <c r="G143" s="85"/>
      <c r="H143" s="85"/>
      <c r="I143" s="87"/>
      <c r="J143" s="85"/>
      <c r="K143" s="85"/>
      <c r="L143" s="10"/>
      <c r="M143" s="10"/>
      <c r="N143" s="10"/>
      <c r="O143" s="10"/>
      <c r="P143" s="85"/>
      <c r="Q143" s="88"/>
      <c r="R143" s="3">
        <f>IFERROR(VLOOKUP(TablaOctubre[[#This Row],[BARRIO]],SECTOR!$A:$B,2,0),"")</f>
      </c>
      <c r="S143" s="89"/>
      <c r="T143" s="90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6"/>
      <c r="AZ143" s="120">
        <f>COUNTIF(U143:AY143,"A")</f>
      </c>
      <c r="BA143" s="121">
        <f>COUNTIF(U143:AY143,"F")</f>
      </c>
      <c r="BB143" s="119">
        <f>COUNTIF(U143:AY143,"E")</f>
      </c>
    </row>
    <row r="144" spans="1:54" x14ac:dyDescent="0.2">
      <c r="A144" s="84"/>
      <c r="B144" s="107"/>
      <c r="C144" s="85"/>
      <c r="D144" s="85"/>
      <c r="E144" s="86"/>
      <c r="F144" s="16">
        <f>IF(E144="","",DATEDIF(E144,$I$7,"Y"))</f>
      </c>
      <c r="G144" s="85"/>
      <c r="H144" s="85"/>
      <c r="I144" s="87"/>
      <c r="J144" s="85"/>
      <c r="K144" s="85"/>
      <c r="L144" s="10"/>
      <c r="M144" s="10"/>
      <c r="N144" s="10"/>
      <c r="O144" s="10"/>
      <c r="P144" s="85"/>
      <c r="Q144" s="88"/>
      <c r="R144" s="3">
        <f>IFERROR(VLOOKUP(TablaOctubre[[#This Row],[BARRIO]],SECTOR!$A:$B,2,0),"")</f>
      </c>
      <c r="S144" s="89"/>
      <c r="T144" s="90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6"/>
      <c r="AZ144" s="120">
        <f>COUNTIF(U144:AY144,"A")</f>
      </c>
      <c r="BA144" s="121">
        <f>COUNTIF(U144:AY144,"F")</f>
      </c>
      <c r="BB144" s="119">
        <f>COUNTIF(U144:AY144,"E")</f>
      </c>
    </row>
    <row r="145" spans="1:54" x14ac:dyDescent="0.2">
      <c r="A145" s="84"/>
      <c r="B145" s="107"/>
      <c r="C145" s="85"/>
      <c r="D145" s="85"/>
      <c r="E145" s="86"/>
      <c r="F145" s="16">
        <f>IF(E145="","",DATEDIF(E145,$I$7,"Y"))</f>
      </c>
      <c r="G145" s="85"/>
      <c r="H145" s="85"/>
      <c r="I145" s="87"/>
      <c r="J145" s="85"/>
      <c r="K145" s="85"/>
      <c r="L145" s="10"/>
      <c r="M145" s="10"/>
      <c r="N145" s="10"/>
      <c r="O145" s="10"/>
      <c r="P145" s="85"/>
      <c r="Q145" s="88"/>
      <c r="R145" s="3">
        <f>IFERROR(VLOOKUP(TablaOctubre[[#This Row],[BARRIO]],SECTOR!$A:$B,2,0),"")</f>
      </c>
      <c r="S145" s="89"/>
      <c r="T145" s="90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6"/>
      <c r="AZ145" s="120">
        <f>COUNTIF(U145:AY145,"A")</f>
      </c>
      <c r="BA145" s="121">
        <f>COUNTIF(U145:AY145,"F")</f>
      </c>
      <c r="BB145" s="119">
        <f>COUNTIF(U145:AY145,"E")</f>
      </c>
    </row>
    <row r="146" spans="1:54" x14ac:dyDescent="0.2">
      <c r="A146" s="84"/>
      <c r="B146" s="107"/>
      <c r="C146" s="85"/>
      <c r="D146" s="85"/>
      <c r="E146" s="86"/>
      <c r="F146" s="16">
        <f>IF(E146="","",DATEDIF(E146,$I$7,"Y"))</f>
      </c>
      <c r="G146" s="85"/>
      <c r="H146" s="85"/>
      <c r="I146" s="87"/>
      <c r="J146" s="85"/>
      <c r="K146" s="85"/>
      <c r="L146" s="10"/>
      <c r="M146" s="10"/>
      <c r="N146" s="10"/>
      <c r="O146" s="10"/>
      <c r="P146" s="85"/>
      <c r="Q146" s="88"/>
      <c r="R146" s="3">
        <f>IFERROR(VLOOKUP(TablaOctubre[[#This Row],[BARRIO]],SECTOR!$A:$B,2,0),"")</f>
      </c>
      <c r="S146" s="89"/>
      <c r="T146" s="90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6"/>
      <c r="AZ146" s="120">
        <f>COUNTIF(U146:AY146,"A")</f>
      </c>
      <c r="BA146" s="121">
        <f>COUNTIF(U146:AY146,"F")</f>
      </c>
      <c r="BB146" s="119">
        <f>COUNTIF(U146:AY146,"E")</f>
      </c>
    </row>
    <row r="147" spans="1:54" x14ac:dyDescent="0.2">
      <c r="A147" s="84"/>
      <c r="B147" s="107"/>
      <c r="C147" s="85"/>
      <c r="D147" s="85"/>
      <c r="E147" s="86"/>
      <c r="F147" s="16">
        <f>IF(E147="","",DATEDIF(E147,$I$7,"Y"))</f>
      </c>
      <c r="G147" s="85"/>
      <c r="H147" s="85"/>
      <c r="I147" s="87"/>
      <c r="J147" s="85"/>
      <c r="K147" s="85"/>
      <c r="L147" s="10"/>
      <c r="M147" s="10"/>
      <c r="N147" s="10"/>
      <c r="O147" s="10"/>
      <c r="P147" s="85"/>
      <c r="Q147" s="88"/>
      <c r="R147" s="3">
        <f>IFERROR(VLOOKUP(TablaOctubre[[#This Row],[BARRIO]],SECTOR!$A:$B,2,0),"")</f>
      </c>
      <c r="S147" s="89"/>
      <c r="T147" s="90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6"/>
      <c r="AZ147" s="120">
        <f>COUNTIF(U147:AY147,"A")</f>
      </c>
      <c r="BA147" s="121">
        <f>COUNTIF(U147:AY147,"F")</f>
      </c>
      <c r="BB147" s="119">
        <f>COUNTIF(U147:AY147,"E")</f>
      </c>
    </row>
    <row r="148" spans="1:54" x14ac:dyDescent="0.2">
      <c r="A148" s="84"/>
      <c r="B148" s="107"/>
      <c r="C148" s="85"/>
      <c r="D148" s="85"/>
      <c r="E148" s="86"/>
      <c r="F148" s="16">
        <f>IF(E148="","",DATEDIF(E148,$I$7,"Y"))</f>
      </c>
      <c r="G148" s="85"/>
      <c r="H148" s="85"/>
      <c r="I148" s="87"/>
      <c r="J148" s="85"/>
      <c r="K148" s="85"/>
      <c r="L148" s="10"/>
      <c r="M148" s="10"/>
      <c r="N148" s="10"/>
      <c r="O148" s="10"/>
      <c r="P148" s="85"/>
      <c r="Q148" s="88"/>
      <c r="R148" s="3">
        <f>IFERROR(VLOOKUP(TablaOctubre[[#This Row],[BARRIO]],SECTOR!$A:$B,2,0),"")</f>
      </c>
      <c r="S148" s="89"/>
      <c r="T148" s="90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6"/>
      <c r="AZ148" s="120">
        <f>COUNTIF(U148:AY148,"A")</f>
      </c>
      <c r="BA148" s="121">
        <f>COUNTIF(U148:AY148,"F")</f>
      </c>
      <c r="BB148" s="119">
        <f>COUNTIF(U148:AY148,"E")</f>
      </c>
    </row>
    <row r="149" spans="1:54" x14ac:dyDescent="0.2">
      <c r="A149" s="84"/>
      <c r="B149" s="107"/>
      <c r="C149" s="85"/>
      <c r="D149" s="85"/>
      <c r="E149" s="86"/>
      <c r="F149" s="16">
        <f>IF(E149="","",DATEDIF(E149,$I$7,"Y"))</f>
      </c>
      <c r="G149" s="85"/>
      <c r="H149" s="85"/>
      <c r="I149" s="87"/>
      <c r="J149" s="85"/>
      <c r="K149" s="85"/>
      <c r="L149" s="10"/>
      <c r="M149" s="10"/>
      <c r="N149" s="10"/>
      <c r="O149" s="10"/>
      <c r="P149" s="85"/>
      <c r="Q149" s="88"/>
      <c r="R149" s="3">
        <f>IFERROR(VLOOKUP(TablaOctubre[[#This Row],[BARRIO]],SECTOR!$A:$B,2,0),"")</f>
      </c>
      <c r="S149" s="89"/>
      <c r="T149" s="90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6"/>
      <c r="AZ149" s="120">
        <f>COUNTIF(U149:AY149,"A")</f>
      </c>
      <c r="BA149" s="121">
        <f>COUNTIF(U149:AY149,"F")</f>
      </c>
      <c r="BB149" s="119">
        <f>COUNTIF(U149:AY149,"E")</f>
      </c>
    </row>
    <row r="150" spans="1:54" x14ac:dyDescent="0.2">
      <c r="A150" s="84"/>
      <c r="B150" s="107"/>
      <c r="C150" s="85"/>
      <c r="D150" s="85"/>
      <c r="E150" s="86"/>
      <c r="F150" s="16">
        <f>IF(E150="","",DATEDIF(E150,$I$7,"Y"))</f>
      </c>
      <c r="G150" s="85"/>
      <c r="H150" s="85"/>
      <c r="I150" s="87"/>
      <c r="J150" s="85"/>
      <c r="K150" s="85"/>
      <c r="L150" s="10"/>
      <c r="M150" s="10"/>
      <c r="N150" s="10"/>
      <c r="O150" s="10"/>
      <c r="P150" s="85"/>
      <c r="Q150" s="88"/>
      <c r="R150" s="3">
        <f>IFERROR(VLOOKUP(TablaOctubre[[#This Row],[BARRIO]],SECTOR!$A:$B,2,0),"")</f>
      </c>
      <c r="S150" s="89"/>
      <c r="T150" s="90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6"/>
      <c r="AZ150" s="120">
        <f>COUNTIF(U150:AY150,"A")</f>
      </c>
      <c r="BA150" s="121">
        <f>COUNTIF(U150:AY150,"F")</f>
      </c>
      <c r="BB150" s="119">
        <f>COUNTIF(U150:AY150,"E")</f>
      </c>
    </row>
    <row r="151" spans="1:54" x14ac:dyDescent="0.2">
      <c r="A151" s="84"/>
      <c r="B151" s="107"/>
      <c r="C151" s="85"/>
      <c r="D151" s="85"/>
      <c r="E151" s="86"/>
      <c r="F151" s="16">
        <f>IF(E151="","",DATEDIF(E151,$I$7,"Y"))</f>
      </c>
      <c r="G151" s="85"/>
      <c r="H151" s="85"/>
      <c r="I151" s="87"/>
      <c r="J151" s="85"/>
      <c r="K151" s="85"/>
      <c r="L151" s="10"/>
      <c r="M151" s="10"/>
      <c r="N151" s="10"/>
      <c r="O151" s="10"/>
      <c r="P151" s="85"/>
      <c r="Q151" s="88"/>
      <c r="R151" s="3">
        <f>IFERROR(VLOOKUP(TablaOctubre[[#This Row],[BARRIO]],SECTOR!$A:$B,2,0),"")</f>
      </c>
      <c r="S151" s="89"/>
      <c r="T151" s="90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6"/>
      <c r="AZ151" s="120">
        <f>COUNTIF(U151:AY151,"A")</f>
      </c>
      <c r="BA151" s="121">
        <f>COUNTIF(U151:AY151,"F")</f>
      </c>
      <c r="BB151" s="119">
        <f>COUNTIF(U151:AY151,"E")</f>
      </c>
    </row>
    <row r="152" spans="1:54" x14ac:dyDescent="0.2">
      <c r="A152" s="84"/>
      <c r="B152" s="107"/>
      <c r="C152" s="85"/>
      <c r="D152" s="85"/>
      <c r="E152" s="86"/>
      <c r="F152" s="16">
        <f>IF(E152="","",DATEDIF(E152,$I$7,"Y"))</f>
      </c>
      <c r="G152" s="85"/>
      <c r="H152" s="85"/>
      <c r="I152" s="87"/>
      <c r="J152" s="85"/>
      <c r="K152" s="85"/>
      <c r="L152" s="10"/>
      <c r="M152" s="10"/>
      <c r="N152" s="10"/>
      <c r="O152" s="10"/>
      <c r="P152" s="85"/>
      <c r="Q152" s="88"/>
      <c r="R152" s="3">
        <f>IFERROR(VLOOKUP(TablaOctubre[[#This Row],[BARRIO]],SECTOR!$A:$B,2,0),"")</f>
      </c>
      <c r="S152" s="89"/>
      <c r="T152" s="90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6"/>
      <c r="AZ152" s="120">
        <f>COUNTIF(U152:AY152,"A")</f>
      </c>
      <c r="BA152" s="121">
        <f>COUNTIF(U152:AY152,"F")</f>
      </c>
      <c r="BB152" s="119">
        <f>COUNTIF(U152:AY152,"E")</f>
      </c>
    </row>
    <row r="153" spans="1:54" x14ac:dyDescent="0.2">
      <c r="A153" s="84"/>
      <c r="B153" s="107"/>
      <c r="C153" s="85"/>
      <c r="D153" s="85"/>
      <c r="E153" s="86"/>
      <c r="F153" s="16">
        <f>IF(E153="","",DATEDIF(E153,$I$7,"Y"))</f>
      </c>
      <c r="G153" s="85"/>
      <c r="H153" s="85"/>
      <c r="I153" s="87"/>
      <c r="J153" s="85"/>
      <c r="K153" s="85"/>
      <c r="L153" s="10"/>
      <c r="M153" s="10"/>
      <c r="N153" s="10"/>
      <c r="O153" s="10"/>
      <c r="P153" s="85"/>
      <c r="Q153" s="88"/>
      <c r="R153" s="3">
        <f>IFERROR(VLOOKUP(TablaOctubre[[#This Row],[BARRIO]],SECTOR!$A:$B,2,0),"")</f>
      </c>
      <c r="S153" s="89"/>
      <c r="T153" s="90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6"/>
      <c r="AZ153" s="120">
        <f>COUNTIF(U153:AY153,"A")</f>
      </c>
      <c r="BA153" s="121">
        <f>COUNTIF(U153:AY153,"F")</f>
      </c>
      <c r="BB153" s="119">
        <f>COUNTIF(U153:AY153,"E")</f>
      </c>
    </row>
    <row r="154" spans="1:54" x14ac:dyDescent="0.2">
      <c r="A154" s="84"/>
      <c r="B154" s="107"/>
      <c r="C154" s="85"/>
      <c r="D154" s="85"/>
      <c r="E154" s="86"/>
      <c r="F154" s="16">
        <f>IF(E154="","",DATEDIF(E154,$I$7,"Y"))</f>
      </c>
      <c r="G154" s="85"/>
      <c r="H154" s="85"/>
      <c r="I154" s="87"/>
      <c r="J154" s="85"/>
      <c r="K154" s="85"/>
      <c r="L154" s="10"/>
      <c r="M154" s="10"/>
      <c r="N154" s="10"/>
      <c r="O154" s="10"/>
      <c r="P154" s="85"/>
      <c r="Q154" s="88"/>
      <c r="R154" s="3">
        <f>IFERROR(VLOOKUP(TablaOctubre[[#This Row],[BARRIO]],SECTOR!$A:$B,2,0),"")</f>
      </c>
      <c r="S154" s="89"/>
      <c r="T154" s="90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6"/>
      <c r="AZ154" s="120">
        <f>COUNTIF(U154:AY154,"A")</f>
      </c>
      <c r="BA154" s="121">
        <f>COUNTIF(U154:AY154,"F")</f>
      </c>
      <c r="BB154" s="119">
        <f>COUNTIF(U154:AY154,"E")</f>
      </c>
    </row>
    <row r="155" spans="1:54" x14ac:dyDescent="0.2">
      <c r="A155" s="84"/>
      <c r="B155" s="107"/>
      <c r="C155" s="85"/>
      <c r="D155" s="85"/>
      <c r="E155" s="86"/>
      <c r="F155" s="16">
        <f>IF(E155="","",DATEDIF(E155,$I$7,"Y"))</f>
      </c>
      <c r="G155" s="85"/>
      <c r="H155" s="85"/>
      <c r="I155" s="87"/>
      <c r="J155" s="85"/>
      <c r="K155" s="85"/>
      <c r="L155" s="10"/>
      <c r="M155" s="10"/>
      <c r="N155" s="10"/>
      <c r="O155" s="10"/>
      <c r="P155" s="85"/>
      <c r="Q155" s="88"/>
      <c r="R155" s="3">
        <f>IFERROR(VLOOKUP(TablaOctubre[[#This Row],[BARRIO]],SECTOR!$A:$B,2,0),"")</f>
      </c>
      <c r="S155" s="89"/>
      <c r="T155" s="90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6"/>
      <c r="AZ155" s="120">
        <f>COUNTIF(U155:AY155,"A")</f>
      </c>
      <c r="BA155" s="121">
        <f>COUNTIF(U155:AY155,"F")</f>
      </c>
      <c r="BB155" s="119">
        <f>COUNTIF(U155:AY155,"E")</f>
      </c>
    </row>
    <row r="156" spans="1:54" x14ac:dyDescent="0.2">
      <c r="A156" s="84"/>
      <c r="B156" s="107"/>
      <c r="C156" s="85"/>
      <c r="D156" s="85"/>
      <c r="E156" s="86"/>
      <c r="F156" s="16">
        <f>IF(E156="","",DATEDIF(E156,$I$7,"Y"))</f>
      </c>
      <c r="G156" s="85"/>
      <c r="H156" s="85"/>
      <c r="I156" s="87"/>
      <c r="J156" s="85"/>
      <c r="K156" s="85"/>
      <c r="L156" s="10"/>
      <c r="M156" s="10"/>
      <c r="N156" s="10"/>
      <c r="O156" s="10"/>
      <c r="P156" s="85"/>
      <c r="Q156" s="88"/>
      <c r="R156" s="3">
        <f>IFERROR(VLOOKUP(TablaOctubre[[#This Row],[BARRIO]],SECTOR!$A:$B,2,0),"")</f>
      </c>
      <c r="S156" s="89"/>
      <c r="T156" s="90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6"/>
      <c r="AZ156" s="120">
        <f>COUNTIF(U156:AY156,"A")</f>
      </c>
      <c r="BA156" s="121">
        <f>COUNTIF(U156:AY156,"F")</f>
      </c>
      <c r="BB156" s="119">
        <f>COUNTIF(U156:AY156,"E")</f>
      </c>
    </row>
    <row r="157" spans="1:54" x14ac:dyDescent="0.2">
      <c r="A157" s="84"/>
      <c r="B157" s="107"/>
      <c r="C157" s="85"/>
      <c r="D157" s="85"/>
      <c r="E157" s="86"/>
      <c r="F157" s="16">
        <f>IF(E157="","",DATEDIF(E157,$I$7,"Y"))</f>
      </c>
      <c r="G157" s="85"/>
      <c r="H157" s="85"/>
      <c r="I157" s="87"/>
      <c r="J157" s="85"/>
      <c r="K157" s="85"/>
      <c r="L157" s="10"/>
      <c r="M157" s="10"/>
      <c r="N157" s="10"/>
      <c r="O157" s="10"/>
      <c r="P157" s="85"/>
      <c r="Q157" s="88"/>
      <c r="R157" s="3">
        <f>IFERROR(VLOOKUP(TablaOctubre[[#This Row],[BARRIO]],SECTOR!$A:$B,2,0),"")</f>
      </c>
      <c r="S157" s="89"/>
      <c r="T157" s="90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6"/>
      <c r="AZ157" s="120">
        <f>COUNTIF(U157:AY157,"A")</f>
      </c>
      <c r="BA157" s="121">
        <f>COUNTIF(U157:AY157,"F")</f>
      </c>
      <c r="BB157" s="119">
        <f>COUNTIF(U157:AY157,"E")</f>
      </c>
    </row>
    <row r="158" spans="1:54" x14ac:dyDescent="0.2">
      <c r="A158" s="84"/>
      <c r="B158" s="107"/>
      <c r="C158" s="85"/>
      <c r="D158" s="85"/>
      <c r="E158" s="86"/>
      <c r="F158" s="16">
        <f>IF(E158="","",DATEDIF(E158,$I$7,"Y"))</f>
      </c>
      <c r="G158" s="85"/>
      <c r="H158" s="85"/>
      <c r="I158" s="87"/>
      <c r="J158" s="85"/>
      <c r="K158" s="85"/>
      <c r="L158" s="10"/>
      <c r="M158" s="10"/>
      <c r="N158" s="10"/>
      <c r="O158" s="10"/>
      <c r="P158" s="85"/>
      <c r="Q158" s="88"/>
      <c r="R158" s="3">
        <f>IFERROR(VLOOKUP(TablaOctubre[[#This Row],[BARRIO]],SECTOR!$A:$B,2,0),"")</f>
      </c>
      <c r="S158" s="89"/>
      <c r="T158" s="90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6"/>
      <c r="AZ158" s="120">
        <f>COUNTIF(U158:AY158,"A")</f>
      </c>
      <c r="BA158" s="121">
        <f>COUNTIF(U158:AY158,"F")</f>
      </c>
      <c r="BB158" s="119">
        <f>COUNTIF(U158:AY158,"E")</f>
      </c>
    </row>
    <row r="159" spans="1:54" x14ac:dyDescent="0.2">
      <c r="A159" s="84"/>
      <c r="B159" s="107"/>
      <c r="C159" s="85"/>
      <c r="D159" s="85"/>
      <c r="E159" s="86"/>
      <c r="F159" s="16">
        <f>IF(E159="","",DATEDIF(E159,$I$7,"Y"))</f>
      </c>
      <c r="G159" s="85"/>
      <c r="H159" s="85"/>
      <c r="I159" s="87"/>
      <c r="J159" s="85"/>
      <c r="K159" s="85"/>
      <c r="L159" s="10"/>
      <c r="M159" s="10"/>
      <c r="N159" s="10"/>
      <c r="O159" s="10"/>
      <c r="P159" s="85"/>
      <c r="Q159" s="88"/>
      <c r="R159" s="3">
        <f>IFERROR(VLOOKUP(TablaOctubre[[#This Row],[BARRIO]],SECTOR!$A:$B,2,0),"")</f>
      </c>
      <c r="S159" s="89"/>
      <c r="T159" s="90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6"/>
      <c r="AZ159" s="120">
        <f>COUNTIF(U159:AY159,"A")</f>
      </c>
      <c r="BA159" s="121">
        <f>COUNTIF(U159:AY159,"F")</f>
      </c>
      <c r="BB159" s="119">
        <f>COUNTIF(U159:AY159,"E")</f>
      </c>
    </row>
    <row r="160" spans="1:54" x14ac:dyDescent="0.2">
      <c r="A160" s="84"/>
      <c r="B160" s="107"/>
      <c r="C160" s="85"/>
      <c r="D160" s="85"/>
      <c r="E160" s="86"/>
      <c r="F160" s="16">
        <f>IF(E160="","",DATEDIF(E160,$I$7,"Y"))</f>
      </c>
      <c r="G160" s="85"/>
      <c r="H160" s="85"/>
      <c r="I160" s="87"/>
      <c r="J160" s="85"/>
      <c r="K160" s="85"/>
      <c r="L160" s="10"/>
      <c r="M160" s="10"/>
      <c r="N160" s="10"/>
      <c r="O160" s="10"/>
      <c r="P160" s="85"/>
      <c r="Q160" s="88"/>
      <c r="R160" s="3">
        <f>IFERROR(VLOOKUP(TablaOctubre[[#This Row],[BARRIO]],SECTOR!$A:$B,2,0),"")</f>
      </c>
      <c r="S160" s="89"/>
      <c r="T160" s="90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6"/>
      <c r="AZ160" s="120">
        <f>COUNTIF(U160:AY160,"A")</f>
      </c>
      <c r="BA160" s="121">
        <f>COUNTIF(U160:AY160,"F")</f>
      </c>
      <c r="BB160" s="119">
        <f>COUNTIF(U160:AY160,"E")</f>
      </c>
    </row>
    <row r="161" spans="1:54" x14ac:dyDescent="0.2">
      <c r="A161" s="84"/>
      <c r="B161" s="107"/>
      <c r="C161" s="85"/>
      <c r="D161" s="85"/>
      <c r="E161" s="86"/>
      <c r="F161" s="16">
        <f>IF(E161="","",DATEDIF(E161,$I$7,"Y"))</f>
      </c>
      <c r="G161" s="85"/>
      <c r="H161" s="85"/>
      <c r="I161" s="87"/>
      <c r="J161" s="85"/>
      <c r="K161" s="85"/>
      <c r="L161" s="10"/>
      <c r="M161" s="10"/>
      <c r="N161" s="10"/>
      <c r="O161" s="10"/>
      <c r="P161" s="85"/>
      <c r="Q161" s="88"/>
      <c r="R161" s="3">
        <f>IFERROR(VLOOKUP(TablaOctubre[[#This Row],[BARRIO]],SECTOR!$A:$B,2,0),"")</f>
      </c>
      <c r="S161" s="89"/>
      <c r="T161" s="90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6"/>
      <c r="AZ161" s="120">
        <f>COUNTIF(U161:AY161,"A")</f>
      </c>
      <c r="BA161" s="121">
        <f>COUNTIF(U161:AY161,"F")</f>
      </c>
      <c r="BB161" s="119">
        <f>COUNTIF(U161:AY161,"E")</f>
      </c>
    </row>
    <row r="162" spans="1:54" x14ac:dyDescent="0.2">
      <c r="A162" s="84"/>
      <c r="B162" s="107"/>
      <c r="C162" s="85"/>
      <c r="D162" s="85"/>
      <c r="E162" s="86"/>
      <c r="F162" s="16">
        <f>IF(E162="","",DATEDIF(E162,$I$7,"Y"))</f>
      </c>
      <c r="G162" s="85"/>
      <c r="H162" s="85"/>
      <c r="I162" s="87"/>
      <c r="J162" s="85"/>
      <c r="K162" s="85"/>
      <c r="L162" s="10"/>
      <c r="M162" s="10"/>
      <c r="N162" s="10"/>
      <c r="O162" s="10"/>
      <c r="P162" s="85"/>
      <c r="Q162" s="88"/>
      <c r="R162" s="3">
        <f>IFERROR(VLOOKUP(TablaOctubre[[#This Row],[BARRIO]],SECTOR!$A:$B,2,0),"")</f>
      </c>
      <c r="S162" s="89"/>
      <c r="T162" s="90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6"/>
      <c r="AZ162" s="120">
        <f>COUNTIF(U162:AY162,"A")</f>
      </c>
      <c r="BA162" s="121">
        <f>COUNTIF(U162:AY162,"F")</f>
      </c>
      <c r="BB162" s="119">
        <f>COUNTIF(U162:AY162,"E")</f>
      </c>
    </row>
    <row r="163" spans="1:54" x14ac:dyDescent="0.2">
      <c r="A163" s="84"/>
      <c r="B163" s="107"/>
      <c r="C163" s="85"/>
      <c r="D163" s="85"/>
      <c r="E163" s="86"/>
      <c r="F163" s="16">
        <f>IF(E163="","",DATEDIF(E163,$I$7,"Y"))</f>
      </c>
      <c r="G163" s="85"/>
      <c r="H163" s="85"/>
      <c r="I163" s="87"/>
      <c r="J163" s="85"/>
      <c r="K163" s="85"/>
      <c r="L163" s="10"/>
      <c r="M163" s="10"/>
      <c r="N163" s="10"/>
      <c r="O163" s="10"/>
      <c r="P163" s="85"/>
      <c r="Q163" s="88"/>
      <c r="R163" s="3">
        <f>IFERROR(VLOOKUP(TablaOctubre[[#This Row],[BARRIO]],SECTOR!$A:$B,2,0),"")</f>
      </c>
      <c r="S163" s="89"/>
      <c r="T163" s="90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6"/>
      <c r="AZ163" s="120">
        <f>COUNTIF(U163:AY163,"A")</f>
      </c>
      <c r="BA163" s="121">
        <f>COUNTIF(U163:AY163,"F")</f>
      </c>
      <c r="BB163" s="119">
        <f>COUNTIF(U163:AY163,"E")</f>
      </c>
    </row>
    <row r="164" spans="1:54" x14ac:dyDescent="0.2">
      <c r="A164" s="84"/>
      <c r="B164" s="107"/>
      <c r="C164" s="85"/>
      <c r="D164" s="85"/>
      <c r="E164" s="86"/>
      <c r="F164" s="16">
        <f>IF(E164="","",DATEDIF(E164,$I$7,"Y"))</f>
      </c>
      <c r="G164" s="85"/>
      <c r="H164" s="85"/>
      <c r="I164" s="87"/>
      <c r="J164" s="85"/>
      <c r="K164" s="85"/>
      <c r="L164" s="10"/>
      <c r="M164" s="10"/>
      <c r="N164" s="10"/>
      <c r="O164" s="10"/>
      <c r="P164" s="85"/>
      <c r="Q164" s="88"/>
      <c r="R164" s="3">
        <f>IFERROR(VLOOKUP(TablaOctubre[[#This Row],[BARRIO]],SECTOR!$A:$B,2,0),"")</f>
      </c>
      <c r="S164" s="89"/>
      <c r="T164" s="90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6"/>
      <c r="AZ164" s="120">
        <f>COUNTIF(U164:AY164,"A")</f>
      </c>
      <c r="BA164" s="121">
        <f>COUNTIF(U164:AY164,"F")</f>
      </c>
      <c r="BB164" s="119">
        <f>COUNTIF(U164:AY164,"E")</f>
      </c>
    </row>
    <row r="165" spans="1:54" x14ac:dyDescent="0.2">
      <c r="A165" s="84"/>
      <c r="B165" s="107"/>
      <c r="C165" s="85"/>
      <c r="D165" s="85"/>
      <c r="E165" s="86"/>
      <c r="F165" s="16">
        <f>IF(E165="","",DATEDIF(E165,$I$7,"Y"))</f>
      </c>
      <c r="G165" s="85"/>
      <c r="H165" s="85"/>
      <c r="I165" s="87"/>
      <c r="J165" s="85"/>
      <c r="K165" s="85"/>
      <c r="L165" s="10"/>
      <c r="M165" s="10"/>
      <c r="N165" s="10"/>
      <c r="O165" s="10"/>
      <c r="P165" s="85"/>
      <c r="Q165" s="88"/>
      <c r="R165" s="3">
        <f>IFERROR(VLOOKUP(TablaOctubre[[#This Row],[BARRIO]],SECTOR!$A:$B,2,0),"")</f>
      </c>
      <c r="S165" s="89"/>
      <c r="T165" s="90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6"/>
      <c r="AZ165" s="120">
        <f>COUNTIF(U165:AY165,"A")</f>
      </c>
      <c r="BA165" s="121">
        <f>COUNTIF(U165:AY165,"F")</f>
      </c>
      <c r="BB165" s="119">
        <f>COUNTIF(U165:AY165,"E")</f>
      </c>
    </row>
    <row r="166" spans="1:54" x14ac:dyDescent="0.2">
      <c r="A166" s="84"/>
      <c r="B166" s="107"/>
      <c r="C166" s="85"/>
      <c r="D166" s="85"/>
      <c r="E166" s="86"/>
      <c r="F166" s="16">
        <f>IF(E166="","",DATEDIF(E166,$I$7,"Y"))</f>
      </c>
      <c r="G166" s="85"/>
      <c r="H166" s="85"/>
      <c r="I166" s="87"/>
      <c r="J166" s="85"/>
      <c r="K166" s="85"/>
      <c r="L166" s="10"/>
      <c r="M166" s="10"/>
      <c r="N166" s="10"/>
      <c r="O166" s="10"/>
      <c r="P166" s="85"/>
      <c r="Q166" s="88"/>
      <c r="R166" s="3">
        <f>IFERROR(VLOOKUP(TablaOctubre[[#This Row],[BARRIO]],SECTOR!$A:$B,2,0),"")</f>
      </c>
      <c r="S166" s="89"/>
      <c r="T166" s="90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6"/>
      <c r="AZ166" s="120">
        <f>COUNTIF(U166:AY166,"A")</f>
      </c>
      <c r="BA166" s="121">
        <f>COUNTIF(U166:AY166,"F")</f>
      </c>
      <c r="BB166" s="119">
        <f>COUNTIF(U166:AY166,"E")</f>
      </c>
    </row>
    <row r="167" spans="1:54" x14ac:dyDescent="0.2">
      <c r="A167" s="84"/>
      <c r="B167" s="107"/>
      <c r="C167" s="85"/>
      <c r="D167" s="85"/>
      <c r="E167" s="86"/>
      <c r="F167" s="16">
        <f>IF(E167="","",DATEDIF(E167,$I$7,"Y"))</f>
      </c>
      <c r="G167" s="85"/>
      <c r="H167" s="85"/>
      <c r="I167" s="87"/>
      <c r="J167" s="85"/>
      <c r="K167" s="85"/>
      <c r="L167" s="10"/>
      <c r="M167" s="10"/>
      <c r="N167" s="10"/>
      <c r="O167" s="10"/>
      <c r="P167" s="85"/>
      <c r="Q167" s="88"/>
      <c r="R167" s="3">
        <f>IFERROR(VLOOKUP(TablaOctubre[[#This Row],[BARRIO]],SECTOR!$A:$B,2,0),"")</f>
      </c>
      <c r="S167" s="89"/>
      <c r="T167" s="90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6"/>
      <c r="AZ167" s="120">
        <f>COUNTIF(U167:AY167,"A")</f>
      </c>
      <c r="BA167" s="121">
        <f>COUNTIF(U167:AY167,"F")</f>
      </c>
      <c r="BB167" s="119">
        <f>COUNTIF(U167:AY167,"E")</f>
      </c>
    </row>
    <row r="168" spans="1:54" x14ac:dyDescent="0.2">
      <c r="A168" s="84"/>
      <c r="B168" s="107"/>
      <c r="C168" s="85"/>
      <c r="D168" s="85"/>
      <c r="E168" s="86"/>
      <c r="F168" s="16">
        <f>IF(E168="","",DATEDIF(E168,$I$7,"Y"))</f>
      </c>
      <c r="G168" s="85"/>
      <c r="H168" s="85"/>
      <c r="I168" s="87"/>
      <c r="J168" s="85"/>
      <c r="K168" s="85"/>
      <c r="L168" s="2"/>
      <c r="M168" s="2"/>
      <c r="N168" s="10"/>
      <c r="O168" s="2"/>
      <c r="P168" s="85"/>
      <c r="Q168" s="88"/>
      <c r="R168" s="3">
        <f>IFERROR(VLOOKUP(TablaOctubre[[#This Row],[BARRIO]],SECTOR!$A:$B,2,0),"")</f>
      </c>
      <c r="S168" s="89"/>
      <c r="T168" s="90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6"/>
      <c r="AZ168" s="120">
        <f>COUNTIF(U168:AY168,"A")</f>
      </c>
      <c r="BA168" s="121">
        <f>COUNTIF(U168:AY168,"F")</f>
      </c>
      <c r="BB168" s="119">
        <f>COUNTIF(U168:AY168,"E")</f>
      </c>
    </row>
    <row r="169" spans="1:54" x14ac:dyDescent="0.2">
      <c r="A169" s="84"/>
      <c r="B169" s="85"/>
      <c r="C169" s="85"/>
      <c r="D169" s="85"/>
      <c r="E169" s="86"/>
      <c r="F169" s="16">
        <f>IF(E169="","",DATEDIF(E169,$I$7,"Y"))</f>
      </c>
      <c r="G169" s="85"/>
      <c r="H169" s="85"/>
      <c r="I169" s="87"/>
      <c r="J169" s="85"/>
      <c r="K169" s="85"/>
      <c r="L169" s="10"/>
      <c r="M169" s="10"/>
      <c r="N169" s="10"/>
      <c r="O169" s="10"/>
      <c r="P169" s="85"/>
      <c r="Q169" s="88"/>
      <c r="R169" s="3">
        <f>IFERROR(VLOOKUP(TablaOctubre[[#This Row],[BARRIO]],SECTOR!$A:$B,2,0),"")</f>
      </c>
      <c r="S169" s="89"/>
      <c r="T169" s="90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6"/>
      <c r="AZ169" s="30">
        <f>COUNTIF(U169:AY169,"A")</f>
      </c>
      <c r="BA169" s="32">
        <f>COUNTIF(U169:AY169,"F")</f>
      </c>
      <c r="BB169" s="119">
        <f>COUNTIF(U169:AY169,"E")</f>
      </c>
    </row>
    <row r="170" spans="1:54" x14ac:dyDescent="0.2">
      <c r="A170" s="84"/>
      <c r="B170" s="85"/>
      <c r="C170" s="85"/>
      <c r="D170" s="85"/>
      <c r="E170" s="86"/>
      <c r="F170" s="16">
        <f>IF(E170="","",DATEDIF(E170,$I$7,"Y"))</f>
      </c>
      <c r="G170" s="85"/>
      <c r="H170" s="85"/>
      <c r="I170" s="87"/>
      <c r="J170" s="85"/>
      <c r="K170" s="85"/>
      <c r="L170" s="10"/>
      <c r="M170" s="10"/>
      <c r="N170" s="10"/>
      <c r="O170" s="10"/>
      <c r="P170" s="85"/>
      <c r="Q170" s="88"/>
      <c r="R170" s="3">
        <f>IFERROR(VLOOKUP(TablaOctubre[[#This Row],[BARRIO]],SECTOR!$A:$B,2,0),"")</f>
      </c>
      <c r="S170" s="89"/>
      <c r="T170" s="90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6"/>
      <c r="AZ170" s="120">
        <f>COUNTIF(U170:AY170,"A")</f>
      </c>
      <c r="BA170" s="121">
        <f>COUNTIF(U170:AY170,"F")</f>
      </c>
      <c r="BB170" s="119">
        <f>COUNTIF(U170:AY170,"E")</f>
      </c>
    </row>
    <row r="171" spans="1:54" x14ac:dyDescent="0.2">
      <c r="A171" s="84"/>
      <c r="B171" s="85"/>
      <c r="C171" s="85"/>
      <c r="D171" s="85"/>
      <c r="E171" s="86"/>
      <c r="F171" s="16">
        <f>IF(E171="","",DATEDIF(E171,$I$7,"Y"))</f>
      </c>
      <c r="G171" s="85"/>
      <c r="H171" s="85"/>
      <c r="I171" s="87"/>
      <c r="J171" s="85"/>
      <c r="K171" s="85"/>
      <c r="L171" s="10"/>
      <c r="M171" s="10"/>
      <c r="N171" s="10"/>
      <c r="O171" s="10"/>
      <c r="P171" s="85"/>
      <c r="Q171" s="88"/>
      <c r="R171" s="3">
        <f>IFERROR(VLOOKUP(TablaOctubre[[#This Row],[BARRIO]],SECTOR!$A:$B,2,0),"")</f>
      </c>
      <c r="S171" s="89"/>
      <c r="T171" s="90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6"/>
      <c r="AZ171" s="120">
        <f>COUNTIF(U171:AY171,"A")</f>
      </c>
      <c r="BA171" s="121">
        <f>COUNTIF(U171:AY171,"F")</f>
      </c>
      <c r="BB171" s="119">
        <f>COUNTIF(U171:AY171,"E")</f>
      </c>
    </row>
    <row r="172" spans="1:54" x14ac:dyDescent="0.2">
      <c r="A172" s="84"/>
      <c r="B172" s="85"/>
      <c r="C172" s="85"/>
      <c r="D172" s="85"/>
      <c r="E172" s="86"/>
      <c r="F172" s="16">
        <f>IF(E172="","",DATEDIF(E172,$I$7,"Y"))</f>
      </c>
      <c r="G172" s="85"/>
      <c r="H172" s="85"/>
      <c r="I172" s="87"/>
      <c r="J172" s="85"/>
      <c r="K172" s="85"/>
      <c r="L172" s="10"/>
      <c r="M172" s="10"/>
      <c r="N172" s="10"/>
      <c r="O172" s="10"/>
      <c r="P172" s="85"/>
      <c r="Q172" s="88"/>
      <c r="R172" s="3">
        <f>IFERROR(VLOOKUP(TablaOctubre[[#This Row],[BARRIO]],SECTOR!$A:$B,2,0),"")</f>
      </c>
      <c r="S172" s="89"/>
      <c r="T172" s="90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6"/>
      <c r="AZ172" s="120">
        <f>COUNTIF(U172:AY172,"A")</f>
      </c>
      <c r="BA172" s="121">
        <f>COUNTIF(U172:AY172,"F")</f>
      </c>
      <c r="BB172" s="119">
        <f>COUNTIF(U172:AY172,"E")</f>
      </c>
    </row>
    <row r="173" spans="1:54" x14ac:dyDescent="0.2">
      <c r="A173" s="84"/>
      <c r="B173" s="85"/>
      <c r="C173" s="85"/>
      <c r="D173" s="85"/>
      <c r="E173" s="86"/>
      <c r="F173" s="16">
        <f>IF(E173="","",DATEDIF(E173,$I$7,"Y"))</f>
      </c>
      <c r="G173" s="85"/>
      <c r="H173" s="85"/>
      <c r="I173" s="87"/>
      <c r="J173" s="85"/>
      <c r="K173" s="85"/>
      <c r="L173" s="10"/>
      <c r="M173" s="10"/>
      <c r="N173" s="10"/>
      <c r="O173" s="10"/>
      <c r="P173" s="85"/>
      <c r="Q173" s="88"/>
      <c r="R173" s="3">
        <f>IFERROR(VLOOKUP(TablaOctubre[[#This Row],[BARRIO]],SECTOR!$A:$B,2,0),"")</f>
      </c>
      <c r="S173" s="89"/>
      <c r="T173" s="90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6"/>
      <c r="AZ173" s="120">
        <f>COUNTIF(U173:AY173,"A")</f>
      </c>
      <c r="BA173" s="121">
        <f>COUNTIF(U173:AY173,"F")</f>
      </c>
      <c r="BB173" s="119">
        <f>COUNTIF(U173:AY173,"E")</f>
      </c>
    </row>
    <row r="174" spans="1:54" x14ac:dyDescent="0.2">
      <c r="A174" s="84"/>
      <c r="B174" s="85"/>
      <c r="C174" s="85"/>
      <c r="D174" s="85"/>
      <c r="E174" s="86"/>
      <c r="F174" s="16">
        <f>IF(E174="","",DATEDIF(E174,$I$7,"Y"))</f>
      </c>
      <c r="G174" s="85"/>
      <c r="H174" s="85"/>
      <c r="I174" s="87"/>
      <c r="J174" s="85"/>
      <c r="K174" s="85"/>
      <c r="L174" s="10"/>
      <c r="M174" s="10"/>
      <c r="N174" s="10"/>
      <c r="O174" s="10"/>
      <c r="P174" s="85"/>
      <c r="Q174" s="88"/>
      <c r="R174" s="3">
        <f>IFERROR(VLOOKUP(TablaOctubre[[#This Row],[BARRIO]],SECTOR!$A:$B,2,0),"")</f>
      </c>
      <c r="S174" s="89"/>
      <c r="T174" s="90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6"/>
      <c r="AZ174" s="120">
        <f>COUNTIF(U174:AY174,"A")</f>
      </c>
      <c r="BA174" s="121">
        <f>COUNTIF(U174:AY174,"F")</f>
      </c>
      <c r="BB174" s="119">
        <f>COUNTIF(U174:AY174,"E")</f>
      </c>
    </row>
    <row r="175" spans="1:54" x14ac:dyDescent="0.2">
      <c r="A175" s="84"/>
      <c r="B175" s="85"/>
      <c r="C175" s="85"/>
      <c r="D175" s="85"/>
      <c r="E175" s="86"/>
      <c r="F175" s="16">
        <f>IF(E175="","",DATEDIF(E175,$I$7,"Y"))</f>
      </c>
      <c r="G175" s="85"/>
      <c r="H175" s="85"/>
      <c r="I175" s="87"/>
      <c r="J175" s="85"/>
      <c r="K175" s="85"/>
      <c r="L175" s="10"/>
      <c r="M175" s="10"/>
      <c r="N175" s="10"/>
      <c r="O175" s="10"/>
      <c r="P175" s="85"/>
      <c r="Q175" s="88"/>
      <c r="R175" s="3">
        <f>IFERROR(VLOOKUP(TablaOctubre[[#This Row],[BARRIO]],SECTOR!$A:$B,2,0),"")</f>
      </c>
      <c r="S175" s="89"/>
      <c r="T175" s="90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6"/>
      <c r="AZ175" s="120">
        <f>COUNTIF(U175:AY175,"A")</f>
      </c>
      <c r="BA175" s="121">
        <f>COUNTIF(U175:AY175,"F")</f>
      </c>
      <c r="BB175" s="119">
        <f>COUNTIF(U175:AY175,"E")</f>
      </c>
    </row>
    <row r="176" spans="1:54" x14ac:dyDescent="0.2">
      <c r="A176" s="84"/>
      <c r="B176" s="85"/>
      <c r="C176" s="85"/>
      <c r="D176" s="85"/>
      <c r="E176" s="86"/>
      <c r="F176" s="16">
        <f>IF(E176="","",DATEDIF(E176,$I$7,"Y"))</f>
      </c>
      <c r="G176" s="85"/>
      <c r="H176" s="85"/>
      <c r="I176" s="87"/>
      <c r="J176" s="85"/>
      <c r="K176" s="85"/>
      <c r="L176" s="10"/>
      <c r="M176" s="10"/>
      <c r="N176" s="10"/>
      <c r="O176" s="10"/>
      <c r="P176" s="85"/>
      <c r="Q176" s="88"/>
      <c r="R176" s="3">
        <f>IFERROR(VLOOKUP(TablaOctubre[[#This Row],[BARRIO]],SECTOR!$A:$B,2,0),"")</f>
      </c>
      <c r="S176" s="89"/>
      <c r="T176" s="90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6"/>
      <c r="AZ176" s="120">
        <f>COUNTIF(U176:AY176,"A")</f>
      </c>
      <c r="BA176" s="121">
        <f>COUNTIF(U176:AY176,"F")</f>
      </c>
      <c r="BB176" s="119">
        <f>COUNTIF(U176:AY176,"E")</f>
      </c>
    </row>
    <row r="177" spans="1:54" x14ac:dyDescent="0.2">
      <c r="A177" s="84"/>
      <c r="B177" s="85"/>
      <c r="C177" s="85"/>
      <c r="D177" s="85"/>
      <c r="E177" s="86"/>
      <c r="F177" s="16">
        <f>IF(E177="","",DATEDIF(E177,$I$7,"Y"))</f>
      </c>
      <c r="G177" s="85"/>
      <c r="H177" s="85"/>
      <c r="I177" s="87"/>
      <c r="J177" s="85"/>
      <c r="K177" s="85"/>
      <c r="L177" s="10"/>
      <c r="M177" s="10"/>
      <c r="N177" s="10"/>
      <c r="O177" s="10"/>
      <c r="P177" s="85"/>
      <c r="Q177" s="88"/>
      <c r="R177" s="3">
        <f>IFERROR(VLOOKUP(TablaOctubre[[#This Row],[BARRIO]],SECTOR!$A:$B,2,0),"")</f>
      </c>
      <c r="S177" s="89"/>
      <c r="T177" s="90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6"/>
      <c r="AZ177" s="120">
        <f>COUNTIF(U177:AY177,"A")</f>
      </c>
      <c r="BA177" s="121">
        <f>COUNTIF(U177:AY177,"F")</f>
      </c>
      <c r="BB177" s="119">
        <f>COUNTIF(U177:AY177,"E")</f>
      </c>
    </row>
    <row r="178" spans="1:54" x14ac:dyDescent="0.2">
      <c r="A178" s="84"/>
      <c r="B178" s="85"/>
      <c r="C178" s="85"/>
      <c r="D178" s="85"/>
      <c r="E178" s="86"/>
      <c r="F178" s="16">
        <f>IF(E178="","",DATEDIF(E178,$I$7,"Y"))</f>
      </c>
      <c r="G178" s="85"/>
      <c r="H178" s="85"/>
      <c r="I178" s="87"/>
      <c r="J178" s="85"/>
      <c r="K178" s="85"/>
      <c r="L178" s="10"/>
      <c r="M178" s="10"/>
      <c r="N178" s="10"/>
      <c r="O178" s="10"/>
      <c r="P178" s="85"/>
      <c r="Q178" s="88"/>
      <c r="R178" s="3">
        <f>IFERROR(VLOOKUP(TablaOctubre[[#This Row],[BARRIO]],SECTOR!$A:$B,2,0),"")</f>
      </c>
      <c r="S178" s="89"/>
      <c r="T178" s="90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6"/>
      <c r="AZ178" s="120">
        <f>COUNTIF(U178:AY178,"A")</f>
      </c>
      <c r="BA178" s="121">
        <f>COUNTIF(U178:AY178,"F")</f>
      </c>
      <c r="BB178" s="119">
        <f>COUNTIF(U178:AY178,"E")</f>
      </c>
    </row>
    <row r="179" spans="1:54" x14ac:dyDescent="0.2">
      <c r="A179" s="84"/>
      <c r="B179" s="85"/>
      <c r="C179" s="85"/>
      <c r="D179" s="85"/>
      <c r="E179" s="86"/>
      <c r="F179" s="16">
        <f>IF(E179="","",DATEDIF(E179,$I$7,"Y"))</f>
      </c>
      <c r="G179" s="85"/>
      <c r="H179" s="85"/>
      <c r="I179" s="87"/>
      <c r="J179" s="85"/>
      <c r="K179" s="85"/>
      <c r="L179" s="10"/>
      <c r="M179" s="10"/>
      <c r="N179" s="10"/>
      <c r="O179" s="10"/>
      <c r="P179" s="85"/>
      <c r="Q179" s="88"/>
      <c r="R179" s="3">
        <f>IFERROR(VLOOKUP(TablaOctubre[[#This Row],[BARRIO]],SECTOR!$A:$B,2,0),"")</f>
      </c>
      <c r="S179" s="89"/>
      <c r="T179" s="90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6"/>
      <c r="AZ179" s="120">
        <f>COUNTIF(U179:AY179,"A")</f>
      </c>
      <c r="BA179" s="121">
        <f>COUNTIF(U179:AY179,"F")</f>
      </c>
      <c r="BB179" s="119">
        <f>COUNTIF(U179:AY179,"E")</f>
      </c>
    </row>
    <row r="180" spans="1:54" x14ac:dyDescent="0.2">
      <c r="A180" s="84"/>
      <c r="B180" s="85"/>
      <c r="C180" s="85"/>
      <c r="D180" s="85"/>
      <c r="E180" s="86"/>
      <c r="F180" s="16">
        <f>IF(E180="","",DATEDIF(E180,$I$7,"Y"))</f>
      </c>
      <c r="G180" s="85"/>
      <c r="H180" s="85"/>
      <c r="I180" s="87"/>
      <c r="J180" s="85"/>
      <c r="K180" s="85"/>
      <c r="L180" s="10"/>
      <c r="M180" s="10"/>
      <c r="N180" s="10"/>
      <c r="O180" s="10"/>
      <c r="P180" s="85"/>
      <c r="Q180" s="88"/>
      <c r="R180" s="3">
        <f>IFERROR(VLOOKUP(TablaOctubre[[#This Row],[BARRIO]],SECTOR!$A:$B,2,0),"")</f>
      </c>
      <c r="S180" s="89"/>
      <c r="T180" s="90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6"/>
      <c r="AZ180" s="120">
        <f>COUNTIF(U180:AY180,"A")</f>
      </c>
      <c r="BA180" s="121">
        <f>COUNTIF(U180:AY180,"F")</f>
      </c>
      <c r="BB180" s="119">
        <f>COUNTIF(U180:AY180,"E")</f>
      </c>
    </row>
    <row r="181" spans="1:54" x14ac:dyDescent="0.2">
      <c r="A181" s="84"/>
      <c r="B181" s="85"/>
      <c r="C181" s="85"/>
      <c r="D181" s="85"/>
      <c r="E181" s="86"/>
      <c r="F181" s="16">
        <f>IF(E181="","",DATEDIF(E181,$I$7,"Y"))</f>
      </c>
      <c r="G181" s="85"/>
      <c r="H181" s="85"/>
      <c r="I181" s="87"/>
      <c r="J181" s="85"/>
      <c r="K181" s="85"/>
      <c r="L181" s="10"/>
      <c r="M181" s="10"/>
      <c r="N181" s="10"/>
      <c r="O181" s="10"/>
      <c r="P181" s="85"/>
      <c r="Q181" s="88"/>
      <c r="R181" s="3">
        <f>IFERROR(VLOOKUP(TablaOctubre[[#This Row],[BARRIO]],SECTOR!$A:$B,2,0),"")</f>
      </c>
      <c r="S181" s="89"/>
      <c r="T181" s="90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6"/>
      <c r="AZ181" s="120">
        <f>COUNTIF(U181:AY181,"A")</f>
      </c>
      <c r="BA181" s="121">
        <f>COUNTIF(U181:AY181,"F")</f>
      </c>
      <c r="BB181" s="119">
        <f>COUNTIF(U181:AY181,"E")</f>
      </c>
    </row>
    <row r="182" spans="1:54" x14ac:dyDescent="0.2">
      <c r="A182" s="84"/>
      <c r="B182" s="85"/>
      <c r="C182" s="85"/>
      <c r="D182" s="85"/>
      <c r="E182" s="86"/>
      <c r="F182" s="16">
        <f>IF(E182="","",DATEDIF(E182,$I$7,"Y"))</f>
      </c>
      <c r="G182" s="85"/>
      <c r="H182" s="85"/>
      <c r="I182" s="87"/>
      <c r="J182" s="85"/>
      <c r="K182" s="85"/>
      <c r="L182" s="10"/>
      <c r="M182" s="10"/>
      <c r="N182" s="10"/>
      <c r="O182" s="10"/>
      <c r="P182" s="85"/>
      <c r="Q182" s="88"/>
      <c r="R182" s="3">
        <f>IFERROR(VLOOKUP(TablaOctubre[[#This Row],[BARRIO]],SECTOR!$A:$B,2,0),"")</f>
      </c>
      <c r="S182" s="89"/>
      <c r="T182" s="90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6"/>
      <c r="AZ182" s="120">
        <f>COUNTIF(U182:AY182,"A")</f>
      </c>
      <c r="BA182" s="121">
        <f>COUNTIF(U182:AY182,"F")</f>
      </c>
      <c r="BB182" s="119">
        <f>COUNTIF(U182:AY182,"E")</f>
      </c>
    </row>
    <row r="183" spans="1:54" x14ac:dyDescent="0.2">
      <c r="A183" s="84"/>
      <c r="B183" s="85"/>
      <c r="C183" s="85"/>
      <c r="D183" s="85"/>
      <c r="E183" s="86"/>
      <c r="F183" s="16">
        <f>IF(E183="","",DATEDIF(E183,$I$7,"Y"))</f>
      </c>
      <c r="G183" s="85"/>
      <c r="H183" s="85"/>
      <c r="I183" s="87"/>
      <c r="J183" s="85"/>
      <c r="K183" s="85"/>
      <c r="L183" s="10"/>
      <c r="M183" s="10"/>
      <c r="N183" s="10"/>
      <c r="O183" s="10"/>
      <c r="P183" s="85"/>
      <c r="Q183" s="88"/>
      <c r="R183" s="3">
        <f>IFERROR(VLOOKUP(TablaOctubre[[#This Row],[BARRIO]],SECTOR!$A:$B,2,0),"")</f>
      </c>
      <c r="S183" s="89"/>
      <c r="T183" s="90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6"/>
      <c r="AZ183" s="120">
        <f>COUNTIF(U183:AY183,"A")</f>
      </c>
      <c r="BA183" s="121">
        <f>COUNTIF(U183:AY183,"F")</f>
      </c>
      <c r="BB183" s="119">
        <f>COUNTIF(U183:AY183,"E")</f>
      </c>
    </row>
    <row r="184" spans="1:54" x14ac:dyDescent="0.2">
      <c r="A184" s="84"/>
      <c r="B184" s="85"/>
      <c r="C184" s="85"/>
      <c r="D184" s="85"/>
      <c r="E184" s="86"/>
      <c r="F184" s="16">
        <f>IF(E184="","",DATEDIF(E184,$I$7,"Y"))</f>
      </c>
      <c r="G184" s="85"/>
      <c r="H184" s="85"/>
      <c r="I184" s="87"/>
      <c r="J184" s="85"/>
      <c r="K184" s="85"/>
      <c r="L184" s="10"/>
      <c r="M184" s="10"/>
      <c r="N184" s="10"/>
      <c r="O184" s="10"/>
      <c r="P184" s="85"/>
      <c r="Q184" s="88"/>
      <c r="R184" s="3">
        <f>IFERROR(VLOOKUP(TablaOctubre[[#This Row],[BARRIO]],SECTOR!$A:$B,2,0),"")</f>
      </c>
      <c r="S184" s="89"/>
      <c r="T184" s="90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6"/>
      <c r="AZ184" s="120">
        <f>COUNTIF(U184:AY184,"A")</f>
      </c>
      <c r="BA184" s="121">
        <f>COUNTIF(U184:AY184,"F")</f>
      </c>
      <c r="BB184" s="119">
        <f>COUNTIF(U184:AY184,"E")</f>
      </c>
    </row>
    <row r="185" spans="1:54" x14ac:dyDescent="0.2">
      <c r="A185" s="84"/>
      <c r="B185" s="85"/>
      <c r="C185" s="85"/>
      <c r="D185" s="85"/>
      <c r="E185" s="86"/>
      <c r="F185" s="16">
        <f>IF(E185="","",DATEDIF(E185,$I$7,"Y"))</f>
      </c>
      <c r="G185" s="85"/>
      <c r="H185" s="85"/>
      <c r="I185" s="87"/>
      <c r="J185" s="85"/>
      <c r="K185" s="85"/>
      <c r="L185" s="10"/>
      <c r="M185" s="10"/>
      <c r="N185" s="10"/>
      <c r="O185" s="10"/>
      <c r="P185" s="85"/>
      <c r="Q185" s="88"/>
      <c r="R185" s="3">
        <f>IFERROR(VLOOKUP(TablaOctubre[[#This Row],[BARRIO]],SECTOR!$A:$B,2,0),"")</f>
      </c>
      <c r="S185" s="89"/>
      <c r="T185" s="90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6"/>
      <c r="AZ185" s="120">
        <f>COUNTIF(U185:AY185,"A")</f>
      </c>
      <c r="BA185" s="121">
        <f>COUNTIF(U185:AY185,"F")</f>
      </c>
      <c r="BB185" s="119">
        <f>COUNTIF(U185:AY185,"E")</f>
      </c>
    </row>
    <row r="186" spans="1:54" x14ac:dyDescent="0.2">
      <c r="A186" s="84"/>
      <c r="B186" s="85"/>
      <c r="C186" s="85"/>
      <c r="D186" s="85"/>
      <c r="E186" s="86"/>
      <c r="F186" s="16">
        <f>IF(E186="","",DATEDIF(E186,$I$7,"Y"))</f>
      </c>
      <c r="G186" s="85"/>
      <c r="H186" s="85"/>
      <c r="I186" s="87"/>
      <c r="J186" s="85"/>
      <c r="K186" s="85"/>
      <c r="L186" s="10"/>
      <c r="M186" s="10"/>
      <c r="N186" s="10"/>
      <c r="O186" s="10"/>
      <c r="P186" s="85"/>
      <c r="Q186" s="88"/>
      <c r="R186" s="3">
        <f>IFERROR(VLOOKUP(TablaOctubre[[#This Row],[BARRIO]],SECTOR!$A:$B,2,0),"")</f>
      </c>
      <c r="S186" s="89"/>
      <c r="T186" s="90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6"/>
      <c r="AZ186" s="120">
        <f>COUNTIF(U186:AY186,"A")</f>
      </c>
      <c r="BA186" s="121">
        <f>COUNTIF(U186:AY186,"F")</f>
      </c>
      <c r="BB186" s="119">
        <f>COUNTIF(U186:AY186,"E")</f>
      </c>
    </row>
    <row r="187" spans="1:54" x14ac:dyDescent="0.2">
      <c r="A187" s="84"/>
      <c r="B187" s="85"/>
      <c r="C187" s="85"/>
      <c r="D187" s="85"/>
      <c r="E187" s="86"/>
      <c r="F187" s="16">
        <f>IF(E187="","",DATEDIF(E187,$I$7,"Y"))</f>
      </c>
      <c r="G187" s="85"/>
      <c r="H187" s="85"/>
      <c r="I187" s="87"/>
      <c r="J187" s="85"/>
      <c r="K187" s="85"/>
      <c r="L187" s="10"/>
      <c r="M187" s="10"/>
      <c r="N187" s="10"/>
      <c r="O187" s="10"/>
      <c r="P187" s="85"/>
      <c r="Q187" s="88"/>
      <c r="R187" s="3">
        <f>IFERROR(VLOOKUP(TablaOctubre[[#This Row],[BARRIO]],SECTOR!$A:$B,2,0),"")</f>
      </c>
      <c r="S187" s="89"/>
      <c r="T187" s="90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6"/>
      <c r="AZ187" s="120">
        <f>COUNTIF(U187:AY187,"A")</f>
      </c>
      <c r="BA187" s="121">
        <f>COUNTIF(U187:AY187,"F")</f>
      </c>
      <c r="BB187" s="119">
        <f>COUNTIF(U187:AY187,"E")</f>
      </c>
    </row>
    <row r="188" spans="1:54" x14ac:dyDescent="0.2">
      <c r="A188" s="84"/>
      <c r="B188" s="85"/>
      <c r="C188" s="85"/>
      <c r="D188" s="85"/>
      <c r="E188" s="86"/>
      <c r="F188" s="16">
        <f>IF(E188="","",DATEDIF(E188,$I$7,"Y"))</f>
      </c>
      <c r="G188" s="85"/>
      <c r="H188" s="85"/>
      <c r="I188" s="87"/>
      <c r="J188" s="85"/>
      <c r="K188" s="85"/>
      <c r="L188" s="10"/>
      <c r="M188" s="10"/>
      <c r="N188" s="10"/>
      <c r="O188" s="10"/>
      <c r="P188" s="85"/>
      <c r="Q188" s="88"/>
      <c r="R188" s="3">
        <f>IFERROR(VLOOKUP(TablaOctubre[[#This Row],[BARRIO]],SECTOR!$A:$B,2,0),"")</f>
      </c>
      <c r="S188" s="89"/>
      <c r="T188" s="90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6"/>
      <c r="AZ188" s="120">
        <f>COUNTIF(U188:AY188,"A")</f>
      </c>
      <c r="BA188" s="121">
        <f>COUNTIF(U188:AY188,"F")</f>
      </c>
      <c r="BB188" s="119">
        <f>COUNTIF(U188:AY188,"E")</f>
      </c>
    </row>
    <row r="189" spans="1:54" x14ac:dyDescent="0.2">
      <c r="A189" s="84"/>
      <c r="B189" s="85"/>
      <c r="C189" s="85"/>
      <c r="D189" s="85"/>
      <c r="E189" s="86"/>
      <c r="F189" s="16">
        <f>IF(E189="","",DATEDIF(E189,$I$7,"Y"))</f>
      </c>
      <c r="G189" s="85"/>
      <c r="H189" s="85"/>
      <c r="I189" s="87"/>
      <c r="J189" s="85"/>
      <c r="K189" s="85"/>
      <c r="L189" s="10"/>
      <c r="M189" s="10"/>
      <c r="N189" s="10"/>
      <c r="O189" s="10"/>
      <c r="P189" s="85"/>
      <c r="Q189" s="88"/>
      <c r="R189" s="3">
        <f>IFERROR(VLOOKUP(TablaOctubre[[#This Row],[BARRIO]],SECTOR!$A:$B,2,0),"")</f>
      </c>
      <c r="S189" s="89"/>
      <c r="T189" s="90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6"/>
      <c r="AZ189" s="120">
        <f>COUNTIF(U189:AY189,"A")</f>
      </c>
      <c r="BA189" s="121">
        <f>COUNTIF(U189:AY189,"F")</f>
      </c>
      <c r="BB189" s="119">
        <f>COUNTIF(U189:AY189,"E")</f>
      </c>
    </row>
    <row r="190" spans="1:54" x14ac:dyDescent="0.2">
      <c r="A190" s="84"/>
      <c r="B190" s="85"/>
      <c r="C190" s="85"/>
      <c r="D190" s="85"/>
      <c r="E190" s="86"/>
      <c r="F190" s="16">
        <f>IF(E190="","",DATEDIF(E190,$I$7,"Y"))</f>
      </c>
      <c r="G190" s="85"/>
      <c r="H190" s="85"/>
      <c r="I190" s="87"/>
      <c r="J190" s="85"/>
      <c r="K190" s="85"/>
      <c r="L190" s="10"/>
      <c r="M190" s="10"/>
      <c r="N190" s="10"/>
      <c r="O190" s="10"/>
      <c r="P190" s="85"/>
      <c r="Q190" s="88"/>
      <c r="R190" s="3">
        <f>IFERROR(VLOOKUP(TablaOctubre[[#This Row],[BARRIO]],SECTOR!$A:$B,2,0),"")</f>
      </c>
      <c r="S190" s="89"/>
      <c r="T190" s="90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6"/>
      <c r="AZ190" s="120">
        <f>COUNTIF(U190:AY190,"A")</f>
      </c>
      <c r="BA190" s="121">
        <f>COUNTIF(U190:AY190,"F")</f>
      </c>
      <c r="BB190" s="119">
        <f>COUNTIF(U190:AY190,"E")</f>
      </c>
    </row>
    <row r="191" spans="1:54" x14ac:dyDescent="0.2">
      <c r="A191" s="84"/>
      <c r="B191" s="85"/>
      <c r="C191" s="85"/>
      <c r="D191" s="85"/>
      <c r="E191" s="86"/>
      <c r="F191" s="16">
        <f>IF(E191="","",DATEDIF(E191,$I$7,"Y"))</f>
      </c>
      <c r="G191" s="85"/>
      <c r="H191" s="85"/>
      <c r="I191" s="87"/>
      <c r="J191" s="85"/>
      <c r="K191" s="85"/>
      <c r="L191" s="10"/>
      <c r="M191" s="10"/>
      <c r="N191" s="10"/>
      <c r="O191" s="10"/>
      <c r="P191" s="85"/>
      <c r="Q191" s="88"/>
      <c r="R191" s="3">
        <f>IFERROR(VLOOKUP(TablaOctubre[[#This Row],[BARRIO]],SECTOR!$A:$B,2,0),"")</f>
      </c>
      <c r="S191" s="89"/>
      <c r="T191" s="90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6"/>
      <c r="AZ191" s="120">
        <f>COUNTIF(U191:AY191,"A")</f>
      </c>
      <c r="BA191" s="121">
        <f>COUNTIF(U191:AY191,"F")</f>
      </c>
      <c r="BB191" s="119">
        <f>COUNTIF(U191:AY191,"E")</f>
      </c>
    </row>
    <row r="192" spans="1:54" x14ac:dyDescent="0.2">
      <c r="A192" s="84"/>
      <c r="B192" s="85"/>
      <c r="C192" s="85"/>
      <c r="D192" s="85"/>
      <c r="E192" s="86"/>
      <c r="F192" s="16">
        <f>IF(E192="","",DATEDIF(E192,$I$7,"Y"))</f>
      </c>
      <c r="G192" s="85"/>
      <c r="H192" s="85"/>
      <c r="I192" s="87"/>
      <c r="J192" s="85"/>
      <c r="K192" s="85"/>
      <c r="L192" s="10"/>
      <c r="M192" s="10"/>
      <c r="N192" s="10"/>
      <c r="O192" s="10"/>
      <c r="P192" s="85"/>
      <c r="Q192" s="88"/>
      <c r="R192" s="3">
        <f>IFERROR(VLOOKUP(TablaOctubre[[#This Row],[BARRIO]],SECTOR!$A:$B,2,0),"")</f>
      </c>
      <c r="S192" s="89"/>
      <c r="T192" s="90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6"/>
      <c r="AZ192" s="120">
        <f>COUNTIF(U192:AY192,"A")</f>
      </c>
      <c r="BA192" s="121">
        <f>COUNTIF(U192:AY192,"F")</f>
      </c>
      <c r="BB192" s="119">
        <f>COUNTIF(U192:AY192,"E")</f>
      </c>
    </row>
    <row r="193" spans="1:54" x14ac:dyDescent="0.2">
      <c r="A193" s="84"/>
      <c r="B193" s="85"/>
      <c r="C193" s="85"/>
      <c r="D193" s="85"/>
      <c r="E193" s="86"/>
      <c r="F193" s="16">
        <f>IF(E193="","",DATEDIF(E193,$I$7,"Y"))</f>
      </c>
      <c r="G193" s="85"/>
      <c r="H193" s="85"/>
      <c r="I193" s="87"/>
      <c r="J193" s="85"/>
      <c r="K193" s="85"/>
      <c r="L193" s="10"/>
      <c r="M193" s="10"/>
      <c r="N193" s="10"/>
      <c r="O193" s="10"/>
      <c r="P193" s="85"/>
      <c r="Q193" s="88"/>
      <c r="R193" s="3">
        <f>IFERROR(VLOOKUP(TablaOctubre[[#This Row],[BARRIO]],SECTOR!$A:$B,2,0),"")</f>
      </c>
      <c r="S193" s="89"/>
      <c r="T193" s="90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6"/>
      <c r="AZ193" s="120">
        <f>COUNTIF(U193:AY193,"A")</f>
      </c>
      <c r="BA193" s="121">
        <f>COUNTIF(U193:AY193,"F")</f>
      </c>
      <c r="BB193" s="119">
        <f>COUNTIF(U193:AY193,"E")</f>
      </c>
    </row>
    <row r="194" spans="1:54" x14ac:dyDescent="0.2">
      <c r="A194" s="84"/>
      <c r="B194" s="85"/>
      <c r="C194" s="85"/>
      <c r="D194" s="85"/>
      <c r="E194" s="86"/>
      <c r="F194" s="16">
        <f>IF(E194="","",DATEDIF(E194,$I$7,"Y"))</f>
      </c>
      <c r="G194" s="85"/>
      <c r="H194" s="85"/>
      <c r="I194" s="87"/>
      <c r="J194" s="85"/>
      <c r="K194" s="85"/>
      <c r="L194" s="10"/>
      <c r="M194" s="10"/>
      <c r="N194" s="10"/>
      <c r="O194" s="10"/>
      <c r="P194" s="85"/>
      <c r="Q194" s="88"/>
      <c r="R194" s="3">
        <f>IFERROR(VLOOKUP(TablaOctubre[[#This Row],[BARRIO]],SECTOR!$A:$B,2,0),"")</f>
      </c>
      <c r="S194" s="89"/>
      <c r="T194" s="90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6"/>
      <c r="AZ194" s="120">
        <f>COUNTIF(U194:AY194,"A")</f>
      </c>
      <c r="BA194" s="121">
        <f>COUNTIF(U194:AY194,"F")</f>
      </c>
      <c r="BB194" s="119">
        <f>COUNTIF(U194:AY194,"E")</f>
      </c>
    </row>
    <row r="195" spans="1:54" x14ac:dyDescent="0.2">
      <c r="A195" s="84"/>
      <c r="B195" s="85"/>
      <c r="C195" s="85"/>
      <c r="D195" s="85"/>
      <c r="E195" s="86"/>
      <c r="F195" s="16">
        <f>IF(E195="","",DATEDIF(E195,$I$7,"Y"))</f>
      </c>
      <c r="G195" s="85"/>
      <c r="H195" s="85"/>
      <c r="I195" s="87"/>
      <c r="J195" s="85"/>
      <c r="K195" s="85"/>
      <c r="L195" s="10"/>
      <c r="M195" s="10"/>
      <c r="N195" s="10"/>
      <c r="O195" s="10"/>
      <c r="P195" s="85"/>
      <c r="Q195" s="88"/>
      <c r="R195" s="3">
        <f>IFERROR(VLOOKUP(TablaOctubre[[#This Row],[BARRIO]],SECTOR!$A:$B,2,0),"")</f>
      </c>
      <c r="S195" s="89"/>
      <c r="T195" s="90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6"/>
      <c r="AZ195" s="120">
        <f>COUNTIF(U195:AY195,"A")</f>
      </c>
      <c r="BA195" s="121">
        <f>COUNTIF(U195:AY195,"F")</f>
      </c>
      <c r="BB195" s="119">
        <f>COUNTIF(U195:AY195,"E")</f>
      </c>
    </row>
    <row r="196" spans="1:54" x14ac:dyDescent="0.2">
      <c r="A196" s="84"/>
      <c r="B196" s="85"/>
      <c r="C196" s="85"/>
      <c r="D196" s="85"/>
      <c r="E196" s="86"/>
      <c r="F196" s="16">
        <f>IF(E196="","",DATEDIF(E196,$I$7,"Y"))</f>
      </c>
      <c r="G196" s="85"/>
      <c r="H196" s="85"/>
      <c r="I196" s="87"/>
      <c r="J196" s="85"/>
      <c r="K196" s="85"/>
      <c r="L196" s="10"/>
      <c r="M196" s="10"/>
      <c r="N196" s="10"/>
      <c r="O196" s="10"/>
      <c r="P196" s="85"/>
      <c r="Q196" s="88"/>
      <c r="R196" s="3">
        <f>IFERROR(VLOOKUP(TablaOctubre[[#This Row],[BARRIO]],SECTOR!$A:$B,2,0),"")</f>
      </c>
      <c r="S196" s="89"/>
      <c r="T196" s="90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6"/>
      <c r="AZ196" s="120">
        <f>COUNTIF(U196:AY196,"A")</f>
      </c>
      <c r="BA196" s="121">
        <f>COUNTIF(U196:AY196,"F")</f>
      </c>
      <c r="BB196" s="119">
        <f>COUNTIF(U196:AY196,"E")</f>
      </c>
    </row>
    <row r="197" spans="1:54" x14ac:dyDescent="0.2">
      <c r="A197" s="84"/>
      <c r="B197" s="85"/>
      <c r="C197" s="85"/>
      <c r="D197" s="85"/>
      <c r="E197" s="86"/>
      <c r="F197" s="16">
        <f>IF(E197="","",DATEDIF(E197,$I$7,"Y"))</f>
      </c>
      <c r="G197" s="85"/>
      <c r="H197" s="85"/>
      <c r="I197" s="87"/>
      <c r="J197" s="85"/>
      <c r="K197" s="85"/>
      <c r="L197" s="10"/>
      <c r="M197" s="10"/>
      <c r="N197" s="10"/>
      <c r="O197" s="10"/>
      <c r="P197" s="85"/>
      <c r="Q197" s="88"/>
      <c r="R197" s="3">
        <f>IFERROR(VLOOKUP(TablaOctubre[[#This Row],[BARRIO]],SECTOR!$A:$B,2,0),"")</f>
      </c>
      <c r="S197" s="89"/>
      <c r="T197" s="90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6"/>
      <c r="AZ197" s="120">
        <f>COUNTIF(U197:AY197,"A")</f>
      </c>
      <c r="BA197" s="121">
        <f>COUNTIF(U197:AY197,"F")</f>
      </c>
      <c r="BB197" s="119">
        <f>COUNTIF(U197:AY197,"E")</f>
      </c>
    </row>
    <row r="198" spans="1:54" x14ac:dyDescent="0.2">
      <c r="A198" s="84"/>
      <c r="B198" s="85"/>
      <c r="C198" s="85"/>
      <c r="D198" s="85"/>
      <c r="E198" s="86"/>
      <c r="F198" s="16">
        <f>IF(E198="","",DATEDIF(E198,$I$7,"Y"))</f>
      </c>
      <c r="G198" s="85"/>
      <c r="H198" s="85"/>
      <c r="I198" s="87"/>
      <c r="J198" s="85"/>
      <c r="K198" s="85"/>
      <c r="L198" s="10"/>
      <c r="M198" s="10"/>
      <c r="N198" s="10"/>
      <c r="O198" s="10"/>
      <c r="P198" s="85"/>
      <c r="Q198" s="88"/>
      <c r="R198" s="3">
        <f>IFERROR(VLOOKUP(TablaOctubre[[#This Row],[BARRIO]],SECTOR!$A:$B,2,0),"")</f>
      </c>
      <c r="S198" s="89"/>
      <c r="T198" s="90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6"/>
      <c r="AZ198" s="120">
        <f>COUNTIF(U198:AY198,"A")</f>
      </c>
      <c r="BA198" s="121">
        <f>COUNTIF(U198:AY198,"F")</f>
      </c>
      <c r="BB198" s="119">
        <f>COUNTIF(U198:AY198,"E")</f>
      </c>
    </row>
    <row r="199" spans="1:54" x14ac:dyDescent="0.2">
      <c r="A199" s="84"/>
      <c r="B199" s="85"/>
      <c r="C199" s="85"/>
      <c r="D199" s="85"/>
      <c r="E199" s="86"/>
      <c r="F199" s="16">
        <f>IF(E199="","",DATEDIF(E199,$I$7,"Y"))</f>
      </c>
      <c r="G199" s="85"/>
      <c r="H199" s="85"/>
      <c r="I199" s="87"/>
      <c r="J199" s="85"/>
      <c r="K199" s="85"/>
      <c r="L199" s="10"/>
      <c r="M199" s="10"/>
      <c r="N199" s="10"/>
      <c r="O199" s="10"/>
      <c r="P199" s="85"/>
      <c r="Q199" s="88"/>
      <c r="R199" s="3">
        <f>IFERROR(VLOOKUP(TablaOctubre[[#This Row],[BARRIO]],SECTOR!$A:$B,2,0),"")</f>
      </c>
      <c r="S199" s="89"/>
      <c r="T199" s="90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6"/>
      <c r="AZ199" s="120">
        <f>COUNTIF(U199:AY199,"A")</f>
      </c>
      <c r="BA199" s="121">
        <f>COUNTIF(U199:AY199,"F")</f>
      </c>
      <c r="BB199" s="119">
        <f>COUNTIF(U199:AY199,"E")</f>
      </c>
    </row>
    <row r="200" spans="1:54" x14ac:dyDescent="0.2">
      <c r="A200" s="84"/>
      <c r="B200" s="85"/>
      <c r="C200" s="85"/>
      <c r="D200" s="85"/>
      <c r="E200" s="86"/>
      <c r="F200" s="16">
        <f>IF(E200="","",DATEDIF(E200,$I$7,"Y"))</f>
      </c>
      <c r="G200" s="85"/>
      <c r="H200" s="85"/>
      <c r="I200" s="87"/>
      <c r="J200" s="85"/>
      <c r="K200" s="85"/>
      <c r="L200" s="10"/>
      <c r="M200" s="10"/>
      <c r="N200" s="10"/>
      <c r="O200" s="10"/>
      <c r="P200" s="85"/>
      <c r="Q200" s="88"/>
      <c r="R200" s="3">
        <f>IFERROR(VLOOKUP(TablaOctubre[[#This Row],[BARRIO]],SECTOR!$A:$B,2,0),"")</f>
      </c>
      <c r="S200" s="89"/>
      <c r="T200" s="90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6"/>
      <c r="AZ200" s="120">
        <f>COUNTIF(U200:AY200,"A")</f>
      </c>
      <c r="BA200" s="121">
        <f>COUNTIF(U200:AY200,"F")</f>
      </c>
      <c r="BB200" s="119">
        <f>COUNTIF(U200:AY200,"E")</f>
      </c>
    </row>
    <row r="201" spans="1:54" x14ac:dyDescent="0.2">
      <c r="A201" s="84"/>
      <c r="B201" s="85"/>
      <c r="C201" s="85"/>
      <c r="D201" s="85"/>
      <c r="E201" s="86"/>
      <c r="F201" s="16">
        <f>IF(E201="","",DATEDIF(E201,$I$7,"Y"))</f>
      </c>
      <c r="G201" s="85"/>
      <c r="H201" s="85"/>
      <c r="I201" s="87"/>
      <c r="J201" s="85"/>
      <c r="K201" s="85"/>
      <c r="L201" s="10"/>
      <c r="M201" s="10"/>
      <c r="N201" s="10"/>
      <c r="O201" s="10"/>
      <c r="P201" s="85"/>
      <c r="Q201" s="88"/>
      <c r="R201" s="3">
        <f>IFERROR(VLOOKUP(TablaOctubre[[#This Row],[BARRIO]],SECTOR!$A:$B,2,0),"")</f>
      </c>
      <c r="S201" s="89"/>
      <c r="T201" s="90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6"/>
      <c r="AZ201" s="120">
        <f>COUNTIF(U201:AY201,"A")</f>
      </c>
      <c r="BA201" s="121">
        <f>COUNTIF(U201:AY201,"F")</f>
      </c>
      <c r="BB201" s="119">
        <f>COUNTIF(U201:AY201,"E")</f>
      </c>
    </row>
    <row r="202" spans="1:54" x14ac:dyDescent="0.2">
      <c r="A202" s="84"/>
      <c r="B202" s="85"/>
      <c r="C202" s="85"/>
      <c r="D202" s="85"/>
      <c r="E202" s="86"/>
      <c r="F202" s="16">
        <f>IF(E202="","",DATEDIF(E202,$I$7,"Y"))</f>
      </c>
      <c r="G202" s="85"/>
      <c r="H202" s="85"/>
      <c r="I202" s="87"/>
      <c r="J202" s="85"/>
      <c r="K202" s="85"/>
      <c r="L202" s="10"/>
      <c r="M202" s="10"/>
      <c r="N202" s="10"/>
      <c r="O202" s="10"/>
      <c r="P202" s="85"/>
      <c r="Q202" s="88"/>
      <c r="R202" s="3">
        <f>IFERROR(VLOOKUP(TablaOctubre[[#This Row],[BARRIO]],SECTOR!$A:$B,2,0),"")</f>
      </c>
      <c r="S202" s="89"/>
      <c r="T202" s="90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6"/>
      <c r="AZ202" s="120">
        <f>COUNTIF(U202:AY202,"A")</f>
      </c>
      <c r="BA202" s="121">
        <f>COUNTIF(U202:AY202,"F")</f>
      </c>
      <c r="BB202" s="119">
        <f>COUNTIF(U202:AY202,"E")</f>
      </c>
    </row>
    <row r="203" spans="1:54" x14ac:dyDescent="0.2">
      <c r="A203" s="84"/>
      <c r="B203" s="85"/>
      <c r="C203" s="85"/>
      <c r="D203" s="85"/>
      <c r="E203" s="86"/>
      <c r="F203" s="16">
        <f>IF(E203="","",DATEDIF(E203,$I$7,"Y"))</f>
      </c>
      <c r="G203" s="85"/>
      <c r="H203" s="85"/>
      <c r="I203" s="87"/>
      <c r="J203" s="85"/>
      <c r="K203" s="85"/>
      <c r="L203" s="10"/>
      <c r="M203" s="10"/>
      <c r="N203" s="10"/>
      <c r="O203" s="10"/>
      <c r="P203" s="85"/>
      <c r="Q203" s="88"/>
      <c r="R203" s="3">
        <f>IFERROR(VLOOKUP(TablaOctubre[[#This Row],[BARRIO]],SECTOR!$A:$B,2,0),"")</f>
      </c>
      <c r="S203" s="89"/>
      <c r="T203" s="90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6"/>
      <c r="AZ203" s="120">
        <f>COUNTIF(U203:AY203,"A")</f>
      </c>
      <c r="BA203" s="121">
        <f>COUNTIF(U203:AY203,"F")</f>
      </c>
      <c r="BB203" s="119">
        <f>COUNTIF(U203:AY203,"E")</f>
      </c>
    </row>
    <row r="204" spans="1:54" x14ac:dyDescent="0.2">
      <c r="A204" s="84"/>
      <c r="B204" s="85"/>
      <c r="C204" s="85"/>
      <c r="D204" s="85"/>
      <c r="E204" s="86"/>
      <c r="F204" s="16">
        <f>IF(E204="","",DATEDIF(E204,$I$7,"Y"))</f>
      </c>
      <c r="G204" s="85"/>
      <c r="H204" s="85"/>
      <c r="I204" s="87"/>
      <c r="J204" s="85"/>
      <c r="K204" s="85"/>
      <c r="L204" s="10"/>
      <c r="M204" s="10"/>
      <c r="N204" s="10"/>
      <c r="O204" s="10"/>
      <c r="P204" s="85"/>
      <c r="Q204" s="88"/>
      <c r="R204" s="3">
        <f>IFERROR(VLOOKUP(TablaOctubre[[#This Row],[BARRIO]],SECTOR!$A:$B,2,0),"")</f>
      </c>
      <c r="S204" s="89"/>
      <c r="T204" s="90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6"/>
      <c r="AZ204" s="120">
        <f>COUNTIF(U204:AY204,"A")</f>
      </c>
      <c r="BA204" s="121">
        <f>COUNTIF(U204:AY204,"F")</f>
      </c>
      <c r="BB204" s="119">
        <f>COUNTIF(U204:AY204,"E")</f>
      </c>
    </row>
    <row r="205" spans="1:54" x14ac:dyDescent="0.2">
      <c r="A205" s="84"/>
      <c r="B205" s="85"/>
      <c r="C205" s="85"/>
      <c r="D205" s="85"/>
      <c r="E205" s="86"/>
      <c r="F205" s="16">
        <f>IF(E205="","",DATEDIF(E205,$I$7,"Y"))</f>
      </c>
      <c r="G205" s="85"/>
      <c r="H205" s="85"/>
      <c r="I205" s="87"/>
      <c r="J205" s="85"/>
      <c r="K205" s="85"/>
      <c r="L205" s="10"/>
      <c r="M205" s="10"/>
      <c r="N205" s="10"/>
      <c r="O205" s="10"/>
      <c r="P205" s="85"/>
      <c r="Q205" s="88"/>
      <c r="R205" s="3">
        <f>IFERROR(VLOOKUP(TablaOctubre[[#This Row],[BARRIO]],SECTOR!$A:$B,2,0),"")</f>
      </c>
      <c r="S205" s="89"/>
      <c r="T205" s="90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6"/>
      <c r="AZ205" s="120">
        <f>COUNTIF(U205:AY205,"A")</f>
      </c>
      <c r="BA205" s="121">
        <f>COUNTIF(U205:AY205,"F")</f>
      </c>
      <c r="BB205" s="119">
        <f>COUNTIF(U205:AY205,"E")</f>
      </c>
    </row>
    <row r="206" spans="1:54" x14ac:dyDescent="0.2">
      <c r="A206" s="84"/>
      <c r="B206" s="85"/>
      <c r="C206" s="85"/>
      <c r="D206" s="85"/>
      <c r="E206" s="86"/>
      <c r="F206" s="16">
        <f>IF(E206="","",DATEDIF(E206,$I$7,"Y"))</f>
      </c>
      <c r="G206" s="85"/>
      <c r="H206" s="85"/>
      <c r="I206" s="87"/>
      <c r="J206" s="85"/>
      <c r="K206" s="85"/>
      <c r="L206" s="10"/>
      <c r="M206" s="10"/>
      <c r="N206" s="10"/>
      <c r="O206" s="10"/>
      <c r="P206" s="85"/>
      <c r="Q206" s="88"/>
      <c r="R206" s="3">
        <f>IFERROR(VLOOKUP(TablaOctubre[[#This Row],[BARRIO]],SECTOR!$A:$B,2,0),"")</f>
      </c>
      <c r="S206" s="89"/>
      <c r="T206" s="90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6"/>
      <c r="AZ206" s="120">
        <f>COUNTIF(U206:AY206,"A")</f>
      </c>
      <c r="BA206" s="121">
        <f>COUNTIF(U206:AY206,"F")</f>
      </c>
      <c r="BB206" s="119">
        <f>COUNTIF(U206:AY206,"E")</f>
      </c>
    </row>
    <row r="207" spans="1:54" x14ac:dyDescent="0.2">
      <c r="A207" s="84"/>
      <c r="B207" s="85"/>
      <c r="C207" s="85"/>
      <c r="D207" s="85"/>
      <c r="E207" s="86"/>
      <c r="F207" s="16">
        <f>IF(E207="","",DATEDIF(E207,$I$7,"Y"))</f>
      </c>
      <c r="G207" s="85"/>
      <c r="H207" s="85"/>
      <c r="I207" s="87"/>
      <c r="J207" s="85"/>
      <c r="K207" s="85"/>
      <c r="L207" s="10"/>
      <c r="M207" s="10"/>
      <c r="N207" s="10"/>
      <c r="O207" s="10"/>
      <c r="P207" s="85"/>
      <c r="Q207" s="88"/>
      <c r="R207" s="3">
        <f>IFERROR(VLOOKUP(TablaOctubre[[#This Row],[BARRIO]],SECTOR!$A:$B,2,0),"")</f>
      </c>
      <c r="S207" s="89"/>
      <c r="T207" s="90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6"/>
      <c r="AZ207" s="120">
        <f>COUNTIF(U207:AY207,"A")</f>
      </c>
      <c r="BA207" s="121">
        <f>COUNTIF(U207:AY207,"F")</f>
      </c>
      <c r="BB207" s="119">
        <f>COUNTIF(U207:AY207,"E")</f>
      </c>
    </row>
    <row r="208" spans="1:54" x14ac:dyDescent="0.2">
      <c r="A208" s="84"/>
      <c r="B208" s="85"/>
      <c r="C208" s="85"/>
      <c r="D208" s="85"/>
      <c r="E208" s="86"/>
      <c r="F208" s="16">
        <f>IF(E208="","",DATEDIF(E208,$I$7,"Y"))</f>
      </c>
      <c r="G208" s="85"/>
      <c r="H208" s="85"/>
      <c r="I208" s="87"/>
      <c r="J208" s="85"/>
      <c r="K208" s="85"/>
      <c r="L208" s="10"/>
      <c r="M208" s="10"/>
      <c r="N208" s="10"/>
      <c r="O208" s="10"/>
      <c r="P208" s="85"/>
      <c r="Q208" s="88"/>
      <c r="R208" s="3">
        <f>IFERROR(VLOOKUP(TablaOctubre[[#This Row],[BARRIO]],SECTOR!$A:$B,2,0),"")</f>
      </c>
      <c r="S208" s="89"/>
      <c r="T208" s="90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6"/>
      <c r="AZ208" s="120">
        <f>COUNTIF(U208:AY208,"A")</f>
      </c>
      <c r="BA208" s="121">
        <f>COUNTIF(U208:AY208,"F")</f>
      </c>
      <c r="BB208" s="119">
        <f>COUNTIF(U208:AY208,"E")</f>
      </c>
    </row>
    <row r="209" spans="1:54" x14ac:dyDescent="0.2">
      <c r="A209" s="84"/>
      <c r="B209" s="85"/>
      <c r="C209" s="85"/>
      <c r="D209" s="85"/>
      <c r="E209" s="86"/>
      <c r="F209" s="16">
        <f>IF(E209="","",DATEDIF(E209,$I$7,"Y"))</f>
      </c>
      <c r="G209" s="85"/>
      <c r="H209" s="85"/>
      <c r="I209" s="87"/>
      <c r="J209" s="85"/>
      <c r="K209" s="85"/>
      <c r="L209" s="10"/>
      <c r="M209" s="10"/>
      <c r="N209" s="10"/>
      <c r="O209" s="10"/>
      <c r="P209" s="85"/>
      <c r="Q209" s="88"/>
      <c r="R209" s="3">
        <f>IFERROR(VLOOKUP(TablaOctubre[[#This Row],[BARRIO]],SECTOR!$A:$B,2,0),"")</f>
      </c>
      <c r="S209" s="89"/>
      <c r="T209" s="90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6"/>
      <c r="AZ209" s="120">
        <f>COUNTIF(U209:AY209,"A")</f>
      </c>
      <c r="BA209" s="121">
        <f>COUNTIF(U209:AY209,"F")</f>
      </c>
      <c r="BB209" s="119">
        <f>COUNTIF(U209:AY209,"E")</f>
      </c>
    </row>
    <row r="210" spans="1:54" x14ac:dyDescent="0.2">
      <c r="A210" s="84"/>
      <c r="B210" s="85"/>
      <c r="C210" s="85"/>
      <c r="D210" s="85"/>
      <c r="E210" s="86"/>
      <c r="F210" s="16">
        <f>IF(E210="","",DATEDIF(E210,$I$7,"Y"))</f>
      </c>
      <c r="G210" s="85"/>
      <c r="H210" s="85"/>
      <c r="I210" s="87"/>
      <c r="J210" s="85"/>
      <c r="K210" s="85"/>
      <c r="L210" s="10"/>
      <c r="M210" s="10"/>
      <c r="N210" s="10"/>
      <c r="O210" s="10"/>
      <c r="P210" s="85"/>
      <c r="Q210" s="88"/>
      <c r="R210" s="3">
        <f>IFERROR(VLOOKUP(TablaOctubre[[#This Row],[BARRIO]],SECTOR!$A:$B,2,0),"")</f>
      </c>
      <c r="S210" s="89"/>
      <c r="T210" s="90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6"/>
      <c r="AZ210" s="120">
        <f>COUNTIF(U210:AY210,"A")</f>
      </c>
      <c r="BA210" s="121">
        <f>COUNTIF(U210:AY210,"F")</f>
      </c>
      <c r="BB210" s="119">
        <f>COUNTIF(U210:AY210,"E")</f>
      </c>
    </row>
    <row r="211" spans="1:54" x14ac:dyDescent="0.2">
      <c r="A211" s="84"/>
      <c r="B211" s="85"/>
      <c r="C211" s="85"/>
      <c r="D211" s="85"/>
      <c r="E211" s="86"/>
      <c r="F211" s="16">
        <f>IF(E211="","",DATEDIF(E211,$I$7,"Y"))</f>
      </c>
      <c r="G211" s="85"/>
      <c r="H211" s="85"/>
      <c r="I211" s="87"/>
      <c r="J211" s="85"/>
      <c r="K211" s="85"/>
      <c r="L211" s="10"/>
      <c r="M211" s="10"/>
      <c r="N211" s="10"/>
      <c r="O211" s="10"/>
      <c r="P211" s="85"/>
      <c r="Q211" s="88"/>
      <c r="R211" s="3">
        <f>IFERROR(VLOOKUP(TablaOctubre[[#This Row],[BARRIO]],SECTOR!$A:$B,2,0),"")</f>
      </c>
      <c r="S211" s="89"/>
      <c r="T211" s="90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6"/>
      <c r="AZ211" s="120">
        <f>COUNTIF(U211:AY211,"A")</f>
      </c>
      <c r="BA211" s="121">
        <f>COUNTIF(U211:AY211,"F")</f>
      </c>
      <c r="BB211" s="119">
        <f>COUNTIF(U211:AY211,"E")</f>
      </c>
    </row>
    <row r="212" spans="1:54" x14ac:dyDescent="0.2">
      <c r="A212" s="84"/>
      <c r="B212" s="85"/>
      <c r="C212" s="85"/>
      <c r="D212" s="85"/>
      <c r="E212" s="86"/>
      <c r="F212" s="16">
        <f>IF(E212="","",DATEDIF(E212,$I$7,"Y"))</f>
      </c>
      <c r="G212" s="85"/>
      <c r="H212" s="85"/>
      <c r="I212" s="87"/>
      <c r="J212" s="85"/>
      <c r="K212" s="85"/>
      <c r="L212" s="10"/>
      <c r="M212" s="10"/>
      <c r="N212" s="10"/>
      <c r="O212" s="10"/>
      <c r="P212" s="85"/>
      <c r="Q212" s="88"/>
      <c r="R212" s="3">
        <f>IFERROR(VLOOKUP(TablaOctubre[[#This Row],[BARRIO]],SECTOR!$A:$B,2,0),"")</f>
      </c>
      <c r="S212" s="89"/>
      <c r="T212" s="90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6"/>
      <c r="AZ212" s="120">
        <f>COUNTIF(U212:AY212,"A")</f>
      </c>
      <c r="BA212" s="121">
        <f>COUNTIF(U212:AY212,"F")</f>
      </c>
      <c r="BB212" s="119">
        <f>COUNTIF(U212:AY212,"E")</f>
      </c>
    </row>
    <row r="213" spans="1:54" x14ac:dyDescent="0.2">
      <c r="A213" s="84"/>
      <c r="B213" s="85"/>
      <c r="C213" s="85"/>
      <c r="D213" s="85"/>
      <c r="E213" s="86"/>
      <c r="F213" s="16">
        <f>IF(E213="","",DATEDIF(E213,$I$7,"Y"))</f>
      </c>
      <c r="G213" s="85"/>
      <c r="H213" s="85"/>
      <c r="I213" s="87"/>
      <c r="J213" s="85"/>
      <c r="K213" s="85"/>
      <c r="L213" s="10"/>
      <c r="M213" s="10"/>
      <c r="N213" s="10"/>
      <c r="O213" s="10"/>
      <c r="P213" s="85"/>
      <c r="Q213" s="88"/>
      <c r="R213" s="3">
        <f>IFERROR(VLOOKUP(TablaOctubre[[#This Row],[BARRIO]],SECTOR!$A:$B,2,0),"")</f>
      </c>
      <c r="S213" s="89"/>
      <c r="T213" s="90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6"/>
      <c r="AZ213" s="120">
        <f>COUNTIF(U213:AY213,"A")</f>
      </c>
      <c r="BA213" s="121">
        <f>COUNTIF(U213:AY213,"F")</f>
      </c>
      <c r="BB213" s="119">
        <f>COUNTIF(U213:AY213,"E")</f>
      </c>
    </row>
    <row r="214" spans="1:54" x14ac:dyDescent="0.2">
      <c r="A214" s="84"/>
      <c r="B214" s="85"/>
      <c r="C214" s="85"/>
      <c r="D214" s="85"/>
      <c r="E214" s="86"/>
      <c r="F214" s="16">
        <f>IF(E214="","",DATEDIF(E214,$I$7,"Y"))</f>
      </c>
      <c r="G214" s="85"/>
      <c r="H214" s="85"/>
      <c r="I214" s="87"/>
      <c r="J214" s="85"/>
      <c r="K214" s="85"/>
      <c r="L214" s="10"/>
      <c r="M214" s="10"/>
      <c r="N214" s="10"/>
      <c r="O214" s="10"/>
      <c r="P214" s="85"/>
      <c r="Q214" s="88"/>
      <c r="R214" s="3">
        <f>IFERROR(VLOOKUP(TablaOctubre[[#This Row],[BARRIO]],SECTOR!$A:$B,2,0),"")</f>
      </c>
      <c r="S214" s="89"/>
      <c r="T214" s="90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6"/>
      <c r="AZ214" s="120">
        <f>COUNTIF(U214:AY214,"A")</f>
      </c>
      <c r="BA214" s="121">
        <f>COUNTIF(U214:AY214,"F")</f>
      </c>
      <c r="BB214" s="119">
        <f>COUNTIF(U214:AY214,"E")</f>
      </c>
    </row>
    <row r="215" spans="1:54" x14ac:dyDescent="0.2">
      <c r="A215" s="84"/>
      <c r="B215" s="85"/>
      <c r="C215" s="85"/>
      <c r="D215" s="85"/>
      <c r="E215" s="86"/>
      <c r="F215" s="16">
        <f>IF(E215="","",DATEDIF(E215,$I$7,"Y"))</f>
      </c>
      <c r="G215" s="85"/>
      <c r="H215" s="85"/>
      <c r="I215" s="87"/>
      <c r="J215" s="85"/>
      <c r="K215" s="85"/>
      <c r="L215" s="10"/>
      <c r="M215" s="10"/>
      <c r="N215" s="10"/>
      <c r="O215" s="10"/>
      <c r="P215" s="85"/>
      <c r="Q215" s="88"/>
      <c r="R215" s="3">
        <f>IFERROR(VLOOKUP(TablaOctubre[[#This Row],[BARRIO]],SECTOR!$A:$B,2,0),"")</f>
      </c>
      <c r="S215" s="89"/>
      <c r="T215" s="90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6"/>
      <c r="AZ215" s="120">
        <f>COUNTIF(U215:AY215,"A")</f>
      </c>
      <c r="BA215" s="121">
        <f>COUNTIF(U215:AY215,"F")</f>
      </c>
      <c r="BB215" s="119">
        <f>COUNTIF(U215:AY215,"E")</f>
      </c>
    </row>
    <row r="216" spans="1:54" x14ac:dyDescent="0.2">
      <c r="A216" s="84"/>
      <c r="B216" s="85"/>
      <c r="C216" s="85"/>
      <c r="D216" s="85"/>
      <c r="E216" s="86"/>
      <c r="F216" s="16">
        <f>IF(E216="","",DATEDIF(E216,$I$7,"Y"))</f>
      </c>
      <c r="G216" s="85"/>
      <c r="H216" s="85"/>
      <c r="I216" s="87"/>
      <c r="J216" s="85"/>
      <c r="K216" s="85"/>
      <c r="L216" s="10"/>
      <c r="M216" s="10"/>
      <c r="N216" s="10"/>
      <c r="O216" s="10"/>
      <c r="P216" s="85"/>
      <c r="Q216" s="88"/>
      <c r="R216" s="3">
        <f>IFERROR(VLOOKUP(TablaOctubre[[#This Row],[BARRIO]],SECTOR!$A:$B,2,0),"")</f>
      </c>
      <c r="S216" s="89"/>
      <c r="T216" s="90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6"/>
      <c r="AZ216" s="120">
        <f>COUNTIF(U216:AY216,"A")</f>
      </c>
      <c r="BA216" s="121">
        <f>COUNTIF(U216:AY216,"F")</f>
      </c>
      <c r="BB216" s="119">
        <f>COUNTIF(U216:AY216,"E")</f>
      </c>
    </row>
    <row r="217" spans="1:54" x14ac:dyDescent="0.2">
      <c r="A217" s="84"/>
      <c r="B217" s="85"/>
      <c r="C217" s="85"/>
      <c r="D217" s="85"/>
      <c r="E217" s="86"/>
      <c r="F217" s="16">
        <f>IF(E217="","",DATEDIF(E217,$I$7,"Y"))</f>
      </c>
      <c r="G217" s="85"/>
      <c r="H217" s="85"/>
      <c r="I217" s="87"/>
      <c r="J217" s="85"/>
      <c r="K217" s="85"/>
      <c r="L217" s="10"/>
      <c r="M217" s="10"/>
      <c r="N217" s="10"/>
      <c r="O217" s="10"/>
      <c r="P217" s="85"/>
      <c r="Q217" s="88"/>
      <c r="R217" s="3">
        <f>IFERROR(VLOOKUP(TablaOctubre[[#This Row],[BARRIO]],SECTOR!$A:$B,2,0),"")</f>
      </c>
      <c r="S217" s="89"/>
      <c r="T217" s="90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6"/>
      <c r="AZ217" s="120">
        <f>COUNTIF(U217:AY217,"A")</f>
      </c>
      <c r="BA217" s="121">
        <f>COUNTIF(U217:AY217,"F")</f>
      </c>
      <c r="BB217" s="119">
        <f>COUNTIF(U217:AY217,"E")</f>
      </c>
    </row>
    <row r="218" spans="1:54" x14ac:dyDescent="0.2">
      <c r="A218" s="84"/>
      <c r="B218" s="85"/>
      <c r="C218" s="85"/>
      <c r="D218" s="85"/>
      <c r="E218" s="86"/>
      <c r="F218" s="16">
        <f>IF(E218="","",DATEDIF(E218,$I$7,"Y"))</f>
      </c>
      <c r="G218" s="85"/>
      <c r="H218" s="85"/>
      <c r="I218" s="87"/>
      <c r="J218" s="85"/>
      <c r="K218" s="85"/>
      <c r="L218" s="10"/>
      <c r="M218" s="10"/>
      <c r="N218" s="10"/>
      <c r="O218" s="10"/>
      <c r="P218" s="85"/>
      <c r="Q218" s="88"/>
      <c r="R218" s="3">
        <f>IFERROR(VLOOKUP(TablaOctubre[[#This Row],[BARRIO]],SECTOR!$A:$B,2,0),"")</f>
      </c>
      <c r="S218" s="89"/>
      <c r="T218" s="90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6"/>
      <c r="AZ218" s="120">
        <f>COUNTIF(U218:AY218,"A")</f>
      </c>
      <c r="BA218" s="121">
        <f>COUNTIF(U218:AY218,"F")</f>
      </c>
      <c r="BB218" s="119">
        <f>COUNTIF(U218:AY218,"E")</f>
      </c>
    </row>
    <row r="219" spans="1:54" x14ac:dyDescent="0.2">
      <c r="A219" s="84"/>
      <c r="B219" s="85"/>
      <c r="C219" s="85"/>
      <c r="D219" s="85"/>
      <c r="E219" s="86"/>
      <c r="F219" s="16">
        <f>IF(E219="","",DATEDIF(E219,$I$7,"Y"))</f>
      </c>
      <c r="G219" s="85"/>
      <c r="H219" s="85"/>
      <c r="I219" s="87"/>
      <c r="J219" s="85"/>
      <c r="K219" s="85"/>
      <c r="L219" s="10"/>
      <c r="M219" s="10"/>
      <c r="N219" s="10"/>
      <c r="O219" s="10"/>
      <c r="P219" s="85"/>
      <c r="Q219" s="88"/>
      <c r="R219" s="3">
        <f>IFERROR(VLOOKUP(TablaOctubre[[#This Row],[BARRIO]],SECTOR!$A:$B,2,0),"")</f>
      </c>
      <c r="S219" s="89"/>
      <c r="T219" s="90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6"/>
      <c r="AZ219" s="120">
        <f>COUNTIF(U219:AY219,"A")</f>
      </c>
      <c r="BA219" s="121">
        <f>COUNTIF(U219:AY219,"F")</f>
      </c>
      <c r="BB219" s="119">
        <f>COUNTIF(U219:AY219,"E")</f>
      </c>
    </row>
    <row r="220" spans="1:54" x14ac:dyDescent="0.2">
      <c r="A220" s="84"/>
      <c r="B220" s="85"/>
      <c r="C220" s="85"/>
      <c r="D220" s="85"/>
      <c r="E220" s="86"/>
      <c r="F220" s="16">
        <f>IF(E220="","",DATEDIF(E220,$I$7,"Y"))</f>
      </c>
      <c r="G220" s="85"/>
      <c r="H220" s="85"/>
      <c r="I220" s="87"/>
      <c r="J220" s="85"/>
      <c r="K220" s="85"/>
      <c r="L220" s="10"/>
      <c r="M220" s="10"/>
      <c r="N220" s="10"/>
      <c r="O220" s="10"/>
      <c r="P220" s="85"/>
      <c r="Q220" s="88"/>
      <c r="R220" s="3">
        <f>IFERROR(VLOOKUP(TablaOctubre[[#This Row],[BARRIO]],SECTOR!$A:$B,2,0),"")</f>
      </c>
      <c r="S220" s="89"/>
      <c r="T220" s="90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6"/>
      <c r="AZ220" s="120">
        <f>COUNTIF(U220:AY220,"A")</f>
      </c>
      <c r="BA220" s="121">
        <f>COUNTIF(U220:AY220,"F")</f>
      </c>
      <c r="BB220" s="119">
        <f>COUNTIF(U220:AY220,"E")</f>
      </c>
    </row>
    <row r="221" spans="1:54" x14ac:dyDescent="0.2">
      <c r="A221" s="84"/>
      <c r="B221" s="85"/>
      <c r="C221" s="85"/>
      <c r="D221" s="85"/>
      <c r="E221" s="86"/>
      <c r="F221" s="16">
        <f>IF(E221="","",DATEDIF(E221,$I$7,"Y"))</f>
      </c>
      <c r="G221" s="85"/>
      <c r="H221" s="85"/>
      <c r="I221" s="87"/>
      <c r="J221" s="85"/>
      <c r="K221" s="85"/>
      <c r="L221" s="10"/>
      <c r="M221" s="10"/>
      <c r="N221" s="10"/>
      <c r="O221" s="10"/>
      <c r="P221" s="85"/>
      <c r="Q221" s="88"/>
      <c r="R221" s="3">
        <f>IFERROR(VLOOKUP(TablaOctubre[[#This Row],[BARRIO]],SECTOR!$A:$B,2,0),"")</f>
      </c>
      <c r="S221" s="89"/>
      <c r="T221" s="90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6"/>
      <c r="AZ221" s="120">
        <f>COUNTIF(U221:AY221,"A")</f>
      </c>
      <c r="BA221" s="121">
        <f>COUNTIF(U221:AY221,"F")</f>
      </c>
      <c r="BB221" s="119">
        <f>COUNTIF(U221:AY221,"E")</f>
      </c>
    </row>
    <row r="222" spans="1:54" x14ac:dyDescent="0.2">
      <c r="A222" s="84"/>
      <c r="B222" s="85"/>
      <c r="C222" s="85"/>
      <c r="D222" s="85"/>
      <c r="E222" s="86"/>
      <c r="F222" s="16">
        <f>IF(E222="","",DATEDIF(E222,$I$7,"Y"))</f>
      </c>
      <c r="G222" s="85"/>
      <c r="H222" s="85"/>
      <c r="I222" s="87"/>
      <c r="J222" s="85"/>
      <c r="K222" s="85"/>
      <c r="L222" s="10"/>
      <c r="M222" s="10"/>
      <c r="N222" s="10"/>
      <c r="O222" s="10"/>
      <c r="P222" s="85"/>
      <c r="Q222" s="88"/>
      <c r="R222" s="3">
        <f>IFERROR(VLOOKUP(TablaOctubre[[#This Row],[BARRIO]],SECTOR!$A:$B,2,0),"")</f>
      </c>
      <c r="S222" s="89"/>
      <c r="T222" s="90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6"/>
      <c r="AZ222" s="120">
        <f>COUNTIF(U222:AY222,"A")</f>
      </c>
      <c r="BA222" s="121">
        <f>COUNTIF(U222:AY222,"F")</f>
      </c>
      <c r="BB222" s="119">
        <f>COUNTIF(U222:AY222,"E")</f>
      </c>
    </row>
    <row r="223" spans="1:54" x14ac:dyDescent="0.2">
      <c r="A223" s="84"/>
      <c r="B223" s="85"/>
      <c r="C223" s="85"/>
      <c r="D223" s="85"/>
      <c r="E223" s="86"/>
      <c r="F223" s="16">
        <f>IF(E223="","",DATEDIF(E223,$I$7,"Y"))</f>
      </c>
      <c r="G223" s="85"/>
      <c r="H223" s="85"/>
      <c r="I223" s="87"/>
      <c r="J223" s="85"/>
      <c r="K223" s="85"/>
      <c r="L223" s="10"/>
      <c r="M223" s="10"/>
      <c r="N223" s="10"/>
      <c r="O223" s="10"/>
      <c r="P223" s="85"/>
      <c r="Q223" s="88"/>
      <c r="R223" s="3">
        <f>IFERROR(VLOOKUP(TablaOctubre[[#This Row],[BARRIO]],SECTOR!$A:$B,2,0),"")</f>
      </c>
      <c r="S223" s="89"/>
      <c r="T223" s="90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6"/>
      <c r="AZ223" s="120">
        <f>COUNTIF(U223:AY223,"A")</f>
      </c>
      <c r="BA223" s="121">
        <f>COUNTIF(U223:AY223,"F")</f>
      </c>
      <c r="BB223" s="119">
        <f>COUNTIF(U223:AY223,"E")</f>
      </c>
    </row>
    <row r="224" spans="1:54" x14ac:dyDescent="0.2">
      <c r="A224" s="84"/>
      <c r="B224" s="85"/>
      <c r="C224" s="85"/>
      <c r="D224" s="85"/>
      <c r="E224" s="86"/>
      <c r="F224" s="16">
        <f>IF(E224="","",DATEDIF(E224,$I$7,"Y"))</f>
      </c>
      <c r="G224" s="85"/>
      <c r="H224" s="85"/>
      <c r="I224" s="87"/>
      <c r="J224" s="85"/>
      <c r="K224" s="85"/>
      <c r="L224" s="10"/>
      <c r="M224" s="10"/>
      <c r="N224" s="10"/>
      <c r="O224" s="10"/>
      <c r="P224" s="85"/>
      <c r="Q224" s="88"/>
      <c r="R224" s="3">
        <f>IFERROR(VLOOKUP(TablaOctubre[[#This Row],[BARRIO]],SECTOR!$A:$B,2,0),"")</f>
      </c>
      <c r="S224" s="89"/>
      <c r="T224" s="90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6"/>
      <c r="AZ224" s="120">
        <f>COUNTIF(U224:AY224,"A")</f>
      </c>
      <c r="BA224" s="121">
        <f>COUNTIF(U224:AY224,"F")</f>
      </c>
      <c r="BB224" s="119">
        <f>COUNTIF(U224:AY224,"E")</f>
      </c>
    </row>
    <row r="225" spans="1:54" x14ac:dyDescent="0.2">
      <c r="A225" s="84"/>
      <c r="B225" s="85"/>
      <c r="C225" s="85"/>
      <c r="D225" s="85"/>
      <c r="E225" s="86"/>
      <c r="F225" s="16">
        <f>IF(E225="","",DATEDIF(E225,$I$7,"Y"))</f>
      </c>
      <c r="G225" s="85"/>
      <c r="H225" s="85"/>
      <c r="I225" s="87"/>
      <c r="J225" s="85"/>
      <c r="K225" s="85"/>
      <c r="L225" s="10"/>
      <c r="M225" s="10"/>
      <c r="N225" s="10"/>
      <c r="O225" s="10"/>
      <c r="P225" s="85"/>
      <c r="Q225" s="88"/>
      <c r="R225" s="3">
        <f>IFERROR(VLOOKUP(TablaOctubre[[#This Row],[BARRIO]],SECTOR!$A:$B,2,0),"")</f>
      </c>
      <c r="S225" s="89"/>
      <c r="T225" s="90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6"/>
      <c r="AZ225" s="120">
        <f>COUNTIF(U225:AY225,"A")</f>
      </c>
      <c r="BA225" s="121">
        <f>COUNTIF(U225:AY225,"F")</f>
      </c>
      <c r="BB225" s="119">
        <f>COUNTIF(U225:AY225,"E")</f>
      </c>
    </row>
    <row r="226" spans="1:54" x14ac:dyDescent="0.2">
      <c r="A226" s="84"/>
      <c r="B226" s="85"/>
      <c r="C226" s="85"/>
      <c r="D226" s="85"/>
      <c r="E226" s="86"/>
      <c r="F226" s="16">
        <f>IF(E226="","",DATEDIF(E226,$I$7,"Y"))</f>
      </c>
      <c r="G226" s="85"/>
      <c r="H226" s="85"/>
      <c r="I226" s="87"/>
      <c r="J226" s="85"/>
      <c r="K226" s="85"/>
      <c r="L226" s="10"/>
      <c r="M226" s="10"/>
      <c r="N226" s="10"/>
      <c r="O226" s="10"/>
      <c r="P226" s="85"/>
      <c r="Q226" s="88"/>
      <c r="R226" s="3">
        <f>IFERROR(VLOOKUP(TablaOctubre[[#This Row],[BARRIO]],SECTOR!$A:$B,2,0),"")</f>
      </c>
      <c r="S226" s="89"/>
      <c r="T226" s="90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6"/>
      <c r="AZ226" s="120">
        <f>COUNTIF(U226:AY226,"A")</f>
      </c>
      <c r="BA226" s="121">
        <f>COUNTIF(U226:AY226,"F")</f>
      </c>
      <c r="BB226" s="119">
        <f>COUNTIF(U226:AY226,"E")</f>
      </c>
    </row>
    <row r="227" spans="1:54" x14ac:dyDescent="0.2">
      <c r="A227" s="84"/>
      <c r="B227" s="85"/>
      <c r="C227" s="85"/>
      <c r="D227" s="85"/>
      <c r="E227" s="86"/>
      <c r="F227" s="16">
        <f>IF(E227="","",DATEDIF(E227,$I$7,"Y"))</f>
      </c>
      <c r="G227" s="85"/>
      <c r="H227" s="85"/>
      <c r="I227" s="87"/>
      <c r="J227" s="85"/>
      <c r="K227" s="85"/>
      <c r="L227" s="10"/>
      <c r="M227" s="10"/>
      <c r="N227" s="10"/>
      <c r="O227" s="10"/>
      <c r="P227" s="85"/>
      <c r="Q227" s="88"/>
      <c r="R227" s="3">
        <f>IFERROR(VLOOKUP(TablaOctubre[[#This Row],[BARRIO]],SECTOR!$A:$B,2,0),"")</f>
      </c>
      <c r="S227" s="89"/>
      <c r="T227" s="90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6"/>
      <c r="AZ227" s="120">
        <f>COUNTIF(U227:AY227,"A")</f>
      </c>
      <c r="BA227" s="121">
        <f>COUNTIF(U227:AY227,"F")</f>
      </c>
      <c r="BB227" s="119">
        <f>COUNTIF(U227:AY227,"E")</f>
      </c>
    </row>
    <row r="228" spans="1:54" x14ac:dyDescent="0.2">
      <c r="A228" s="84"/>
      <c r="B228" s="85"/>
      <c r="C228" s="85"/>
      <c r="D228" s="85"/>
      <c r="E228" s="86"/>
      <c r="F228" s="16">
        <f>IF(E228="","",DATEDIF(E228,$I$7,"Y"))</f>
      </c>
      <c r="G228" s="85"/>
      <c r="H228" s="85"/>
      <c r="I228" s="87"/>
      <c r="J228" s="85"/>
      <c r="K228" s="85"/>
      <c r="L228" s="10"/>
      <c r="M228" s="10"/>
      <c r="N228" s="10"/>
      <c r="O228" s="10"/>
      <c r="P228" s="85"/>
      <c r="Q228" s="88"/>
      <c r="R228" s="3">
        <f>IFERROR(VLOOKUP(TablaOctubre[[#This Row],[BARRIO]],SECTOR!$A:$B,2,0),"")</f>
      </c>
      <c r="S228" s="89"/>
      <c r="T228" s="90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6"/>
      <c r="AZ228" s="120">
        <f>COUNTIF(U228:AY228,"A")</f>
      </c>
      <c r="BA228" s="121">
        <f>COUNTIF(U228:AY228,"F")</f>
      </c>
      <c r="BB228" s="119">
        <f>COUNTIF(U228:AY228,"E")</f>
      </c>
    </row>
    <row r="229" spans="1:54" x14ac:dyDescent="0.2">
      <c r="A229" s="84"/>
      <c r="B229" s="85"/>
      <c r="C229" s="85"/>
      <c r="D229" s="85"/>
      <c r="E229" s="86"/>
      <c r="F229" s="16">
        <f>IF(E229="","",DATEDIF(E229,$I$7,"Y"))</f>
      </c>
      <c r="G229" s="85"/>
      <c r="H229" s="85"/>
      <c r="I229" s="87"/>
      <c r="J229" s="85"/>
      <c r="K229" s="85"/>
      <c r="L229" s="10"/>
      <c r="M229" s="10"/>
      <c r="N229" s="10"/>
      <c r="O229" s="10"/>
      <c r="P229" s="85"/>
      <c r="Q229" s="88"/>
      <c r="R229" s="3">
        <f>IFERROR(VLOOKUP(TablaOctubre[[#This Row],[BARRIO]],SECTOR!$A:$B,2,0),"")</f>
      </c>
      <c r="S229" s="89"/>
      <c r="T229" s="90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6"/>
      <c r="AZ229" s="120">
        <f>COUNTIF(U229:AY229,"A")</f>
      </c>
      <c r="BA229" s="121">
        <f>COUNTIF(U229:AY229,"F")</f>
      </c>
      <c r="BB229" s="119">
        <f>COUNTIF(U229:AY229,"E")</f>
      </c>
    </row>
    <row r="230" spans="1:54" x14ac:dyDescent="0.2">
      <c r="A230" s="84"/>
      <c r="B230" s="85"/>
      <c r="C230" s="85"/>
      <c r="D230" s="85"/>
      <c r="E230" s="86"/>
      <c r="F230" s="16">
        <f>IF(E230="","",DATEDIF(E230,$I$7,"Y"))</f>
      </c>
      <c r="G230" s="85"/>
      <c r="H230" s="85"/>
      <c r="I230" s="87"/>
      <c r="J230" s="85"/>
      <c r="K230" s="85"/>
      <c r="L230" s="10"/>
      <c r="M230" s="10"/>
      <c r="N230" s="10"/>
      <c r="O230" s="10"/>
      <c r="P230" s="85"/>
      <c r="Q230" s="88"/>
      <c r="R230" s="3">
        <f>IFERROR(VLOOKUP(TablaOctubre[[#This Row],[BARRIO]],SECTOR!$A:$B,2,0),"")</f>
      </c>
      <c r="S230" s="89"/>
      <c r="T230" s="90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6"/>
      <c r="AZ230" s="120">
        <f>COUNTIF(U230:AY230,"A")</f>
      </c>
      <c r="BA230" s="121">
        <f>COUNTIF(U230:AY230,"F")</f>
      </c>
      <c r="BB230" s="119">
        <f>COUNTIF(U230:AY230,"E")</f>
      </c>
    </row>
    <row r="231" spans="1:54" x14ac:dyDescent="0.2">
      <c r="A231" s="84"/>
      <c r="B231" s="85"/>
      <c r="C231" s="85"/>
      <c r="D231" s="85"/>
      <c r="E231" s="86"/>
      <c r="F231" s="16">
        <f>IF(E231="","",DATEDIF(E231,$I$7,"Y"))</f>
      </c>
      <c r="G231" s="85"/>
      <c r="H231" s="85"/>
      <c r="I231" s="87"/>
      <c r="J231" s="85"/>
      <c r="K231" s="85"/>
      <c r="L231" s="10"/>
      <c r="M231" s="10"/>
      <c r="N231" s="10"/>
      <c r="O231" s="10"/>
      <c r="P231" s="85"/>
      <c r="Q231" s="88"/>
      <c r="R231" s="3">
        <f>IFERROR(VLOOKUP(TablaOctubre[[#This Row],[BARRIO]],SECTOR!$A:$B,2,0),"")</f>
      </c>
      <c r="S231" s="89"/>
      <c r="T231" s="90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6"/>
      <c r="AZ231" s="120">
        <f>COUNTIF(U231:AY231,"A")</f>
      </c>
      <c r="BA231" s="121">
        <f>COUNTIF(U231:AY231,"F")</f>
      </c>
      <c r="BB231" s="119">
        <f>COUNTIF(U231:AY231,"E")</f>
      </c>
    </row>
    <row r="232" spans="1:54" x14ac:dyDescent="0.2">
      <c r="A232" s="84"/>
      <c r="B232" s="85"/>
      <c r="C232" s="85"/>
      <c r="D232" s="85"/>
      <c r="E232" s="86"/>
      <c r="F232" s="16">
        <f>IF(E232="","",DATEDIF(E232,$I$7,"Y"))</f>
      </c>
      <c r="G232" s="85"/>
      <c r="H232" s="85"/>
      <c r="I232" s="87"/>
      <c r="J232" s="85"/>
      <c r="K232" s="85"/>
      <c r="L232" s="10"/>
      <c r="M232" s="10"/>
      <c r="N232" s="10"/>
      <c r="O232" s="10"/>
      <c r="P232" s="85"/>
      <c r="Q232" s="88"/>
      <c r="R232" s="3">
        <f>IFERROR(VLOOKUP(TablaOctubre[[#This Row],[BARRIO]],SECTOR!$A:$B,2,0),"")</f>
      </c>
      <c r="S232" s="89"/>
      <c r="T232" s="90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6"/>
      <c r="AZ232" s="120">
        <f>COUNTIF(U232:AY232,"A")</f>
      </c>
      <c r="BA232" s="121">
        <f>COUNTIF(U232:AY232,"F")</f>
      </c>
      <c r="BB232" s="119">
        <f>COUNTIF(U232:AY232,"E")</f>
      </c>
    </row>
    <row r="233" spans="1:54" x14ac:dyDescent="0.2">
      <c r="A233" s="84"/>
      <c r="B233" s="85"/>
      <c r="C233" s="85"/>
      <c r="D233" s="85"/>
      <c r="E233" s="86"/>
      <c r="F233" s="16">
        <f>IF(E233="","",DATEDIF(E233,$I$7,"Y"))</f>
      </c>
      <c r="G233" s="85"/>
      <c r="H233" s="85"/>
      <c r="I233" s="87"/>
      <c r="J233" s="85"/>
      <c r="K233" s="85"/>
      <c r="L233" s="10"/>
      <c r="M233" s="10"/>
      <c r="N233" s="10"/>
      <c r="O233" s="10"/>
      <c r="P233" s="85"/>
      <c r="Q233" s="88"/>
      <c r="R233" s="3">
        <f>IFERROR(VLOOKUP(TablaOctubre[[#This Row],[BARRIO]],SECTOR!$A:$B,2,0),"")</f>
      </c>
      <c r="S233" s="89"/>
      <c r="T233" s="90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6"/>
      <c r="AZ233" s="120">
        <f>COUNTIF(U233:AY233,"A")</f>
      </c>
      <c r="BA233" s="121">
        <f>COUNTIF(U233:AY233,"F")</f>
      </c>
      <c r="BB233" s="119">
        <f>COUNTIF(U233:AY233,"E")</f>
      </c>
    </row>
    <row r="234" spans="1:54" x14ac:dyDescent="0.2">
      <c r="A234" s="84"/>
      <c r="B234" s="85"/>
      <c r="C234" s="85"/>
      <c r="D234" s="85"/>
      <c r="E234" s="86"/>
      <c r="F234" s="16">
        <f>IF(E234="","",DATEDIF(E234,$I$7,"Y"))</f>
      </c>
      <c r="G234" s="85"/>
      <c r="H234" s="85"/>
      <c r="I234" s="87"/>
      <c r="J234" s="85"/>
      <c r="K234" s="85"/>
      <c r="L234" s="10"/>
      <c r="M234" s="10"/>
      <c r="N234" s="10"/>
      <c r="O234" s="10"/>
      <c r="P234" s="85"/>
      <c r="Q234" s="88"/>
      <c r="R234" s="3">
        <f>IFERROR(VLOOKUP(TablaOctubre[[#This Row],[BARRIO]],SECTOR!$A:$B,2,0),"")</f>
      </c>
      <c r="S234" s="89"/>
      <c r="T234" s="90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6"/>
      <c r="AZ234" s="120">
        <f>COUNTIF(U234:AY234,"A")</f>
      </c>
      <c r="BA234" s="121">
        <f>COUNTIF(U234:AY234,"F")</f>
      </c>
      <c r="BB234" s="119">
        <f>COUNTIF(U234:AY234,"E")</f>
      </c>
    </row>
    <row r="235" spans="1:54" x14ac:dyDescent="0.2">
      <c r="A235" s="84"/>
      <c r="B235" s="85"/>
      <c r="C235" s="85"/>
      <c r="D235" s="85"/>
      <c r="E235" s="86"/>
      <c r="F235" s="16">
        <f>IF(E235="","",DATEDIF(E235,$I$7,"Y"))</f>
      </c>
      <c r="G235" s="85"/>
      <c r="H235" s="85"/>
      <c r="I235" s="87"/>
      <c r="J235" s="85"/>
      <c r="K235" s="85"/>
      <c r="L235" s="10"/>
      <c r="M235" s="10"/>
      <c r="N235" s="10"/>
      <c r="O235" s="10"/>
      <c r="P235" s="85"/>
      <c r="Q235" s="88"/>
      <c r="R235" s="3">
        <f>IFERROR(VLOOKUP(TablaOctubre[[#This Row],[BARRIO]],SECTOR!$A:$B,2,0),"")</f>
      </c>
      <c r="S235" s="89"/>
      <c r="T235" s="90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6"/>
      <c r="AZ235" s="120">
        <f>COUNTIF(U235:AY235,"A")</f>
      </c>
      <c r="BA235" s="121">
        <f>COUNTIF(U235:AY235,"F")</f>
      </c>
      <c r="BB235" s="119">
        <f>COUNTIF(U235:AY235,"E")</f>
      </c>
    </row>
    <row r="236" spans="1:54" x14ac:dyDescent="0.2">
      <c r="A236" s="84"/>
      <c r="B236" s="85"/>
      <c r="C236" s="85"/>
      <c r="D236" s="85"/>
      <c r="E236" s="86"/>
      <c r="F236" s="16">
        <f>IF(E236="","",DATEDIF(E236,$I$7,"Y"))</f>
      </c>
      <c r="G236" s="85"/>
      <c r="H236" s="85"/>
      <c r="I236" s="87"/>
      <c r="J236" s="85"/>
      <c r="K236" s="85"/>
      <c r="L236" s="10"/>
      <c r="M236" s="10"/>
      <c r="N236" s="10"/>
      <c r="O236" s="10"/>
      <c r="P236" s="85"/>
      <c r="Q236" s="88"/>
      <c r="R236" s="3">
        <f>IFERROR(VLOOKUP(TablaOctubre[[#This Row],[BARRIO]],SECTOR!$A:$B,2,0),"")</f>
      </c>
      <c r="S236" s="89"/>
      <c r="T236" s="90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6"/>
      <c r="AZ236" s="120">
        <f>COUNTIF(U236:AY236,"A")</f>
      </c>
      <c r="BA236" s="121">
        <f>COUNTIF(U236:AY236,"F")</f>
      </c>
      <c r="BB236" s="119">
        <f>COUNTIF(U236:AY236,"E")</f>
      </c>
    </row>
    <row r="237" spans="1:54" x14ac:dyDescent="0.2">
      <c r="A237" s="84"/>
      <c r="B237" s="85"/>
      <c r="C237" s="85"/>
      <c r="D237" s="85"/>
      <c r="E237" s="86"/>
      <c r="F237" s="16">
        <f>IF(E237="","",DATEDIF(E237,$I$7,"Y"))</f>
      </c>
      <c r="G237" s="85"/>
      <c r="H237" s="85"/>
      <c r="I237" s="87"/>
      <c r="J237" s="85"/>
      <c r="K237" s="85"/>
      <c r="L237" s="10"/>
      <c r="M237" s="10"/>
      <c r="N237" s="10"/>
      <c r="O237" s="10"/>
      <c r="P237" s="85"/>
      <c r="Q237" s="88"/>
      <c r="R237" s="3">
        <f>IFERROR(VLOOKUP(TablaOctubre[[#This Row],[BARRIO]],SECTOR!$A:$B,2,0),"")</f>
      </c>
      <c r="S237" s="89"/>
      <c r="T237" s="90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6"/>
      <c r="AZ237" s="120">
        <f>COUNTIF(U237:AY237,"A")</f>
      </c>
      <c r="BA237" s="121">
        <f>COUNTIF(U237:AY237,"F")</f>
      </c>
      <c r="BB237" s="119">
        <f>COUNTIF(U237:AY237,"E")</f>
      </c>
    </row>
    <row r="238" spans="1:54" x14ac:dyDescent="0.2">
      <c r="A238" s="84"/>
      <c r="B238" s="85"/>
      <c r="C238" s="85"/>
      <c r="D238" s="85"/>
      <c r="E238" s="86"/>
      <c r="F238" s="16">
        <f>IF(E238="","",DATEDIF(E238,$I$7,"Y"))</f>
      </c>
      <c r="G238" s="85"/>
      <c r="H238" s="85"/>
      <c r="I238" s="87"/>
      <c r="J238" s="85"/>
      <c r="K238" s="85"/>
      <c r="L238" s="10"/>
      <c r="M238" s="10"/>
      <c r="N238" s="10"/>
      <c r="O238" s="10"/>
      <c r="P238" s="85"/>
      <c r="Q238" s="88"/>
      <c r="R238" s="3">
        <f>IFERROR(VLOOKUP(TablaOctubre[[#This Row],[BARRIO]],SECTOR!$A:$B,2,0),"")</f>
      </c>
      <c r="S238" s="89"/>
      <c r="T238" s="90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6"/>
      <c r="AZ238" s="120">
        <f>COUNTIF(U238:AY238,"A")</f>
      </c>
      <c r="BA238" s="121">
        <f>COUNTIF(U238:AY238,"F")</f>
      </c>
      <c r="BB238" s="119">
        <f>COUNTIF(U238:AY238,"E")</f>
      </c>
    </row>
    <row r="239" spans="1:54" x14ac:dyDescent="0.2">
      <c r="A239" s="84"/>
      <c r="B239" s="85"/>
      <c r="C239" s="85"/>
      <c r="D239" s="85"/>
      <c r="E239" s="86"/>
      <c r="F239" s="16">
        <f>IF(E239="","",DATEDIF(E239,$I$7,"Y"))</f>
      </c>
      <c r="G239" s="85"/>
      <c r="H239" s="85"/>
      <c r="I239" s="87"/>
      <c r="J239" s="85"/>
      <c r="K239" s="85"/>
      <c r="L239" s="10"/>
      <c r="M239" s="10"/>
      <c r="N239" s="10"/>
      <c r="O239" s="10"/>
      <c r="P239" s="85"/>
      <c r="Q239" s="88"/>
      <c r="R239" s="3">
        <f>IFERROR(VLOOKUP(TablaOctubre[[#This Row],[BARRIO]],SECTOR!$A:$B,2,0),"")</f>
      </c>
      <c r="S239" s="89"/>
      <c r="T239" s="90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6"/>
      <c r="AZ239" s="120">
        <f>COUNTIF(U239:AY239,"A")</f>
      </c>
      <c r="BA239" s="121">
        <f>COUNTIF(U239:AY239,"F")</f>
      </c>
      <c r="BB239" s="119">
        <f>COUNTIF(U239:AY239,"E")</f>
      </c>
    </row>
    <row r="240" spans="1:54" x14ac:dyDescent="0.2">
      <c r="A240" s="84"/>
      <c r="B240" s="85"/>
      <c r="C240" s="85"/>
      <c r="D240" s="85"/>
      <c r="E240" s="86"/>
      <c r="F240" s="16">
        <f>IF(E240="","",DATEDIF(E240,$I$7,"Y"))</f>
      </c>
      <c r="G240" s="85"/>
      <c r="H240" s="85"/>
      <c r="I240" s="87"/>
      <c r="J240" s="85"/>
      <c r="K240" s="85"/>
      <c r="L240" s="10"/>
      <c r="M240" s="10"/>
      <c r="N240" s="10"/>
      <c r="O240" s="10"/>
      <c r="P240" s="85"/>
      <c r="Q240" s="88"/>
      <c r="R240" s="3">
        <f>IFERROR(VLOOKUP(TablaOctubre[[#This Row],[BARRIO]],SECTOR!$A:$B,2,0),"")</f>
      </c>
      <c r="S240" s="89"/>
      <c r="T240" s="90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6"/>
      <c r="AZ240" s="120">
        <f>COUNTIF(U240:AY240,"A")</f>
      </c>
      <c r="BA240" s="121">
        <f>COUNTIF(U240:AY240,"F")</f>
      </c>
      <c r="BB240" s="119">
        <f>COUNTIF(U240:AY240,"E")</f>
      </c>
    </row>
    <row r="241" spans="1:54" x14ac:dyDescent="0.2">
      <c r="A241" s="84"/>
      <c r="B241" s="85"/>
      <c r="C241" s="85"/>
      <c r="D241" s="85"/>
      <c r="E241" s="86"/>
      <c r="F241" s="16">
        <f>IF(E241="","",DATEDIF(E241,$I$7,"Y"))</f>
      </c>
      <c r="G241" s="85"/>
      <c r="H241" s="85"/>
      <c r="I241" s="87"/>
      <c r="J241" s="85"/>
      <c r="K241" s="85"/>
      <c r="L241" s="10"/>
      <c r="M241" s="10"/>
      <c r="N241" s="10"/>
      <c r="O241" s="10"/>
      <c r="P241" s="85"/>
      <c r="Q241" s="88"/>
      <c r="R241" s="3">
        <f>IFERROR(VLOOKUP(TablaOctubre[[#This Row],[BARRIO]],SECTOR!$A:$B,2,0),"")</f>
      </c>
      <c r="S241" s="89"/>
      <c r="T241" s="90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6"/>
      <c r="AZ241" s="120">
        <f>COUNTIF(U241:AY241,"A")</f>
      </c>
      <c r="BA241" s="121">
        <f>COUNTIF(U241:AY241,"F")</f>
      </c>
      <c r="BB241" s="119">
        <f>COUNTIF(U241:AY241,"E")</f>
      </c>
    </row>
    <row r="242" spans="1:54" x14ac:dyDescent="0.2">
      <c r="A242" s="84"/>
      <c r="B242" s="85"/>
      <c r="C242" s="85"/>
      <c r="D242" s="85"/>
      <c r="E242" s="86"/>
      <c r="F242" s="16">
        <f>IF(E242="","",DATEDIF(E242,$I$7,"Y"))</f>
      </c>
      <c r="G242" s="85"/>
      <c r="H242" s="85"/>
      <c r="I242" s="87"/>
      <c r="J242" s="85"/>
      <c r="K242" s="85"/>
      <c r="L242" s="10"/>
      <c r="M242" s="10"/>
      <c r="N242" s="10"/>
      <c r="O242" s="10"/>
      <c r="P242" s="85"/>
      <c r="Q242" s="88"/>
      <c r="R242" s="3">
        <f>IFERROR(VLOOKUP(TablaOctubre[[#This Row],[BARRIO]],SECTOR!$A:$B,2,0),"")</f>
      </c>
      <c r="S242" s="89"/>
      <c r="T242" s="90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6"/>
      <c r="AZ242" s="120">
        <f>COUNTIF(U242:AY242,"A")</f>
      </c>
      <c r="BA242" s="121">
        <f>COUNTIF(U242:AY242,"F")</f>
      </c>
      <c r="BB242" s="119">
        <f>COUNTIF(U242:AY242,"E")</f>
      </c>
    </row>
    <row r="243" spans="1:54" x14ac:dyDescent="0.2">
      <c r="A243" s="84"/>
      <c r="B243" s="85"/>
      <c r="C243" s="85"/>
      <c r="D243" s="85"/>
      <c r="E243" s="86"/>
      <c r="F243" s="16">
        <f>IF(E243="","",DATEDIF(E243,$I$7,"Y"))</f>
      </c>
      <c r="G243" s="85"/>
      <c r="H243" s="85"/>
      <c r="I243" s="87"/>
      <c r="J243" s="85"/>
      <c r="K243" s="85"/>
      <c r="L243" s="10"/>
      <c r="M243" s="10"/>
      <c r="N243" s="10"/>
      <c r="O243" s="10"/>
      <c r="P243" s="85"/>
      <c r="Q243" s="88"/>
      <c r="R243" s="3">
        <f>IFERROR(VLOOKUP(TablaOctubre[[#This Row],[BARRIO]],SECTOR!$A:$B,2,0),"")</f>
      </c>
      <c r="S243" s="89"/>
      <c r="T243" s="90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6"/>
      <c r="AZ243" s="120">
        <f>COUNTIF(U243:AY243,"A")</f>
      </c>
      <c r="BA243" s="121">
        <f>COUNTIF(U243:AY243,"F")</f>
      </c>
      <c r="BB243" s="119">
        <f>COUNTIF(U243:AY243,"E")</f>
      </c>
    </row>
    <row r="244" spans="1:54" x14ac:dyDescent="0.2">
      <c r="A244" s="84"/>
      <c r="B244" s="85"/>
      <c r="C244" s="85"/>
      <c r="D244" s="85"/>
      <c r="E244" s="86"/>
      <c r="F244" s="16">
        <f>IF(E244="","",DATEDIF(E244,$I$7,"Y"))</f>
      </c>
      <c r="G244" s="85"/>
      <c r="H244" s="85"/>
      <c r="I244" s="87"/>
      <c r="J244" s="85"/>
      <c r="K244" s="85"/>
      <c r="L244" s="10"/>
      <c r="M244" s="10"/>
      <c r="N244" s="10"/>
      <c r="O244" s="10"/>
      <c r="P244" s="85"/>
      <c r="Q244" s="88"/>
      <c r="R244" s="3">
        <f>IFERROR(VLOOKUP(TablaOctubre[[#This Row],[BARRIO]],SECTOR!$A:$B,2,0),"")</f>
      </c>
      <c r="S244" s="89"/>
      <c r="T244" s="90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6"/>
      <c r="AZ244" s="120">
        <f>COUNTIF(U244:AY244,"A")</f>
      </c>
      <c r="BA244" s="121">
        <f>COUNTIF(U244:AY244,"F")</f>
      </c>
      <c r="BB244" s="119">
        <f>COUNTIF(U244:AY244,"E")</f>
      </c>
    </row>
    <row r="245" spans="1:54" x14ac:dyDescent="0.2">
      <c r="A245" s="84"/>
      <c r="B245" s="85"/>
      <c r="C245" s="85"/>
      <c r="D245" s="85"/>
      <c r="E245" s="86"/>
      <c r="F245" s="16">
        <f>IF(E245="","",DATEDIF(E245,$I$7,"Y"))</f>
      </c>
      <c r="G245" s="85"/>
      <c r="H245" s="85"/>
      <c r="I245" s="87"/>
      <c r="J245" s="85"/>
      <c r="K245" s="85"/>
      <c r="L245" s="10"/>
      <c r="M245" s="10"/>
      <c r="N245" s="10"/>
      <c r="O245" s="10"/>
      <c r="P245" s="85"/>
      <c r="Q245" s="88"/>
      <c r="R245" s="3">
        <f>IFERROR(VLOOKUP(TablaOctubre[[#This Row],[BARRIO]],SECTOR!$A:$B,2,0),"")</f>
      </c>
      <c r="S245" s="89"/>
      <c r="T245" s="90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6"/>
      <c r="AZ245" s="120">
        <f>COUNTIF(U245:AY245,"A")</f>
      </c>
      <c r="BA245" s="121">
        <f>COUNTIF(U245:AY245,"F")</f>
      </c>
      <c r="BB245" s="119">
        <f>COUNTIF(U245:AY245,"E")</f>
      </c>
    </row>
    <row r="246" spans="1:54" x14ac:dyDescent="0.2">
      <c r="A246" s="84"/>
      <c r="B246" s="85"/>
      <c r="C246" s="85"/>
      <c r="D246" s="85"/>
      <c r="E246" s="86"/>
      <c r="F246" s="16">
        <f>IF(E246="","",DATEDIF(E246,$I$7,"Y"))</f>
      </c>
      <c r="G246" s="85"/>
      <c r="H246" s="85"/>
      <c r="I246" s="87"/>
      <c r="J246" s="85"/>
      <c r="K246" s="85"/>
      <c r="L246" s="10"/>
      <c r="M246" s="10"/>
      <c r="N246" s="10"/>
      <c r="O246" s="10"/>
      <c r="P246" s="85"/>
      <c r="Q246" s="88"/>
      <c r="R246" s="3">
        <f>IFERROR(VLOOKUP(TablaOctubre[[#This Row],[BARRIO]],SECTOR!$A:$B,2,0),"")</f>
      </c>
      <c r="S246" s="89"/>
      <c r="T246" s="90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6"/>
      <c r="AZ246" s="120">
        <f>COUNTIF(U246:AY246,"A")</f>
      </c>
      <c r="BA246" s="121">
        <f>COUNTIF(U246:AY246,"F")</f>
      </c>
      <c r="BB246" s="119">
        <f>COUNTIF(U246:AY246,"E")</f>
      </c>
    </row>
    <row r="247" spans="1:54" x14ac:dyDescent="0.2">
      <c r="A247" s="84"/>
      <c r="B247" s="85"/>
      <c r="C247" s="85"/>
      <c r="D247" s="85"/>
      <c r="E247" s="86"/>
      <c r="F247" s="16">
        <f>IF(E247="","",DATEDIF(E247,$I$7,"Y"))</f>
      </c>
      <c r="G247" s="85"/>
      <c r="H247" s="85"/>
      <c r="I247" s="87"/>
      <c r="J247" s="85"/>
      <c r="K247" s="85"/>
      <c r="L247" s="10"/>
      <c r="M247" s="10"/>
      <c r="N247" s="10"/>
      <c r="O247" s="10"/>
      <c r="P247" s="85"/>
      <c r="Q247" s="88"/>
      <c r="R247" s="3">
        <f>IFERROR(VLOOKUP(TablaOctubre[[#This Row],[BARRIO]],SECTOR!$A:$B,2,0),"")</f>
      </c>
      <c r="S247" s="89"/>
      <c r="T247" s="90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6"/>
      <c r="AZ247" s="120">
        <f>COUNTIF(U247:AY247,"A")</f>
      </c>
      <c r="BA247" s="121">
        <f>COUNTIF(U247:AY247,"F")</f>
      </c>
      <c r="BB247" s="119">
        <f>COUNTIF(U247:AY247,"E")</f>
      </c>
    </row>
    <row r="248" spans="1:54" x14ac:dyDescent="0.2">
      <c r="A248" s="84"/>
      <c r="B248" s="85"/>
      <c r="C248" s="85"/>
      <c r="D248" s="85"/>
      <c r="E248" s="86"/>
      <c r="F248" s="16">
        <f>IF(E248="","",DATEDIF(E248,$I$7,"Y"))</f>
      </c>
      <c r="G248" s="85"/>
      <c r="H248" s="85"/>
      <c r="I248" s="87"/>
      <c r="J248" s="85"/>
      <c r="K248" s="85"/>
      <c r="L248" s="10"/>
      <c r="M248" s="10"/>
      <c r="N248" s="10"/>
      <c r="O248" s="10"/>
      <c r="P248" s="85"/>
      <c r="Q248" s="88"/>
      <c r="R248" s="3">
        <f>IFERROR(VLOOKUP(TablaOctubre[[#This Row],[BARRIO]],SECTOR!$A:$B,2,0),"")</f>
      </c>
      <c r="S248" s="89"/>
      <c r="T248" s="90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6"/>
      <c r="AZ248" s="120">
        <f>COUNTIF(U248:AY248,"A")</f>
      </c>
      <c r="BA248" s="121">
        <f>COUNTIF(U248:AY248,"F")</f>
      </c>
      <c r="BB248" s="119">
        <f>COUNTIF(U248:AY248,"E")</f>
      </c>
    </row>
    <row r="249" spans="1:54" x14ac:dyDescent="0.2">
      <c r="A249" s="84"/>
      <c r="B249" s="85"/>
      <c r="C249" s="85"/>
      <c r="D249" s="85"/>
      <c r="E249" s="86"/>
      <c r="F249" s="16">
        <f>IF(E249="","",DATEDIF(E249,$I$7,"Y"))</f>
      </c>
      <c r="G249" s="85"/>
      <c r="H249" s="85"/>
      <c r="I249" s="87"/>
      <c r="J249" s="85"/>
      <c r="K249" s="85"/>
      <c r="L249" s="10"/>
      <c r="M249" s="10"/>
      <c r="N249" s="10"/>
      <c r="O249" s="10"/>
      <c r="P249" s="85"/>
      <c r="Q249" s="88"/>
      <c r="R249" s="3">
        <f>IFERROR(VLOOKUP(TablaOctubre[[#This Row],[BARRIO]],SECTOR!$A:$B,2,0),"")</f>
      </c>
      <c r="S249" s="89"/>
      <c r="T249" s="90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6"/>
      <c r="AZ249" s="120">
        <f>COUNTIF(U249:AY249,"A")</f>
      </c>
      <c r="BA249" s="121">
        <f>COUNTIF(U249:AY249,"F")</f>
      </c>
      <c r="BB249" s="119">
        <f>COUNTIF(U249:AY249,"E")</f>
      </c>
    </row>
    <row r="250" spans="1:54" x14ac:dyDescent="0.2">
      <c r="A250" s="84"/>
      <c r="B250" s="85"/>
      <c r="C250" s="85"/>
      <c r="D250" s="85"/>
      <c r="E250" s="86"/>
      <c r="F250" s="16">
        <f>IF(E250="","",DATEDIF(E250,$I$7,"Y"))</f>
      </c>
      <c r="G250" s="85"/>
      <c r="H250" s="85"/>
      <c r="I250" s="87"/>
      <c r="J250" s="85"/>
      <c r="K250" s="85"/>
      <c r="L250" s="10"/>
      <c r="M250" s="10"/>
      <c r="N250" s="10"/>
      <c r="O250" s="10"/>
      <c r="P250" s="85"/>
      <c r="Q250" s="88"/>
      <c r="R250" s="3">
        <f>IFERROR(VLOOKUP(TablaOctubre[[#This Row],[BARRIO]],SECTOR!$A:$B,2,0),"")</f>
      </c>
      <c r="S250" s="89"/>
      <c r="T250" s="90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6"/>
      <c r="AZ250" s="120">
        <f>COUNTIF(U250:AY250,"A")</f>
      </c>
      <c r="BA250" s="121">
        <f>COUNTIF(U250:AY250,"F")</f>
      </c>
      <c r="BB250" s="119">
        <f>COUNTIF(U250:AY250,"E")</f>
      </c>
    </row>
    <row r="251" spans="1:54" x14ac:dyDescent="0.2">
      <c r="A251" s="84"/>
      <c r="B251" s="85"/>
      <c r="C251" s="85"/>
      <c r="D251" s="85"/>
      <c r="E251" s="86"/>
      <c r="F251" s="16">
        <f>IF(E251="","",DATEDIF(E251,$I$7,"Y"))</f>
      </c>
      <c r="G251" s="85"/>
      <c r="H251" s="85"/>
      <c r="I251" s="87"/>
      <c r="J251" s="85"/>
      <c r="K251" s="85"/>
      <c r="L251" s="10"/>
      <c r="M251" s="10"/>
      <c r="N251" s="10"/>
      <c r="O251" s="10"/>
      <c r="P251" s="85"/>
      <c r="Q251" s="88"/>
      <c r="R251" s="3">
        <f>IFERROR(VLOOKUP(TablaOctubre[[#This Row],[BARRIO]],SECTOR!$A:$B,2,0),"")</f>
      </c>
      <c r="S251" s="89"/>
      <c r="T251" s="90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6"/>
      <c r="AZ251" s="120">
        <f>COUNTIF(U251:AY251,"A")</f>
      </c>
      <c r="BA251" s="121">
        <f>COUNTIF(U251:AY251,"F")</f>
      </c>
      <c r="BB251" s="119">
        <f>COUNTIF(U251:AY251,"E")</f>
      </c>
    </row>
    <row r="252" spans="1:54" x14ac:dyDescent="0.2">
      <c r="A252" s="84"/>
      <c r="B252" s="85"/>
      <c r="C252" s="85"/>
      <c r="D252" s="85"/>
      <c r="E252" s="86"/>
      <c r="F252" s="16">
        <f>IF(E252="","",DATEDIF(E252,$I$7,"Y"))</f>
      </c>
      <c r="G252" s="85"/>
      <c r="H252" s="85"/>
      <c r="I252" s="87"/>
      <c r="J252" s="85"/>
      <c r="K252" s="85"/>
      <c r="L252" s="10"/>
      <c r="M252" s="10"/>
      <c r="N252" s="10"/>
      <c r="O252" s="10"/>
      <c r="P252" s="85"/>
      <c r="Q252" s="88"/>
      <c r="R252" s="3">
        <f>IFERROR(VLOOKUP(TablaOctubre[[#This Row],[BARRIO]],SECTOR!$A:$B,2,0),"")</f>
      </c>
      <c r="S252" s="89"/>
      <c r="T252" s="90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6"/>
      <c r="AZ252" s="120">
        <f>COUNTIF(U252:AY252,"A")</f>
      </c>
      <c r="BA252" s="121">
        <f>COUNTIF(U252:AY252,"F")</f>
      </c>
      <c r="BB252" s="119">
        <f>COUNTIF(U252:AY252,"E")</f>
      </c>
    </row>
    <row r="253" spans="1:54" x14ac:dyDescent="0.2">
      <c r="A253" s="84"/>
      <c r="B253" s="85"/>
      <c r="C253" s="85"/>
      <c r="D253" s="85"/>
      <c r="E253" s="86"/>
      <c r="F253" s="16">
        <f>IF(E253="","",DATEDIF(E253,$I$7,"Y"))</f>
      </c>
      <c r="G253" s="85"/>
      <c r="H253" s="85"/>
      <c r="I253" s="87"/>
      <c r="J253" s="85"/>
      <c r="K253" s="85"/>
      <c r="L253" s="10"/>
      <c r="M253" s="10"/>
      <c r="N253" s="10"/>
      <c r="O253" s="10"/>
      <c r="P253" s="85"/>
      <c r="Q253" s="88"/>
      <c r="R253" s="3">
        <f>IFERROR(VLOOKUP(TablaOctubre[[#This Row],[BARRIO]],SECTOR!$A:$B,2,0),"")</f>
      </c>
      <c r="S253" s="89"/>
      <c r="T253" s="90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6"/>
      <c r="AZ253" s="120">
        <f>COUNTIF(U253:AY253,"A")</f>
      </c>
      <c r="BA253" s="121">
        <f>COUNTIF(U253:AY253,"F")</f>
      </c>
      <c r="BB253" s="119">
        <f>COUNTIF(U253:AY253,"E")</f>
      </c>
    </row>
    <row r="254" spans="1:54" x14ac:dyDescent="0.2">
      <c r="A254" s="84"/>
      <c r="B254" s="85"/>
      <c r="C254" s="85"/>
      <c r="D254" s="85"/>
      <c r="E254" s="86"/>
      <c r="F254" s="16">
        <f>IF(E254="","",DATEDIF(E254,$I$7,"Y"))</f>
      </c>
      <c r="G254" s="85"/>
      <c r="H254" s="85"/>
      <c r="I254" s="87"/>
      <c r="J254" s="85"/>
      <c r="K254" s="85"/>
      <c r="L254" s="10"/>
      <c r="M254" s="10"/>
      <c r="N254" s="10"/>
      <c r="O254" s="10"/>
      <c r="P254" s="85"/>
      <c r="Q254" s="88"/>
      <c r="R254" s="3">
        <f>IFERROR(VLOOKUP(TablaOctubre[[#This Row],[BARRIO]],SECTOR!$A:$B,2,0),"")</f>
      </c>
      <c r="S254" s="89"/>
      <c r="T254" s="90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6"/>
      <c r="AZ254" s="120">
        <f>COUNTIF(U254:AY254,"A")</f>
      </c>
      <c r="BA254" s="121">
        <f>COUNTIF(U254:AY254,"F")</f>
      </c>
      <c r="BB254" s="119">
        <f>COUNTIF(U254:AY254,"E")</f>
      </c>
    </row>
    <row r="255" spans="1:54" x14ac:dyDescent="0.2">
      <c r="A255" s="84"/>
      <c r="B255" s="85"/>
      <c r="C255" s="85"/>
      <c r="D255" s="85"/>
      <c r="E255" s="86"/>
      <c r="F255" s="16">
        <f>IF(E255="","",DATEDIF(E255,$I$7,"Y"))</f>
      </c>
      <c r="G255" s="85"/>
      <c r="H255" s="85"/>
      <c r="I255" s="87"/>
      <c r="J255" s="85"/>
      <c r="K255" s="85"/>
      <c r="L255" s="10"/>
      <c r="M255" s="10"/>
      <c r="N255" s="10"/>
      <c r="O255" s="10"/>
      <c r="P255" s="85"/>
      <c r="Q255" s="88"/>
      <c r="R255" s="3">
        <f>IFERROR(VLOOKUP(TablaOctubre[[#This Row],[BARRIO]],SECTOR!$A:$B,2,0),"")</f>
      </c>
      <c r="S255" s="89"/>
      <c r="T255" s="90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6"/>
      <c r="AZ255" s="120">
        <f>COUNTIF(U255:AY255,"A")</f>
      </c>
      <c r="BA255" s="121">
        <f>COUNTIF(U255:AY255,"F")</f>
      </c>
      <c r="BB255" s="119">
        <f>COUNTIF(U255:AY255,"E")</f>
      </c>
    </row>
    <row r="256" spans="1:54" x14ac:dyDescent="0.2">
      <c r="A256" s="84"/>
      <c r="B256" s="85"/>
      <c r="C256" s="85"/>
      <c r="D256" s="85"/>
      <c r="E256" s="86"/>
      <c r="F256" s="16">
        <f>IF(E256="","",DATEDIF(E256,$I$7,"Y"))</f>
      </c>
      <c r="G256" s="85"/>
      <c r="H256" s="85"/>
      <c r="I256" s="87"/>
      <c r="J256" s="85"/>
      <c r="K256" s="85"/>
      <c r="L256" s="10"/>
      <c r="M256" s="10"/>
      <c r="N256" s="10"/>
      <c r="O256" s="10"/>
      <c r="P256" s="85"/>
      <c r="Q256" s="88"/>
      <c r="R256" s="3">
        <f>IFERROR(VLOOKUP(TablaOctubre[[#This Row],[BARRIO]],SECTOR!$A:$B,2,0),"")</f>
      </c>
      <c r="S256" s="89"/>
      <c r="T256" s="90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6"/>
      <c r="AZ256" s="120">
        <f>COUNTIF(U256:AY256,"A")</f>
      </c>
      <c r="BA256" s="121">
        <f>COUNTIF(U256:AY256,"F")</f>
      </c>
      <c r="BB256" s="119">
        <f>COUNTIF(U256:AY256,"E")</f>
      </c>
    </row>
    <row r="257" spans="1:54" x14ac:dyDescent="0.2">
      <c r="A257" s="84"/>
      <c r="B257" s="85"/>
      <c r="C257" s="85"/>
      <c r="D257" s="85"/>
      <c r="E257" s="86"/>
      <c r="F257" s="16">
        <f>IF(E257="","",DATEDIF(E257,$I$7,"Y"))</f>
      </c>
      <c r="G257" s="85"/>
      <c r="H257" s="85"/>
      <c r="I257" s="87"/>
      <c r="J257" s="85"/>
      <c r="K257" s="85"/>
      <c r="L257" s="10"/>
      <c r="M257" s="10"/>
      <c r="N257" s="10"/>
      <c r="O257" s="10"/>
      <c r="P257" s="85"/>
      <c r="Q257" s="88"/>
      <c r="R257" s="3">
        <f>IFERROR(VLOOKUP(TablaOctubre[[#This Row],[BARRIO]],SECTOR!$A:$B,2,0),"")</f>
      </c>
      <c r="S257" s="89"/>
      <c r="T257" s="90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6"/>
      <c r="AZ257" s="120">
        <f>COUNTIF(U257:AY257,"A")</f>
      </c>
      <c r="BA257" s="121">
        <f>COUNTIF(U257:AY257,"F")</f>
      </c>
      <c r="BB257" s="119">
        <f>COUNTIF(U257:AY257,"E")</f>
      </c>
    </row>
    <row r="258" spans="1:54" x14ac:dyDescent="0.2">
      <c r="A258" s="84"/>
      <c r="B258" s="85"/>
      <c r="C258" s="85"/>
      <c r="D258" s="85"/>
      <c r="E258" s="86"/>
      <c r="F258" s="16">
        <f>IF(E258="","",DATEDIF(E258,$I$7,"Y"))</f>
      </c>
      <c r="G258" s="85"/>
      <c r="H258" s="85"/>
      <c r="I258" s="87"/>
      <c r="J258" s="85"/>
      <c r="K258" s="85"/>
      <c r="L258" s="10"/>
      <c r="M258" s="10"/>
      <c r="N258" s="10"/>
      <c r="O258" s="10"/>
      <c r="P258" s="85"/>
      <c r="Q258" s="88"/>
      <c r="R258" s="3">
        <f>IFERROR(VLOOKUP(TablaOctubre[[#This Row],[BARRIO]],SECTOR!$A:$B,2,0),"")</f>
      </c>
      <c r="S258" s="89"/>
      <c r="T258" s="90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6"/>
      <c r="AZ258" s="120">
        <f>COUNTIF(U258:AY258,"A")</f>
      </c>
      <c r="BA258" s="121">
        <f>COUNTIF(U258:AY258,"F")</f>
      </c>
      <c r="BB258" s="119">
        <f>COUNTIF(U258:AY258,"E")</f>
      </c>
    </row>
    <row r="259" spans="1:54" x14ac:dyDescent="0.2">
      <c r="A259" s="84"/>
      <c r="B259" s="85"/>
      <c r="C259" s="85"/>
      <c r="D259" s="85"/>
      <c r="E259" s="86"/>
      <c r="F259" s="16">
        <f>IF(E259="","",DATEDIF(E259,$I$7,"Y"))</f>
      </c>
      <c r="G259" s="85"/>
      <c r="H259" s="85"/>
      <c r="I259" s="87"/>
      <c r="J259" s="85"/>
      <c r="K259" s="85"/>
      <c r="L259" s="10"/>
      <c r="M259" s="10"/>
      <c r="N259" s="10"/>
      <c r="O259" s="10"/>
      <c r="P259" s="85"/>
      <c r="Q259" s="88"/>
      <c r="R259" s="3">
        <f>IFERROR(VLOOKUP(TablaOctubre[[#This Row],[BARRIO]],SECTOR!$A:$B,2,0),"")</f>
      </c>
      <c r="S259" s="89"/>
      <c r="T259" s="90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6"/>
      <c r="AZ259" s="120">
        <f>COUNTIF(U259:AY259,"A")</f>
      </c>
      <c r="BA259" s="121">
        <f>COUNTIF(U259:AY259,"F")</f>
      </c>
      <c r="BB259" s="119">
        <f>COUNTIF(U259:AY259,"E")</f>
      </c>
    </row>
    <row r="260" spans="1:54" x14ac:dyDescent="0.2">
      <c r="A260" s="84"/>
      <c r="B260" s="85"/>
      <c r="C260" s="85"/>
      <c r="D260" s="85"/>
      <c r="E260" s="86"/>
      <c r="F260" s="16">
        <f>IF(E260="","",DATEDIF(E260,$I$7,"Y"))</f>
      </c>
      <c r="G260" s="85"/>
      <c r="H260" s="85"/>
      <c r="I260" s="87"/>
      <c r="J260" s="85"/>
      <c r="K260" s="85"/>
      <c r="L260" s="10"/>
      <c r="M260" s="10"/>
      <c r="N260" s="10"/>
      <c r="O260" s="10"/>
      <c r="P260" s="85"/>
      <c r="Q260" s="88"/>
      <c r="R260" s="3">
        <f>IFERROR(VLOOKUP(TablaOctubre[[#This Row],[BARRIO]],SECTOR!$A:$B,2,0),"")</f>
      </c>
      <c r="S260" s="89"/>
      <c r="T260" s="90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6"/>
      <c r="AZ260" s="120">
        <f>COUNTIF(U260:AY260,"A")</f>
      </c>
      <c r="BA260" s="121">
        <f>COUNTIF(U260:AY260,"F")</f>
      </c>
      <c r="BB260" s="119">
        <f>COUNTIF(U260:AY260,"E")</f>
      </c>
    </row>
    <row r="261" spans="1:54" x14ac:dyDescent="0.2">
      <c r="A261" s="84"/>
      <c r="B261" s="85"/>
      <c r="C261" s="85"/>
      <c r="D261" s="85"/>
      <c r="E261" s="86"/>
      <c r="F261" s="16">
        <f>IF(E261="","",DATEDIF(E261,$I$7,"Y"))</f>
      </c>
      <c r="G261" s="85"/>
      <c r="H261" s="85"/>
      <c r="I261" s="87"/>
      <c r="J261" s="85"/>
      <c r="K261" s="85"/>
      <c r="L261" s="10"/>
      <c r="M261" s="10"/>
      <c r="N261" s="10"/>
      <c r="O261" s="10"/>
      <c r="P261" s="85"/>
      <c r="Q261" s="88"/>
      <c r="R261" s="3">
        <f>IFERROR(VLOOKUP(TablaOctubre[[#This Row],[BARRIO]],SECTOR!$A:$B,2,0),"")</f>
      </c>
      <c r="S261" s="89"/>
      <c r="T261" s="90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6"/>
      <c r="AZ261" s="120">
        <f>COUNTIF(U261:AY261,"A")</f>
      </c>
      <c r="BA261" s="121">
        <f>COUNTIF(U261:AY261,"F")</f>
      </c>
      <c r="BB261" s="119">
        <f>COUNTIF(U261:AY261,"E")</f>
      </c>
    </row>
    <row r="262" spans="1:54" x14ac:dyDescent="0.2">
      <c r="A262" s="84"/>
      <c r="B262" s="85"/>
      <c r="C262" s="85"/>
      <c r="D262" s="85"/>
      <c r="E262" s="86"/>
      <c r="F262" s="16">
        <f>IF(E262="","",DATEDIF(E262,$I$7,"Y"))</f>
      </c>
      <c r="G262" s="85"/>
      <c r="H262" s="85"/>
      <c r="I262" s="87"/>
      <c r="J262" s="85"/>
      <c r="K262" s="85"/>
      <c r="L262" s="10"/>
      <c r="M262" s="10"/>
      <c r="N262" s="10"/>
      <c r="O262" s="10"/>
      <c r="P262" s="85"/>
      <c r="Q262" s="88"/>
      <c r="R262" s="3">
        <f>IFERROR(VLOOKUP(TablaOctubre[[#This Row],[BARRIO]],SECTOR!$A:$B,2,0),"")</f>
      </c>
      <c r="S262" s="89"/>
      <c r="T262" s="90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6"/>
      <c r="AZ262" s="120">
        <f>COUNTIF(U262:AY262,"A")</f>
      </c>
      <c r="BA262" s="121">
        <f>COUNTIF(U262:AY262,"F")</f>
      </c>
      <c r="BB262" s="119">
        <f>COUNTIF(U262:AY262,"E")</f>
      </c>
    </row>
    <row r="263" spans="1:54" x14ac:dyDescent="0.2">
      <c r="A263" s="84"/>
      <c r="B263" s="85"/>
      <c r="C263" s="85"/>
      <c r="D263" s="85"/>
      <c r="E263" s="86"/>
      <c r="F263" s="16">
        <f>IF(E263="","",DATEDIF(E263,$I$7,"Y"))</f>
      </c>
      <c r="G263" s="85"/>
      <c r="H263" s="85"/>
      <c r="I263" s="87"/>
      <c r="J263" s="85"/>
      <c r="K263" s="85"/>
      <c r="L263" s="10"/>
      <c r="M263" s="10"/>
      <c r="N263" s="10"/>
      <c r="O263" s="10"/>
      <c r="P263" s="85"/>
      <c r="Q263" s="88"/>
      <c r="R263" s="3">
        <f>IFERROR(VLOOKUP(TablaOctubre[[#This Row],[BARRIO]],SECTOR!$A:$B,2,0),"")</f>
      </c>
      <c r="S263" s="89"/>
      <c r="T263" s="90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6"/>
      <c r="AZ263" s="120">
        <f>COUNTIF(U263:AY263,"A")</f>
      </c>
      <c r="BA263" s="121">
        <f>COUNTIF(U263:AY263,"F")</f>
      </c>
      <c r="BB263" s="119">
        <f>COUNTIF(U263:AY263,"E")</f>
      </c>
    </row>
    <row r="264" spans="1:54" x14ac:dyDescent="0.2">
      <c r="A264" s="84"/>
      <c r="B264" s="85"/>
      <c r="C264" s="85"/>
      <c r="D264" s="85"/>
      <c r="E264" s="86"/>
      <c r="F264" s="16">
        <f>IF(E264="","",DATEDIF(E264,$I$7,"Y"))</f>
      </c>
      <c r="G264" s="85"/>
      <c r="H264" s="85"/>
      <c r="I264" s="87"/>
      <c r="J264" s="85"/>
      <c r="K264" s="85"/>
      <c r="L264" s="10"/>
      <c r="M264" s="10"/>
      <c r="N264" s="10"/>
      <c r="O264" s="10"/>
      <c r="P264" s="85"/>
      <c r="Q264" s="88"/>
      <c r="R264" s="3">
        <f>IFERROR(VLOOKUP(TablaOctubre[[#This Row],[BARRIO]],SECTOR!$A:$B,2,0),"")</f>
      </c>
      <c r="S264" s="89"/>
      <c r="T264" s="90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6"/>
      <c r="AZ264" s="120">
        <f>COUNTIF(U264:AY264,"A")</f>
      </c>
      <c r="BA264" s="121">
        <f>COUNTIF(U264:AY264,"F")</f>
      </c>
      <c r="BB264" s="119">
        <f>COUNTIF(U264:AY264,"E")</f>
      </c>
    </row>
    <row r="265" spans="1:54" x14ac:dyDescent="0.2">
      <c r="A265" s="84"/>
      <c r="B265" s="85"/>
      <c r="C265" s="85"/>
      <c r="D265" s="85"/>
      <c r="E265" s="86"/>
      <c r="F265" s="16">
        <f>IF(E265="","",DATEDIF(E265,$I$7,"Y"))</f>
      </c>
      <c r="G265" s="85"/>
      <c r="H265" s="85"/>
      <c r="I265" s="87"/>
      <c r="J265" s="85"/>
      <c r="K265" s="85"/>
      <c r="L265" s="10"/>
      <c r="M265" s="10"/>
      <c r="N265" s="10"/>
      <c r="O265" s="10"/>
      <c r="P265" s="85"/>
      <c r="Q265" s="88"/>
      <c r="R265" s="3">
        <f>IFERROR(VLOOKUP(TablaOctubre[[#This Row],[BARRIO]],SECTOR!$A:$B,2,0),"")</f>
      </c>
      <c r="S265" s="89"/>
      <c r="T265" s="90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6"/>
      <c r="AZ265" s="120">
        <f>COUNTIF(U265:AY265,"A")</f>
      </c>
      <c r="BA265" s="121">
        <f>COUNTIF(U265:AY265,"F")</f>
      </c>
      <c r="BB265" s="119">
        <f>COUNTIF(U265:AY265,"E")</f>
      </c>
    </row>
    <row r="266" spans="1:54" x14ac:dyDescent="0.2">
      <c r="A266" s="84"/>
      <c r="B266" s="85"/>
      <c r="C266" s="85"/>
      <c r="D266" s="85"/>
      <c r="E266" s="86"/>
      <c r="F266" s="16">
        <f>IF(E266="","",DATEDIF(E266,$I$7,"Y"))</f>
      </c>
      <c r="G266" s="85"/>
      <c r="H266" s="85"/>
      <c r="I266" s="87"/>
      <c r="J266" s="85"/>
      <c r="K266" s="85"/>
      <c r="L266" s="10"/>
      <c r="M266" s="10"/>
      <c r="N266" s="10"/>
      <c r="O266" s="10"/>
      <c r="P266" s="85"/>
      <c r="Q266" s="88"/>
      <c r="R266" s="3">
        <f>IFERROR(VLOOKUP(TablaOctubre[[#This Row],[BARRIO]],SECTOR!$A:$B,2,0),"")</f>
      </c>
      <c r="S266" s="89"/>
      <c r="T266" s="90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6"/>
      <c r="AZ266" s="120">
        <f>COUNTIF(U266:AY266,"A")</f>
      </c>
      <c r="BA266" s="121">
        <f>COUNTIF(U266:AY266,"F")</f>
      </c>
      <c r="BB266" s="119">
        <f>COUNTIF(U266:AY266,"E")</f>
      </c>
    </row>
    <row r="267" spans="1:54" x14ac:dyDescent="0.2">
      <c r="A267" s="84"/>
      <c r="B267" s="85"/>
      <c r="C267" s="85"/>
      <c r="D267" s="85"/>
      <c r="E267" s="86"/>
      <c r="F267" s="16">
        <f>IF(E267="","",DATEDIF(E267,$I$7,"Y"))</f>
      </c>
      <c r="G267" s="85"/>
      <c r="H267" s="85"/>
      <c r="I267" s="87"/>
      <c r="J267" s="85"/>
      <c r="K267" s="85"/>
      <c r="L267" s="10"/>
      <c r="M267" s="10"/>
      <c r="N267" s="10"/>
      <c r="O267" s="10"/>
      <c r="P267" s="85"/>
      <c r="Q267" s="88"/>
      <c r="R267" s="3">
        <f>IFERROR(VLOOKUP(TablaOctubre[[#This Row],[BARRIO]],SECTOR!$A:$B,2,0),"")</f>
      </c>
      <c r="S267" s="89"/>
      <c r="T267" s="90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6"/>
      <c r="AZ267" s="120">
        <f>COUNTIF(U267:AY267,"A")</f>
      </c>
      <c r="BA267" s="121">
        <f>COUNTIF(U267:AY267,"F")</f>
      </c>
      <c r="BB267" s="119">
        <f>COUNTIF(U267:AY267,"E")</f>
      </c>
    </row>
    <row r="268" spans="1:54" x14ac:dyDescent="0.2">
      <c r="A268" s="84"/>
      <c r="B268" s="85"/>
      <c r="C268" s="85"/>
      <c r="D268" s="85"/>
      <c r="E268" s="86"/>
      <c r="F268" s="16">
        <f>IF(E268="","",DATEDIF(E268,$I$7,"Y"))</f>
      </c>
      <c r="G268" s="85"/>
      <c r="H268" s="85"/>
      <c r="I268" s="87"/>
      <c r="J268" s="85"/>
      <c r="K268" s="85"/>
      <c r="L268" s="10"/>
      <c r="M268" s="10"/>
      <c r="N268" s="10"/>
      <c r="O268" s="10"/>
      <c r="P268" s="85"/>
      <c r="Q268" s="88"/>
      <c r="R268" s="3">
        <f>IFERROR(VLOOKUP(TablaOctubre[[#This Row],[BARRIO]],SECTOR!$A:$B,2,0),"")</f>
      </c>
      <c r="S268" s="89"/>
      <c r="T268" s="90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6"/>
      <c r="AZ268" s="120">
        <f>COUNTIF(U268:AY268,"A")</f>
      </c>
      <c r="BA268" s="121">
        <f>COUNTIF(U268:AY268,"F")</f>
      </c>
      <c r="BB268" s="119">
        <f>COUNTIF(U268:AY268,"E")</f>
      </c>
    </row>
    <row r="269" spans="1:54" x14ac:dyDescent="0.2">
      <c r="A269" s="84"/>
      <c r="B269" s="85"/>
      <c r="C269" s="85"/>
      <c r="D269" s="85"/>
      <c r="E269" s="86"/>
      <c r="F269" s="16">
        <f>IF(E269="","",DATEDIF(E269,$I$7,"Y"))</f>
      </c>
      <c r="G269" s="85"/>
      <c r="H269" s="85"/>
      <c r="I269" s="87"/>
      <c r="J269" s="85"/>
      <c r="K269" s="85"/>
      <c r="L269" s="10"/>
      <c r="M269" s="10"/>
      <c r="N269" s="10"/>
      <c r="O269" s="10"/>
      <c r="P269" s="85"/>
      <c r="Q269" s="88"/>
      <c r="R269" s="3">
        <f>IFERROR(VLOOKUP(TablaOctubre[[#This Row],[BARRIO]],SECTOR!$A:$B,2,0),"")</f>
      </c>
      <c r="S269" s="89"/>
      <c r="T269" s="90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6"/>
      <c r="AZ269" s="120">
        <f>COUNTIF(U269:AY269,"A")</f>
      </c>
      <c r="BA269" s="121">
        <f>COUNTIF(U269:AY269,"F")</f>
      </c>
      <c r="BB269" s="119">
        <f>COUNTIF(U269:AY269,"E")</f>
      </c>
    </row>
    <row r="270" spans="1:54" x14ac:dyDescent="0.2">
      <c r="A270" s="84"/>
      <c r="B270" s="85"/>
      <c r="C270" s="85"/>
      <c r="D270" s="85"/>
      <c r="E270" s="86"/>
      <c r="F270" s="16">
        <f>IF(E270="","",DATEDIF(E270,$I$7,"Y"))</f>
      </c>
      <c r="G270" s="85"/>
      <c r="H270" s="85"/>
      <c r="I270" s="87"/>
      <c r="J270" s="85"/>
      <c r="K270" s="85"/>
      <c r="L270" s="10"/>
      <c r="M270" s="10"/>
      <c r="N270" s="10"/>
      <c r="O270" s="10"/>
      <c r="P270" s="85"/>
      <c r="Q270" s="88"/>
      <c r="R270" s="3">
        <f>IFERROR(VLOOKUP(TablaOctubre[[#This Row],[BARRIO]],SECTOR!$A:$B,2,0),"")</f>
      </c>
      <c r="S270" s="89"/>
      <c r="T270" s="90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6"/>
      <c r="AZ270" s="120">
        <f>COUNTIF(U270:AY270,"A")</f>
      </c>
      <c r="BA270" s="121">
        <f>COUNTIF(U270:AY270,"F")</f>
      </c>
      <c r="BB270" s="119">
        <f>COUNTIF(U270:AY270,"E")</f>
      </c>
    </row>
    <row r="271" spans="1:54" x14ac:dyDescent="0.2">
      <c r="A271" s="84"/>
      <c r="B271" s="85"/>
      <c r="C271" s="85"/>
      <c r="D271" s="85"/>
      <c r="E271" s="86"/>
      <c r="F271" s="16">
        <f>IF(E271="","",DATEDIF(E271,$I$7,"Y"))</f>
      </c>
      <c r="G271" s="85"/>
      <c r="H271" s="85"/>
      <c r="I271" s="87"/>
      <c r="J271" s="85"/>
      <c r="K271" s="85"/>
      <c r="L271" s="10"/>
      <c r="M271" s="10"/>
      <c r="N271" s="10"/>
      <c r="O271" s="10"/>
      <c r="P271" s="85"/>
      <c r="Q271" s="88"/>
      <c r="R271" s="3">
        <f>IFERROR(VLOOKUP(TablaOctubre[[#This Row],[BARRIO]],SECTOR!$A:$B,2,0),"")</f>
      </c>
      <c r="S271" s="89"/>
      <c r="T271" s="90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6"/>
      <c r="AZ271" s="120">
        <f>COUNTIF(U271:AY271,"A")</f>
      </c>
      <c r="BA271" s="121">
        <f>COUNTIF(U271:AY271,"F")</f>
      </c>
      <c r="BB271" s="119">
        <f>COUNTIF(U271:AY271,"E")</f>
      </c>
    </row>
    <row r="272" spans="1:54" x14ac:dyDescent="0.2">
      <c r="A272" s="84"/>
      <c r="B272" s="85"/>
      <c r="C272" s="85"/>
      <c r="D272" s="85"/>
      <c r="E272" s="86"/>
      <c r="F272" s="16">
        <f>IF(E272="","",DATEDIF(E272,$I$7,"Y"))</f>
      </c>
      <c r="G272" s="85"/>
      <c r="H272" s="85"/>
      <c r="I272" s="87"/>
      <c r="J272" s="85"/>
      <c r="K272" s="85"/>
      <c r="L272" s="10"/>
      <c r="M272" s="10"/>
      <c r="N272" s="10"/>
      <c r="O272" s="10"/>
      <c r="P272" s="85"/>
      <c r="Q272" s="88"/>
      <c r="R272" s="3">
        <f>IFERROR(VLOOKUP(TablaOctubre[[#This Row],[BARRIO]],SECTOR!$A:$B,2,0),"")</f>
      </c>
      <c r="S272" s="89"/>
      <c r="T272" s="90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6"/>
      <c r="AZ272" s="120">
        <f>COUNTIF(U272:AY272,"A")</f>
      </c>
      <c r="BA272" s="121">
        <f>COUNTIF(U272:AY272,"F")</f>
      </c>
      <c r="BB272" s="119">
        <f>COUNTIF(U272:AY272,"E")</f>
      </c>
    </row>
    <row r="273" spans="1:54" x14ac:dyDescent="0.2">
      <c r="A273" s="84"/>
      <c r="B273" s="85"/>
      <c r="C273" s="85"/>
      <c r="D273" s="85"/>
      <c r="E273" s="86"/>
      <c r="F273" s="16">
        <f>IF(E273="","",DATEDIF(E273,$I$7,"Y"))</f>
      </c>
      <c r="G273" s="85"/>
      <c r="H273" s="85"/>
      <c r="I273" s="87"/>
      <c r="J273" s="85"/>
      <c r="K273" s="85"/>
      <c r="L273" s="10"/>
      <c r="M273" s="10"/>
      <c r="N273" s="10"/>
      <c r="O273" s="10"/>
      <c r="P273" s="85"/>
      <c r="Q273" s="88"/>
      <c r="R273" s="3">
        <f>IFERROR(VLOOKUP(TablaOctubre[[#This Row],[BARRIO]],SECTOR!$A:$B,2,0),"")</f>
      </c>
      <c r="S273" s="89"/>
      <c r="T273" s="90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6"/>
      <c r="AZ273" s="120">
        <f>COUNTIF(U273:AY273,"A")</f>
      </c>
      <c r="BA273" s="121">
        <f>COUNTIF(U273:AY273,"F")</f>
      </c>
      <c r="BB273" s="119">
        <f>COUNTIF(U273:AY273,"E")</f>
      </c>
    </row>
    <row r="274" spans="1:54" x14ac:dyDescent="0.2">
      <c r="A274" s="84"/>
      <c r="B274" s="85"/>
      <c r="C274" s="85"/>
      <c r="D274" s="85"/>
      <c r="E274" s="86"/>
      <c r="F274" s="16">
        <f>IF(E274="","",DATEDIF(E274,$I$7,"Y"))</f>
      </c>
      <c r="G274" s="85"/>
      <c r="H274" s="85"/>
      <c r="I274" s="87"/>
      <c r="J274" s="85"/>
      <c r="K274" s="85"/>
      <c r="L274" s="10"/>
      <c r="M274" s="10"/>
      <c r="N274" s="10"/>
      <c r="O274" s="10"/>
      <c r="P274" s="85"/>
      <c r="Q274" s="88"/>
      <c r="R274" s="3">
        <f>IFERROR(VLOOKUP(TablaOctubre[[#This Row],[BARRIO]],SECTOR!$A:$B,2,0),"")</f>
      </c>
      <c r="S274" s="89"/>
      <c r="T274" s="90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6"/>
      <c r="AZ274" s="120">
        <f>COUNTIF(U274:AY274,"A")</f>
      </c>
      <c r="BA274" s="121">
        <f>COUNTIF(U274:AY274,"F")</f>
      </c>
      <c r="BB274" s="119">
        <f>COUNTIF(U274:AY274,"E")</f>
      </c>
    </row>
    <row r="275" spans="1:54" x14ac:dyDescent="0.2">
      <c r="A275" s="84"/>
      <c r="B275" s="85"/>
      <c r="C275" s="85"/>
      <c r="D275" s="85"/>
      <c r="E275" s="86"/>
      <c r="F275" s="16">
        <f>IF(E275="","",DATEDIF(E275,$I$7,"Y"))</f>
      </c>
      <c r="G275" s="85"/>
      <c r="H275" s="85"/>
      <c r="I275" s="87"/>
      <c r="J275" s="85"/>
      <c r="K275" s="85"/>
      <c r="L275" s="10"/>
      <c r="M275" s="10"/>
      <c r="N275" s="10"/>
      <c r="O275" s="10"/>
      <c r="P275" s="85"/>
      <c r="Q275" s="88"/>
      <c r="R275" s="3">
        <f>IFERROR(VLOOKUP(TablaOctubre[[#This Row],[BARRIO]],SECTOR!$A:$B,2,0),"")</f>
      </c>
      <c r="S275" s="89"/>
      <c r="T275" s="90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6"/>
      <c r="AZ275" s="120">
        <f>COUNTIF(U275:AY275,"A")</f>
      </c>
      <c r="BA275" s="121">
        <f>COUNTIF(U275:AY275,"F")</f>
      </c>
      <c r="BB275" s="119">
        <f>COUNTIF(U275:AY275,"E")</f>
      </c>
    </row>
    <row r="276" spans="1:54" x14ac:dyDescent="0.2">
      <c r="A276" s="84"/>
      <c r="B276" s="85"/>
      <c r="C276" s="85"/>
      <c r="D276" s="85"/>
      <c r="E276" s="86"/>
      <c r="F276" s="16">
        <f>IF(E276="","",DATEDIF(E276,$I$7,"Y"))</f>
      </c>
      <c r="G276" s="85"/>
      <c r="H276" s="85"/>
      <c r="I276" s="87"/>
      <c r="J276" s="85"/>
      <c r="K276" s="85"/>
      <c r="L276" s="10"/>
      <c r="M276" s="10"/>
      <c r="N276" s="10"/>
      <c r="O276" s="10"/>
      <c r="P276" s="85"/>
      <c r="Q276" s="88"/>
      <c r="R276" s="3">
        <f>IFERROR(VLOOKUP(TablaOctubre[[#This Row],[BARRIO]],SECTOR!$A:$B,2,0),"")</f>
      </c>
      <c r="S276" s="89"/>
      <c r="T276" s="90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6"/>
      <c r="AZ276" s="120">
        <f>COUNTIF(U276:AY276,"A")</f>
      </c>
      <c r="BA276" s="121">
        <f>COUNTIF(U276:AY276,"F")</f>
      </c>
      <c r="BB276" s="119">
        <f>COUNTIF(U276:AY276,"E")</f>
      </c>
    </row>
    <row r="277" spans="1:54" x14ac:dyDescent="0.2">
      <c r="A277" s="84"/>
      <c r="B277" s="85"/>
      <c r="C277" s="85"/>
      <c r="D277" s="85"/>
      <c r="E277" s="86"/>
      <c r="F277" s="16">
        <f>IF(E277="","",DATEDIF(E277,$I$7,"Y"))</f>
      </c>
      <c r="G277" s="85"/>
      <c r="H277" s="85"/>
      <c r="I277" s="87"/>
      <c r="J277" s="85"/>
      <c r="K277" s="85"/>
      <c r="L277" s="10"/>
      <c r="M277" s="10"/>
      <c r="N277" s="10"/>
      <c r="O277" s="10"/>
      <c r="P277" s="85"/>
      <c r="Q277" s="88"/>
      <c r="R277" s="3">
        <f>IFERROR(VLOOKUP(TablaOctubre[[#This Row],[BARRIO]],SECTOR!$A:$B,2,0),"")</f>
      </c>
      <c r="S277" s="89"/>
      <c r="T277" s="90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6"/>
      <c r="AZ277" s="120">
        <f>COUNTIF(U277:AY277,"A")</f>
      </c>
      <c r="BA277" s="121">
        <f>COUNTIF(U277:AY277,"F")</f>
      </c>
      <c r="BB277" s="119">
        <f>COUNTIF(U277:AY277,"E")</f>
      </c>
    </row>
    <row r="278" spans="1:54" x14ac:dyDescent="0.2">
      <c r="A278" s="84"/>
      <c r="B278" s="85"/>
      <c r="C278" s="85"/>
      <c r="D278" s="85"/>
      <c r="E278" s="86"/>
      <c r="F278" s="16">
        <f>IF(E278="","",DATEDIF(E278,$I$7,"Y"))</f>
      </c>
      <c r="G278" s="85"/>
      <c r="H278" s="85"/>
      <c r="I278" s="87"/>
      <c r="J278" s="85"/>
      <c r="K278" s="85"/>
      <c r="L278" s="10"/>
      <c r="M278" s="10"/>
      <c r="N278" s="10"/>
      <c r="O278" s="10"/>
      <c r="P278" s="85"/>
      <c r="Q278" s="88"/>
      <c r="R278" s="3">
        <f>IFERROR(VLOOKUP(TablaOctubre[[#This Row],[BARRIO]],SECTOR!$A:$B,2,0),"")</f>
      </c>
      <c r="S278" s="89"/>
      <c r="T278" s="90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6"/>
      <c r="AZ278" s="120">
        <f>COUNTIF(U278:AY278,"A")</f>
      </c>
      <c r="BA278" s="121">
        <f>COUNTIF(U278:AY278,"F")</f>
      </c>
      <c r="BB278" s="119">
        <f>COUNTIF(U278:AY278,"E")</f>
      </c>
    </row>
    <row r="279" spans="1:54" x14ac:dyDescent="0.2">
      <c r="A279" s="84"/>
      <c r="B279" s="85"/>
      <c r="C279" s="85"/>
      <c r="D279" s="85"/>
      <c r="E279" s="86"/>
      <c r="F279" s="16">
        <f>IF(E279="","",DATEDIF(E279,$I$7,"Y"))</f>
      </c>
      <c r="G279" s="85"/>
      <c r="H279" s="85"/>
      <c r="I279" s="87"/>
      <c r="J279" s="85"/>
      <c r="K279" s="85"/>
      <c r="L279" s="10"/>
      <c r="M279" s="10"/>
      <c r="N279" s="10"/>
      <c r="O279" s="10"/>
      <c r="P279" s="85"/>
      <c r="Q279" s="88"/>
      <c r="R279" s="3">
        <f>IFERROR(VLOOKUP(TablaOctubre[[#This Row],[BARRIO]],SECTOR!$A:$B,2,0),"")</f>
      </c>
      <c r="S279" s="89"/>
      <c r="T279" s="90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6"/>
      <c r="AZ279" s="120">
        <f>COUNTIF(U279:AY279,"A")</f>
      </c>
      <c r="BA279" s="121">
        <f>COUNTIF(U279:AY279,"F")</f>
      </c>
      <c r="BB279" s="119">
        <f>COUNTIF(U279:AY279,"E")</f>
      </c>
    </row>
    <row r="280" spans="1:54" x14ac:dyDescent="0.2">
      <c r="A280" s="84"/>
      <c r="B280" s="85"/>
      <c r="C280" s="85"/>
      <c r="D280" s="85"/>
      <c r="E280" s="86"/>
      <c r="F280" s="16">
        <f>IF(E280="","",DATEDIF(E280,$I$7,"Y"))</f>
      </c>
      <c r="G280" s="85"/>
      <c r="H280" s="85"/>
      <c r="I280" s="87"/>
      <c r="J280" s="85"/>
      <c r="K280" s="85"/>
      <c r="L280" s="10"/>
      <c r="M280" s="10"/>
      <c r="N280" s="10"/>
      <c r="O280" s="10"/>
      <c r="P280" s="85"/>
      <c r="Q280" s="88"/>
      <c r="R280" s="3">
        <f>IFERROR(VLOOKUP(TablaOctubre[[#This Row],[BARRIO]],SECTOR!$A:$B,2,0),"")</f>
      </c>
      <c r="S280" s="89"/>
      <c r="T280" s="90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6"/>
      <c r="AZ280" s="120">
        <f>COUNTIF(U280:AY280,"A")</f>
      </c>
      <c r="BA280" s="121">
        <f>COUNTIF(U280:AY280,"F")</f>
      </c>
      <c r="BB280" s="119">
        <f>COUNTIF(U280:AY280,"E")</f>
      </c>
    </row>
    <row r="281" spans="1:54" x14ac:dyDescent="0.2">
      <c r="A281" s="84"/>
      <c r="B281" s="85"/>
      <c r="C281" s="85"/>
      <c r="D281" s="85"/>
      <c r="E281" s="86"/>
      <c r="F281" s="16">
        <f>IF(E281="","",DATEDIF(E281,$I$7,"Y"))</f>
      </c>
      <c r="G281" s="85"/>
      <c r="H281" s="85"/>
      <c r="I281" s="87"/>
      <c r="J281" s="85"/>
      <c r="K281" s="85"/>
      <c r="L281" s="10"/>
      <c r="M281" s="10"/>
      <c r="N281" s="10"/>
      <c r="O281" s="10"/>
      <c r="P281" s="85"/>
      <c r="Q281" s="88"/>
      <c r="R281" s="3">
        <f>IFERROR(VLOOKUP(TablaOctubre[[#This Row],[BARRIO]],SECTOR!$A:$B,2,0),"")</f>
      </c>
      <c r="S281" s="89"/>
      <c r="T281" s="90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6"/>
      <c r="AZ281" s="120">
        <f>COUNTIF(U281:AY281,"A")</f>
      </c>
      <c r="BA281" s="121">
        <f>COUNTIF(U281:AY281,"F")</f>
      </c>
      <c r="BB281" s="119">
        <f>COUNTIF(U281:AY281,"E")</f>
      </c>
    </row>
    <row r="282" spans="1:54" x14ac:dyDescent="0.2">
      <c r="A282" s="84"/>
      <c r="B282" s="85"/>
      <c r="C282" s="85"/>
      <c r="D282" s="85"/>
      <c r="E282" s="86"/>
      <c r="F282" s="16">
        <f>IF(E282="","",DATEDIF(E282,$I$7,"Y"))</f>
      </c>
      <c r="G282" s="85"/>
      <c r="H282" s="85"/>
      <c r="I282" s="87"/>
      <c r="J282" s="85"/>
      <c r="K282" s="85"/>
      <c r="L282" s="10"/>
      <c r="M282" s="10"/>
      <c r="N282" s="10"/>
      <c r="O282" s="10"/>
      <c r="P282" s="85"/>
      <c r="Q282" s="88"/>
      <c r="R282" s="3">
        <f>IFERROR(VLOOKUP(TablaOctubre[[#This Row],[BARRIO]],SECTOR!$A:$B,2,0),"")</f>
      </c>
      <c r="S282" s="89"/>
      <c r="T282" s="90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6"/>
      <c r="AZ282" s="120">
        <f>COUNTIF(U282:AY282,"A")</f>
      </c>
      <c r="BA282" s="121">
        <f>COUNTIF(U282:AY282,"F")</f>
      </c>
      <c r="BB282" s="119">
        <f>COUNTIF(U282:AY282,"E")</f>
      </c>
    </row>
    <row r="283" spans="1:54" x14ac:dyDescent="0.2">
      <c r="A283" s="84"/>
      <c r="B283" s="85"/>
      <c r="C283" s="85"/>
      <c r="D283" s="85"/>
      <c r="E283" s="86"/>
      <c r="F283" s="16">
        <f>IF(E283="","",DATEDIF(E283,$I$7,"Y"))</f>
      </c>
      <c r="G283" s="85"/>
      <c r="H283" s="85"/>
      <c r="I283" s="87"/>
      <c r="J283" s="85"/>
      <c r="K283" s="85"/>
      <c r="L283" s="10"/>
      <c r="M283" s="10"/>
      <c r="N283" s="10"/>
      <c r="O283" s="10"/>
      <c r="P283" s="85"/>
      <c r="Q283" s="88"/>
      <c r="R283" s="3">
        <f>IFERROR(VLOOKUP(TablaOctubre[[#This Row],[BARRIO]],SECTOR!$A:$B,2,0),"")</f>
      </c>
      <c r="S283" s="89"/>
      <c r="T283" s="90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6"/>
      <c r="AZ283" s="120">
        <f>COUNTIF(U283:AY283,"A")</f>
      </c>
      <c r="BA283" s="121">
        <f>COUNTIF(U283:AY283,"F")</f>
      </c>
      <c r="BB283" s="119">
        <f>COUNTIF(U283:AY283,"E")</f>
      </c>
    </row>
    <row r="284" spans="1:54" x14ac:dyDescent="0.2">
      <c r="A284" s="84"/>
      <c r="B284" s="85"/>
      <c r="C284" s="85"/>
      <c r="D284" s="85"/>
      <c r="E284" s="86"/>
      <c r="F284" s="16">
        <f>IF(E284="","",DATEDIF(E284,$I$7,"Y"))</f>
      </c>
      <c r="G284" s="85"/>
      <c r="H284" s="85"/>
      <c r="I284" s="87"/>
      <c r="J284" s="85"/>
      <c r="K284" s="85"/>
      <c r="L284" s="10"/>
      <c r="M284" s="10"/>
      <c r="N284" s="10"/>
      <c r="O284" s="10"/>
      <c r="P284" s="85"/>
      <c r="Q284" s="88"/>
      <c r="R284" s="3">
        <f>IFERROR(VLOOKUP(TablaOctubre[[#This Row],[BARRIO]],SECTOR!$A:$B,2,0),"")</f>
      </c>
      <c r="S284" s="89"/>
      <c r="T284" s="90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6"/>
      <c r="AZ284" s="120">
        <f>COUNTIF(U284:AY284,"A")</f>
      </c>
      <c r="BA284" s="121">
        <f>COUNTIF(U284:AY284,"F")</f>
      </c>
      <c r="BB284" s="119">
        <f>COUNTIF(U284:AY284,"E")</f>
      </c>
    </row>
    <row r="285" spans="1:54" x14ac:dyDescent="0.2">
      <c r="A285" s="84"/>
      <c r="B285" s="85"/>
      <c r="C285" s="85"/>
      <c r="D285" s="85"/>
      <c r="E285" s="86"/>
      <c r="F285" s="16">
        <f>IF(E285="","",DATEDIF(E285,$I$7,"Y"))</f>
      </c>
      <c r="G285" s="85"/>
      <c r="H285" s="85"/>
      <c r="I285" s="87"/>
      <c r="J285" s="85"/>
      <c r="K285" s="85"/>
      <c r="L285" s="10"/>
      <c r="M285" s="10"/>
      <c r="N285" s="10"/>
      <c r="O285" s="10"/>
      <c r="P285" s="85"/>
      <c r="Q285" s="88"/>
      <c r="R285" s="3">
        <f>IFERROR(VLOOKUP(TablaOctubre[[#This Row],[BARRIO]],SECTOR!$A:$B,2,0),"")</f>
      </c>
      <c r="S285" s="89"/>
      <c r="T285" s="90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6"/>
      <c r="AZ285" s="120">
        <f>COUNTIF(U285:AY285,"A")</f>
      </c>
      <c r="BA285" s="121">
        <f>COUNTIF(U285:AY285,"F")</f>
      </c>
      <c r="BB285" s="119">
        <f>COUNTIF(U285:AY285,"E")</f>
      </c>
    </row>
    <row r="286" spans="1:54" x14ac:dyDescent="0.2">
      <c r="A286" s="84"/>
      <c r="B286" s="85"/>
      <c r="C286" s="85"/>
      <c r="D286" s="85"/>
      <c r="E286" s="86"/>
      <c r="F286" s="16">
        <f>IF(E286="","",DATEDIF(E286,$I$7,"Y"))</f>
      </c>
      <c r="G286" s="85"/>
      <c r="H286" s="85"/>
      <c r="I286" s="87"/>
      <c r="J286" s="85"/>
      <c r="K286" s="85"/>
      <c r="L286" s="10"/>
      <c r="M286" s="10"/>
      <c r="N286" s="10"/>
      <c r="O286" s="10"/>
      <c r="P286" s="85"/>
      <c r="Q286" s="88"/>
      <c r="R286" s="3">
        <f>IFERROR(VLOOKUP(TablaOctubre[[#This Row],[BARRIO]],SECTOR!$A:$B,2,0),"")</f>
      </c>
      <c r="S286" s="89"/>
      <c r="T286" s="90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6"/>
      <c r="AZ286" s="120">
        <f>COUNTIF(U286:AY286,"A")</f>
      </c>
      <c r="BA286" s="121">
        <f>COUNTIF(U286:AY286,"F")</f>
      </c>
      <c r="BB286" s="119">
        <f>COUNTIF(U286:AY286,"E")</f>
      </c>
    </row>
    <row r="287" spans="1:54" x14ac:dyDescent="0.2">
      <c r="A287" s="84"/>
      <c r="B287" s="85"/>
      <c r="C287" s="85"/>
      <c r="D287" s="85"/>
      <c r="E287" s="86"/>
      <c r="F287" s="16">
        <f>IF(E287="","",DATEDIF(E287,$I$7,"Y"))</f>
      </c>
      <c r="G287" s="85"/>
      <c r="H287" s="85"/>
      <c r="I287" s="87"/>
      <c r="J287" s="85"/>
      <c r="K287" s="85"/>
      <c r="L287" s="10"/>
      <c r="M287" s="10"/>
      <c r="N287" s="10"/>
      <c r="O287" s="10"/>
      <c r="P287" s="85"/>
      <c r="Q287" s="88"/>
      <c r="R287" s="3">
        <f>IFERROR(VLOOKUP(TablaOctubre[[#This Row],[BARRIO]],SECTOR!$A:$B,2,0),"")</f>
      </c>
      <c r="S287" s="89"/>
      <c r="T287" s="90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6"/>
      <c r="AZ287" s="120">
        <f>COUNTIF(U287:AY287,"A")</f>
      </c>
      <c r="BA287" s="121">
        <f>COUNTIF(U287:AY287,"F")</f>
      </c>
      <c r="BB287" s="119">
        <f>COUNTIF(U287:AY287,"E")</f>
      </c>
    </row>
    <row r="288" spans="1:54" x14ac:dyDescent="0.2">
      <c r="A288" s="84"/>
      <c r="B288" s="85"/>
      <c r="C288" s="85"/>
      <c r="D288" s="85"/>
      <c r="E288" s="86"/>
      <c r="F288" s="16">
        <f>IF(E288="","",DATEDIF(E288,$I$7,"Y"))</f>
      </c>
      <c r="G288" s="85"/>
      <c r="H288" s="85"/>
      <c r="I288" s="87"/>
      <c r="J288" s="85"/>
      <c r="K288" s="85"/>
      <c r="L288" s="10"/>
      <c r="M288" s="10"/>
      <c r="N288" s="10"/>
      <c r="O288" s="10"/>
      <c r="P288" s="85"/>
      <c r="Q288" s="88"/>
      <c r="R288" s="3">
        <f>IFERROR(VLOOKUP(TablaOctubre[[#This Row],[BARRIO]],SECTOR!$A:$B,2,0),"")</f>
      </c>
      <c r="S288" s="89"/>
      <c r="T288" s="90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6"/>
      <c r="AZ288" s="120">
        <f>COUNTIF(U288:AY288,"A")</f>
      </c>
      <c r="BA288" s="121">
        <f>COUNTIF(U288:AY288,"F")</f>
      </c>
      <c r="BB288" s="119">
        <f>COUNTIF(U288:AY288,"E")</f>
      </c>
    </row>
    <row r="289" spans="1:54" x14ac:dyDescent="0.2">
      <c r="A289" s="84"/>
      <c r="B289" s="85"/>
      <c r="C289" s="85"/>
      <c r="D289" s="85"/>
      <c r="E289" s="86"/>
      <c r="F289" s="16">
        <f>IF(E289="","",DATEDIF(E289,$I$7,"Y"))</f>
      </c>
      <c r="G289" s="85"/>
      <c r="H289" s="85"/>
      <c r="I289" s="87"/>
      <c r="J289" s="85"/>
      <c r="K289" s="85"/>
      <c r="L289" s="10"/>
      <c r="M289" s="10"/>
      <c r="N289" s="10"/>
      <c r="O289" s="10"/>
      <c r="P289" s="85"/>
      <c r="Q289" s="88"/>
      <c r="R289" s="3">
        <f>IFERROR(VLOOKUP(TablaOctubre[[#This Row],[BARRIO]],SECTOR!$A:$B,2,0),"")</f>
      </c>
      <c r="S289" s="89"/>
      <c r="T289" s="90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6"/>
      <c r="AZ289" s="120">
        <f>COUNTIF(U289:AY289,"A")</f>
      </c>
      <c r="BA289" s="121">
        <f>COUNTIF(U289:AY289,"F")</f>
      </c>
      <c r="BB289" s="119">
        <f>COUNTIF(U289:AY289,"E")</f>
      </c>
    </row>
    <row r="290" spans="1:54" x14ac:dyDescent="0.2">
      <c r="A290" s="84"/>
      <c r="B290" s="85"/>
      <c r="C290" s="85"/>
      <c r="D290" s="85"/>
      <c r="E290" s="86"/>
      <c r="F290" s="16">
        <f>IF(E290="","",DATEDIF(E290,$I$7,"Y"))</f>
      </c>
      <c r="G290" s="85"/>
      <c r="H290" s="85"/>
      <c r="I290" s="87"/>
      <c r="J290" s="85"/>
      <c r="K290" s="85"/>
      <c r="L290" s="10"/>
      <c r="M290" s="10"/>
      <c r="N290" s="10"/>
      <c r="O290" s="10"/>
      <c r="P290" s="85"/>
      <c r="Q290" s="88"/>
      <c r="R290" s="3">
        <f>IFERROR(VLOOKUP(TablaOctubre[[#This Row],[BARRIO]],SECTOR!$A:$B,2,0),"")</f>
      </c>
      <c r="S290" s="89"/>
      <c r="T290" s="90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6"/>
      <c r="AZ290" s="120">
        <f>COUNTIF(U290:AY290,"A")</f>
      </c>
      <c r="BA290" s="121">
        <f>COUNTIF(U290:AY290,"F")</f>
      </c>
      <c r="BB290" s="119">
        <f>COUNTIF(U290:AY290,"E")</f>
      </c>
    </row>
    <row r="291" spans="1:54" x14ac:dyDescent="0.2">
      <c r="A291" s="84"/>
      <c r="B291" s="85"/>
      <c r="C291" s="85"/>
      <c r="D291" s="85"/>
      <c r="E291" s="86"/>
      <c r="F291" s="16">
        <f>IF(E291="","",DATEDIF(E291,$I$7,"Y"))</f>
      </c>
      <c r="G291" s="85"/>
      <c r="H291" s="85"/>
      <c r="I291" s="87"/>
      <c r="J291" s="85"/>
      <c r="K291" s="85"/>
      <c r="L291" s="10"/>
      <c r="M291" s="10"/>
      <c r="N291" s="10"/>
      <c r="O291" s="10"/>
      <c r="P291" s="85"/>
      <c r="Q291" s="88"/>
      <c r="R291" s="3">
        <f>IFERROR(VLOOKUP(TablaOctubre[[#This Row],[BARRIO]],SECTOR!$A:$B,2,0),"")</f>
      </c>
      <c r="S291" s="89"/>
      <c r="T291" s="90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6"/>
      <c r="AZ291" s="120">
        <f>COUNTIF(U291:AY291,"A")</f>
      </c>
      <c r="BA291" s="121">
        <f>COUNTIF(U291:AY291,"F")</f>
      </c>
      <c r="BB291" s="119">
        <f>COUNTIF(U291:AY291,"E")</f>
      </c>
    </row>
    <row r="292" spans="1:54" x14ac:dyDescent="0.2">
      <c r="A292" s="84"/>
      <c r="B292" s="85"/>
      <c r="C292" s="85"/>
      <c r="D292" s="85"/>
      <c r="E292" s="86"/>
      <c r="F292" s="16">
        <f>IF(E292="","",DATEDIF(E292,$I$7,"Y"))</f>
      </c>
      <c r="G292" s="85"/>
      <c r="H292" s="85"/>
      <c r="I292" s="87"/>
      <c r="J292" s="85"/>
      <c r="K292" s="85"/>
      <c r="L292" s="10"/>
      <c r="M292" s="10"/>
      <c r="N292" s="10"/>
      <c r="O292" s="10"/>
      <c r="P292" s="85"/>
      <c r="Q292" s="88"/>
      <c r="R292" s="3">
        <f>IFERROR(VLOOKUP(TablaOctubre[[#This Row],[BARRIO]],SECTOR!$A:$B,2,0),"")</f>
      </c>
      <c r="S292" s="89"/>
      <c r="T292" s="90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6"/>
      <c r="AZ292" s="120">
        <f>COUNTIF(U292:AY292,"A")</f>
      </c>
      <c r="BA292" s="121">
        <f>COUNTIF(U292:AY292,"F")</f>
      </c>
      <c r="BB292" s="119">
        <f>COUNTIF(U292:AY292,"E")</f>
      </c>
    </row>
    <row r="293" spans="1:54" x14ac:dyDescent="0.2">
      <c r="A293" s="84"/>
      <c r="B293" s="85"/>
      <c r="C293" s="85"/>
      <c r="D293" s="85"/>
      <c r="E293" s="86"/>
      <c r="F293" s="16">
        <f>IF(E293="","",DATEDIF(E293,$I$7,"Y"))</f>
      </c>
      <c r="G293" s="85"/>
      <c r="H293" s="85"/>
      <c r="I293" s="87"/>
      <c r="J293" s="85"/>
      <c r="K293" s="85"/>
      <c r="L293" s="10"/>
      <c r="M293" s="10"/>
      <c r="N293" s="10"/>
      <c r="O293" s="10"/>
      <c r="P293" s="85"/>
      <c r="Q293" s="88"/>
      <c r="R293" s="3">
        <f>IFERROR(VLOOKUP(TablaOctubre[[#This Row],[BARRIO]],SECTOR!$A:$B,2,0),"")</f>
      </c>
      <c r="S293" s="89"/>
      <c r="T293" s="90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6"/>
      <c r="AZ293" s="120">
        <f>COUNTIF(U293:AY293,"A")</f>
      </c>
      <c r="BA293" s="121">
        <f>COUNTIF(U293:AY293,"F")</f>
      </c>
      <c r="BB293" s="119">
        <f>COUNTIF(U293:AY293,"E")</f>
      </c>
    </row>
    <row r="294" spans="1:54" x14ac:dyDescent="0.2">
      <c r="A294" s="84"/>
      <c r="B294" s="85"/>
      <c r="C294" s="85"/>
      <c r="D294" s="85"/>
      <c r="E294" s="86"/>
      <c r="F294" s="16">
        <f>IF(E294="","",DATEDIF(E294,$I$7,"Y"))</f>
      </c>
      <c r="G294" s="85"/>
      <c r="H294" s="85"/>
      <c r="I294" s="87"/>
      <c r="J294" s="85"/>
      <c r="K294" s="85"/>
      <c r="L294" s="10"/>
      <c r="M294" s="10"/>
      <c r="N294" s="10"/>
      <c r="O294" s="10"/>
      <c r="P294" s="85"/>
      <c r="Q294" s="88"/>
      <c r="R294" s="3">
        <f>IFERROR(VLOOKUP(TablaOctubre[[#This Row],[BARRIO]],SECTOR!$A:$B,2,0),"")</f>
      </c>
      <c r="S294" s="89"/>
      <c r="T294" s="90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6"/>
      <c r="AZ294" s="120">
        <f>COUNTIF(U294:AY294,"A")</f>
      </c>
      <c r="BA294" s="121">
        <f>COUNTIF(U294:AY294,"F")</f>
      </c>
      <c r="BB294" s="119">
        <f>COUNTIF(U294:AY294,"E")</f>
      </c>
    </row>
    <row r="295" spans="1:54" x14ac:dyDescent="0.2">
      <c r="A295" s="84"/>
      <c r="B295" s="85"/>
      <c r="C295" s="85"/>
      <c r="D295" s="85"/>
      <c r="E295" s="86"/>
      <c r="F295" s="16">
        <f>IF(E295="","",DATEDIF(E295,$I$7,"Y"))</f>
      </c>
      <c r="G295" s="85"/>
      <c r="H295" s="85"/>
      <c r="I295" s="87"/>
      <c r="J295" s="85"/>
      <c r="K295" s="85"/>
      <c r="L295" s="10"/>
      <c r="M295" s="10"/>
      <c r="N295" s="10"/>
      <c r="O295" s="10"/>
      <c r="P295" s="85"/>
      <c r="Q295" s="88"/>
      <c r="R295" s="3">
        <f>IFERROR(VLOOKUP(TablaOctubre[[#This Row],[BARRIO]],SECTOR!$A:$B,2,0),"")</f>
      </c>
      <c r="S295" s="89"/>
      <c r="T295" s="90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6"/>
      <c r="AZ295" s="120">
        <f>COUNTIF(U295:AY295,"A")</f>
      </c>
      <c r="BA295" s="121">
        <f>COUNTIF(U295:AY295,"F")</f>
      </c>
      <c r="BB295" s="119">
        <f>COUNTIF(U295:AY295,"E")</f>
      </c>
    </row>
    <row r="296" spans="1:54" x14ac:dyDescent="0.2">
      <c r="A296" s="84"/>
      <c r="B296" s="85"/>
      <c r="C296" s="85"/>
      <c r="D296" s="85"/>
      <c r="E296" s="86"/>
      <c r="F296" s="16">
        <f>IF(E296="","",DATEDIF(E296,$I$7,"Y"))</f>
      </c>
      <c r="G296" s="85"/>
      <c r="H296" s="85"/>
      <c r="I296" s="87"/>
      <c r="J296" s="85"/>
      <c r="K296" s="85"/>
      <c r="L296" s="10"/>
      <c r="M296" s="10"/>
      <c r="N296" s="10"/>
      <c r="O296" s="10"/>
      <c r="P296" s="85"/>
      <c r="Q296" s="88"/>
      <c r="R296" s="3">
        <f>IFERROR(VLOOKUP(TablaOctubre[[#This Row],[BARRIO]],SECTOR!$A:$B,2,0),"")</f>
      </c>
      <c r="S296" s="89"/>
      <c r="T296" s="90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6"/>
      <c r="AZ296" s="120">
        <f>COUNTIF(U296:AY296,"A")</f>
      </c>
      <c r="BA296" s="121">
        <f>COUNTIF(U296:AY296,"F")</f>
      </c>
      <c r="BB296" s="119">
        <f>COUNTIF(U296:AY296,"E")</f>
      </c>
    </row>
    <row r="297" spans="1:54" x14ac:dyDescent="0.2">
      <c r="A297" s="84"/>
      <c r="B297" s="85"/>
      <c r="C297" s="85"/>
      <c r="D297" s="85"/>
      <c r="E297" s="86"/>
      <c r="F297" s="16">
        <f>IF(E297="","",DATEDIF(E297,$I$7,"Y"))</f>
      </c>
      <c r="G297" s="85"/>
      <c r="H297" s="85"/>
      <c r="I297" s="87"/>
      <c r="J297" s="85"/>
      <c r="K297" s="85"/>
      <c r="L297" s="10"/>
      <c r="M297" s="10"/>
      <c r="N297" s="10"/>
      <c r="O297" s="10"/>
      <c r="P297" s="85"/>
      <c r="Q297" s="88"/>
      <c r="R297" s="3">
        <f>IFERROR(VLOOKUP(TablaOctubre[[#This Row],[BARRIO]],SECTOR!$A:$B,2,0),"")</f>
      </c>
      <c r="S297" s="89"/>
      <c r="T297" s="90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6"/>
      <c r="AZ297" s="120">
        <f>COUNTIF(U297:AY297,"A")</f>
      </c>
      <c r="BA297" s="121">
        <f>COUNTIF(U297:AY297,"F")</f>
      </c>
      <c r="BB297" s="119">
        <f>COUNTIF(U297:AY297,"E")</f>
      </c>
    </row>
    <row r="298" spans="1:54" x14ac:dyDescent="0.2">
      <c r="A298" s="84"/>
      <c r="B298" s="85"/>
      <c r="C298" s="85"/>
      <c r="D298" s="85"/>
      <c r="E298" s="86"/>
      <c r="F298" s="16">
        <f>IF(E298="","",DATEDIF(E298,$I$7,"Y"))</f>
      </c>
      <c r="G298" s="85"/>
      <c r="H298" s="85"/>
      <c r="I298" s="87"/>
      <c r="J298" s="85"/>
      <c r="K298" s="85"/>
      <c r="L298" s="10"/>
      <c r="M298" s="10"/>
      <c r="N298" s="10"/>
      <c r="O298" s="10"/>
      <c r="P298" s="85"/>
      <c r="Q298" s="88"/>
      <c r="R298" s="3">
        <f>IFERROR(VLOOKUP(TablaOctubre[[#This Row],[BARRIO]],SECTOR!$A:$B,2,0),"")</f>
      </c>
      <c r="S298" s="89"/>
      <c r="T298" s="90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6"/>
      <c r="AZ298" s="120">
        <f>COUNTIF(U298:AY298,"A")</f>
      </c>
      <c r="BA298" s="121">
        <f>COUNTIF(U298:AY298,"F")</f>
      </c>
      <c r="BB298" s="119">
        <f>COUNTIF(U298:AY298,"E")</f>
      </c>
    </row>
    <row r="299" spans="1:54" x14ac:dyDescent="0.2">
      <c r="A299" s="84"/>
      <c r="B299" s="85"/>
      <c r="C299" s="85"/>
      <c r="D299" s="85"/>
      <c r="E299" s="86"/>
      <c r="F299" s="16">
        <f>IF(E299="","",DATEDIF(E299,$I$7,"Y"))</f>
      </c>
      <c r="G299" s="85"/>
      <c r="H299" s="85"/>
      <c r="I299" s="87"/>
      <c r="J299" s="85"/>
      <c r="K299" s="85"/>
      <c r="L299" s="10"/>
      <c r="M299" s="10"/>
      <c r="N299" s="10"/>
      <c r="O299" s="10"/>
      <c r="P299" s="85"/>
      <c r="Q299" s="88"/>
      <c r="R299" s="3">
        <f>IFERROR(VLOOKUP(TablaOctubre[[#This Row],[BARRIO]],SECTOR!$A:$B,2,0),"")</f>
      </c>
      <c r="S299" s="89"/>
      <c r="T299" s="90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6"/>
      <c r="AZ299" s="120">
        <f>COUNTIF(U299:AY299,"A")</f>
      </c>
      <c r="BA299" s="121">
        <f>COUNTIF(U299:AY299,"F")</f>
      </c>
      <c r="BB299" s="119">
        <f>COUNTIF(U299:AY299,"E")</f>
      </c>
    </row>
    <row r="300" spans="1:54" x14ac:dyDescent="0.2">
      <c r="A300" s="84"/>
      <c r="B300" s="85"/>
      <c r="C300" s="85"/>
      <c r="D300" s="85"/>
      <c r="E300" s="86"/>
      <c r="F300" s="16">
        <f>IF(E300="","",DATEDIF(E300,$I$7,"Y"))</f>
      </c>
      <c r="G300" s="85"/>
      <c r="H300" s="85"/>
      <c r="I300" s="87"/>
      <c r="J300" s="85"/>
      <c r="K300" s="85"/>
      <c r="L300" s="10"/>
      <c r="M300" s="10"/>
      <c r="N300" s="10"/>
      <c r="O300" s="10"/>
      <c r="P300" s="85"/>
      <c r="Q300" s="88"/>
      <c r="R300" s="3">
        <f>IFERROR(VLOOKUP(TablaOctubre[[#This Row],[BARRIO]],SECTOR!$A:$B,2,0),"")</f>
      </c>
      <c r="S300" s="89"/>
      <c r="T300" s="90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6"/>
      <c r="AZ300" s="120">
        <f>COUNTIF(U300:AY300,"A")</f>
      </c>
      <c r="BA300" s="121">
        <f>COUNTIF(U300:AY300,"F")</f>
      </c>
      <c r="BB300" s="119">
        <f>COUNTIF(U300:AY300,"E")</f>
      </c>
    </row>
    <row r="301" spans="1:54" x14ac:dyDescent="0.2">
      <c r="A301" s="84"/>
      <c r="B301" s="85"/>
      <c r="C301" s="85"/>
      <c r="D301" s="85"/>
      <c r="E301" s="86"/>
      <c r="F301" s="16">
        <f>IF(E301="","",DATEDIF(E301,$I$7,"Y"))</f>
      </c>
      <c r="G301" s="85"/>
      <c r="H301" s="85"/>
      <c r="I301" s="87"/>
      <c r="J301" s="85"/>
      <c r="K301" s="85"/>
      <c r="L301" s="10"/>
      <c r="M301" s="10"/>
      <c r="N301" s="10"/>
      <c r="O301" s="10"/>
      <c r="P301" s="85"/>
      <c r="Q301" s="88"/>
      <c r="R301" s="3">
        <f>IFERROR(VLOOKUP(TablaOctubre[[#This Row],[BARRIO]],SECTOR!$A:$B,2,0),"")</f>
      </c>
      <c r="S301" s="89"/>
      <c r="T301" s="90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6"/>
      <c r="AZ301" s="120">
        <f>COUNTIF(U301:AY301,"A")</f>
      </c>
      <c r="BA301" s="121">
        <f>COUNTIF(U301:AY301,"F")</f>
      </c>
      <c r="BB301" s="119">
        <f>COUNTIF(U301:AY301,"E")</f>
      </c>
    </row>
    <row r="302" spans="1:54" x14ac:dyDescent="0.2">
      <c r="A302" s="84"/>
      <c r="B302" s="85"/>
      <c r="C302" s="85"/>
      <c r="D302" s="85"/>
      <c r="E302" s="86"/>
      <c r="F302" s="16">
        <f>IF(E302="","",DATEDIF(E302,$I$7,"Y"))</f>
      </c>
      <c r="G302" s="85"/>
      <c r="H302" s="85"/>
      <c r="I302" s="87"/>
      <c r="J302" s="85"/>
      <c r="K302" s="85"/>
      <c r="L302" s="10"/>
      <c r="M302" s="10"/>
      <c r="N302" s="10"/>
      <c r="O302" s="10"/>
      <c r="P302" s="85"/>
      <c r="Q302" s="88"/>
      <c r="R302" s="3">
        <f>IFERROR(VLOOKUP(TablaOctubre[[#This Row],[BARRIO]],SECTOR!$A:$B,2,0),"")</f>
      </c>
      <c r="S302" s="89"/>
      <c r="T302" s="90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6"/>
      <c r="AZ302" s="120">
        <f>COUNTIF(U302:AY302,"A")</f>
      </c>
      <c r="BA302" s="121">
        <f>COUNTIF(U302:AY302,"F")</f>
      </c>
      <c r="BB302" s="119">
        <f>COUNTIF(U302:AY302,"E")</f>
      </c>
    </row>
    <row r="303" spans="1:54" x14ac:dyDescent="0.2">
      <c r="A303" s="84"/>
      <c r="B303" s="85"/>
      <c r="C303" s="85"/>
      <c r="D303" s="85"/>
      <c r="E303" s="86"/>
      <c r="F303" s="16">
        <f>IF(E303="","",DATEDIF(E303,$I$7,"Y"))</f>
      </c>
      <c r="G303" s="85"/>
      <c r="H303" s="85"/>
      <c r="I303" s="87"/>
      <c r="J303" s="85"/>
      <c r="K303" s="85"/>
      <c r="L303" s="10"/>
      <c r="M303" s="10"/>
      <c r="N303" s="10"/>
      <c r="O303" s="10"/>
      <c r="P303" s="85"/>
      <c r="Q303" s="88"/>
      <c r="R303" s="3">
        <f>IFERROR(VLOOKUP(TablaOctubre[[#This Row],[BARRIO]],SECTOR!$A:$B,2,0),"")</f>
      </c>
      <c r="S303" s="89"/>
      <c r="T303" s="90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6"/>
      <c r="AZ303" s="120">
        <f>COUNTIF(U303:AY303,"A")</f>
      </c>
      <c r="BA303" s="121">
        <f>COUNTIF(U303:AY303,"F")</f>
      </c>
      <c r="BB303" s="119">
        <f>COUNTIF(U303:AY303,"E")</f>
      </c>
    </row>
    <row r="304" spans="1:54" x14ac:dyDescent="0.2">
      <c r="A304" s="84"/>
      <c r="B304" s="85"/>
      <c r="C304" s="85"/>
      <c r="D304" s="85"/>
      <c r="E304" s="86"/>
      <c r="F304" s="16">
        <f>IF(E304="","",DATEDIF(E304,$I$7,"Y"))</f>
      </c>
      <c r="G304" s="85"/>
      <c r="H304" s="85"/>
      <c r="I304" s="87"/>
      <c r="J304" s="85"/>
      <c r="K304" s="85"/>
      <c r="L304" s="10"/>
      <c r="M304" s="10"/>
      <c r="N304" s="10"/>
      <c r="O304" s="10"/>
      <c r="P304" s="85"/>
      <c r="Q304" s="88"/>
      <c r="R304" s="3">
        <f>IFERROR(VLOOKUP(TablaOctubre[[#This Row],[BARRIO]],SECTOR!$A:$B,2,0),"")</f>
      </c>
      <c r="S304" s="89"/>
      <c r="T304" s="90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6"/>
      <c r="AZ304" s="120">
        <f>COUNTIF(U304:AY304,"A")</f>
      </c>
      <c r="BA304" s="121">
        <f>COUNTIF(U304:AY304,"F")</f>
      </c>
      <c r="BB304" s="119">
        <f>COUNTIF(U304:AY304,"E")</f>
      </c>
    </row>
    <row r="305" spans="1:54" x14ac:dyDescent="0.2">
      <c r="A305" s="84"/>
      <c r="B305" s="85"/>
      <c r="C305" s="85"/>
      <c r="D305" s="85"/>
      <c r="E305" s="86"/>
      <c r="F305" s="16">
        <f>IF(E305="","",DATEDIF(E305,$I$7,"Y"))</f>
      </c>
      <c r="G305" s="85"/>
      <c r="H305" s="85"/>
      <c r="I305" s="87"/>
      <c r="J305" s="85"/>
      <c r="K305" s="85"/>
      <c r="L305" s="10"/>
      <c r="M305" s="10"/>
      <c r="N305" s="10"/>
      <c r="O305" s="10"/>
      <c r="P305" s="85"/>
      <c r="Q305" s="88"/>
      <c r="R305" s="3">
        <f>IFERROR(VLOOKUP(TablaOctubre[[#This Row],[BARRIO]],SECTOR!$A:$B,2,0),"")</f>
      </c>
      <c r="S305" s="89"/>
      <c r="T305" s="90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6"/>
      <c r="AZ305" s="120">
        <f>COUNTIF(U305:AY305,"A")</f>
      </c>
      <c r="BA305" s="121">
        <f>COUNTIF(U305:AY305,"F")</f>
      </c>
      <c r="BB305" s="119">
        <f>COUNTIF(U305:AY305,"E")</f>
      </c>
    </row>
    <row r="306" spans="1:54" x14ac:dyDescent="0.2">
      <c r="A306" s="84"/>
      <c r="B306" s="85"/>
      <c r="C306" s="85"/>
      <c r="D306" s="85"/>
      <c r="E306" s="86"/>
      <c r="F306" s="16">
        <f>IF(E306="","",DATEDIF(E306,$I$7,"Y"))</f>
      </c>
      <c r="G306" s="85"/>
      <c r="H306" s="85"/>
      <c r="I306" s="87"/>
      <c r="J306" s="85"/>
      <c r="K306" s="85"/>
      <c r="L306" s="10"/>
      <c r="M306" s="10"/>
      <c r="N306" s="10"/>
      <c r="O306" s="10"/>
      <c r="P306" s="85"/>
      <c r="Q306" s="88"/>
      <c r="R306" s="3">
        <f>IFERROR(VLOOKUP(TablaOctubre[[#This Row],[BARRIO]],SECTOR!$A:$B,2,0),"")</f>
      </c>
      <c r="S306" s="89"/>
      <c r="T306" s="90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6"/>
      <c r="AZ306" s="120">
        <f>COUNTIF(U306:AY306,"A")</f>
      </c>
      <c r="BA306" s="121">
        <f>COUNTIF(U306:AY306,"F")</f>
      </c>
      <c r="BB306" s="119">
        <f>COUNTIF(U306:AY306,"E")</f>
      </c>
    </row>
    <row r="307" spans="1:54" x14ac:dyDescent="0.2">
      <c r="A307" s="84"/>
      <c r="B307" s="85"/>
      <c r="C307" s="85"/>
      <c r="D307" s="85"/>
      <c r="E307" s="86"/>
      <c r="F307" s="16">
        <f>IF(E307="","",DATEDIF(E307,$I$7,"Y"))</f>
      </c>
      <c r="G307" s="85"/>
      <c r="H307" s="85"/>
      <c r="I307" s="87"/>
      <c r="J307" s="85"/>
      <c r="K307" s="85"/>
      <c r="L307" s="10"/>
      <c r="M307" s="10"/>
      <c r="N307" s="10"/>
      <c r="O307" s="10"/>
      <c r="P307" s="85"/>
      <c r="Q307" s="88"/>
      <c r="R307" s="3">
        <f>IFERROR(VLOOKUP(TablaOctubre[[#This Row],[BARRIO]],SECTOR!$A:$B,2,0),"")</f>
      </c>
      <c r="S307" s="89"/>
      <c r="T307" s="90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6"/>
      <c r="AZ307" s="120">
        <f>COUNTIF(U307:AY307,"A")</f>
      </c>
      <c r="BA307" s="121">
        <f>COUNTIF(U307:AY307,"F")</f>
      </c>
      <c r="BB307" s="119">
        <f>COUNTIF(U307:AY307,"E")</f>
      </c>
    </row>
    <row r="308" spans="1:54" x14ac:dyDescent="0.2">
      <c r="A308" s="84"/>
      <c r="B308" s="85"/>
      <c r="C308" s="85"/>
      <c r="D308" s="85"/>
      <c r="E308" s="86"/>
      <c r="F308" s="16">
        <f>IF(E308="","",DATEDIF(E308,$I$7,"Y"))</f>
      </c>
      <c r="G308" s="85"/>
      <c r="H308" s="85"/>
      <c r="I308" s="87"/>
      <c r="J308" s="85"/>
      <c r="K308" s="85"/>
      <c r="L308" s="10"/>
      <c r="M308" s="10"/>
      <c r="N308" s="10"/>
      <c r="O308" s="10"/>
      <c r="P308" s="85"/>
      <c r="Q308" s="88"/>
      <c r="R308" s="3">
        <f>IFERROR(VLOOKUP(TablaOctubre[[#This Row],[BARRIO]],SECTOR!$A:$B,2,0),"")</f>
      </c>
      <c r="S308" s="89"/>
      <c r="T308" s="90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6"/>
      <c r="AZ308" s="120">
        <f>COUNTIF(U308:AY308,"A")</f>
      </c>
      <c r="BA308" s="121">
        <f>COUNTIF(U308:AY308,"F")</f>
      </c>
      <c r="BB308" s="119">
        <f>COUNTIF(U308:AY308,"E")</f>
      </c>
    </row>
    <row r="309" spans="1:54" x14ac:dyDescent="0.2">
      <c r="A309" s="84"/>
      <c r="B309" s="85"/>
      <c r="C309" s="85"/>
      <c r="D309" s="85"/>
      <c r="E309" s="86"/>
      <c r="F309" s="16">
        <f>IF(E309="","",DATEDIF(E309,$I$7,"Y"))</f>
      </c>
      <c r="G309" s="85"/>
      <c r="H309" s="85"/>
      <c r="I309" s="87"/>
      <c r="J309" s="85"/>
      <c r="K309" s="85"/>
      <c r="L309" s="10"/>
      <c r="M309" s="10"/>
      <c r="N309" s="10"/>
      <c r="O309" s="10"/>
      <c r="P309" s="85"/>
      <c r="Q309" s="88"/>
      <c r="R309" s="3">
        <f>IFERROR(VLOOKUP(TablaOctubre[[#This Row],[BARRIO]],SECTOR!$A:$B,2,0),"")</f>
      </c>
      <c r="S309" s="89"/>
      <c r="T309" s="90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6"/>
      <c r="AZ309" s="120">
        <f>COUNTIF(U309:AY309,"A")</f>
      </c>
      <c r="BA309" s="121">
        <f>COUNTIF(U309:AY309,"F")</f>
      </c>
      <c r="BB309" s="119">
        <f>COUNTIF(U309:AY309,"E")</f>
      </c>
    </row>
    <row r="310" spans="1:54" x14ac:dyDescent="0.2">
      <c r="A310" s="84"/>
      <c r="B310" s="85"/>
      <c r="C310" s="85"/>
      <c r="D310" s="85"/>
      <c r="E310" s="86"/>
      <c r="F310" s="16">
        <f>IF(E310="","",DATEDIF(E310,$I$7,"Y"))</f>
      </c>
      <c r="G310" s="85"/>
      <c r="H310" s="85"/>
      <c r="I310" s="87"/>
      <c r="J310" s="85"/>
      <c r="K310" s="85"/>
      <c r="L310" s="10"/>
      <c r="M310" s="10"/>
      <c r="N310" s="10"/>
      <c r="O310" s="10"/>
      <c r="P310" s="85"/>
      <c r="Q310" s="88"/>
      <c r="R310" s="3">
        <f>IFERROR(VLOOKUP(TablaOctubre[[#This Row],[BARRIO]],SECTOR!$A:$B,2,0),"")</f>
      </c>
      <c r="S310" s="89"/>
      <c r="T310" s="90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6"/>
      <c r="AZ310" s="120">
        <f>COUNTIF(U310:AY310,"A")</f>
      </c>
      <c r="BA310" s="121">
        <f>COUNTIF(U310:AY310,"F")</f>
      </c>
      <c r="BB310" s="119">
        <f>COUNTIF(U310:AY310,"E")</f>
      </c>
    </row>
    <row r="311" spans="1:54" x14ac:dyDescent="0.2">
      <c r="A311" s="84"/>
      <c r="B311" s="85"/>
      <c r="C311" s="85"/>
      <c r="D311" s="85"/>
      <c r="E311" s="86"/>
      <c r="F311" s="16">
        <f>IF(E311="","",DATEDIF(E311,$I$7,"Y"))</f>
      </c>
      <c r="G311" s="85"/>
      <c r="H311" s="85"/>
      <c r="I311" s="87"/>
      <c r="J311" s="85"/>
      <c r="K311" s="85"/>
      <c r="L311" s="10"/>
      <c r="M311" s="10"/>
      <c r="N311" s="10"/>
      <c r="O311" s="10"/>
      <c r="P311" s="85"/>
      <c r="Q311" s="88"/>
      <c r="R311" s="3">
        <f>IFERROR(VLOOKUP(TablaOctubre[[#This Row],[BARRIO]],SECTOR!$A:$B,2,0),"")</f>
      </c>
      <c r="S311" s="89"/>
      <c r="T311" s="90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6"/>
      <c r="AZ311" s="120">
        <f>COUNTIF(U311:AY311,"A")</f>
      </c>
      <c r="BA311" s="121">
        <f>COUNTIF(U311:AY311,"F")</f>
      </c>
      <c r="BB311" s="119">
        <f>COUNTIF(U311:AY311,"E")</f>
      </c>
    </row>
    <row r="312" spans="1:54" x14ac:dyDescent="0.2">
      <c r="A312" s="84"/>
      <c r="B312" s="85"/>
      <c r="C312" s="85"/>
      <c r="D312" s="85"/>
      <c r="E312" s="86"/>
      <c r="F312" s="16">
        <f>IF(E312="","",DATEDIF(E312,$I$7,"Y"))</f>
      </c>
      <c r="G312" s="85"/>
      <c r="H312" s="85"/>
      <c r="I312" s="87"/>
      <c r="J312" s="85"/>
      <c r="K312" s="85"/>
      <c r="L312" s="10"/>
      <c r="M312" s="10"/>
      <c r="N312" s="10"/>
      <c r="O312" s="10"/>
      <c r="P312" s="85"/>
      <c r="Q312" s="88"/>
      <c r="R312" s="3">
        <f>IFERROR(VLOOKUP(TablaOctubre[[#This Row],[BARRIO]],SECTOR!$A:$B,2,0),"")</f>
      </c>
      <c r="S312" s="89"/>
      <c r="T312" s="90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6"/>
      <c r="AZ312" s="120">
        <f>COUNTIF(U312:AY312,"A")</f>
      </c>
      <c r="BA312" s="121">
        <f>COUNTIF(U312:AY312,"F")</f>
      </c>
      <c r="BB312" s="119">
        <f>COUNTIF(U312:AY312,"E")</f>
      </c>
    </row>
    <row r="313" spans="1:54" x14ac:dyDescent="0.2">
      <c r="A313" s="84"/>
      <c r="B313" s="85"/>
      <c r="C313" s="85"/>
      <c r="D313" s="85"/>
      <c r="E313" s="86"/>
      <c r="F313" s="16">
        <f>IF(E313="","",DATEDIF(E313,$I$7,"Y"))</f>
      </c>
      <c r="G313" s="85"/>
      <c r="H313" s="85"/>
      <c r="I313" s="87"/>
      <c r="J313" s="85"/>
      <c r="K313" s="85"/>
      <c r="L313" s="10"/>
      <c r="M313" s="10"/>
      <c r="N313" s="10"/>
      <c r="O313" s="10"/>
      <c r="P313" s="85"/>
      <c r="Q313" s="88"/>
      <c r="R313" s="3">
        <f>IFERROR(VLOOKUP(TablaOctubre[[#This Row],[BARRIO]],SECTOR!$A:$B,2,0),"")</f>
      </c>
      <c r="S313" s="89"/>
      <c r="T313" s="90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6"/>
      <c r="AZ313" s="120">
        <f>COUNTIF(U313:AY313,"A")</f>
      </c>
      <c r="BA313" s="121">
        <f>COUNTIF(U313:AY313,"F")</f>
      </c>
      <c r="BB313" s="119">
        <f>COUNTIF(U313:AY313,"E")</f>
      </c>
    </row>
    <row r="314" spans="1:54" x14ac:dyDescent="0.2">
      <c r="A314" s="84"/>
      <c r="B314" s="85"/>
      <c r="C314" s="85"/>
      <c r="D314" s="85"/>
      <c r="E314" s="86"/>
      <c r="F314" s="16">
        <f>IF(E314="","",DATEDIF(E314,$I$7,"Y"))</f>
      </c>
      <c r="G314" s="85"/>
      <c r="H314" s="85"/>
      <c r="I314" s="87"/>
      <c r="J314" s="85"/>
      <c r="K314" s="85"/>
      <c r="L314" s="10"/>
      <c r="M314" s="10"/>
      <c r="N314" s="10"/>
      <c r="O314" s="10"/>
      <c r="P314" s="85"/>
      <c r="Q314" s="88"/>
      <c r="R314" s="3">
        <f>IFERROR(VLOOKUP(TablaOctubre[[#This Row],[BARRIO]],SECTOR!$A:$B,2,0),"")</f>
      </c>
      <c r="S314" s="89"/>
      <c r="T314" s="90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6"/>
      <c r="AZ314" s="120">
        <f>COUNTIF(U314:AY314,"A")</f>
      </c>
      <c r="BA314" s="121">
        <f>COUNTIF(U314:AY314,"F")</f>
      </c>
      <c r="BB314" s="119">
        <f>COUNTIF(U314:AY314,"E")</f>
      </c>
    </row>
    <row r="315" spans="1:54" x14ac:dyDescent="0.2">
      <c r="A315" s="84"/>
      <c r="B315" s="85"/>
      <c r="C315" s="85"/>
      <c r="D315" s="85"/>
      <c r="E315" s="86"/>
      <c r="F315" s="16">
        <f>IF(E315="","",DATEDIF(E315,$I$7,"Y"))</f>
      </c>
      <c r="G315" s="85"/>
      <c r="H315" s="85"/>
      <c r="I315" s="87"/>
      <c r="J315" s="85"/>
      <c r="K315" s="85"/>
      <c r="L315" s="10"/>
      <c r="M315" s="10"/>
      <c r="N315" s="10"/>
      <c r="O315" s="10"/>
      <c r="P315" s="85"/>
      <c r="Q315" s="88"/>
      <c r="R315" s="3">
        <f>IFERROR(VLOOKUP(TablaOctubre[[#This Row],[BARRIO]],SECTOR!$A:$B,2,0),"")</f>
      </c>
      <c r="S315" s="89"/>
      <c r="T315" s="90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6"/>
      <c r="AZ315" s="120">
        <f>COUNTIF(U315:AY315,"A")</f>
      </c>
      <c r="BA315" s="121">
        <f>COUNTIF(U315:AY315,"F")</f>
      </c>
      <c r="BB315" s="119">
        <f>COUNTIF(U315:AY315,"E")</f>
      </c>
    </row>
    <row r="316" spans="1:54" x14ac:dyDescent="0.2">
      <c r="A316" s="84"/>
      <c r="B316" s="85"/>
      <c r="C316" s="85"/>
      <c r="D316" s="85"/>
      <c r="E316" s="86"/>
      <c r="F316" s="16">
        <f>IF(E316="","",DATEDIF(E316,$I$7,"Y"))</f>
      </c>
      <c r="G316" s="85"/>
      <c r="H316" s="85"/>
      <c r="I316" s="87"/>
      <c r="J316" s="85"/>
      <c r="K316" s="85"/>
      <c r="L316" s="10"/>
      <c r="M316" s="10"/>
      <c r="N316" s="10"/>
      <c r="O316" s="10"/>
      <c r="P316" s="85"/>
      <c r="Q316" s="88"/>
      <c r="R316" s="3">
        <f>IFERROR(VLOOKUP(TablaOctubre[[#This Row],[BARRIO]],SECTOR!$A:$B,2,0),"")</f>
      </c>
      <c r="S316" s="89"/>
      <c r="T316" s="90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6"/>
      <c r="AZ316" s="120">
        <f>COUNTIF(U316:AY316,"A")</f>
      </c>
      <c r="BA316" s="121">
        <f>COUNTIF(U316:AY316,"F")</f>
      </c>
      <c r="BB316" s="119">
        <f>COUNTIF(U316:AY316,"E")</f>
      </c>
    </row>
    <row r="317" spans="1:54" x14ac:dyDescent="0.2">
      <c r="A317" s="84"/>
      <c r="B317" s="85"/>
      <c r="C317" s="85"/>
      <c r="D317" s="85"/>
      <c r="E317" s="86"/>
      <c r="F317" s="16">
        <f>IF(E317="","",DATEDIF(E317,$I$7,"Y"))</f>
      </c>
      <c r="G317" s="85"/>
      <c r="H317" s="85"/>
      <c r="I317" s="87"/>
      <c r="J317" s="85"/>
      <c r="K317" s="85"/>
      <c r="L317" s="10"/>
      <c r="M317" s="10"/>
      <c r="N317" s="10"/>
      <c r="O317" s="10"/>
      <c r="P317" s="85"/>
      <c r="Q317" s="88"/>
      <c r="R317" s="3">
        <f>IFERROR(VLOOKUP(TablaOctubre[[#This Row],[BARRIO]],SECTOR!$A:$B,2,0),"")</f>
      </c>
      <c r="S317" s="89"/>
      <c r="T317" s="90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6"/>
      <c r="AZ317" s="120">
        <f>COUNTIF(U317:AY317,"A")</f>
      </c>
      <c r="BA317" s="121">
        <f>COUNTIF(U317:AY317,"F")</f>
      </c>
      <c r="BB317" s="119">
        <f>COUNTIF(U317:AY317,"E")</f>
      </c>
    </row>
    <row r="318" spans="1:54" x14ac:dyDescent="0.2">
      <c r="A318" s="84"/>
      <c r="B318" s="85"/>
      <c r="C318" s="85"/>
      <c r="D318" s="85"/>
      <c r="E318" s="86"/>
      <c r="F318" s="16">
        <f>IF(E318="","",DATEDIF(E318,$I$7,"Y"))</f>
      </c>
      <c r="G318" s="85"/>
      <c r="H318" s="85"/>
      <c r="I318" s="87"/>
      <c r="J318" s="85"/>
      <c r="K318" s="85"/>
      <c r="L318" s="10"/>
      <c r="M318" s="10"/>
      <c r="N318" s="10"/>
      <c r="O318" s="10"/>
      <c r="P318" s="85"/>
      <c r="Q318" s="88"/>
      <c r="R318" s="3">
        <f>IFERROR(VLOOKUP(TablaOctubre[[#This Row],[BARRIO]],SECTOR!$A:$B,2,0),"")</f>
      </c>
      <c r="S318" s="89"/>
      <c r="T318" s="90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6"/>
      <c r="AZ318" s="120">
        <f>COUNTIF(U318:AY318,"A")</f>
      </c>
      <c r="BA318" s="121">
        <f>COUNTIF(U318:AY318,"F")</f>
      </c>
      <c r="BB318" s="119">
        <f>COUNTIF(U318:AY318,"E")</f>
      </c>
    </row>
    <row r="319" spans="1:54" x14ac:dyDescent="0.2">
      <c r="A319" s="84"/>
      <c r="B319" s="85"/>
      <c r="C319" s="85"/>
      <c r="D319" s="85"/>
      <c r="E319" s="86"/>
      <c r="F319" s="16">
        <f>IF(E319="","",DATEDIF(E319,$I$7,"Y"))</f>
      </c>
      <c r="G319" s="85"/>
      <c r="H319" s="85"/>
      <c r="I319" s="87"/>
      <c r="J319" s="85"/>
      <c r="K319" s="85"/>
      <c r="L319" s="10"/>
      <c r="M319" s="10"/>
      <c r="N319" s="10"/>
      <c r="O319" s="10"/>
      <c r="P319" s="85"/>
      <c r="Q319" s="88"/>
      <c r="R319" s="3">
        <f>IFERROR(VLOOKUP(TablaOctubre[[#This Row],[BARRIO]],SECTOR!$A:$B,2,0),"")</f>
      </c>
      <c r="S319" s="89"/>
      <c r="T319" s="90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6"/>
      <c r="AZ319" s="120">
        <f>COUNTIF(U319:AY319,"A")</f>
      </c>
      <c r="BA319" s="121">
        <f>COUNTIF(U319:AY319,"F")</f>
      </c>
      <c r="BB319" s="119">
        <f>COUNTIF(U319:AY319,"E")</f>
      </c>
    </row>
    <row r="320" spans="1:54" x14ac:dyDescent="0.2">
      <c r="A320" s="84"/>
      <c r="B320" s="85"/>
      <c r="C320" s="85"/>
      <c r="D320" s="85"/>
      <c r="E320" s="86"/>
      <c r="F320" s="16">
        <f>IF(E320="","",DATEDIF(E320,$I$7,"Y"))</f>
      </c>
      <c r="G320" s="85"/>
      <c r="H320" s="85"/>
      <c r="I320" s="87"/>
      <c r="J320" s="85"/>
      <c r="K320" s="85"/>
      <c r="L320" s="10"/>
      <c r="M320" s="10"/>
      <c r="N320" s="10"/>
      <c r="O320" s="10"/>
      <c r="P320" s="85"/>
      <c r="Q320" s="88"/>
      <c r="R320" s="3">
        <f>IFERROR(VLOOKUP(TablaOctubre[[#This Row],[BARRIO]],SECTOR!$A:$B,2,0),"")</f>
      </c>
      <c r="S320" s="89"/>
      <c r="T320" s="90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6"/>
      <c r="AZ320" s="120">
        <f>COUNTIF(U320:AY320,"A")</f>
      </c>
      <c r="BA320" s="121">
        <f>COUNTIF(U320:AY320,"F")</f>
      </c>
      <c r="BB320" s="119">
        <f>COUNTIF(U320:AY320,"E")</f>
      </c>
    </row>
    <row r="321" spans="1:54" x14ac:dyDescent="0.2">
      <c r="A321" s="84"/>
      <c r="B321" s="85"/>
      <c r="C321" s="85"/>
      <c r="D321" s="85"/>
      <c r="E321" s="86"/>
      <c r="F321" s="16">
        <f>IF(E321="","",DATEDIF(E321,$I$7,"Y"))</f>
      </c>
      <c r="G321" s="85"/>
      <c r="H321" s="85"/>
      <c r="I321" s="87"/>
      <c r="J321" s="85"/>
      <c r="K321" s="85"/>
      <c r="L321" s="10"/>
      <c r="M321" s="10"/>
      <c r="N321" s="10"/>
      <c r="O321" s="10"/>
      <c r="P321" s="85"/>
      <c r="Q321" s="88"/>
      <c r="R321" s="3">
        <f>IFERROR(VLOOKUP(TablaOctubre[[#This Row],[BARRIO]],SECTOR!$A:$B,2,0),"")</f>
      </c>
      <c r="S321" s="89"/>
      <c r="T321" s="90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6"/>
      <c r="AZ321" s="120">
        <f>COUNTIF(U321:AY321,"A")</f>
      </c>
      <c r="BA321" s="121">
        <f>COUNTIF(U321:AY321,"F")</f>
      </c>
      <c r="BB321" s="119">
        <f>COUNTIF(U321:AY321,"E")</f>
      </c>
    </row>
    <row r="322" spans="1:54" x14ac:dyDescent="0.2">
      <c r="A322" s="84"/>
      <c r="B322" s="85"/>
      <c r="C322" s="85"/>
      <c r="D322" s="85"/>
      <c r="E322" s="86"/>
      <c r="F322" s="16">
        <f>IF(E322="","",DATEDIF(E322,$I$7,"Y"))</f>
      </c>
      <c r="G322" s="85"/>
      <c r="H322" s="85"/>
      <c r="I322" s="87"/>
      <c r="J322" s="85"/>
      <c r="K322" s="85"/>
      <c r="L322" s="10"/>
      <c r="M322" s="10"/>
      <c r="N322" s="10"/>
      <c r="O322" s="10"/>
      <c r="P322" s="85"/>
      <c r="Q322" s="88"/>
      <c r="R322" s="3">
        <f>IFERROR(VLOOKUP(TablaOctubre[[#This Row],[BARRIO]],SECTOR!$A:$B,2,0),"")</f>
      </c>
      <c r="S322" s="89"/>
      <c r="T322" s="90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6"/>
      <c r="AZ322" s="120">
        <f>COUNTIF(U322:AY322,"A")</f>
      </c>
      <c r="BA322" s="121">
        <f>COUNTIF(U322:AY322,"F")</f>
      </c>
      <c r="BB322" s="119">
        <f>COUNTIF(U322:AY322,"E")</f>
      </c>
    </row>
    <row r="323" spans="1:54" x14ac:dyDescent="0.2">
      <c r="A323" s="84"/>
      <c r="B323" s="85"/>
      <c r="C323" s="85"/>
      <c r="D323" s="85"/>
      <c r="E323" s="86"/>
      <c r="F323" s="16">
        <f>IF(E323="","",DATEDIF(E323,$I$7,"Y"))</f>
      </c>
      <c r="G323" s="85"/>
      <c r="H323" s="85"/>
      <c r="I323" s="87"/>
      <c r="J323" s="85"/>
      <c r="K323" s="85"/>
      <c r="L323" s="10"/>
      <c r="M323" s="10"/>
      <c r="N323" s="10"/>
      <c r="O323" s="10"/>
      <c r="P323" s="85"/>
      <c r="Q323" s="88"/>
      <c r="R323" s="3">
        <f>IFERROR(VLOOKUP(TablaOctubre[[#This Row],[BARRIO]],SECTOR!$A:$B,2,0),"")</f>
      </c>
      <c r="S323" s="89"/>
      <c r="T323" s="90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6"/>
      <c r="AZ323" s="120">
        <f>COUNTIF(U323:AY323,"A")</f>
      </c>
      <c r="BA323" s="121">
        <f>COUNTIF(U323:AY323,"F")</f>
      </c>
      <c r="BB323" s="119">
        <f>COUNTIF(U323:AY323,"E")</f>
      </c>
    </row>
    <row r="324" spans="1:54" x14ac:dyDescent="0.2">
      <c r="A324" s="84"/>
      <c r="B324" s="85"/>
      <c r="C324" s="85"/>
      <c r="D324" s="85"/>
      <c r="E324" s="86"/>
      <c r="F324" s="16">
        <f>IF(E324="","",DATEDIF(E324,$I$7,"Y"))</f>
      </c>
      <c r="G324" s="85"/>
      <c r="H324" s="85"/>
      <c r="I324" s="87"/>
      <c r="J324" s="85"/>
      <c r="K324" s="85"/>
      <c r="L324" s="10"/>
      <c r="M324" s="10"/>
      <c r="N324" s="10"/>
      <c r="O324" s="10"/>
      <c r="P324" s="85"/>
      <c r="Q324" s="88"/>
      <c r="R324" s="3">
        <f>IFERROR(VLOOKUP(TablaOctubre[[#This Row],[BARRIO]],SECTOR!$A:$B,2,0),"")</f>
      </c>
      <c r="S324" s="89"/>
      <c r="T324" s="90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6"/>
      <c r="AZ324" s="120">
        <f>COUNTIF(U324:AY324,"A")</f>
      </c>
      <c r="BA324" s="121">
        <f>COUNTIF(U324:AY324,"F")</f>
      </c>
      <c r="BB324" s="119">
        <f>COUNTIF(U324:AY324,"E")</f>
      </c>
    </row>
    <row r="325" spans="1:54" x14ac:dyDescent="0.2">
      <c r="A325" s="84"/>
      <c r="B325" s="85"/>
      <c r="C325" s="85"/>
      <c r="D325" s="85"/>
      <c r="E325" s="86"/>
      <c r="F325" s="16">
        <f>IF(E325="","",DATEDIF(E325,$I$7,"Y"))</f>
      </c>
      <c r="G325" s="85"/>
      <c r="H325" s="85"/>
      <c r="I325" s="87"/>
      <c r="J325" s="85"/>
      <c r="K325" s="85"/>
      <c r="L325" s="10"/>
      <c r="M325" s="10"/>
      <c r="N325" s="10"/>
      <c r="O325" s="10"/>
      <c r="P325" s="85"/>
      <c r="Q325" s="88"/>
      <c r="R325" s="3">
        <f>IFERROR(VLOOKUP(TablaOctubre[[#This Row],[BARRIO]],SECTOR!$A:$B,2,0),"")</f>
      </c>
      <c r="S325" s="89"/>
      <c r="T325" s="90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6"/>
      <c r="AZ325" s="120">
        <f>COUNTIF(U325:AY325,"A")</f>
      </c>
      <c r="BA325" s="121">
        <f>COUNTIF(U325:AY325,"F")</f>
      </c>
      <c r="BB325" s="119">
        <f>COUNTIF(U325:AY325,"E")</f>
      </c>
    </row>
    <row r="326" spans="1:54" x14ac:dyDescent="0.2">
      <c r="A326" s="84"/>
      <c r="B326" s="85"/>
      <c r="C326" s="85"/>
      <c r="D326" s="85"/>
      <c r="E326" s="86"/>
      <c r="F326" s="16">
        <f>IF(E326="","",DATEDIF(E326,$I$7,"Y"))</f>
      </c>
      <c r="G326" s="85"/>
      <c r="H326" s="85"/>
      <c r="I326" s="87"/>
      <c r="J326" s="85"/>
      <c r="K326" s="85"/>
      <c r="L326" s="10"/>
      <c r="M326" s="10"/>
      <c r="N326" s="10"/>
      <c r="O326" s="10"/>
      <c r="P326" s="85"/>
      <c r="Q326" s="88"/>
      <c r="R326" s="3">
        <f>IFERROR(VLOOKUP(TablaOctubre[[#This Row],[BARRIO]],SECTOR!$A:$B,2,0),"")</f>
      </c>
      <c r="S326" s="89"/>
      <c r="T326" s="90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6"/>
      <c r="AZ326" s="120">
        <f>COUNTIF(U326:AY326,"A")</f>
      </c>
      <c r="BA326" s="121">
        <f>COUNTIF(U326:AY326,"F")</f>
      </c>
      <c r="BB326" s="119">
        <f>COUNTIF(U326:AY326,"E")</f>
      </c>
    </row>
    <row r="327" spans="1:54" x14ac:dyDescent="0.2">
      <c r="A327" s="84"/>
      <c r="B327" s="85"/>
      <c r="C327" s="85"/>
      <c r="D327" s="85"/>
      <c r="E327" s="86"/>
      <c r="F327" s="16">
        <f>IF(E327="","",DATEDIF(E327,$I$7,"Y"))</f>
      </c>
      <c r="G327" s="85"/>
      <c r="H327" s="85"/>
      <c r="I327" s="87"/>
      <c r="J327" s="85"/>
      <c r="K327" s="85"/>
      <c r="L327" s="10"/>
      <c r="M327" s="10"/>
      <c r="N327" s="10"/>
      <c r="O327" s="10"/>
      <c r="P327" s="85"/>
      <c r="Q327" s="88"/>
      <c r="R327" s="3">
        <f>IFERROR(VLOOKUP(TablaOctubre[[#This Row],[BARRIO]],SECTOR!$A:$B,2,0),"")</f>
      </c>
      <c r="S327" s="89"/>
      <c r="T327" s="90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6"/>
      <c r="AZ327" s="120">
        <f>COUNTIF(U327:AY327,"A")</f>
      </c>
      <c r="BA327" s="121">
        <f>COUNTIF(U327:AY327,"F")</f>
      </c>
      <c r="BB327" s="119">
        <f>COUNTIF(U327:AY327,"E")</f>
      </c>
    </row>
    <row r="328" spans="1:54" x14ac:dyDescent="0.2">
      <c r="A328" s="84"/>
      <c r="B328" s="85"/>
      <c r="C328" s="85"/>
      <c r="D328" s="85"/>
      <c r="E328" s="86"/>
      <c r="F328" s="16">
        <f>IF(E328="","",DATEDIF(E328,$I$7,"Y"))</f>
      </c>
      <c r="G328" s="85"/>
      <c r="H328" s="85"/>
      <c r="I328" s="87"/>
      <c r="J328" s="85"/>
      <c r="K328" s="85"/>
      <c r="L328" s="10"/>
      <c r="M328" s="10"/>
      <c r="N328" s="10"/>
      <c r="O328" s="10"/>
      <c r="P328" s="85"/>
      <c r="Q328" s="88"/>
      <c r="R328" s="3">
        <f>IFERROR(VLOOKUP(TablaOctubre[[#This Row],[BARRIO]],SECTOR!$A:$B,2,0),"")</f>
      </c>
      <c r="S328" s="89"/>
      <c r="T328" s="90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6"/>
      <c r="AZ328" s="120">
        <f>COUNTIF(U328:AY328,"A")</f>
      </c>
      <c r="BA328" s="121">
        <f>COUNTIF(U328:AY328,"F")</f>
      </c>
      <c r="BB328" s="119">
        <f>COUNTIF(U328:AY328,"E")</f>
      </c>
    </row>
    <row r="329" spans="1:54" x14ac:dyDescent="0.2">
      <c r="A329" s="84"/>
      <c r="B329" s="85"/>
      <c r="C329" s="85"/>
      <c r="D329" s="85"/>
      <c r="E329" s="86"/>
      <c r="F329" s="16">
        <f>IF(E329="","",DATEDIF(E329,$I$7,"Y"))</f>
      </c>
      <c r="G329" s="85"/>
      <c r="H329" s="85"/>
      <c r="I329" s="87"/>
      <c r="J329" s="85"/>
      <c r="K329" s="85"/>
      <c r="L329" s="10"/>
      <c r="M329" s="10"/>
      <c r="N329" s="10"/>
      <c r="O329" s="10"/>
      <c r="P329" s="85"/>
      <c r="Q329" s="88"/>
      <c r="R329" s="3">
        <f>IFERROR(VLOOKUP(TablaOctubre[[#This Row],[BARRIO]],SECTOR!$A:$B,2,0),"")</f>
      </c>
      <c r="S329" s="89"/>
      <c r="T329" s="90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6"/>
      <c r="AZ329" s="120">
        <f>COUNTIF(U329:AY329,"A")</f>
      </c>
      <c r="BA329" s="121">
        <f>COUNTIF(U329:AY329,"F")</f>
      </c>
      <c r="BB329" s="119">
        <f>COUNTIF(U329:AY329,"E")</f>
      </c>
    </row>
    <row r="330" spans="1:54" x14ac:dyDescent="0.2">
      <c r="A330" s="84"/>
      <c r="B330" s="85"/>
      <c r="C330" s="85"/>
      <c r="D330" s="85"/>
      <c r="E330" s="86"/>
      <c r="F330" s="16">
        <f>IF(E330="","",DATEDIF(E330,$I$7,"Y"))</f>
      </c>
      <c r="G330" s="85"/>
      <c r="H330" s="85"/>
      <c r="I330" s="87"/>
      <c r="J330" s="85"/>
      <c r="K330" s="85"/>
      <c r="L330" s="10"/>
      <c r="M330" s="10"/>
      <c r="N330" s="10"/>
      <c r="O330" s="10"/>
      <c r="P330" s="85"/>
      <c r="Q330" s="88"/>
      <c r="R330" s="3">
        <f>IFERROR(VLOOKUP(TablaOctubre[[#This Row],[BARRIO]],SECTOR!$A:$B,2,0),"")</f>
      </c>
      <c r="S330" s="89"/>
      <c r="T330" s="90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6"/>
      <c r="AZ330" s="120">
        <f>COUNTIF(U330:AY330,"A")</f>
      </c>
      <c r="BA330" s="121">
        <f>COUNTIF(U330:AY330,"F")</f>
      </c>
      <c r="BB330" s="119">
        <f>COUNTIF(U330:AY330,"E")</f>
      </c>
    </row>
    <row r="331" spans="1:54" x14ac:dyDescent="0.2">
      <c r="A331" s="84"/>
      <c r="B331" s="85"/>
      <c r="C331" s="85"/>
      <c r="D331" s="85"/>
      <c r="E331" s="86"/>
      <c r="F331" s="16">
        <f>IF(E331="","",DATEDIF(E331,$I$7,"Y"))</f>
      </c>
      <c r="G331" s="85"/>
      <c r="H331" s="85"/>
      <c r="I331" s="87"/>
      <c r="J331" s="85"/>
      <c r="K331" s="85"/>
      <c r="L331" s="10"/>
      <c r="M331" s="10"/>
      <c r="N331" s="10"/>
      <c r="O331" s="10"/>
      <c r="P331" s="85"/>
      <c r="Q331" s="88"/>
      <c r="R331" s="3">
        <f>IFERROR(VLOOKUP(TablaOctubre[[#This Row],[BARRIO]],SECTOR!$A:$B,2,0),"")</f>
      </c>
      <c r="S331" s="89"/>
      <c r="T331" s="90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6"/>
      <c r="AZ331" s="120">
        <f>COUNTIF(U331:AY331,"A")</f>
      </c>
      <c r="BA331" s="121">
        <f>COUNTIF(U331:AY331,"F")</f>
      </c>
      <c r="BB331" s="119">
        <f>COUNTIF(U331:AY331,"E")</f>
      </c>
    </row>
    <row r="332" spans="1:54" x14ac:dyDescent="0.2">
      <c r="A332" s="84"/>
      <c r="B332" s="85"/>
      <c r="C332" s="85"/>
      <c r="D332" s="85"/>
      <c r="E332" s="86"/>
      <c r="F332" s="16">
        <f>IF(E332="","",DATEDIF(E332,$I$7,"Y"))</f>
      </c>
      <c r="G332" s="85"/>
      <c r="H332" s="85"/>
      <c r="I332" s="87"/>
      <c r="J332" s="85"/>
      <c r="K332" s="85"/>
      <c r="L332" s="10"/>
      <c r="M332" s="10"/>
      <c r="N332" s="10"/>
      <c r="O332" s="10"/>
      <c r="P332" s="85"/>
      <c r="Q332" s="88"/>
      <c r="R332" s="3">
        <f>IFERROR(VLOOKUP(TablaOctubre[[#This Row],[BARRIO]],SECTOR!$A:$B,2,0),"")</f>
      </c>
      <c r="S332" s="89"/>
      <c r="T332" s="90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6"/>
      <c r="AZ332" s="120">
        <f>COUNTIF(U332:AY332,"A")</f>
      </c>
      <c r="BA332" s="121">
        <f>COUNTIF(U332:AY332,"F")</f>
      </c>
      <c r="BB332" s="119">
        <f>COUNTIF(U332:AY332,"E")</f>
      </c>
    </row>
    <row r="333" spans="1:54" x14ac:dyDescent="0.2">
      <c r="A333" s="84"/>
      <c r="B333" s="85"/>
      <c r="C333" s="85"/>
      <c r="D333" s="85"/>
      <c r="E333" s="86"/>
      <c r="F333" s="16">
        <f>IF(E333="","",DATEDIF(E333,$I$7,"Y"))</f>
      </c>
      <c r="G333" s="85"/>
      <c r="H333" s="85"/>
      <c r="I333" s="87"/>
      <c r="J333" s="85"/>
      <c r="K333" s="85"/>
      <c r="L333" s="10"/>
      <c r="M333" s="10"/>
      <c r="N333" s="10"/>
      <c r="O333" s="10"/>
      <c r="P333" s="85"/>
      <c r="Q333" s="88"/>
      <c r="R333" s="3">
        <f>IFERROR(VLOOKUP(TablaOctubre[[#This Row],[BARRIO]],SECTOR!$A:$B,2,0),"")</f>
      </c>
      <c r="S333" s="89"/>
      <c r="T333" s="90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6"/>
      <c r="AZ333" s="120">
        <f>COUNTIF(U333:AY333,"A")</f>
      </c>
      <c r="BA333" s="121">
        <f>COUNTIF(U333:AY333,"F")</f>
      </c>
      <c r="BB333" s="119">
        <f>COUNTIF(U333:AY333,"E")</f>
      </c>
    </row>
    <row r="334" spans="1:54" x14ac:dyDescent="0.2">
      <c r="A334" s="84"/>
      <c r="B334" s="85"/>
      <c r="C334" s="85"/>
      <c r="D334" s="85"/>
      <c r="E334" s="86"/>
      <c r="F334" s="16">
        <f>IF(E334="","",DATEDIF(E334,$I$7,"Y"))</f>
      </c>
      <c r="G334" s="85"/>
      <c r="H334" s="85"/>
      <c r="I334" s="87"/>
      <c r="J334" s="85"/>
      <c r="K334" s="85"/>
      <c r="L334" s="10"/>
      <c r="M334" s="10"/>
      <c r="N334" s="10"/>
      <c r="O334" s="10"/>
      <c r="P334" s="85"/>
      <c r="Q334" s="88"/>
      <c r="R334" s="3">
        <f>IFERROR(VLOOKUP(TablaOctubre[[#This Row],[BARRIO]],SECTOR!$A:$B,2,0),"")</f>
      </c>
      <c r="S334" s="89"/>
      <c r="T334" s="90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6"/>
      <c r="AZ334" s="120">
        <f>COUNTIF(U334:AY334,"A")</f>
      </c>
      <c r="BA334" s="121">
        <f>COUNTIF(U334:AY334,"F")</f>
      </c>
      <c r="BB334" s="119">
        <f>COUNTIF(U334:AY334,"E")</f>
      </c>
    </row>
    <row r="335" spans="1:54" x14ac:dyDescent="0.2">
      <c r="A335" s="84"/>
      <c r="B335" s="85"/>
      <c r="C335" s="85"/>
      <c r="D335" s="85"/>
      <c r="E335" s="86"/>
      <c r="F335" s="16">
        <f>IF(E335="","",DATEDIF(E335,$I$7,"Y"))</f>
      </c>
      <c r="G335" s="85"/>
      <c r="H335" s="85"/>
      <c r="I335" s="87"/>
      <c r="J335" s="85"/>
      <c r="K335" s="85"/>
      <c r="L335" s="10"/>
      <c r="M335" s="10"/>
      <c r="N335" s="10"/>
      <c r="O335" s="10"/>
      <c r="P335" s="85"/>
      <c r="Q335" s="88"/>
      <c r="R335" s="3">
        <f>IFERROR(VLOOKUP(TablaOctubre[[#This Row],[BARRIO]],SECTOR!$A:$B,2,0),"")</f>
      </c>
      <c r="S335" s="89"/>
      <c r="T335" s="90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6"/>
      <c r="AZ335" s="120">
        <f>COUNTIF(U335:AY335,"A")</f>
      </c>
      <c r="BA335" s="121">
        <f>COUNTIF(U335:AY335,"F")</f>
      </c>
      <c r="BB335" s="119">
        <f>COUNTIF(U335:AY335,"E")</f>
      </c>
    </row>
    <row r="336" spans="1:54" x14ac:dyDescent="0.2">
      <c r="A336" s="84"/>
      <c r="B336" s="85"/>
      <c r="C336" s="85"/>
      <c r="D336" s="85"/>
      <c r="E336" s="86"/>
      <c r="F336" s="16">
        <f>IF(E336="","",DATEDIF(E336,$I$7,"Y"))</f>
      </c>
      <c r="G336" s="85"/>
      <c r="H336" s="85"/>
      <c r="I336" s="87"/>
      <c r="J336" s="85"/>
      <c r="K336" s="85"/>
      <c r="L336" s="10"/>
      <c r="M336" s="10"/>
      <c r="N336" s="10"/>
      <c r="O336" s="10"/>
      <c r="P336" s="85"/>
      <c r="Q336" s="88"/>
      <c r="R336" s="3">
        <f>IFERROR(VLOOKUP(TablaOctubre[[#This Row],[BARRIO]],SECTOR!$A:$B,2,0),"")</f>
      </c>
      <c r="S336" s="89"/>
      <c r="T336" s="90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6"/>
      <c r="AZ336" s="120">
        <f>COUNTIF(U336:AY336,"A")</f>
      </c>
      <c r="BA336" s="121">
        <f>COUNTIF(U336:AY336,"F")</f>
      </c>
      <c r="BB336" s="119">
        <f>COUNTIF(U336:AY336,"E")</f>
      </c>
    </row>
    <row r="337" spans="1:54" x14ac:dyDescent="0.2">
      <c r="A337" s="84"/>
      <c r="B337" s="85"/>
      <c r="C337" s="85"/>
      <c r="D337" s="85"/>
      <c r="E337" s="86"/>
      <c r="F337" s="16">
        <f>IF(E337="","",DATEDIF(E337,$I$7,"Y"))</f>
      </c>
      <c r="G337" s="85"/>
      <c r="H337" s="85"/>
      <c r="I337" s="87"/>
      <c r="J337" s="85"/>
      <c r="K337" s="85"/>
      <c r="L337" s="10"/>
      <c r="M337" s="10"/>
      <c r="N337" s="10"/>
      <c r="O337" s="10"/>
      <c r="P337" s="85"/>
      <c r="Q337" s="88"/>
      <c r="R337" s="3">
        <f>IFERROR(VLOOKUP(TablaOctubre[[#This Row],[BARRIO]],SECTOR!$A:$B,2,0),"")</f>
      </c>
      <c r="S337" s="89"/>
      <c r="T337" s="90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6"/>
      <c r="AZ337" s="120">
        <f>COUNTIF(U337:AY337,"A")</f>
      </c>
      <c r="BA337" s="121">
        <f>COUNTIF(U337:AY337,"F")</f>
      </c>
      <c r="BB337" s="119">
        <f>COUNTIF(U337:AY337,"E")</f>
      </c>
    </row>
    <row r="338" spans="1:54" x14ac:dyDescent="0.2">
      <c r="A338" s="84"/>
      <c r="B338" s="85"/>
      <c r="C338" s="85"/>
      <c r="D338" s="85"/>
      <c r="E338" s="86"/>
      <c r="F338" s="16">
        <f>IF(E338="","",DATEDIF(E338,$I$7,"Y"))</f>
      </c>
      <c r="G338" s="85"/>
      <c r="H338" s="85"/>
      <c r="I338" s="87"/>
      <c r="J338" s="85"/>
      <c r="K338" s="85"/>
      <c r="L338" s="10"/>
      <c r="M338" s="10"/>
      <c r="N338" s="10"/>
      <c r="O338" s="10"/>
      <c r="P338" s="85"/>
      <c r="Q338" s="88"/>
      <c r="R338" s="3">
        <f>IFERROR(VLOOKUP(TablaOctubre[[#This Row],[BARRIO]],SECTOR!$A:$B,2,0),"")</f>
      </c>
      <c r="S338" s="89"/>
      <c r="T338" s="90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6"/>
      <c r="AZ338" s="120">
        <f>COUNTIF(U338:AY338,"A")</f>
      </c>
      <c r="BA338" s="121">
        <f>COUNTIF(U338:AY338,"F")</f>
      </c>
      <c r="BB338" s="119">
        <f>COUNTIF(U338:AY338,"E")</f>
      </c>
    </row>
    <row r="339" spans="1:54" x14ac:dyDescent="0.2">
      <c r="A339" s="84"/>
      <c r="B339" s="85"/>
      <c r="C339" s="85"/>
      <c r="D339" s="85"/>
      <c r="E339" s="86"/>
      <c r="F339" s="16">
        <f>IF(E339="","",DATEDIF(E339,$I$7,"Y"))</f>
      </c>
      <c r="G339" s="85"/>
      <c r="H339" s="85"/>
      <c r="I339" s="87"/>
      <c r="J339" s="85"/>
      <c r="K339" s="85"/>
      <c r="L339" s="10"/>
      <c r="M339" s="10"/>
      <c r="N339" s="10"/>
      <c r="O339" s="10"/>
      <c r="P339" s="85"/>
      <c r="Q339" s="88"/>
      <c r="R339" s="3">
        <f>IFERROR(VLOOKUP(TablaOctubre[[#This Row],[BARRIO]],SECTOR!$A:$B,2,0),"")</f>
      </c>
      <c r="S339" s="89"/>
      <c r="T339" s="90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6"/>
      <c r="AZ339" s="120">
        <f>COUNTIF(U339:AY339,"A")</f>
      </c>
      <c r="BA339" s="121">
        <f>COUNTIF(U339:AY339,"F")</f>
      </c>
      <c r="BB339" s="119">
        <f>COUNTIF(U339:AY339,"E")</f>
      </c>
    </row>
    <row r="340" spans="1:54" x14ac:dyDescent="0.2">
      <c r="A340" s="84"/>
      <c r="B340" s="85"/>
      <c r="C340" s="85"/>
      <c r="D340" s="85"/>
      <c r="E340" s="86"/>
      <c r="F340" s="16">
        <f>IF(E340="","",DATEDIF(E340,$I$7,"Y"))</f>
      </c>
      <c r="G340" s="85"/>
      <c r="H340" s="85"/>
      <c r="I340" s="87"/>
      <c r="J340" s="85"/>
      <c r="K340" s="85"/>
      <c r="L340" s="10"/>
      <c r="M340" s="10"/>
      <c r="N340" s="10"/>
      <c r="O340" s="10"/>
      <c r="P340" s="85"/>
      <c r="Q340" s="88"/>
      <c r="R340" s="3">
        <f>IFERROR(VLOOKUP(TablaOctubre[[#This Row],[BARRIO]],SECTOR!$A:$B,2,0),"")</f>
      </c>
      <c r="S340" s="89"/>
      <c r="T340" s="90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6"/>
      <c r="AZ340" s="120">
        <f>COUNTIF(U340:AY340,"A")</f>
      </c>
      <c r="BA340" s="121">
        <f>COUNTIF(U340:AY340,"F")</f>
      </c>
      <c r="BB340" s="119">
        <f>COUNTIF(U340:AY340,"E")</f>
      </c>
    </row>
    <row r="341" spans="1:54" x14ac:dyDescent="0.2">
      <c r="A341" s="84"/>
      <c r="B341" s="85"/>
      <c r="C341" s="85"/>
      <c r="D341" s="85"/>
      <c r="E341" s="86"/>
      <c r="F341" s="16">
        <f>IF(E341="","",DATEDIF(E341,$I$7,"Y"))</f>
      </c>
      <c r="G341" s="85"/>
      <c r="H341" s="85"/>
      <c r="I341" s="87"/>
      <c r="J341" s="85"/>
      <c r="K341" s="85"/>
      <c r="L341" s="10"/>
      <c r="M341" s="10"/>
      <c r="N341" s="10"/>
      <c r="O341" s="10"/>
      <c r="P341" s="85"/>
      <c r="Q341" s="88"/>
      <c r="R341" s="3">
        <f>IFERROR(VLOOKUP(TablaOctubre[[#This Row],[BARRIO]],SECTOR!$A:$B,2,0),"")</f>
      </c>
      <c r="S341" s="89"/>
      <c r="T341" s="90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6"/>
      <c r="AZ341" s="120">
        <f>COUNTIF(U341:AY341,"A")</f>
      </c>
      <c r="BA341" s="121">
        <f>COUNTIF(U341:AY341,"F")</f>
      </c>
      <c r="BB341" s="119">
        <f>COUNTIF(U341:AY341,"E")</f>
      </c>
    </row>
    <row r="342" spans="1:54" x14ac:dyDescent="0.2">
      <c r="A342" s="84"/>
      <c r="B342" s="85"/>
      <c r="C342" s="85"/>
      <c r="D342" s="85"/>
      <c r="E342" s="86"/>
      <c r="F342" s="16">
        <f>IF(E342="","",DATEDIF(E342,$I$7,"Y"))</f>
      </c>
      <c r="G342" s="85"/>
      <c r="H342" s="85"/>
      <c r="I342" s="87"/>
      <c r="J342" s="85"/>
      <c r="K342" s="85"/>
      <c r="L342" s="10"/>
      <c r="M342" s="10"/>
      <c r="N342" s="10"/>
      <c r="O342" s="10"/>
      <c r="P342" s="85"/>
      <c r="Q342" s="88"/>
      <c r="R342" s="3">
        <f>IFERROR(VLOOKUP(TablaOctubre[[#This Row],[BARRIO]],SECTOR!$A:$B,2,0),"")</f>
      </c>
      <c r="S342" s="89"/>
      <c r="T342" s="90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6"/>
      <c r="AZ342" s="120">
        <f>COUNTIF(U342:AY342,"A")</f>
      </c>
      <c r="BA342" s="121">
        <f>COUNTIF(U342:AY342,"F")</f>
      </c>
      <c r="BB342" s="119">
        <f>COUNTIF(U342:AY342,"E")</f>
      </c>
    </row>
    <row r="343" spans="1:54" x14ac:dyDescent="0.2">
      <c r="A343" s="84"/>
      <c r="B343" s="85"/>
      <c r="C343" s="85"/>
      <c r="D343" s="85"/>
      <c r="E343" s="86"/>
      <c r="F343" s="16">
        <f>IF(E343="","",DATEDIF(E343,$I$7,"Y"))</f>
      </c>
      <c r="G343" s="85"/>
      <c r="H343" s="85"/>
      <c r="I343" s="87"/>
      <c r="J343" s="85"/>
      <c r="K343" s="85"/>
      <c r="L343" s="10"/>
      <c r="M343" s="10"/>
      <c r="N343" s="10"/>
      <c r="O343" s="10"/>
      <c r="P343" s="85"/>
      <c r="Q343" s="88"/>
      <c r="R343" s="3">
        <f>IFERROR(VLOOKUP(TablaOctubre[[#This Row],[BARRIO]],SECTOR!$A:$B,2,0),"")</f>
      </c>
      <c r="S343" s="89"/>
      <c r="T343" s="90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6"/>
      <c r="AZ343" s="120">
        <f>COUNTIF(U343:AY343,"A")</f>
      </c>
      <c r="BA343" s="121">
        <f>COUNTIF(U343:AY343,"F")</f>
      </c>
      <c r="BB343" s="119">
        <f>COUNTIF(U343:AY343,"E")</f>
      </c>
    </row>
    <row r="344" spans="1:54" x14ac:dyDescent="0.2">
      <c r="A344" s="84"/>
      <c r="B344" s="85"/>
      <c r="C344" s="85"/>
      <c r="D344" s="85"/>
      <c r="E344" s="86"/>
      <c r="F344" s="16">
        <f>IF(E344="","",DATEDIF(E344,$I$7,"Y"))</f>
      </c>
      <c r="G344" s="85"/>
      <c r="H344" s="85"/>
      <c r="I344" s="87"/>
      <c r="J344" s="85"/>
      <c r="K344" s="85"/>
      <c r="L344" s="10"/>
      <c r="M344" s="10"/>
      <c r="N344" s="10"/>
      <c r="O344" s="10"/>
      <c r="P344" s="85"/>
      <c r="Q344" s="88"/>
      <c r="R344" s="3">
        <f>IFERROR(VLOOKUP(TablaOctubre[[#This Row],[BARRIO]],SECTOR!$A:$B,2,0),"")</f>
      </c>
      <c r="S344" s="89"/>
      <c r="T344" s="90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6"/>
      <c r="AZ344" s="120">
        <f>COUNTIF(U344:AY344,"A")</f>
      </c>
      <c r="BA344" s="121">
        <f>COUNTIF(U344:AY344,"F")</f>
      </c>
      <c r="BB344" s="119">
        <f>COUNTIF(U344:AY344,"E")</f>
      </c>
    </row>
    <row r="345" spans="1:54" x14ac:dyDescent="0.2">
      <c r="A345" s="84"/>
      <c r="B345" s="85"/>
      <c r="C345" s="85"/>
      <c r="D345" s="85"/>
      <c r="E345" s="86"/>
      <c r="F345" s="16">
        <f>IF(E345="","",DATEDIF(E345,$I$7,"Y"))</f>
      </c>
      <c r="G345" s="85"/>
      <c r="H345" s="85"/>
      <c r="I345" s="87"/>
      <c r="J345" s="85"/>
      <c r="K345" s="85"/>
      <c r="L345" s="10"/>
      <c r="M345" s="10"/>
      <c r="N345" s="10"/>
      <c r="O345" s="10"/>
      <c r="P345" s="85"/>
      <c r="Q345" s="88"/>
      <c r="R345" s="3">
        <f>IFERROR(VLOOKUP(TablaOctubre[[#This Row],[BARRIO]],SECTOR!$A:$B,2,0),"")</f>
      </c>
      <c r="S345" s="89"/>
      <c r="T345" s="90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6"/>
      <c r="AZ345" s="120">
        <f>COUNTIF(U345:AY345,"A")</f>
      </c>
      <c r="BA345" s="121">
        <f>COUNTIF(U345:AY345,"F")</f>
      </c>
      <c r="BB345" s="119">
        <f>COUNTIF(U345:AY345,"E")</f>
      </c>
    </row>
    <row r="346" spans="1:54" x14ac:dyDescent="0.2">
      <c r="A346" s="84"/>
      <c r="B346" s="85"/>
      <c r="C346" s="85"/>
      <c r="D346" s="85"/>
      <c r="E346" s="86"/>
      <c r="F346" s="16">
        <f>IF(E346="","",DATEDIF(E346,$I$7,"Y"))</f>
      </c>
      <c r="G346" s="85"/>
      <c r="H346" s="85"/>
      <c r="I346" s="87"/>
      <c r="J346" s="85"/>
      <c r="K346" s="85"/>
      <c r="L346" s="10"/>
      <c r="M346" s="10"/>
      <c r="N346" s="10"/>
      <c r="O346" s="10"/>
      <c r="P346" s="85"/>
      <c r="Q346" s="88"/>
      <c r="R346" s="3">
        <f>IFERROR(VLOOKUP(TablaOctubre[[#This Row],[BARRIO]],SECTOR!$A:$B,2,0),"")</f>
      </c>
      <c r="S346" s="89"/>
      <c r="T346" s="90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6"/>
      <c r="AZ346" s="120">
        <f>COUNTIF(U346:AY346,"A")</f>
      </c>
      <c r="BA346" s="121">
        <f>COUNTIF(U346:AY346,"F")</f>
      </c>
      <c r="BB346" s="119">
        <f>COUNTIF(U346:AY346,"E")</f>
      </c>
    </row>
    <row r="347" spans="1:54" x14ac:dyDescent="0.2">
      <c r="A347" s="84"/>
      <c r="B347" s="85"/>
      <c r="C347" s="85"/>
      <c r="D347" s="85"/>
      <c r="E347" s="86"/>
      <c r="F347" s="16">
        <f>IF(E347="","",DATEDIF(E347,$I$7,"Y"))</f>
      </c>
      <c r="G347" s="85"/>
      <c r="H347" s="85"/>
      <c r="I347" s="87"/>
      <c r="J347" s="85"/>
      <c r="K347" s="85"/>
      <c r="L347" s="10"/>
      <c r="M347" s="10"/>
      <c r="N347" s="10"/>
      <c r="O347" s="10"/>
      <c r="P347" s="85"/>
      <c r="Q347" s="88"/>
      <c r="R347" s="3">
        <f>IFERROR(VLOOKUP(TablaOctubre[[#This Row],[BARRIO]],SECTOR!$A:$B,2,0),"")</f>
      </c>
      <c r="S347" s="89"/>
      <c r="T347" s="90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6"/>
      <c r="AZ347" s="120">
        <f>COUNTIF(U347:AY347,"A")</f>
      </c>
      <c r="BA347" s="121">
        <f>COUNTIF(U347:AY347,"F")</f>
      </c>
      <c r="BB347" s="119">
        <f>COUNTIF(U347:AY347,"E")</f>
      </c>
    </row>
    <row r="348" spans="1:54" x14ac:dyDescent="0.2">
      <c r="A348" s="84"/>
      <c r="B348" s="85"/>
      <c r="C348" s="85"/>
      <c r="D348" s="85"/>
      <c r="E348" s="86"/>
      <c r="F348" s="16">
        <f>IF(E348="","",DATEDIF(E348,$I$7,"Y"))</f>
      </c>
      <c r="G348" s="85"/>
      <c r="H348" s="85"/>
      <c r="I348" s="87"/>
      <c r="J348" s="85"/>
      <c r="K348" s="85"/>
      <c r="L348" s="10"/>
      <c r="M348" s="10"/>
      <c r="N348" s="10"/>
      <c r="O348" s="10"/>
      <c r="P348" s="85"/>
      <c r="Q348" s="88"/>
      <c r="R348" s="3">
        <f>IFERROR(VLOOKUP(TablaOctubre[[#This Row],[BARRIO]],SECTOR!$A:$B,2,0),"")</f>
      </c>
      <c r="S348" s="89"/>
      <c r="T348" s="90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6"/>
      <c r="AZ348" s="120">
        <f>COUNTIF(U348:AY348,"A")</f>
      </c>
      <c r="BA348" s="121">
        <f>COUNTIF(U348:AY348,"F")</f>
      </c>
      <c r="BB348" s="119">
        <f>COUNTIF(U348:AY348,"E")</f>
      </c>
    </row>
    <row r="349" spans="1:54" x14ac:dyDescent="0.2">
      <c r="A349" s="84"/>
      <c r="B349" s="85"/>
      <c r="C349" s="85"/>
      <c r="D349" s="85"/>
      <c r="E349" s="86"/>
      <c r="F349" s="16">
        <f>IF(E349="","",DATEDIF(E349,$I$7,"Y"))</f>
      </c>
      <c r="G349" s="85"/>
      <c r="H349" s="85"/>
      <c r="I349" s="87"/>
      <c r="J349" s="85"/>
      <c r="K349" s="85"/>
      <c r="L349" s="10"/>
      <c r="M349" s="10"/>
      <c r="N349" s="10"/>
      <c r="O349" s="10"/>
      <c r="P349" s="85"/>
      <c r="Q349" s="88"/>
      <c r="R349" s="3">
        <f>IFERROR(VLOOKUP(TablaOctubre[[#This Row],[BARRIO]],SECTOR!$A:$B,2,0),"")</f>
      </c>
      <c r="S349" s="89"/>
      <c r="T349" s="90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6"/>
      <c r="AZ349" s="120">
        <f>COUNTIF(U349:AY349,"A")</f>
      </c>
      <c r="BA349" s="121">
        <f>COUNTIF(U349:AY349,"F")</f>
      </c>
      <c r="BB349" s="119">
        <f>COUNTIF(U349:AY349,"E")</f>
      </c>
    </row>
    <row r="350" spans="1:54" x14ac:dyDescent="0.2">
      <c r="A350" s="84"/>
      <c r="B350" s="85"/>
      <c r="C350" s="85"/>
      <c r="D350" s="85"/>
      <c r="E350" s="86"/>
      <c r="F350" s="16">
        <f>IF(E350="","",DATEDIF(E350,$I$7,"Y"))</f>
      </c>
      <c r="G350" s="85"/>
      <c r="H350" s="85"/>
      <c r="I350" s="87"/>
      <c r="J350" s="85"/>
      <c r="K350" s="85"/>
      <c r="L350" s="10"/>
      <c r="M350" s="10"/>
      <c r="N350" s="10"/>
      <c r="O350" s="10"/>
      <c r="P350" s="85"/>
      <c r="Q350" s="88"/>
      <c r="R350" s="3">
        <f>IFERROR(VLOOKUP(TablaOctubre[[#This Row],[BARRIO]],SECTOR!$A:$B,2,0),"")</f>
      </c>
      <c r="S350" s="89"/>
      <c r="T350" s="90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6"/>
      <c r="AZ350" s="120">
        <f>COUNTIF(U350:AY350,"A")</f>
      </c>
      <c r="BA350" s="121">
        <f>COUNTIF(U350:AY350,"F")</f>
      </c>
      <c r="BB350" s="119">
        <f>COUNTIF(U350:AY350,"E")</f>
      </c>
    </row>
    <row r="351" spans="1:54" x14ac:dyDescent="0.2">
      <c r="A351" s="84"/>
      <c r="B351" s="85"/>
      <c r="C351" s="85"/>
      <c r="D351" s="85"/>
      <c r="E351" s="86"/>
      <c r="F351" s="16">
        <f>IF(E351="","",DATEDIF(E351,$I$7,"Y"))</f>
      </c>
      <c r="G351" s="85"/>
      <c r="H351" s="85"/>
      <c r="I351" s="87"/>
      <c r="J351" s="85"/>
      <c r="K351" s="85"/>
      <c r="L351" s="10"/>
      <c r="M351" s="10"/>
      <c r="N351" s="10"/>
      <c r="O351" s="10"/>
      <c r="P351" s="85"/>
      <c r="Q351" s="88"/>
      <c r="R351" s="3">
        <f>IFERROR(VLOOKUP(TablaOctubre[[#This Row],[BARRIO]],SECTOR!$A:$B,2,0),"")</f>
      </c>
      <c r="S351" s="89"/>
      <c r="T351" s="90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6"/>
      <c r="AZ351" s="120">
        <f>COUNTIF(U351:AY351,"A")</f>
      </c>
      <c r="BA351" s="121">
        <f>COUNTIF(U351:AY351,"F")</f>
      </c>
      <c r="BB351" s="119">
        <f>COUNTIF(U351:AY351,"E")</f>
      </c>
    </row>
    <row r="352" spans="1:54" x14ac:dyDescent="0.2">
      <c r="A352" s="84"/>
      <c r="B352" s="85"/>
      <c r="C352" s="85"/>
      <c r="D352" s="85"/>
      <c r="E352" s="86"/>
      <c r="F352" s="16">
        <f>IF(E352="","",DATEDIF(E352,$I$7,"Y"))</f>
      </c>
      <c r="G352" s="85"/>
      <c r="H352" s="85"/>
      <c r="I352" s="87"/>
      <c r="J352" s="85"/>
      <c r="K352" s="85"/>
      <c r="L352" s="10"/>
      <c r="M352" s="10"/>
      <c r="N352" s="10"/>
      <c r="O352" s="10"/>
      <c r="P352" s="85"/>
      <c r="Q352" s="88"/>
      <c r="R352" s="3">
        <f>IFERROR(VLOOKUP(TablaOctubre[[#This Row],[BARRIO]],SECTOR!$A:$B,2,0),"")</f>
      </c>
      <c r="S352" s="89"/>
      <c r="T352" s="90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6"/>
      <c r="AZ352" s="120">
        <f>COUNTIF(U352:AY352,"A")</f>
      </c>
      <c r="BA352" s="121">
        <f>COUNTIF(U352:AY352,"F")</f>
      </c>
      <c r="BB352" s="119">
        <f>COUNTIF(U352:AY352,"E")</f>
      </c>
    </row>
    <row r="353" spans="1:54" x14ac:dyDescent="0.2">
      <c r="A353" s="84"/>
      <c r="B353" s="85"/>
      <c r="C353" s="85"/>
      <c r="D353" s="85"/>
      <c r="E353" s="86"/>
      <c r="F353" s="16">
        <f>IF(E353="","",DATEDIF(E353,$I$7,"Y"))</f>
      </c>
      <c r="G353" s="85"/>
      <c r="H353" s="85"/>
      <c r="I353" s="87"/>
      <c r="J353" s="85"/>
      <c r="K353" s="85"/>
      <c r="L353" s="10"/>
      <c r="M353" s="10"/>
      <c r="N353" s="10"/>
      <c r="O353" s="10"/>
      <c r="P353" s="85"/>
      <c r="Q353" s="88"/>
      <c r="R353" s="3">
        <f>IFERROR(VLOOKUP(TablaOctubre[[#This Row],[BARRIO]],SECTOR!$A:$B,2,0),"")</f>
      </c>
      <c r="S353" s="89"/>
      <c r="T353" s="90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6"/>
      <c r="AZ353" s="120">
        <f>COUNTIF(U353:AY353,"A")</f>
      </c>
      <c r="BA353" s="121">
        <f>COUNTIF(U353:AY353,"F")</f>
      </c>
      <c r="BB353" s="119">
        <f>COUNTIF(U353:AY353,"E")</f>
      </c>
    </row>
    <row r="354" spans="1:54" x14ac:dyDescent="0.2">
      <c r="A354" s="84"/>
      <c r="B354" s="85"/>
      <c r="C354" s="85"/>
      <c r="D354" s="85"/>
      <c r="E354" s="86"/>
      <c r="F354" s="16">
        <f>IF(E354="","",DATEDIF(E354,$I$7,"Y"))</f>
      </c>
      <c r="G354" s="85"/>
      <c r="H354" s="85"/>
      <c r="I354" s="87"/>
      <c r="J354" s="85"/>
      <c r="K354" s="85"/>
      <c r="L354" s="10"/>
      <c r="M354" s="10"/>
      <c r="N354" s="10"/>
      <c r="O354" s="10"/>
      <c r="P354" s="85"/>
      <c r="Q354" s="88"/>
      <c r="R354" s="3">
        <f>IFERROR(VLOOKUP(TablaOctubre[[#This Row],[BARRIO]],SECTOR!$A:$B,2,0),"")</f>
      </c>
      <c r="S354" s="89"/>
      <c r="T354" s="90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6"/>
      <c r="AZ354" s="120">
        <f>COUNTIF(U354:AY354,"A")</f>
      </c>
      <c r="BA354" s="121">
        <f>COUNTIF(U354:AY354,"F")</f>
      </c>
      <c r="BB354" s="119">
        <f>COUNTIF(U354:AY354,"E")</f>
      </c>
    </row>
    <row r="355" spans="1:54" x14ac:dyDescent="0.2">
      <c r="A355" s="84"/>
      <c r="B355" s="85"/>
      <c r="C355" s="85"/>
      <c r="D355" s="85"/>
      <c r="E355" s="86"/>
      <c r="F355" s="16">
        <f>IF(E355="","",DATEDIF(E355,$I$7,"Y"))</f>
      </c>
      <c r="G355" s="85"/>
      <c r="H355" s="85"/>
      <c r="I355" s="87"/>
      <c r="J355" s="85"/>
      <c r="K355" s="85"/>
      <c r="L355" s="10"/>
      <c r="M355" s="10"/>
      <c r="N355" s="10"/>
      <c r="O355" s="10"/>
      <c r="P355" s="85"/>
      <c r="Q355" s="88"/>
      <c r="R355" s="3">
        <f>IFERROR(VLOOKUP(TablaOctubre[[#This Row],[BARRIO]],SECTOR!$A:$B,2,0),"")</f>
      </c>
      <c r="S355" s="89"/>
      <c r="T355" s="90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6"/>
      <c r="AZ355" s="120">
        <f>COUNTIF(U355:AY355,"A")</f>
      </c>
      <c r="BA355" s="121">
        <f>COUNTIF(U355:AY355,"F")</f>
      </c>
      <c r="BB355" s="119">
        <f>COUNTIF(U355:AY355,"E")</f>
      </c>
    </row>
    <row r="356" spans="1:54" x14ac:dyDescent="0.2">
      <c r="A356" s="84"/>
      <c r="B356" s="85"/>
      <c r="C356" s="85"/>
      <c r="D356" s="85"/>
      <c r="E356" s="86"/>
      <c r="F356" s="16">
        <f>IF(E356="","",DATEDIF(E356,$I$7,"Y"))</f>
      </c>
      <c r="G356" s="85"/>
      <c r="H356" s="85"/>
      <c r="I356" s="87"/>
      <c r="J356" s="85"/>
      <c r="K356" s="85"/>
      <c r="L356" s="10"/>
      <c r="M356" s="10"/>
      <c r="N356" s="10"/>
      <c r="O356" s="10"/>
      <c r="P356" s="85"/>
      <c r="Q356" s="88"/>
      <c r="R356" s="3">
        <f>IFERROR(VLOOKUP(TablaOctubre[[#This Row],[BARRIO]],SECTOR!$A:$B,2,0),"")</f>
      </c>
      <c r="S356" s="89"/>
      <c r="T356" s="90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6"/>
      <c r="AZ356" s="120">
        <f>COUNTIF(U356:AY356,"A")</f>
      </c>
      <c r="BA356" s="121">
        <f>COUNTIF(U356:AY356,"F")</f>
      </c>
      <c r="BB356" s="119">
        <f>COUNTIF(U356:AY356,"E")</f>
      </c>
    </row>
    <row r="357" spans="1:54" x14ac:dyDescent="0.2">
      <c r="A357" s="84"/>
      <c r="B357" s="85"/>
      <c r="C357" s="85"/>
      <c r="D357" s="85"/>
      <c r="E357" s="86"/>
      <c r="F357" s="16">
        <f>IF(E357="","",DATEDIF(E357,$I$7,"Y"))</f>
      </c>
      <c r="G357" s="85"/>
      <c r="H357" s="85"/>
      <c r="I357" s="87"/>
      <c r="J357" s="85"/>
      <c r="K357" s="85"/>
      <c r="L357" s="10"/>
      <c r="M357" s="10"/>
      <c r="N357" s="10"/>
      <c r="O357" s="10"/>
      <c r="P357" s="85"/>
      <c r="Q357" s="88"/>
      <c r="R357" s="3">
        <f>IFERROR(VLOOKUP(TablaOctubre[[#This Row],[BARRIO]],SECTOR!$A:$B,2,0),"")</f>
      </c>
      <c r="S357" s="89"/>
      <c r="T357" s="90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6"/>
      <c r="AZ357" s="120">
        <f>COUNTIF(U357:AY357,"A")</f>
      </c>
      <c r="BA357" s="121">
        <f>COUNTIF(U357:AY357,"F")</f>
      </c>
      <c r="BB357" s="119">
        <f>COUNTIF(U357:AY357,"E")</f>
      </c>
    </row>
    <row r="358" spans="1:54" x14ac:dyDescent="0.2">
      <c r="A358" s="84"/>
      <c r="B358" s="85"/>
      <c r="C358" s="85"/>
      <c r="D358" s="85"/>
      <c r="E358" s="86"/>
      <c r="F358" s="16">
        <f>IF(E358="","",DATEDIF(E358,$I$7,"Y"))</f>
      </c>
      <c r="G358" s="85"/>
      <c r="H358" s="85"/>
      <c r="I358" s="87"/>
      <c r="J358" s="85"/>
      <c r="K358" s="85"/>
      <c r="L358" s="10"/>
      <c r="M358" s="10"/>
      <c r="N358" s="10"/>
      <c r="O358" s="10"/>
      <c r="P358" s="85"/>
      <c r="Q358" s="88"/>
      <c r="R358" s="3">
        <f>IFERROR(VLOOKUP(TablaOctubre[[#This Row],[BARRIO]],SECTOR!$A:$B,2,0),"")</f>
      </c>
      <c r="S358" s="89"/>
      <c r="T358" s="90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6"/>
      <c r="AZ358" s="120">
        <f>COUNTIF(U358:AY358,"A")</f>
      </c>
      <c r="BA358" s="121">
        <f>COUNTIF(U358:AY358,"F")</f>
      </c>
      <c r="BB358" s="119">
        <f>COUNTIF(U358:AY358,"E")</f>
      </c>
    </row>
    <row r="359" spans="1:54" x14ac:dyDescent="0.2">
      <c r="A359" s="84"/>
      <c r="B359" s="85"/>
      <c r="C359" s="85"/>
      <c r="D359" s="85"/>
      <c r="E359" s="86"/>
      <c r="F359" s="16">
        <f>IF(E359="","",DATEDIF(E359,$I$7,"Y"))</f>
      </c>
      <c r="G359" s="85"/>
      <c r="H359" s="85"/>
      <c r="I359" s="87"/>
      <c r="J359" s="85"/>
      <c r="K359" s="85"/>
      <c r="L359" s="10"/>
      <c r="M359" s="10"/>
      <c r="N359" s="10"/>
      <c r="O359" s="10"/>
      <c r="P359" s="85"/>
      <c r="Q359" s="88"/>
      <c r="R359" s="3">
        <f>IFERROR(VLOOKUP(TablaOctubre[[#This Row],[BARRIO]],SECTOR!$A:$B,2,0),"")</f>
      </c>
      <c r="S359" s="89"/>
      <c r="T359" s="90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6"/>
      <c r="AZ359" s="120">
        <f>COUNTIF(U359:AY359,"A")</f>
      </c>
      <c r="BA359" s="121">
        <f>COUNTIF(U359:AY359,"F")</f>
      </c>
      <c r="BB359" s="119">
        <f>COUNTIF(U359:AY359,"E")</f>
      </c>
    </row>
    <row r="360" spans="1:54" x14ac:dyDescent="0.2">
      <c r="A360" s="84"/>
      <c r="B360" s="85"/>
      <c r="C360" s="85"/>
      <c r="D360" s="85"/>
      <c r="E360" s="86"/>
      <c r="F360" s="16">
        <f>IF(E360="","",DATEDIF(E360,$I$7,"Y"))</f>
      </c>
      <c r="G360" s="85"/>
      <c r="H360" s="85"/>
      <c r="I360" s="87"/>
      <c r="J360" s="85"/>
      <c r="K360" s="85"/>
      <c r="L360" s="10"/>
      <c r="M360" s="10"/>
      <c r="N360" s="10"/>
      <c r="O360" s="10"/>
      <c r="P360" s="85"/>
      <c r="Q360" s="88"/>
      <c r="R360" s="3">
        <f>IFERROR(VLOOKUP(TablaOctubre[[#This Row],[BARRIO]],SECTOR!$A:$B,2,0),"")</f>
      </c>
      <c r="S360" s="89"/>
      <c r="T360" s="90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6"/>
      <c r="AZ360" s="120">
        <f>COUNTIF(U360:AY360,"A")</f>
      </c>
      <c r="BA360" s="121">
        <f>COUNTIF(U360:AY360,"F")</f>
      </c>
      <c r="BB360" s="119">
        <f>COUNTIF(U360:AY360,"E")</f>
      </c>
    </row>
    <row r="361" spans="1:54" x14ac:dyDescent="0.2">
      <c r="A361" s="84"/>
      <c r="B361" s="85"/>
      <c r="C361" s="85"/>
      <c r="D361" s="85"/>
      <c r="E361" s="86"/>
      <c r="F361" s="16">
        <f>IF(E361="","",DATEDIF(E361,$I$7,"Y"))</f>
      </c>
      <c r="G361" s="85"/>
      <c r="H361" s="85"/>
      <c r="I361" s="87"/>
      <c r="J361" s="85"/>
      <c r="K361" s="85"/>
      <c r="L361" s="10"/>
      <c r="M361" s="10"/>
      <c r="N361" s="10"/>
      <c r="O361" s="10"/>
      <c r="P361" s="85"/>
      <c r="Q361" s="88"/>
      <c r="R361" s="3">
        <f>IFERROR(VLOOKUP(TablaOctubre[[#This Row],[BARRIO]],SECTOR!$A:$B,2,0),"")</f>
      </c>
      <c r="S361" s="89"/>
      <c r="T361" s="90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6"/>
      <c r="AZ361" s="120">
        <f>COUNTIF(U361:AY361,"A")</f>
      </c>
      <c r="BA361" s="121">
        <f>COUNTIF(U361:AY361,"F")</f>
      </c>
      <c r="BB361" s="119">
        <f>COUNTIF(U361:AY361,"E")</f>
      </c>
    </row>
    <row r="362" spans="1:54" x14ac:dyDescent="0.2">
      <c r="A362" s="84"/>
      <c r="B362" s="85"/>
      <c r="C362" s="85"/>
      <c r="D362" s="85"/>
      <c r="E362" s="86"/>
      <c r="F362" s="16">
        <f>IF(E362="","",DATEDIF(E362,$I$7,"Y"))</f>
      </c>
      <c r="G362" s="85"/>
      <c r="H362" s="85"/>
      <c r="I362" s="87"/>
      <c r="J362" s="85"/>
      <c r="K362" s="85"/>
      <c r="L362" s="10"/>
      <c r="M362" s="10"/>
      <c r="N362" s="10"/>
      <c r="O362" s="10"/>
      <c r="P362" s="85"/>
      <c r="Q362" s="88"/>
      <c r="R362" s="3">
        <f>IFERROR(VLOOKUP(TablaOctubre[[#This Row],[BARRIO]],SECTOR!$A:$B,2,0),"")</f>
      </c>
      <c r="S362" s="89"/>
      <c r="T362" s="90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6"/>
      <c r="AZ362" s="120">
        <f>COUNTIF(U362:AY362,"A")</f>
      </c>
      <c r="BA362" s="121">
        <f>COUNTIF(U362:AY362,"F")</f>
      </c>
      <c r="BB362" s="119">
        <f>COUNTIF(U362:AY362,"E")</f>
      </c>
    </row>
    <row r="363" spans="1:54" x14ac:dyDescent="0.2">
      <c r="A363" s="84"/>
      <c r="B363" s="85"/>
      <c r="C363" s="85"/>
      <c r="D363" s="85"/>
      <c r="E363" s="86"/>
      <c r="F363" s="16">
        <f>IF(E363="","",DATEDIF(E363,$I$7,"Y"))</f>
      </c>
      <c r="G363" s="85"/>
      <c r="H363" s="85"/>
      <c r="I363" s="87"/>
      <c r="J363" s="85"/>
      <c r="K363" s="85"/>
      <c r="L363" s="10"/>
      <c r="M363" s="10"/>
      <c r="N363" s="10"/>
      <c r="O363" s="10"/>
      <c r="P363" s="85"/>
      <c r="Q363" s="88"/>
      <c r="R363" s="3">
        <f>IFERROR(VLOOKUP(TablaOctubre[[#This Row],[BARRIO]],SECTOR!$A:$B,2,0),"")</f>
      </c>
      <c r="S363" s="89"/>
      <c r="T363" s="90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6"/>
      <c r="AZ363" s="120">
        <f>COUNTIF(U363:AY363,"A")</f>
      </c>
      <c r="BA363" s="121">
        <f>COUNTIF(U363:AY363,"F")</f>
      </c>
      <c r="BB363" s="119">
        <f>COUNTIF(U363:AY363,"E")</f>
      </c>
    </row>
    <row r="364" spans="1:54" x14ac:dyDescent="0.2">
      <c r="A364" s="84"/>
      <c r="B364" s="85"/>
      <c r="C364" s="85"/>
      <c r="D364" s="85"/>
      <c r="E364" s="86"/>
      <c r="F364" s="16">
        <f>IF(E364="","",DATEDIF(E364,$I$7,"Y"))</f>
      </c>
      <c r="G364" s="85"/>
      <c r="H364" s="85"/>
      <c r="I364" s="87"/>
      <c r="J364" s="85"/>
      <c r="K364" s="85"/>
      <c r="L364" s="10"/>
      <c r="M364" s="10"/>
      <c r="N364" s="10"/>
      <c r="O364" s="10"/>
      <c r="P364" s="85"/>
      <c r="Q364" s="88"/>
      <c r="R364" s="3">
        <f>IFERROR(VLOOKUP(TablaOctubre[[#This Row],[BARRIO]],SECTOR!$A:$B,2,0),"")</f>
      </c>
      <c r="S364" s="89"/>
      <c r="T364" s="90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6"/>
      <c r="AZ364" s="120">
        <f>COUNTIF(U364:AY364,"A")</f>
      </c>
      <c r="BA364" s="121">
        <f>COUNTIF(U364:AY364,"F")</f>
      </c>
      <c r="BB364" s="119">
        <f>COUNTIF(U364:AY364,"E")</f>
      </c>
    </row>
    <row r="365" spans="1:54" x14ac:dyDescent="0.2">
      <c r="A365" s="84"/>
      <c r="B365" s="85"/>
      <c r="C365" s="85"/>
      <c r="D365" s="85"/>
      <c r="E365" s="86"/>
      <c r="F365" s="16">
        <f>IF(E365="","",DATEDIF(E365,$I$7,"Y"))</f>
      </c>
      <c r="G365" s="85"/>
      <c r="H365" s="85"/>
      <c r="I365" s="87"/>
      <c r="J365" s="85"/>
      <c r="K365" s="85"/>
      <c r="L365" s="10"/>
      <c r="M365" s="10"/>
      <c r="N365" s="10"/>
      <c r="O365" s="10"/>
      <c r="P365" s="85"/>
      <c r="Q365" s="88"/>
      <c r="R365" s="3">
        <f>IFERROR(VLOOKUP(TablaOctubre[[#This Row],[BARRIO]],SECTOR!$A:$B,2,0),"")</f>
      </c>
      <c r="S365" s="89"/>
      <c r="T365" s="90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6"/>
      <c r="AZ365" s="120">
        <f>COUNTIF(U365:AY365,"A")</f>
      </c>
      <c r="BA365" s="121">
        <f>COUNTIF(U365:AY365,"F")</f>
      </c>
      <c r="BB365" s="119">
        <f>COUNTIF(U365:AY365,"E")</f>
      </c>
    </row>
    <row r="366" spans="1:54" x14ac:dyDescent="0.2">
      <c r="A366" s="84"/>
      <c r="B366" s="85"/>
      <c r="C366" s="85"/>
      <c r="D366" s="85"/>
      <c r="E366" s="86"/>
      <c r="F366" s="16">
        <f>IF(E366="","",DATEDIF(E366,$I$7,"Y"))</f>
      </c>
      <c r="G366" s="85"/>
      <c r="H366" s="85"/>
      <c r="I366" s="87"/>
      <c r="J366" s="85"/>
      <c r="K366" s="85"/>
      <c r="L366" s="10"/>
      <c r="M366" s="10"/>
      <c r="N366" s="10"/>
      <c r="O366" s="10"/>
      <c r="P366" s="85"/>
      <c r="Q366" s="88"/>
      <c r="R366" s="3">
        <f>IFERROR(VLOOKUP(TablaOctubre[[#This Row],[BARRIO]],SECTOR!$A:$B,2,0),"")</f>
      </c>
      <c r="S366" s="89"/>
      <c r="T366" s="90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6"/>
      <c r="AZ366" s="120">
        <f>COUNTIF(U366:AY366,"A")</f>
      </c>
      <c r="BA366" s="121">
        <f>COUNTIF(U366:AY366,"F")</f>
      </c>
      <c r="BB366" s="119">
        <f>COUNTIF(U366:AY366,"E")</f>
      </c>
    </row>
    <row r="367" spans="1:54" x14ac:dyDescent="0.2">
      <c r="A367" s="84"/>
      <c r="B367" s="85"/>
      <c r="C367" s="85"/>
      <c r="D367" s="85"/>
      <c r="E367" s="86"/>
      <c r="F367" s="16">
        <f>IF(E367="","",DATEDIF(E367,$I$7,"Y"))</f>
      </c>
      <c r="G367" s="85"/>
      <c r="H367" s="85"/>
      <c r="I367" s="87"/>
      <c r="J367" s="85"/>
      <c r="K367" s="85"/>
      <c r="L367" s="10"/>
      <c r="M367" s="10"/>
      <c r="N367" s="10"/>
      <c r="O367" s="10"/>
      <c r="P367" s="85"/>
      <c r="Q367" s="88"/>
      <c r="R367" s="3">
        <f>IFERROR(VLOOKUP(TablaOctubre[[#This Row],[BARRIO]],SECTOR!$A:$B,2,0),"")</f>
      </c>
      <c r="S367" s="89"/>
      <c r="T367" s="90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6"/>
      <c r="AZ367" s="120">
        <f>COUNTIF(U367:AY367,"A")</f>
      </c>
      <c r="BA367" s="121">
        <f>COUNTIF(U367:AY367,"F")</f>
      </c>
      <c r="BB367" s="119">
        <f>COUNTIF(U367:AY367,"E")</f>
      </c>
    </row>
    <row r="368" spans="1:54" x14ac:dyDescent="0.2">
      <c r="A368" s="84"/>
      <c r="B368" s="85"/>
      <c r="C368" s="85"/>
      <c r="D368" s="85"/>
      <c r="E368" s="86"/>
      <c r="F368" s="16">
        <f>IF(E368="","",DATEDIF(E368,$I$7,"Y"))</f>
      </c>
      <c r="G368" s="85"/>
      <c r="H368" s="85"/>
      <c r="I368" s="87"/>
      <c r="J368" s="85"/>
      <c r="K368" s="85"/>
      <c r="L368" s="10"/>
      <c r="M368" s="10"/>
      <c r="N368" s="10"/>
      <c r="O368" s="10"/>
      <c r="P368" s="85"/>
      <c r="Q368" s="88"/>
      <c r="R368" s="3">
        <f>IFERROR(VLOOKUP(TablaOctubre[[#This Row],[BARRIO]],SECTOR!$A:$B,2,0),"")</f>
      </c>
      <c r="S368" s="89"/>
      <c r="T368" s="90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6"/>
      <c r="AZ368" s="120">
        <f>COUNTIF(U368:AY368,"A")</f>
      </c>
      <c r="BA368" s="121">
        <f>COUNTIF(U368:AY368,"F")</f>
      </c>
      <c r="BB368" s="119">
        <f>COUNTIF(U368:AY368,"E")</f>
      </c>
    </row>
    <row r="369" spans="1:54" x14ac:dyDescent="0.2">
      <c r="A369" s="84"/>
      <c r="B369" s="85"/>
      <c r="C369" s="85"/>
      <c r="D369" s="85"/>
      <c r="E369" s="86"/>
      <c r="F369" s="16">
        <f>IF(E369="","",DATEDIF(E369,$I$7,"Y"))</f>
      </c>
      <c r="G369" s="85"/>
      <c r="H369" s="85"/>
      <c r="I369" s="87"/>
      <c r="J369" s="85"/>
      <c r="K369" s="85"/>
      <c r="L369" s="10"/>
      <c r="M369" s="10"/>
      <c r="N369" s="10"/>
      <c r="O369" s="10"/>
      <c r="P369" s="85"/>
      <c r="Q369" s="88"/>
      <c r="R369" s="3">
        <f>IFERROR(VLOOKUP(TablaOctubre[[#This Row],[BARRIO]],SECTOR!$A:$B,2,0),"")</f>
      </c>
      <c r="S369" s="89"/>
      <c r="T369" s="90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6"/>
      <c r="AZ369" s="120">
        <f>COUNTIF(U369:AY369,"A")</f>
      </c>
      <c r="BA369" s="121">
        <f>COUNTIF(U369:AY369,"F")</f>
      </c>
      <c r="BB369" s="119">
        <f>COUNTIF(U369:AY369,"E")</f>
      </c>
    </row>
    <row r="370" spans="1:54" x14ac:dyDescent="0.2">
      <c r="A370" s="84"/>
      <c r="B370" s="85"/>
      <c r="C370" s="85"/>
      <c r="D370" s="85"/>
      <c r="E370" s="86"/>
      <c r="F370" s="16">
        <f>IF(E370="","",DATEDIF(E370,$I$7,"Y"))</f>
      </c>
      <c r="G370" s="85"/>
      <c r="H370" s="85"/>
      <c r="I370" s="87"/>
      <c r="J370" s="85"/>
      <c r="K370" s="85"/>
      <c r="L370" s="10"/>
      <c r="M370" s="10"/>
      <c r="N370" s="10"/>
      <c r="O370" s="10"/>
      <c r="P370" s="85"/>
      <c r="Q370" s="88"/>
      <c r="R370" s="3">
        <f>IFERROR(VLOOKUP(TablaOctubre[[#This Row],[BARRIO]],SECTOR!$A:$B,2,0),"")</f>
      </c>
      <c r="S370" s="89"/>
      <c r="T370" s="90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6"/>
      <c r="AZ370" s="120">
        <f>COUNTIF(U370:AY370,"A")</f>
      </c>
      <c r="BA370" s="121">
        <f>COUNTIF(U370:AY370,"F")</f>
      </c>
      <c r="BB370" s="119">
        <f>COUNTIF(U370:AY370,"E")</f>
      </c>
    </row>
    <row r="371" spans="1:54" x14ac:dyDescent="0.2">
      <c r="A371" s="84"/>
      <c r="B371" s="85"/>
      <c r="C371" s="85"/>
      <c r="D371" s="85"/>
      <c r="E371" s="86"/>
      <c r="F371" s="16">
        <f>IF(E371="","",DATEDIF(E371,$I$7,"Y"))</f>
      </c>
      <c r="G371" s="85"/>
      <c r="H371" s="85"/>
      <c r="I371" s="87"/>
      <c r="J371" s="85"/>
      <c r="K371" s="85"/>
      <c r="L371" s="10"/>
      <c r="M371" s="10"/>
      <c r="N371" s="10"/>
      <c r="O371" s="10"/>
      <c r="P371" s="85"/>
      <c r="Q371" s="88"/>
      <c r="R371" s="3">
        <f>IFERROR(VLOOKUP(TablaOctubre[[#This Row],[BARRIO]],SECTOR!$A:$B,2,0),"")</f>
      </c>
      <c r="S371" s="89"/>
      <c r="T371" s="90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6"/>
      <c r="AZ371" s="120">
        <f>COUNTIF(U371:AY371,"A")</f>
      </c>
      <c r="BA371" s="121">
        <f>COUNTIF(U371:AY371,"F")</f>
      </c>
      <c r="BB371" s="119">
        <f>COUNTIF(U371:AY371,"E")</f>
      </c>
    </row>
    <row r="372" spans="1:54" x14ac:dyDescent="0.2">
      <c r="A372" s="84"/>
      <c r="B372" s="85"/>
      <c r="C372" s="85"/>
      <c r="D372" s="85"/>
      <c r="E372" s="86"/>
      <c r="F372" s="16">
        <f>IF(E372="","",DATEDIF(E372,$I$7,"Y"))</f>
      </c>
      <c r="G372" s="85"/>
      <c r="H372" s="85"/>
      <c r="I372" s="87"/>
      <c r="J372" s="85"/>
      <c r="K372" s="85"/>
      <c r="L372" s="10"/>
      <c r="M372" s="10"/>
      <c r="N372" s="10"/>
      <c r="O372" s="10"/>
      <c r="P372" s="85"/>
      <c r="Q372" s="88"/>
      <c r="R372" s="3">
        <f>IFERROR(VLOOKUP(TablaOctubre[[#This Row],[BARRIO]],SECTOR!$A:$B,2,0),"")</f>
      </c>
      <c r="S372" s="89"/>
      <c r="T372" s="90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6"/>
      <c r="AZ372" s="120">
        <f>COUNTIF(U372:AY372,"A")</f>
      </c>
      <c r="BA372" s="121">
        <f>COUNTIF(U372:AY372,"F")</f>
      </c>
      <c r="BB372" s="119">
        <f>COUNTIF(U372:AY372,"E")</f>
      </c>
    </row>
    <row r="373" spans="1:54" x14ac:dyDescent="0.2">
      <c r="A373" s="84"/>
      <c r="B373" s="85"/>
      <c r="C373" s="85"/>
      <c r="D373" s="85"/>
      <c r="E373" s="86"/>
      <c r="F373" s="16">
        <f>IF(E373="","",DATEDIF(E373,$I$7,"Y"))</f>
      </c>
      <c r="G373" s="85"/>
      <c r="H373" s="85"/>
      <c r="I373" s="87"/>
      <c r="J373" s="85"/>
      <c r="K373" s="85"/>
      <c r="L373" s="10"/>
      <c r="M373" s="10"/>
      <c r="N373" s="10"/>
      <c r="O373" s="10"/>
      <c r="P373" s="85"/>
      <c r="Q373" s="88"/>
      <c r="R373" s="3">
        <f>IFERROR(VLOOKUP(TablaOctubre[[#This Row],[BARRIO]],SECTOR!$A:$B,2,0),"")</f>
      </c>
      <c r="S373" s="89"/>
      <c r="T373" s="90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6"/>
      <c r="AZ373" s="120">
        <f>COUNTIF(U373:AY373,"A")</f>
      </c>
      <c r="BA373" s="121">
        <f>COUNTIF(U373:AY373,"F")</f>
      </c>
      <c r="BB373" s="119">
        <f>COUNTIF(U373:AY373,"E")</f>
      </c>
    </row>
    <row r="374" spans="1:54" x14ac:dyDescent="0.2">
      <c r="A374" s="84"/>
      <c r="B374" s="85"/>
      <c r="C374" s="85"/>
      <c r="D374" s="85"/>
      <c r="E374" s="86"/>
      <c r="F374" s="16">
        <f>IF(E374="","",DATEDIF(E374,$I$7,"Y"))</f>
      </c>
      <c r="G374" s="85"/>
      <c r="H374" s="85"/>
      <c r="I374" s="87"/>
      <c r="J374" s="85"/>
      <c r="K374" s="85"/>
      <c r="L374" s="10"/>
      <c r="M374" s="10"/>
      <c r="N374" s="10"/>
      <c r="O374" s="10"/>
      <c r="P374" s="85"/>
      <c r="Q374" s="88"/>
      <c r="R374" s="3">
        <f>IFERROR(VLOOKUP(TablaOctubre[[#This Row],[BARRIO]],SECTOR!$A:$B,2,0),"")</f>
      </c>
      <c r="S374" s="89"/>
      <c r="T374" s="90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6"/>
      <c r="AZ374" s="120">
        <f>COUNTIF(U374:AY374,"A")</f>
      </c>
      <c r="BA374" s="121">
        <f>COUNTIF(U374:AY374,"F")</f>
      </c>
      <c r="BB374" s="119">
        <f>COUNTIF(U374:AY374,"E")</f>
      </c>
    </row>
    <row r="375" spans="1:54" x14ac:dyDescent="0.2">
      <c r="A375" s="84"/>
      <c r="B375" s="85"/>
      <c r="C375" s="85"/>
      <c r="D375" s="85"/>
      <c r="E375" s="86"/>
      <c r="F375" s="16">
        <f>IF(E375="","",DATEDIF(E375,$I$7,"Y"))</f>
      </c>
      <c r="G375" s="85"/>
      <c r="H375" s="85"/>
      <c r="I375" s="87"/>
      <c r="J375" s="85"/>
      <c r="K375" s="85"/>
      <c r="L375" s="10"/>
      <c r="M375" s="10"/>
      <c r="N375" s="10"/>
      <c r="O375" s="10"/>
      <c r="P375" s="85"/>
      <c r="Q375" s="88"/>
      <c r="R375" s="3">
        <f>IFERROR(VLOOKUP(TablaOctubre[[#This Row],[BARRIO]],SECTOR!$A:$B,2,0),"")</f>
      </c>
      <c r="S375" s="89"/>
      <c r="T375" s="90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6"/>
      <c r="AZ375" s="120">
        <f>COUNTIF(U375:AY375,"A")</f>
      </c>
      <c r="BA375" s="121">
        <f>COUNTIF(U375:AY375,"F")</f>
      </c>
      <c r="BB375" s="119">
        <f>COUNTIF(U375:AY375,"E")</f>
      </c>
    </row>
    <row r="376" spans="1:54" x14ac:dyDescent="0.2">
      <c r="A376" s="84"/>
      <c r="B376" s="85"/>
      <c r="C376" s="85"/>
      <c r="D376" s="85"/>
      <c r="E376" s="86"/>
      <c r="F376" s="16">
        <f>IF(E376="","",DATEDIF(E376,$I$7,"Y"))</f>
      </c>
      <c r="G376" s="85"/>
      <c r="H376" s="85"/>
      <c r="I376" s="87"/>
      <c r="J376" s="85"/>
      <c r="K376" s="85"/>
      <c r="L376" s="10"/>
      <c r="M376" s="10"/>
      <c r="N376" s="10"/>
      <c r="O376" s="10"/>
      <c r="P376" s="85"/>
      <c r="Q376" s="88"/>
      <c r="R376" s="3">
        <f>IFERROR(VLOOKUP(TablaOctubre[[#This Row],[BARRIO]],SECTOR!$A:$B,2,0),"")</f>
      </c>
      <c r="S376" s="89"/>
      <c r="T376" s="90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6"/>
      <c r="AZ376" s="120">
        <f>COUNTIF(U376:AY376,"A")</f>
      </c>
      <c r="BA376" s="121">
        <f>COUNTIF(U376:AY376,"F")</f>
      </c>
      <c r="BB376" s="119">
        <f>COUNTIF(U376:AY376,"E")</f>
      </c>
    </row>
    <row r="377" spans="1:54" x14ac:dyDescent="0.2">
      <c r="A377" s="84"/>
      <c r="B377" s="85"/>
      <c r="C377" s="85"/>
      <c r="D377" s="85"/>
      <c r="E377" s="86"/>
      <c r="F377" s="16">
        <f>IF(E377="","",DATEDIF(E377,$I$7,"Y"))</f>
      </c>
      <c r="G377" s="85"/>
      <c r="H377" s="85"/>
      <c r="I377" s="87"/>
      <c r="J377" s="85"/>
      <c r="K377" s="85"/>
      <c r="L377" s="10"/>
      <c r="M377" s="10"/>
      <c r="N377" s="10"/>
      <c r="O377" s="10"/>
      <c r="P377" s="85"/>
      <c r="Q377" s="88"/>
      <c r="R377" s="3">
        <f>IFERROR(VLOOKUP(TablaOctubre[[#This Row],[BARRIO]],SECTOR!$A:$B,2,0),"")</f>
      </c>
      <c r="S377" s="89"/>
      <c r="T377" s="90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6"/>
      <c r="AZ377" s="120">
        <f>COUNTIF(U377:AY377,"A")</f>
      </c>
      <c r="BA377" s="121">
        <f>COUNTIF(U377:AY377,"F")</f>
      </c>
      <c r="BB377" s="119">
        <f>COUNTIF(U377:AY377,"E")</f>
      </c>
    </row>
    <row r="378" spans="1:54" x14ac:dyDescent="0.2">
      <c r="A378" s="84"/>
      <c r="B378" s="85"/>
      <c r="C378" s="85"/>
      <c r="D378" s="85"/>
      <c r="E378" s="86"/>
      <c r="F378" s="16">
        <f>IF(E378="","",DATEDIF(E378,$I$7,"Y"))</f>
      </c>
      <c r="G378" s="85"/>
      <c r="H378" s="85"/>
      <c r="I378" s="87"/>
      <c r="J378" s="85"/>
      <c r="K378" s="85"/>
      <c r="L378" s="10"/>
      <c r="M378" s="10"/>
      <c r="N378" s="10"/>
      <c r="O378" s="10"/>
      <c r="P378" s="85"/>
      <c r="Q378" s="88"/>
      <c r="R378" s="3">
        <f>IFERROR(VLOOKUP(TablaOctubre[[#This Row],[BARRIO]],SECTOR!$A:$B,2,0),"")</f>
      </c>
      <c r="S378" s="89"/>
      <c r="T378" s="90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6"/>
      <c r="AZ378" s="120">
        <f>COUNTIF(U378:AY378,"A")</f>
      </c>
      <c r="BA378" s="121">
        <f>COUNTIF(U378:AY378,"F")</f>
      </c>
      <c r="BB378" s="119">
        <f>COUNTIF(U378:AY378,"E")</f>
      </c>
    </row>
    <row r="379" spans="1:54" x14ac:dyDescent="0.2">
      <c r="A379" s="84"/>
      <c r="B379" s="85"/>
      <c r="C379" s="85"/>
      <c r="D379" s="85"/>
      <c r="E379" s="86"/>
      <c r="F379" s="16">
        <f>IF(E379="","",DATEDIF(E379,$I$7,"Y"))</f>
      </c>
      <c r="G379" s="85"/>
      <c r="H379" s="85"/>
      <c r="I379" s="87"/>
      <c r="J379" s="85"/>
      <c r="K379" s="85"/>
      <c r="L379" s="10"/>
      <c r="M379" s="10"/>
      <c r="N379" s="10"/>
      <c r="O379" s="10"/>
      <c r="P379" s="85"/>
      <c r="Q379" s="88"/>
      <c r="R379" s="3">
        <f>IFERROR(VLOOKUP(TablaOctubre[[#This Row],[BARRIO]],SECTOR!$A:$B,2,0),"")</f>
      </c>
      <c r="S379" s="89"/>
      <c r="T379" s="90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6"/>
      <c r="AZ379" s="120">
        <f>COUNTIF(U379:AY379,"A")</f>
      </c>
      <c r="BA379" s="121">
        <f>COUNTIF(U379:AY379,"F")</f>
      </c>
      <c r="BB379" s="119">
        <f>COUNTIF(U379:AY379,"E")</f>
      </c>
    </row>
    <row r="380" spans="1:54" x14ac:dyDescent="0.2">
      <c r="A380" s="84"/>
      <c r="B380" s="85"/>
      <c r="C380" s="85"/>
      <c r="D380" s="85"/>
      <c r="E380" s="86"/>
      <c r="F380" s="16">
        <f>IF(E380="","",DATEDIF(E380,$I$7,"Y"))</f>
      </c>
      <c r="G380" s="85"/>
      <c r="H380" s="85"/>
      <c r="I380" s="87"/>
      <c r="J380" s="85"/>
      <c r="K380" s="85"/>
      <c r="L380" s="10"/>
      <c r="M380" s="10"/>
      <c r="N380" s="10"/>
      <c r="O380" s="10"/>
      <c r="P380" s="85"/>
      <c r="Q380" s="88"/>
      <c r="R380" s="3">
        <f>IFERROR(VLOOKUP(TablaOctubre[[#This Row],[BARRIO]],SECTOR!$A:$B,2,0),"")</f>
      </c>
      <c r="S380" s="89"/>
      <c r="T380" s="90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6"/>
      <c r="AZ380" s="120">
        <f>COUNTIF(U380:AY380,"A")</f>
      </c>
      <c r="BA380" s="121">
        <f>COUNTIF(U380:AY380,"F")</f>
      </c>
      <c r="BB380" s="119">
        <f>COUNTIF(U380:AY380,"E")</f>
      </c>
    </row>
    <row r="381" spans="1:54" x14ac:dyDescent="0.2">
      <c r="A381" s="84"/>
      <c r="B381" s="85"/>
      <c r="C381" s="85"/>
      <c r="D381" s="85"/>
      <c r="E381" s="86"/>
      <c r="F381" s="16">
        <f>IF(E381="","",DATEDIF(E381,$I$7,"Y"))</f>
      </c>
      <c r="G381" s="85"/>
      <c r="H381" s="85"/>
      <c r="I381" s="87"/>
      <c r="J381" s="85"/>
      <c r="K381" s="85"/>
      <c r="L381" s="10"/>
      <c r="M381" s="10"/>
      <c r="N381" s="10"/>
      <c r="O381" s="10"/>
      <c r="P381" s="85"/>
      <c r="Q381" s="88"/>
      <c r="R381" s="3">
        <f>IFERROR(VLOOKUP(TablaOctubre[[#This Row],[BARRIO]],SECTOR!$A:$B,2,0),"")</f>
      </c>
      <c r="S381" s="89"/>
      <c r="T381" s="90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6"/>
      <c r="AZ381" s="120">
        <f>COUNTIF(U381:AY381,"A")</f>
      </c>
      <c r="BA381" s="121">
        <f>COUNTIF(U381:AY381,"F")</f>
      </c>
      <c r="BB381" s="119">
        <f>COUNTIF(U381:AY381,"E")</f>
      </c>
    </row>
    <row r="382" spans="1:54" x14ac:dyDescent="0.2">
      <c r="A382" s="84"/>
      <c r="B382" s="85"/>
      <c r="C382" s="85"/>
      <c r="D382" s="85"/>
      <c r="E382" s="86"/>
      <c r="F382" s="16">
        <f>IF(E382="","",DATEDIF(E382,$I$7,"Y"))</f>
      </c>
      <c r="G382" s="85"/>
      <c r="H382" s="85"/>
      <c r="I382" s="87"/>
      <c r="J382" s="85"/>
      <c r="K382" s="85"/>
      <c r="L382" s="10"/>
      <c r="M382" s="10"/>
      <c r="N382" s="10"/>
      <c r="O382" s="10"/>
      <c r="P382" s="85"/>
      <c r="Q382" s="88"/>
      <c r="R382" s="3">
        <f>IFERROR(VLOOKUP(TablaOctubre[[#This Row],[BARRIO]],SECTOR!$A:$B,2,0),"")</f>
      </c>
      <c r="S382" s="89"/>
      <c r="T382" s="90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6"/>
      <c r="AZ382" s="120">
        <f>COUNTIF(U382:AY382,"A")</f>
      </c>
      <c r="BA382" s="121">
        <f>COUNTIF(U382:AY382,"F")</f>
      </c>
      <c r="BB382" s="119">
        <f>COUNTIF(U382:AY382,"E")</f>
      </c>
    </row>
    <row r="383" spans="1:54" x14ac:dyDescent="0.2">
      <c r="A383" s="84"/>
      <c r="B383" s="85"/>
      <c r="C383" s="85"/>
      <c r="D383" s="85"/>
      <c r="E383" s="86"/>
      <c r="F383" s="16">
        <f>IF(E383="","",DATEDIF(E383,$I$7,"Y"))</f>
      </c>
      <c r="G383" s="85"/>
      <c r="H383" s="85"/>
      <c r="I383" s="87"/>
      <c r="J383" s="85"/>
      <c r="K383" s="85"/>
      <c r="L383" s="10"/>
      <c r="M383" s="10"/>
      <c r="N383" s="10"/>
      <c r="O383" s="10"/>
      <c r="P383" s="85"/>
      <c r="Q383" s="88"/>
      <c r="R383" s="3">
        <f>IFERROR(VLOOKUP(TablaOctubre[[#This Row],[BARRIO]],SECTOR!$A:$B,2,0),"")</f>
      </c>
      <c r="S383" s="89"/>
      <c r="T383" s="90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6"/>
      <c r="AZ383" s="120">
        <f>COUNTIF(U383:AY383,"A")</f>
      </c>
      <c r="BA383" s="121">
        <f>COUNTIF(U383:AY383,"F")</f>
      </c>
      <c r="BB383" s="119">
        <f>COUNTIF(U383:AY383,"E")</f>
      </c>
    </row>
    <row r="384" spans="1:54" x14ac:dyDescent="0.2">
      <c r="A384" s="84"/>
      <c r="B384" s="85"/>
      <c r="C384" s="85"/>
      <c r="D384" s="85"/>
      <c r="E384" s="86"/>
      <c r="F384" s="16">
        <f>IF(E384="","",DATEDIF(E384,$I$7,"Y"))</f>
      </c>
      <c r="G384" s="85"/>
      <c r="H384" s="85"/>
      <c r="I384" s="87"/>
      <c r="J384" s="85"/>
      <c r="K384" s="85"/>
      <c r="L384" s="10"/>
      <c r="M384" s="10"/>
      <c r="N384" s="10"/>
      <c r="O384" s="10"/>
      <c r="P384" s="85"/>
      <c r="Q384" s="88"/>
      <c r="R384" s="3">
        <f>IFERROR(VLOOKUP(TablaOctubre[[#This Row],[BARRIO]],SECTOR!$A:$B,2,0),"")</f>
      </c>
      <c r="S384" s="89"/>
      <c r="T384" s="90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6"/>
      <c r="AZ384" s="120">
        <f>COUNTIF(U384:AY384,"A")</f>
      </c>
      <c r="BA384" s="121">
        <f>COUNTIF(U384:AY384,"F")</f>
      </c>
      <c r="BB384" s="119">
        <f>COUNTIF(U384:AY384,"E")</f>
      </c>
    </row>
    <row r="385" spans="1:54" x14ac:dyDescent="0.2">
      <c r="A385" s="84"/>
      <c r="B385" s="85"/>
      <c r="C385" s="85"/>
      <c r="D385" s="85"/>
      <c r="E385" s="86"/>
      <c r="F385" s="16">
        <f>IF(E385="","",DATEDIF(E385,$I$7,"Y"))</f>
      </c>
      <c r="G385" s="85"/>
      <c r="H385" s="85"/>
      <c r="I385" s="87"/>
      <c r="J385" s="85"/>
      <c r="K385" s="85"/>
      <c r="L385" s="10"/>
      <c r="M385" s="10"/>
      <c r="N385" s="10"/>
      <c r="O385" s="10"/>
      <c r="P385" s="85"/>
      <c r="Q385" s="88"/>
      <c r="R385" s="3">
        <f>IFERROR(VLOOKUP(TablaOctubre[[#This Row],[BARRIO]],SECTOR!$A:$B,2,0),"")</f>
      </c>
      <c r="S385" s="89"/>
      <c r="T385" s="90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6"/>
      <c r="AZ385" s="120">
        <f>COUNTIF(U385:AY385,"A")</f>
      </c>
      <c r="BA385" s="121">
        <f>COUNTIF(U385:AY385,"F")</f>
      </c>
      <c r="BB385" s="119">
        <f>COUNTIF(U385:AY385,"E")</f>
      </c>
    </row>
    <row r="386" spans="1:54" x14ac:dyDescent="0.2">
      <c r="A386" s="84"/>
      <c r="B386" s="85"/>
      <c r="C386" s="85"/>
      <c r="D386" s="85"/>
      <c r="E386" s="86"/>
      <c r="F386" s="16">
        <f>IF(E386="","",DATEDIF(E386,$I$7,"Y"))</f>
      </c>
      <c r="G386" s="85"/>
      <c r="H386" s="85"/>
      <c r="I386" s="87"/>
      <c r="J386" s="85"/>
      <c r="K386" s="85"/>
      <c r="L386" s="10"/>
      <c r="M386" s="10"/>
      <c r="N386" s="10"/>
      <c r="O386" s="10"/>
      <c r="P386" s="85"/>
      <c r="Q386" s="88"/>
      <c r="R386" s="3">
        <f>IFERROR(VLOOKUP(TablaOctubre[[#This Row],[BARRIO]],SECTOR!$A:$B,2,0),"")</f>
      </c>
      <c r="S386" s="89"/>
      <c r="T386" s="90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6"/>
      <c r="AZ386" s="120">
        <f>COUNTIF(U386:AY386,"A")</f>
      </c>
      <c r="BA386" s="121">
        <f>COUNTIF(U386:AY386,"F")</f>
      </c>
      <c r="BB386" s="119">
        <f>COUNTIF(U386:AY386,"E")</f>
      </c>
    </row>
    <row r="387" spans="1:54" x14ac:dyDescent="0.2">
      <c r="A387" s="84"/>
      <c r="B387" s="85"/>
      <c r="C387" s="85"/>
      <c r="D387" s="85"/>
      <c r="E387" s="86"/>
      <c r="F387" s="16">
        <f>IF(E387="","",DATEDIF(E387,$I$7,"Y"))</f>
      </c>
      <c r="G387" s="85"/>
      <c r="H387" s="85"/>
      <c r="I387" s="87"/>
      <c r="J387" s="85"/>
      <c r="K387" s="85"/>
      <c r="L387" s="10"/>
      <c r="M387" s="10"/>
      <c r="N387" s="10"/>
      <c r="O387" s="10"/>
      <c r="P387" s="85"/>
      <c r="Q387" s="88"/>
      <c r="R387" s="3">
        <f>IFERROR(VLOOKUP(TablaOctubre[[#This Row],[BARRIO]],SECTOR!$A:$B,2,0),"")</f>
      </c>
      <c r="S387" s="89"/>
      <c r="T387" s="90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6"/>
      <c r="AZ387" s="120">
        <f>COUNTIF(U387:AY387,"A")</f>
      </c>
      <c r="BA387" s="121">
        <f>COUNTIF(U387:AY387,"F")</f>
      </c>
      <c r="BB387" s="119">
        <f>COUNTIF(U387:AY387,"E")</f>
      </c>
    </row>
    <row r="388" spans="1:54" x14ac:dyDescent="0.2">
      <c r="A388" s="84"/>
      <c r="B388" s="85"/>
      <c r="C388" s="85"/>
      <c r="D388" s="85"/>
      <c r="E388" s="86"/>
      <c r="F388" s="16">
        <f>IF(E388="","",DATEDIF(E388,$I$7,"Y"))</f>
      </c>
      <c r="G388" s="85"/>
      <c r="H388" s="85"/>
      <c r="I388" s="87"/>
      <c r="J388" s="85"/>
      <c r="K388" s="85"/>
      <c r="L388" s="10"/>
      <c r="M388" s="10"/>
      <c r="N388" s="10"/>
      <c r="O388" s="10"/>
      <c r="P388" s="85"/>
      <c r="Q388" s="88"/>
      <c r="R388" s="3">
        <f>IFERROR(VLOOKUP(TablaOctubre[[#This Row],[BARRIO]],SECTOR!$A:$B,2,0),"")</f>
      </c>
      <c r="S388" s="89"/>
      <c r="T388" s="90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6"/>
      <c r="AZ388" s="120">
        <f>COUNTIF(U388:AY388,"A")</f>
      </c>
      <c r="BA388" s="121">
        <f>COUNTIF(U388:AY388,"F")</f>
      </c>
      <c r="BB388" s="119">
        <f>COUNTIF(U388:AY388,"E")</f>
      </c>
    </row>
    <row r="389" spans="1:54" x14ac:dyDescent="0.2">
      <c r="A389" s="84"/>
      <c r="B389" s="85"/>
      <c r="C389" s="85"/>
      <c r="D389" s="85"/>
      <c r="E389" s="86"/>
      <c r="F389" s="16">
        <f>IF(E389="","",DATEDIF(E389,$I$7,"Y"))</f>
      </c>
      <c r="G389" s="85"/>
      <c r="H389" s="85"/>
      <c r="I389" s="87"/>
      <c r="J389" s="85"/>
      <c r="K389" s="85"/>
      <c r="L389" s="10"/>
      <c r="M389" s="10"/>
      <c r="N389" s="10"/>
      <c r="O389" s="10"/>
      <c r="P389" s="85"/>
      <c r="Q389" s="88"/>
      <c r="R389" s="3">
        <f>IFERROR(VLOOKUP(TablaOctubre[[#This Row],[BARRIO]],SECTOR!$A:$B,2,0),"")</f>
      </c>
      <c r="S389" s="89"/>
      <c r="T389" s="90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6"/>
      <c r="AZ389" s="120">
        <f>COUNTIF(U389:AY389,"A")</f>
      </c>
      <c r="BA389" s="121">
        <f>COUNTIF(U389:AY389,"F")</f>
      </c>
      <c r="BB389" s="119">
        <f>COUNTIF(U389:AY389,"E")</f>
      </c>
    </row>
    <row r="390" spans="1:54" x14ac:dyDescent="0.2">
      <c r="A390" s="84"/>
      <c r="B390" s="85"/>
      <c r="C390" s="85"/>
      <c r="D390" s="85"/>
      <c r="E390" s="86"/>
      <c r="F390" s="16">
        <f>IF(E390="","",DATEDIF(E390,$I$7,"Y"))</f>
      </c>
      <c r="G390" s="85"/>
      <c r="H390" s="85"/>
      <c r="I390" s="87"/>
      <c r="J390" s="85"/>
      <c r="K390" s="85"/>
      <c r="L390" s="10"/>
      <c r="M390" s="10"/>
      <c r="N390" s="10"/>
      <c r="O390" s="10"/>
      <c r="P390" s="85"/>
      <c r="Q390" s="88"/>
      <c r="R390" s="3">
        <f>IFERROR(VLOOKUP(TablaOctubre[[#This Row],[BARRIO]],SECTOR!$A:$B,2,0),"")</f>
      </c>
      <c r="S390" s="89"/>
      <c r="T390" s="90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6"/>
      <c r="AZ390" s="120">
        <f>COUNTIF(U390:AY390,"A")</f>
      </c>
      <c r="BA390" s="121">
        <f>COUNTIF(U390:AY390,"F")</f>
      </c>
      <c r="BB390" s="119">
        <f>COUNTIF(U390:AY390,"E")</f>
      </c>
    </row>
    <row r="391" spans="1:54" x14ac:dyDescent="0.2">
      <c r="A391" s="84"/>
      <c r="B391" s="85"/>
      <c r="C391" s="85"/>
      <c r="D391" s="85"/>
      <c r="E391" s="86"/>
      <c r="F391" s="16">
        <f>IF(E391="","",DATEDIF(E391,$I$7,"Y"))</f>
      </c>
      <c r="G391" s="85"/>
      <c r="H391" s="85"/>
      <c r="I391" s="87"/>
      <c r="J391" s="85"/>
      <c r="K391" s="85"/>
      <c r="L391" s="10"/>
      <c r="M391" s="10"/>
      <c r="N391" s="10"/>
      <c r="O391" s="10"/>
      <c r="P391" s="85"/>
      <c r="Q391" s="88"/>
      <c r="R391" s="3">
        <f>IFERROR(VLOOKUP(TablaOctubre[[#This Row],[BARRIO]],SECTOR!$A:$B,2,0),"")</f>
      </c>
      <c r="S391" s="89"/>
      <c r="T391" s="90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6"/>
      <c r="AZ391" s="120">
        <f>COUNTIF(U391:AY391,"A")</f>
      </c>
      <c r="BA391" s="121">
        <f>COUNTIF(U391:AY391,"F")</f>
      </c>
      <c r="BB391" s="119">
        <f>COUNTIF(U391:AY391,"E")</f>
      </c>
    </row>
    <row r="392" spans="1:54" x14ac:dyDescent="0.2">
      <c r="A392" s="84"/>
      <c r="B392" s="85"/>
      <c r="C392" s="85"/>
      <c r="D392" s="85"/>
      <c r="E392" s="86"/>
      <c r="F392" s="16">
        <f>IF(E392="","",DATEDIF(E392,$I$7,"Y"))</f>
      </c>
      <c r="G392" s="85"/>
      <c r="H392" s="85"/>
      <c r="I392" s="87"/>
      <c r="J392" s="85"/>
      <c r="K392" s="85"/>
      <c r="L392" s="10"/>
      <c r="M392" s="10"/>
      <c r="N392" s="10"/>
      <c r="O392" s="10"/>
      <c r="P392" s="85"/>
      <c r="Q392" s="88"/>
      <c r="R392" s="3">
        <f>IFERROR(VLOOKUP(TablaOctubre[[#This Row],[BARRIO]],SECTOR!$A:$B,2,0),"")</f>
      </c>
      <c r="S392" s="89"/>
      <c r="T392" s="90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6"/>
      <c r="AZ392" s="120">
        <f>COUNTIF(U392:AY392,"A")</f>
      </c>
      <c r="BA392" s="121">
        <f>COUNTIF(U392:AY392,"F")</f>
      </c>
      <c r="BB392" s="119">
        <f>COUNTIF(U392:AY392,"E")</f>
      </c>
    </row>
    <row r="393" spans="1:54" x14ac:dyDescent="0.2">
      <c r="A393" s="84"/>
      <c r="B393" s="85"/>
      <c r="C393" s="85"/>
      <c r="D393" s="85"/>
      <c r="E393" s="86"/>
      <c r="F393" s="16">
        <f>IF(E393="","",DATEDIF(E393,$I$7,"Y"))</f>
      </c>
      <c r="G393" s="85"/>
      <c r="H393" s="85"/>
      <c r="I393" s="87"/>
      <c r="J393" s="85"/>
      <c r="K393" s="85"/>
      <c r="L393" s="10"/>
      <c r="M393" s="10"/>
      <c r="N393" s="10"/>
      <c r="O393" s="10"/>
      <c r="P393" s="85"/>
      <c r="Q393" s="88"/>
      <c r="R393" s="3">
        <f>IFERROR(VLOOKUP(TablaOctubre[[#This Row],[BARRIO]],SECTOR!$A:$B,2,0),"")</f>
      </c>
      <c r="S393" s="89"/>
      <c r="T393" s="90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6"/>
      <c r="AZ393" s="120">
        <f>COUNTIF(U393:AY393,"A")</f>
      </c>
      <c r="BA393" s="121">
        <f>COUNTIF(U393:AY393,"F")</f>
      </c>
      <c r="BB393" s="119">
        <f>COUNTIF(U393:AY393,"E")</f>
      </c>
    </row>
    <row r="394" spans="1:54" x14ac:dyDescent="0.2">
      <c r="A394" s="84"/>
      <c r="B394" s="85"/>
      <c r="C394" s="85"/>
      <c r="D394" s="85"/>
      <c r="E394" s="86"/>
      <c r="F394" s="16">
        <f>IF(E394="","",DATEDIF(E394,$I$7,"Y"))</f>
      </c>
      <c r="G394" s="85"/>
      <c r="H394" s="85"/>
      <c r="I394" s="87"/>
      <c r="J394" s="85"/>
      <c r="K394" s="85"/>
      <c r="L394" s="10"/>
      <c r="M394" s="10"/>
      <c r="N394" s="10"/>
      <c r="O394" s="10"/>
      <c r="P394" s="85"/>
      <c r="Q394" s="88"/>
      <c r="R394" s="3">
        <f>IFERROR(VLOOKUP(TablaOctubre[[#This Row],[BARRIO]],SECTOR!$A:$B,2,0),"")</f>
      </c>
      <c r="S394" s="89"/>
      <c r="T394" s="90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6"/>
      <c r="AZ394" s="120">
        <f>COUNTIF(U394:AY394,"A")</f>
      </c>
      <c r="BA394" s="121">
        <f>COUNTIF(U394:AY394,"F")</f>
      </c>
      <c r="BB394" s="119">
        <f>COUNTIF(U394:AY394,"E")</f>
      </c>
    </row>
    <row r="395" spans="1:54" x14ac:dyDescent="0.2">
      <c r="A395" s="84"/>
      <c r="B395" s="85"/>
      <c r="C395" s="85"/>
      <c r="D395" s="85"/>
      <c r="E395" s="86"/>
      <c r="F395" s="16">
        <f>IF(E395="","",DATEDIF(E395,$I$7,"Y"))</f>
      </c>
      <c r="G395" s="85"/>
      <c r="H395" s="85"/>
      <c r="I395" s="87"/>
      <c r="J395" s="85"/>
      <c r="K395" s="85"/>
      <c r="L395" s="10"/>
      <c r="M395" s="10"/>
      <c r="N395" s="10"/>
      <c r="O395" s="10"/>
      <c r="P395" s="85"/>
      <c r="Q395" s="88"/>
      <c r="R395" s="3">
        <f>IFERROR(VLOOKUP(TablaOctubre[[#This Row],[BARRIO]],SECTOR!$A:$B,2,0),"")</f>
      </c>
      <c r="S395" s="89"/>
      <c r="T395" s="90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6"/>
      <c r="AZ395" s="120">
        <f>COUNTIF(U395:AY395,"A")</f>
      </c>
      <c r="BA395" s="121">
        <f>COUNTIF(U395:AY395,"F")</f>
      </c>
      <c r="BB395" s="119">
        <f>COUNTIF(U395:AY395,"E")</f>
      </c>
    </row>
    <row r="396" spans="1:54" x14ac:dyDescent="0.2">
      <c r="A396" s="84"/>
      <c r="B396" s="85"/>
      <c r="C396" s="85"/>
      <c r="D396" s="85"/>
      <c r="E396" s="86"/>
      <c r="F396" s="16">
        <f>IF(E396="","",DATEDIF(E396,$I$7,"Y"))</f>
      </c>
      <c r="G396" s="85"/>
      <c r="H396" s="85"/>
      <c r="I396" s="87"/>
      <c r="J396" s="85"/>
      <c r="K396" s="85"/>
      <c r="L396" s="10"/>
      <c r="M396" s="10"/>
      <c r="N396" s="10"/>
      <c r="O396" s="10"/>
      <c r="P396" s="85"/>
      <c r="Q396" s="88"/>
      <c r="R396" s="3">
        <f>IFERROR(VLOOKUP(TablaOctubre[[#This Row],[BARRIO]],SECTOR!$A:$B,2,0),"")</f>
      </c>
      <c r="S396" s="89"/>
      <c r="T396" s="90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6"/>
      <c r="AZ396" s="120">
        <f>COUNTIF(U396:AY396,"A")</f>
      </c>
      <c r="BA396" s="121">
        <f>COUNTIF(U396:AY396,"F")</f>
      </c>
      <c r="BB396" s="119">
        <f>COUNTIF(U396:AY396,"E")</f>
      </c>
    </row>
    <row r="397" spans="1:54" x14ac:dyDescent="0.2">
      <c r="A397" s="84"/>
      <c r="B397" s="85"/>
      <c r="C397" s="85"/>
      <c r="D397" s="85"/>
      <c r="E397" s="86"/>
      <c r="F397" s="16">
        <f>IF(E397="","",DATEDIF(E397,$I$7,"Y"))</f>
      </c>
      <c r="G397" s="85"/>
      <c r="H397" s="85"/>
      <c r="I397" s="87"/>
      <c r="J397" s="85"/>
      <c r="K397" s="85"/>
      <c r="L397" s="10"/>
      <c r="M397" s="10"/>
      <c r="N397" s="10"/>
      <c r="O397" s="10"/>
      <c r="P397" s="85"/>
      <c r="Q397" s="88"/>
      <c r="R397" s="3">
        <f>IFERROR(VLOOKUP(TablaOctubre[[#This Row],[BARRIO]],SECTOR!$A:$B,2,0),"")</f>
      </c>
      <c r="S397" s="89"/>
      <c r="T397" s="90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6"/>
      <c r="AZ397" s="120">
        <f>COUNTIF(U397:AY397,"A")</f>
      </c>
      <c r="BA397" s="121">
        <f>COUNTIF(U397:AY397,"F")</f>
      </c>
      <c r="BB397" s="119">
        <f>COUNTIF(U397:AY397,"E")</f>
      </c>
    </row>
    <row r="398" spans="1:54" x14ac:dyDescent="0.2">
      <c r="A398" s="84"/>
      <c r="B398" s="85"/>
      <c r="C398" s="85"/>
      <c r="D398" s="85"/>
      <c r="E398" s="86"/>
      <c r="F398" s="16">
        <f>IF(E398="","",DATEDIF(E398,$I$7,"Y"))</f>
      </c>
      <c r="G398" s="85"/>
      <c r="H398" s="85"/>
      <c r="I398" s="87"/>
      <c r="J398" s="85"/>
      <c r="K398" s="85"/>
      <c r="L398" s="10"/>
      <c r="M398" s="10"/>
      <c r="N398" s="10"/>
      <c r="O398" s="10"/>
      <c r="P398" s="85"/>
      <c r="Q398" s="88"/>
      <c r="R398" s="3">
        <f>IFERROR(VLOOKUP(TablaOctubre[[#This Row],[BARRIO]],SECTOR!$A:$B,2,0),"")</f>
      </c>
      <c r="S398" s="89"/>
      <c r="T398" s="90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6"/>
      <c r="AZ398" s="120">
        <f>COUNTIF(U398:AY398,"A")</f>
      </c>
      <c r="BA398" s="121">
        <f>COUNTIF(U398:AY398,"F")</f>
      </c>
      <c r="BB398" s="119">
        <f>COUNTIF(U398:AY398,"E")</f>
      </c>
    </row>
    <row r="399" spans="1:54" x14ac:dyDescent="0.2">
      <c r="A399" s="84"/>
      <c r="B399" s="85"/>
      <c r="C399" s="85"/>
      <c r="D399" s="85"/>
      <c r="E399" s="86"/>
      <c r="F399" s="16">
        <f>IF(E399="","",DATEDIF(E399,$I$7,"Y"))</f>
      </c>
      <c r="G399" s="85"/>
      <c r="H399" s="85"/>
      <c r="I399" s="87"/>
      <c r="J399" s="85"/>
      <c r="K399" s="85"/>
      <c r="L399" s="10"/>
      <c r="M399" s="10"/>
      <c r="N399" s="10"/>
      <c r="O399" s="10"/>
      <c r="P399" s="85"/>
      <c r="Q399" s="88"/>
      <c r="R399" s="3">
        <f>IFERROR(VLOOKUP(TablaOctubre[[#This Row],[BARRIO]],SECTOR!$A:$B,2,0),"")</f>
      </c>
      <c r="S399" s="89"/>
      <c r="T399" s="90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6"/>
      <c r="AZ399" s="120">
        <f>COUNTIF(U399:AY399,"A")</f>
      </c>
      <c r="BA399" s="121">
        <f>COUNTIF(U399:AY399,"F")</f>
      </c>
      <c r="BB399" s="119">
        <f>COUNTIF(U399:AY399,"E")</f>
      </c>
    </row>
    <row r="400" spans="1:54" x14ac:dyDescent="0.2">
      <c r="A400" s="84"/>
      <c r="B400" s="85"/>
      <c r="C400" s="85"/>
      <c r="D400" s="85"/>
      <c r="E400" s="86"/>
      <c r="F400" s="16">
        <f>IF(E400="","",DATEDIF(E400,$I$7,"Y"))</f>
      </c>
      <c r="G400" s="85"/>
      <c r="H400" s="85"/>
      <c r="I400" s="87"/>
      <c r="J400" s="85"/>
      <c r="K400" s="85"/>
      <c r="L400" s="10"/>
      <c r="M400" s="10"/>
      <c r="N400" s="10"/>
      <c r="O400" s="10"/>
      <c r="P400" s="85"/>
      <c r="Q400" s="88"/>
      <c r="R400" s="3">
        <f>IFERROR(VLOOKUP(TablaOctubre[[#This Row],[BARRIO]],SECTOR!$A:$B,2,0),"")</f>
      </c>
      <c r="S400" s="89"/>
      <c r="T400" s="90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6"/>
      <c r="AZ400" s="120">
        <f>COUNTIF(U400:AY400,"A")</f>
      </c>
      <c r="BA400" s="121">
        <f>COUNTIF(U400:AY400,"F")</f>
      </c>
      <c r="BB400" s="119">
        <f>COUNTIF(U400:AY400,"E")</f>
      </c>
    </row>
    <row r="401" spans="1:54" x14ac:dyDescent="0.2">
      <c r="A401" s="84"/>
      <c r="B401" s="85"/>
      <c r="C401" s="85"/>
      <c r="D401" s="85"/>
      <c r="E401" s="86"/>
      <c r="F401" s="16">
        <f>IF(E401="","",DATEDIF(E401,$I$7,"Y"))</f>
      </c>
      <c r="G401" s="85"/>
      <c r="H401" s="85"/>
      <c r="I401" s="87"/>
      <c r="J401" s="85"/>
      <c r="K401" s="85"/>
      <c r="L401" s="10"/>
      <c r="M401" s="10"/>
      <c r="N401" s="10"/>
      <c r="O401" s="10"/>
      <c r="P401" s="85"/>
      <c r="Q401" s="88"/>
      <c r="R401" s="3">
        <f>IFERROR(VLOOKUP(TablaOctubre[[#This Row],[BARRIO]],SECTOR!$A:$B,2,0),"")</f>
      </c>
      <c r="S401" s="89"/>
      <c r="T401" s="90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6"/>
      <c r="AZ401" s="120">
        <f>COUNTIF(U401:AY401,"A")</f>
      </c>
      <c r="BA401" s="121">
        <f>COUNTIF(U401:AY401,"F")</f>
      </c>
      <c r="BB401" s="119">
        <f>COUNTIF(U401:AY401,"E")</f>
      </c>
    </row>
    <row r="402" spans="1:54" x14ac:dyDescent="0.2">
      <c r="A402" s="84"/>
      <c r="B402" s="85"/>
      <c r="C402" s="85"/>
      <c r="D402" s="85"/>
      <c r="E402" s="86"/>
      <c r="F402" s="16">
        <f>IF(E402="","",DATEDIF(E402,$I$7,"Y"))</f>
      </c>
      <c r="G402" s="85"/>
      <c r="H402" s="85"/>
      <c r="I402" s="87"/>
      <c r="J402" s="85"/>
      <c r="K402" s="85"/>
      <c r="L402" s="10"/>
      <c r="M402" s="10"/>
      <c r="N402" s="10"/>
      <c r="O402" s="10"/>
      <c r="P402" s="85"/>
      <c r="Q402" s="88"/>
      <c r="R402" s="3">
        <f>IFERROR(VLOOKUP(TablaOctubre[[#This Row],[BARRIO]],SECTOR!$A:$B,2,0),"")</f>
      </c>
      <c r="S402" s="89"/>
      <c r="T402" s="90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6"/>
      <c r="AZ402" s="120">
        <f>COUNTIF(U402:AY402,"A")</f>
      </c>
      <c r="BA402" s="121">
        <f>COUNTIF(U402:AY402,"F")</f>
      </c>
      <c r="BB402" s="119">
        <f>COUNTIF(U402:AY402,"E")</f>
      </c>
    </row>
    <row r="403" spans="1:54" x14ac:dyDescent="0.2">
      <c r="A403" s="84"/>
      <c r="B403" s="85"/>
      <c r="C403" s="85"/>
      <c r="D403" s="85"/>
      <c r="E403" s="86"/>
      <c r="F403" s="16">
        <f>IF(E403="","",DATEDIF(E403,$I$7,"Y"))</f>
      </c>
      <c r="G403" s="85"/>
      <c r="H403" s="85"/>
      <c r="I403" s="87"/>
      <c r="J403" s="85"/>
      <c r="K403" s="85"/>
      <c r="L403" s="10"/>
      <c r="M403" s="10"/>
      <c r="N403" s="10"/>
      <c r="O403" s="10"/>
      <c r="P403" s="85"/>
      <c r="Q403" s="88"/>
      <c r="R403" s="3">
        <f>IFERROR(VLOOKUP(TablaOctubre[[#This Row],[BARRIO]],SECTOR!$A:$B,2,0),"")</f>
      </c>
      <c r="S403" s="89"/>
      <c r="T403" s="90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6"/>
      <c r="AZ403" s="120">
        <f>COUNTIF(U403:AY403,"A")</f>
      </c>
      <c r="BA403" s="121">
        <f>COUNTIF(U403:AY403,"F")</f>
      </c>
      <c r="BB403" s="119">
        <f>COUNTIF(U403:AY403,"E")</f>
      </c>
    </row>
    <row r="404" spans="1:54" x14ac:dyDescent="0.2">
      <c r="A404" s="84"/>
      <c r="B404" s="85"/>
      <c r="C404" s="85"/>
      <c r="D404" s="85"/>
      <c r="E404" s="86"/>
      <c r="F404" s="16">
        <f>IF(E404="","",DATEDIF(E404,$I$7,"Y"))</f>
      </c>
      <c r="G404" s="85"/>
      <c r="H404" s="85"/>
      <c r="I404" s="87"/>
      <c r="J404" s="85"/>
      <c r="K404" s="85"/>
      <c r="L404" s="10"/>
      <c r="M404" s="10"/>
      <c r="N404" s="10"/>
      <c r="O404" s="10"/>
      <c r="P404" s="85"/>
      <c r="Q404" s="88"/>
      <c r="R404" s="3">
        <f>IFERROR(VLOOKUP(TablaOctubre[[#This Row],[BARRIO]],SECTOR!$A:$B,2,0),"")</f>
      </c>
      <c r="S404" s="89"/>
      <c r="T404" s="90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6"/>
      <c r="AZ404" s="120">
        <f>COUNTIF(U404:AY404,"A")</f>
      </c>
      <c r="BA404" s="121">
        <f>COUNTIF(U404:AY404,"F")</f>
      </c>
      <c r="BB404" s="119">
        <f>COUNTIF(U404:AY404,"E")</f>
      </c>
    </row>
    <row r="405" spans="1:54" x14ac:dyDescent="0.2">
      <c r="A405" s="84"/>
      <c r="B405" s="85"/>
      <c r="C405" s="85"/>
      <c r="D405" s="85"/>
      <c r="E405" s="86"/>
      <c r="F405" s="16">
        <f>IF(E405="","",DATEDIF(E405,$I$7,"Y"))</f>
      </c>
      <c r="G405" s="85"/>
      <c r="H405" s="85"/>
      <c r="I405" s="87"/>
      <c r="J405" s="85"/>
      <c r="K405" s="85"/>
      <c r="L405" s="10"/>
      <c r="M405" s="10"/>
      <c r="N405" s="10"/>
      <c r="O405" s="10"/>
      <c r="P405" s="85"/>
      <c r="Q405" s="88"/>
      <c r="R405" s="3">
        <f>IFERROR(VLOOKUP(TablaOctubre[[#This Row],[BARRIO]],SECTOR!$A:$B,2,0),"")</f>
      </c>
      <c r="S405" s="89"/>
      <c r="T405" s="90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6"/>
      <c r="AZ405" s="120">
        <f>COUNTIF(U405:AY405,"A")</f>
      </c>
      <c r="BA405" s="121">
        <f>COUNTIF(U405:AY405,"F")</f>
      </c>
      <c r="BB405" s="119">
        <f>COUNTIF(U405:AY405,"E")</f>
      </c>
    </row>
    <row r="406" spans="1:54" x14ac:dyDescent="0.2">
      <c r="A406" s="84"/>
      <c r="B406" s="85"/>
      <c r="C406" s="85"/>
      <c r="D406" s="85"/>
      <c r="E406" s="86"/>
      <c r="F406" s="16">
        <f>IF(E406="","",DATEDIF(E406,$I$7,"Y"))</f>
      </c>
      <c r="G406" s="85"/>
      <c r="H406" s="85"/>
      <c r="I406" s="87"/>
      <c r="J406" s="85"/>
      <c r="K406" s="85"/>
      <c r="L406" s="10"/>
      <c r="M406" s="10"/>
      <c r="N406" s="10"/>
      <c r="O406" s="10"/>
      <c r="P406" s="85"/>
      <c r="Q406" s="88"/>
      <c r="R406" s="3">
        <f>IFERROR(VLOOKUP(TablaOctubre[[#This Row],[BARRIO]],SECTOR!$A:$B,2,0),"")</f>
      </c>
      <c r="S406" s="89"/>
      <c r="T406" s="90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6"/>
      <c r="AZ406" s="120">
        <f>COUNTIF(U406:AY406,"A")</f>
      </c>
      <c r="BA406" s="121">
        <f>COUNTIF(U406:AY406,"F")</f>
      </c>
      <c r="BB406" s="119">
        <f>COUNTIF(U406:AY406,"E")</f>
      </c>
    </row>
    <row r="407" spans="1:54" x14ac:dyDescent="0.2">
      <c r="A407" s="84"/>
      <c r="B407" s="85"/>
      <c r="C407" s="85"/>
      <c r="D407" s="85"/>
      <c r="E407" s="86"/>
      <c r="F407" s="16">
        <f>IF(E407="","",DATEDIF(E407,$I$7,"Y"))</f>
      </c>
      <c r="G407" s="85"/>
      <c r="H407" s="85"/>
      <c r="I407" s="87"/>
      <c r="J407" s="85"/>
      <c r="K407" s="85"/>
      <c r="L407" s="10"/>
      <c r="M407" s="10"/>
      <c r="N407" s="10"/>
      <c r="O407" s="10"/>
      <c r="P407" s="85"/>
      <c r="Q407" s="88"/>
      <c r="R407" s="3">
        <f>IFERROR(VLOOKUP(TablaOctubre[[#This Row],[BARRIO]],SECTOR!$A:$B,2,0),"")</f>
      </c>
      <c r="S407" s="89"/>
      <c r="T407" s="90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6"/>
      <c r="AZ407" s="120">
        <f>COUNTIF(U407:AY407,"A")</f>
      </c>
      <c r="BA407" s="121">
        <f>COUNTIF(U407:AY407,"F")</f>
      </c>
      <c r="BB407" s="119">
        <f>COUNTIF(U407:AY407,"E")</f>
      </c>
    </row>
    <row r="408" spans="1:54" x14ac:dyDescent="0.2">
      <c r="A408" s="84"/>
      <c r="B408" s="85"/>
      <c r="C408" s="85"/>
      <c r="D408" s="85"/>
      <c r="E408" s="86"/>
      <c r="F408" s="16">
        <f>IF(E408="","",DATEDIF(E408,$I$7,"Y"))</f>
      </c>
      <c r="G408" s="85"/>
      <c r="H408" s="85"/>
      <c r="I408" s="87"/>
      <c r="J408" s="85"/>
      <c r="K408" s="85"/>
      <c r="L408" s="10"/>
      <c r="M408" s="10"/>
      <c r="N408" s="10"/>
      <c r="O408" s="10"/>
      <c r="P408" s="85"/>
      <c r="Q408" s="88"/>
      <c r="R408" s="3">
        <f>IFERROR(VLOOKUP(TablaOctubre[[#This Row],[BARRIO]],SECTOR!$A:$B,2,0),"")</f>
      </c>
      <c r="S408" s="89"/>
      <c r="T408" s="90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6"/>
      <c r="AZ408" s="120">
        <f>COUNTIF(U408:AY408,"A")</f>
      </c>
      <c r="BA408" s="121">
        <f>COUNTIF(U408:AY408,"F")</f>
      </c>
      <c r="BB408" s="119">
        <f>COUNTIF(U408:AY408,"E")</f>
      </c>
    </row>
    <row r="409" spans="1:54" x14ac:dyDescent="0.2">
      <c r="A409" s="84"/>
      <c r="B409" s="85"/>
      <c r="C409" s="85"/>
      <c r="D409" s="85"/>
      <c r="E409" s="86"/>
      <c r="F409" s="16">
        <f>IF(E409="","",DATEDIF(E409,$I$7,"Y"))</f>
      </c>
      <c r="G409" s="85"/>
      <c r="H409" s="85"/>
      <c r="I409" s="87"/>
      <c r="J409" s="85"/>
      <c r="K409" s="85"/>
      <c r="L409" s="10"/>
      <c r="M409" s="10"/>
      <c r="N409" s="10"/>
      <c r="O409" s="10"/>
      <c r="P409" s="85"/>
      <c r="Q409" s="88"/>
      <c r="R409" s="3">
        <f>IFERROR(VLOOKUP(TablaOctubre[[#This Row],[BARRIO]],SECTOR!$A:$B,2,0),"")</f>
      </c>
      <c r="S409" s="89"/>
      <c r="T409" s="90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6"/>
      <c r="AZ409" s="120">
        <f>COUNTIF(U409:AY409,"A")</f>
      </c>
      <c r="BA409" s="121">
        <f>COUNTIF(U409:AY409,"F")</f>
      </c>
      <c r="BB409" s="119">
        <f>COUNTIF(U409:AY409,"E")</f>
      </c>
    </row>
    <row r="410" spans="1:54" x14ac:dyDescent="0.2">
      <c r="A410" s="84"/>
      <c r="B410" s="85"/>
      <c r="C410" s="85"/>
      <c r="D410" s="85"/>
      <c r="E410" s="86"/>
      <c r="F410" s="16">
        <f>IF(E410="","",DATEDIF(E410,$I$7,"Y"))</f>
      </c>
      <c r="G410" s="85"/>
      <c r="H410" s="85"/>
      <c r="I410" s="87"/>
      <c r="J410" s="85"/>
      <c r="K410" s="85"/>
      <c r="L410" s="10"/>
      <c r="M410" s="10"/>
      <c r="N410" s="10"/>
      <c r="O410" s="10"/>
      <c r="P410" s="85"/>
      <c r="Q410" s="88"/>
      <c r="R410" s="3">
        <f>IFERROR(VLOOKUP(TablaOctubre[[#This Row],[BARRIO]],SECTOR!$A:$B,2,0),"")</f>
      </c>
      <c r="S410" s="89"/>
      <c r="T410" s="90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6"/>
      <c r="AZ410" s="120">
        <f>COUNTIF(U410:AY410,"A")</f>
      </c>
      <c r="BA410" s="121">
        <f>COUNTIF(U410:AY410,"F")</f>
      </c>
      <c r="BB410" s="119">
        <f>COUNTIF(U410:AY410,"E")</f>
      </c>
    </row>
    <row r="411" spans="1:54" x14ac:dyDescent="0.2">
      <c r="A411" s="84"/>
      <c r="B411" s="85"/>
      <c r="C411" s="85"/>
      <c r="D411" s="85"/>
      <c r="E411" s="86"/>
      <c r="F411" s="16">
        <f>IF(E411="","",DATEDIF(E411,$I$7,"Y"))</f>
      </c>
      <c r="G411" s="85"/>
      <c r="H411" s="85"/>
      <c r="I411" s="87"/>
      <c r="J411" s="85"/>
      <c r="K411" s="85"/>
      <c r="L411" s="10"/>
      <c r="M411" s="10"/>
      <c r="N411" s="10"/>
      <c r="O411" s="10"/>
      <c r="P411" s="85"/>
      <c r="Q411" s="88"/>
      <c r="R411" s="3">
        <f>IFERROR(VLOOKUP(TablaOctubre[[#This Row],[BARRIO]],SECTOR!$A:$B,2,0),"")</f>
      </c>
      <c r="S411" s="89"/>
      <c r="T411" s="90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6"/>
      <c r="AZ411" s="120">
        <f>COUNTIF(U411:AY411,"A")</f>
      </c>
      <c r="BA411" s="121">
        <f>COUNTIF(U411:AY411,"F")</f>
      </c>
      <c r="BB411" s="119">
        <f>COUNTIF(U411:AY411,"E")</f>
      </c>
    </row>
    <row r="412" spans="1:54" x14ac:dyDescent="0.2">
      <c r="A412" s="84"/>
      <c r="B412" s="85"/>
      <c r="C412" s="85"/>
      <c r="D412" s="85"/>
      <c r="E412" s="86"/>
      <c r="F412" s="16">
        <f>IF(E412="","",DATEDIF(E412,$I$7,"Y"))</f>
      </c>
      <c r="G412" s="85"/>
      <c r="H412" s="85"/>
      <c r="I412" s="87"/>
      <c r="J412" s="85"/>
      <c r="K412" s="85"/>
      <c r="L412" s="10"/>
      <c r="M412" s="10"/>
      <c r="N412" s="10"/>
      <c r="O412" s="10"/>
      <c r="P412" s="85"/>
      <c r="Q412" s="88"/>
      <c r="R412" s="3">
        <f>IFERROR(VLOOKUP(TablaOctubre[[#This Row],[BARRIO]],SECTOR!$A:$B,2,0),"")</f>
      </c>
      <c r="S412" s="89"/>
      <c r="T412" s="90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6"/>
      <c r="AZ412" s="120">
        <f>COUNTIF(U412:AY412,"A")</f>
      </c>
      <c r="BA412" s="121">
        <f>COUNTIF(U412:AY412,"F")</f>
      </c>
      <c r="BB412" s="119">
        <f>COUNTIF(U412:AY412,"E")</f>
      </c>
    </row>
    <row r="413" spans="1:54" x14ac:dyDescent="0.2">
      <c r="A413" s="84"/>
      <c r="B413" s="85"/>
      <c r="C413" s="85"/>
      <c r="D413" s="85"/>
      <c r="E413" s="86"/>
      <c r="F413" s="16">
        <f>IF(E413="","",DATEDIF(E413,$I$7,"Y"))</f>
      </c>
      <c r="G413" s="85"/>
      <c r="H413" s="85"/>
      <c r="I413" s="87"/>
      <c r="J413" s="85"/>
      <c r="K413" s="85"/>
      <c r="L413" s="10"/>
      <c r="M413" s="10"/>
      <c r="N413" s="10"/>
      <c r="O413" s="10"/>
      <c r="P413" s="85"/>
      <c r="Q413" s="88"/>
      <c r="R413" s="3">
        <f>IFERROR(VLOOKUP(TablaOctubre[[#This Row],[BARRIO]],SECTOR!$A:$B,2,0),"")</f>
      </c>
      <c r="S413" s="89"/>
      <c r="T413" s="90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6"/>
      <c r="AZ413" s="120">
        <f>COUNTIF(U413:AY413,"A")</f>
      </c>
      <c r="BA413" s="121">
        <f>COUNTIF(U413:AY413,"F")</f>
      </c>
      <c r="BB413" s="119">
        <f>COUNTIF(U413:AY413,"E")</f>
      </c>
    </row>
    <row r="414" spans="1:54" x14ac:dyDescent="0.2">
      <c r="A414" s="84"/>
      <c r="B414" s="85"/>
      <c r="C414" s="85"/>
      <c r="D414" s="85"/>
      <c r="E414" s="86"/>
      <c r="F414" s="16">
        <f>IF(E414="","",DATEDIF(E414,$I$7,"Y"))</f>
      </c>
      <c r="G414" s="85"/>
      <c r="H414" s="85"/>
      <c r="I414" s="87"/>
      <c r="J414" s="85"/>
      <c r="K414" s="85"/>
      <c r="L414" s="10"/>
      <c r="M414" s="10"/>
      <c r="N414" s="10"/>
      <c r="O414" s="10"/>
      <c r="P414" s="85"/>
      <c r="Q414" s="88"/>
      <c r="R414" s="3">
        <f>IFERROR(VLOOKUP(TablaOctubre[[#This Row],[BARRIO]],SECTOR!$A:$B,2,0),"")</f>
      </c>
      <c r="S414" s="89"/>
      <c r="T414" s="90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6"/>
      <c r="AZ414" s="120">
        <f>COUNTIF(U414:AY414,"A")</f>
      </c>
      <c r="BA414" s="121">
        <f>COUNTIF(U414:AY414,"F")</f>
      </c>
      <c r="BB414" s="119">
        <f>COUNTIF(U414:AY414,"E")</f>
      </c>
    </row>
    <row r="415" spans="1:54" x14ac:dyDescent="0.2">
      <c r="A415" s="84"/>
      <c r="B415" s="85"/>
      <c r="C415" s="85"/>
      <c r="D415" s="85"/>
      <c r="E415" s="86"/>
      <c r="F415" s="16">
        <f>IF(E415="","",DATEDIF(E415,$I$7,"Y"))</f>
      </c>
      <c r="G415" s="85"/>
      <c r="H415" s="85"/>
      <c r="I415" s="87"/>
      <c r="J415" s="85"/>
      <c r="K415" s="85"/>
      <c r="L415" s="10"/>
      <c r="M415" s="10"/>
      <c r="N415" s="10"/>
      <c r="O415" s="10"/>
      <c r="P415" s="85"/>
      <c r="Q415" s="88"/>
      <c r="R415" s="3">
        <f>IFERROR(VLOOKUP(TablaOctubre[[#This Row],[BARRIO]],SECTOR!$A:$B,2,0),"")</f>
      </c>
      <c r="S415" s="89"/>
      <c r="T415" s="90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6"/>
      <c r="AZ415" s="120">
        <f>COUNTIF(U415:AY415,"A")</f>
      </c>
      <c r="BA415" s="121">
        <f>COUNTIF(U415:AY415,"F")</f>
      </c>
      <c r="BB415" s="119">
        <f>COUNTIF(U415:AY415,"E")</f>
      </c>
    </row>
    <row r="416" spans="1:54" x14ac:dyDescent="0.2">
      <c r="A416" s="84"/>
      <c r="B416" s="85"/>
      <c r="C416" s="85"/>
      <c r="D416" s="85"/>
      <c r="E416" s="86"/>
      <c r="F416" s="16">
        <f>IF(E416="","",DATEDIF(E416,$I$7,"Y"))</f>
      </c>
      <c r="G416" s="85"/>
      <c r="H416" s="85"/>
      <c r="I416" s="87"/>
      <c r="J416" s="85"/>
      <c r="K416" s="85"/>
      <c r="L416" s="10"/>
      <c r="M416" s="10"/>
      <c r="N416" s="10"/>
      <c r="O416" s="10"/>
      <c r="P416" s="85"/>
      <c r="Q416" s="88"/>
      <c r="R416" s="3">
        <f>IFERROR(VLOOKUP(TablaOctubre[[#This Row],[BARRIO]],SECTOR!$A:$B,2,0),"")</f>
      </c>
      <c r="S416" s="89"/>
      <c r="T416" s="90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6"/>
      <c r="AZ416" s="120">
        <f>COUNTIF(U416:AY416,"A")</f>
      </c>
      <c r="BA416" s="121">
        <f>COUNTIF(U416:AY416,"F")</f>
      </c>
      <c r="BB416" s="119">
        <f>COUNTIF(U416:AY416,"E")</f>
      </c>
    </row>
    <row r="417" spans="1:54" x14ac:dyDescent="0.2">
      <c r="A417" s="84"/>
      <c r="B417" s="85"/>
      <c r="C417" s="85"/>
      <c r="D417" s="85"/>
      <c r="E417" s="86"/>
      <c r="F417" s="16">
        <f>IF(E417="","",DATEDIF(E417,$I$7,"Y"))</f>
      </c>
      <c r="G417" s="85"/>
      <c r="H417" s="85"/>
      <c r="I417" s="87"/>
      <c r="J417" s="85"/>
      <c r="K417" s="85"/>
      <c r="L417" s="10"/>
      <c r="M417" s="10"/>
      <c r="N417" s="10"/>
      <c r="O417" s="10"/>
      <c r="P417" s="85"/>
      <c r="Q417" s="88"/>
      <c r="R417" s="3">
        <f>IFERROR(VLOOKUP(TablaOctubre[[#This Row],[BARRIO]],SECTOR!$A:$B,2,0),"")</f>
      </c>
      <c r="S417" s="89"/>
      <c r="T417" s="90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6"/>
      <c r="AZ417" s="120">
        <f>COUNTIF(U417:AY417,"A")</f>
      </c>
      <c r="BA417" s="121">
        <f>COUNTIF(U417:AY417,"F")</f>
      </c>
      <c r="BB417" s="119">
        <f>COUNTIF(U417:AY417,"E")</f>
      </c>
    </row>
    <row r="418" spans="1:54" x14ac:dyDescent="0.2">
      <c r="A418" s="84"/>
      <c r="B418" s="85"/>
      <c r="C418" s="85"/>
      <c r="D418" s="85"/>
      <c r="E418" s="86"/>
      <c r="F418" s="16">
        <f>IF(E418="","",DATEDIF(E418,$I$7,"Y"))</f>
      </c>
      <c r="G418" s="85"/>
      <c r="H418" s="85"/>
      <c r="I418" s="87"/>
      <c r="J418" s="85"/>
      <c r="K418" s="85"/>
      <c r="L418" s="10"/>
      <c r="M418" s="10"/>
      <c r="N418" s="10"/>
      <c r="O418" s="10"/>
      <c r="P418" s="85"/>
      <c r="Q418" s="88"/>
      <c r="R418" s="3">
        <f>IFERROR(VLOOKUP(TablaOctubre[[#This Row],[BARRIO]],SECTOR!$A:$B,2,0),"")</f>
      </c>
      <c r="S418" s="89"/>
      <c r="T418" s="90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6"/>
      <c r="AZ418" s="120">
        <f>COUNTIF(U418:AY418,"A")</f>
      </c>
      <c r="BA418" s="121">
        <f>COUNTIF(U418:AY418,"F")</f>
      </c>
      <c r="BB418" s="119">
        <f>COUNTIF(U418:AY418,"E")</f>
      </c>
    </row>
    <row r="419" spans="1:54" x14ac:dyDescent="0.2">
      <c r="A419" s="84"/>
      <c r="B419" s="85"/>
      <c r="C419" s="85"/>
      <c r="D419" s="85"/>
      <c r="E419" s="86"/>
      <c r="F419" s="16">
        <f>IF(E419="","",DATEDIF(E419,$I$7,"Y"))</f>
      </c>
      <c r="G419" s="85"/>
      <c r="H419" s="85"/>
      <c r="I419" s="87"/>
      <c r="J419" s="85"/>
      <c r="K419" s="85"/>
      <c r="L419" s="10"/>
      <c r="M419" s="10"/>
      <c r="N419" s="10"/>
      <c r="O419" s="10"/>
      <c r="P419" s="85"/>
      <c r="Q419" s="88"/>
      <c r="R419" s="3">
        <f>IFERROR(VLOOKUP(TablaOctubre[[#This Row],[BARRIO]],SECTOR!$A:$B,2,0),"")</f>
      </c>
      <c r="S419" s="89"/>
      <c r="T419" s="90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6"/>
      <c r="AZ419" s="120">
        <f>COUNTIF(U419:AY419,"A")</f>
      </c>
      <c r="BA419" s="121">
        <f>COUNTIF(U419:AY419,"F")</f>
      </c>
      <c r="BB419" s="119">
        <f>COUNTIF(U419:AY419,"E")</f>
      </c>
    </row>
    <row r="420" spans="1:54" x14ac:dyDescent="0.2">
      <c r="A420" s="84"/>
      <c r="B420" s="85"/>
      <c r="C420" s="85"/>
      <c r="D420" s="85"/>
      <c r="E420" s="86"/>
      <c r="F420" s="16">
        <f>IF(E420="","",DATEDIF(E420,$I$7,"Y"))</f>
      </c>
      <c r="G420" s="85"/>
      <c r="H420" s="85"/>
      <c r="I420" s="87"/>
      <c r="J420" s="85"/>
      <c r="K420" s="85"/>
      <c r="L420" s="10"/>
      <c r="M420" s="10"/>
      <c r="N420" s="10"/>
      <c r="O420" s="10"/>
      <c r="P420" s="85"/>
      <c r="Q420" s="88"/>
      <c r="R420" s="3">
        <f>IFERROR(VLOOKUP(TablaOctubre[[#This Row],[BARRIO]],SECTOR!$A:$B,2,0),"")</f>
      </c>
      <c r="S420" s="89"/>
      <c r="T420" s="90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6"/>
      <c r="AZ420" s="120">
        <f>COUNTIF(U420:AY420,"A")</f>
      </c>
      <c r="BA420" s="121">
        <f>COUNTIF(U420:AY420,"F")</f>
      </c>
      <c r="BB420" s="119">
        <f>COUNTIF(U420:AY420,"E")</f>
      </c>
    </row>
    <row r="421" spans="1:54" x14ac:dyDescent="0.2">
      <c r="A421" s="84"/>
      <c r="B421" s="85"/>
      <c r="C421" s="85"/>
      <c r="D421" s="85"/>
      <c r="E421" s="86"/>
      <c r="F421" s="16">
        <f>IF(E421="","",DATEDIF(E421,$I$7,"Y"))</f>
      </c>
      <c r="G421" s="85"/>
      <c r="H421" s="85"/>
      <c r="I421" s="87"/>
      <c r="J421" s="85"/>
      <c r="K421" s="85"/>
      <c r="L421" s="10"/>
      <c r="M421" s="10"/>
      <c r="N421" s="10"/>
      <c r="O421" s="10"/>
      <c r="P421" s="85"/>
      <c r="Q421" s="88"/>
      <c r="R421" s="3">
        <f>IFERROR(VLOOKUP(TablaOctubre[[#This Row],[BARRIO]],SECTOR!$A:$B,2,0),"")</f>
      </c>
      <c r="S421" s="89"/>
      <c r="T421" s="90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6"/>
      <c r="AZ421" s="120">
        <f>COUNTIF(U421:AY421,"A")</f>
      </c>
      <c r="BA421" s="121">
        <f>COUNTIF(U421:AY421,"F")</f>
      </c>
      <c r="BB421" s="119">
        <f>COUNTIF(U421:AY421,"E")</f>
      </c>
    </row>
    <row r="422" spans="1:54" x14ac:dyDescent="0.2">
      <c r="A422" s="84"/>
      <c r="B422" s="85"/>
      <c r="C422" s="85"/>
      <c r="D422" s="85"/>
      <c r="E422" s="86"/>
      <c r="F422" s="16">
        <f>IF(E422="","",DATEDIF(E422,$I$7,"Y"))</f>
      </c>
      <c r="G422" s="85"/>
      <c r="H422" s="85"/>
      <c r="I422" s="87"/>
      <c r="J422" s="85"/>
      <c r="K422" s="85"/>
      <c r="L422" s="10"/>
      <c r="M422" s="10"/>
      <c r="N422" s="10"/>
      <c r="O422" s="10"/>
      <c r="P422" s="85"/>
      <c r="Q422" s="88"/>
      <c r="R422" s="3">
        <f>IFERROR(VLOOKUP(TablaOctubre[[#This Row],[BARRIO]],SECTOR!$A:$B,2,0),"")</f>
      </c>
      <c r="S422" s="89"/>
      <c r="T422" s="90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6"/>
      <c r="AZ422" s="120">
        <f>COUNTIF(U422:AY422,"A")</f>
      </c>
      <c r="BA422" s="121">
        <f>COUNTIF(U422:AY422,"F")</f>
      </c>
      <c r="BB422" s="119">
        <f>COUNTIF(U422:AY422,"E")</f>
      </c>
    </row>
    <row r="423" spans="1:54" x14ac:dyDescent="0.2">
      <c r="A423" s="84"/>
      <c r="B423" s="85"/>
      <c r="C423" s="85"/>
      <c r="D423" s="85"/>
      <c r="E423" s="86"/>
      <c r="F423" s="16">
        <f>IF(E423="","",DATEDIF(E423,$I$7,"Y"))</f>
      </c>
      <c r="G423" s="85"/>
      <c r="H423" s="85"/>
      <c r="I423" s="87"/>
      <c r="J423" s="85"/>
      <c r="K423" s="85"/>
      <c r="L423" s="10"/>
      <c r="M423" s="10"/>
      <c r="N423" s="10"/>
      <c r="O423" s="10"/>
      <c r="P423" s="85"/>
      <c r="Q423" s="88"/>
      <c r="R423" s="3">
        <f>IFERROR(VLOOKUP(TablaOctubre[[#This Row],[BARRIO]],SECTOR!$A:$B,2,0),"")</f>
      </c>
      <c r="S423" s="89"/>
      <c r="T423" s="90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6"/>
      <c r="AZ423" s="120">
        <f>COUNTIF(U423:AY423,"A")</f>
      </c>
      <c r="BA423" s="121">
        <f>COUNTIF(U423:AY423,"F")</f>
      </c>
      <c r="BB423" s="119">
        <f>COUNTIF(U423:AY423,"E")</f>
      </c>
    </row>
    <row r="424" spans="1:54" x14ac:dyDescent="0.2">
      <c r="A424" s="84"/>
      <c r="B424" s="85"/>
      <c r="C424" s="85"/>
      <c r="D424" s="85"/>
      <c r="E424" s="86"/>
      <c r="F424" s="16">
        <f>IF(E424="","",DATEDIF(E424,$I$7,"Y"))</f>
      </c>
      <c r="G424" s="85"/>
      <c r="H424" s="85"/>
      <c r="I424" s="87"/>
      <c r="J424" s="85"/>
      <c r="K424" s="85"/>
      <c r="L424" s="10"/>
      <c r="M424" s="10"/>
      <c r="N424" s="10"/>
      <c r="O424" s="10"/>
      <c r="P424" s="85"/>
      <c r="Q424" s="88"/>
      <c r="R424" s="3">
        <f>IFERROR(VLOOKUP(TablaOctubre[[#This Row],[BARRIO]],SECTOR!$A:$B,2,0),"")</f>
      </c>
      <c r="S424" s="89"/>
      <c r="T424" s="90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6"/>
      <c r="AZ424" s="120">
        <f>COUNTIF(U424:AY424,"A")</f>
      </c>
      <c r="BA424" s="121">
        <f>COUNTIF(U424:AY424,"F")</f>
      </c>
      <c r="BB424" s="119">
        <f>COUNTIF(U424:AY424,"E")</f>
      </c>
    </row>
    <row r="425" spans="1:54" x14ac:dyDescent="0.2">
      <c r="A425" s="84"/>
      <c r="B425" s="85"/>
      <c r="C425" s="85"/>
      <c r="D425" s="85"/>
      <c r="E425" s="86"/>
      <c r="F425" s="16">
        <f>IF(E425="","",DATEDIF(E425,$I$7,"Y"))</f>
      </c>
      <c r="G425" s="85"/>
      <c r="H425" s="85"/>
      <c r="I425" s="87"/>
      <c r="J425" s="85"/>
      <c r="K425" s="85"/>
      <c r="L425" s="10"/>
      <c r="M425" s="10"/>
      <c r="N425" s="10"/>
      <c r="O425" s="10"/>
      <c r="P425" s="85"/>
      <c r="Q425" s="88"/>
      <c r="R425" s="3">
        <f>IFERROR(VLOOKUP(TablaOctubre[[#This Row],[BARRIO]],SECTOR!$A:$B,2,0),"")</f>
      </c>
      <c r="S425" s="89"/>
      <c r="T425" s="90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6"/>
      <c r="AZ425" s="120">
        <f>COUNTIF(U425:AY425,"A")</f>
      </c>
      <c r="BA425" s="121">
        <f>COUNTIF(U425:AY425,"F")</f>
      </c>
      <c r="BB425" s="119">
        <f>COUNTIF(U425:AY425,"E")</f>
      </c>
    </row>
    <row r="426" spans="1:54" x14ac:dyDescent="0.2">
      <c r="A426" s="84"/>
      <c r="B426" s="85"/>
      <c r="C426" s="85"/>
      <c r="D426" s="85"/>
      <c r="E426" s="86"/>
      <c r="F426" s="16">
        <f>IF(E426="","",DATEDIF(E426,$I$7,"Y"))</f>
      </c>
      <c r="G426" s="85"/>
      <c r="H426" s="85"/>
      <c r="I426" s="87"/>
      <c r="J426" s="85"/>
      <c r="K426" s="85"/>
      <c r="L426" s="10"/>
      <c r="M426" s="10"/>
      <c r="N426" s="10"/>
      <c r="O426" s="10"/>
      <c r="P426" s="85"/>
      <c r="Q426" s="88"/>
      <c r="R426" s="3">
        <f>IFERROR(VLOOKUP(TablaOctubre[[#This Row],[BARRIO]],SECTOR!$A:$B,2,0),"")</f>
      </c>
      <c r="S426" s="89"/>
      <c r="T426" s="90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6"/>
      <c r="AZ426" s="120">
        <f>COUNTIF(U426:AY426,"A")</f>
      </c>
      <c r="BA426" s="121">
        <f>COUNTIF(U426:AY426,"F")</f>
      </c>
      <c r="BB426" s="119">
        <f>COUNTIF(U426:AY426,"E")</f>
      </c>
    </row>
    <row r="427" spans="1:54" x14ac:dyDescent="0.2">
      <c r="A427" s="84"/>
      <c r="B427" s="85"/>
      <c r="C427" s="85"/>
      <c r="D427" s="85"/>
      <c r="E427" s="86"/>
      <c r="F427" s="16">
        <f>IF(E427="","",DATEDIF(E427,$I$7,"Y"))</f>
      </c>
      <c r="G427" s="85"/>
      <c r="H427" s="85"/>
      <c r="I427" s="87"/>
      <c r="J427" s="85"/>
      <c r="K427" s="85"/>
      <c r="L427" s="10"/>
      <c r="M427" s="10"/>
      <c r="N427" s="10"/>
      <c r="O427" s="10"/>
      <c r="P427" s="85"/>
      <c r="Q427" s="88"/>
      <c r="R427" s="3">
        <f>IFERROR(VLOOKUP(TablaOctubre[[#This Row],[BARRIO]],SECTOR!$A:$B,2,0),"")</f>
      </c>
      <c r="S427" s="89"/>
      <c r="T427" s="90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6"/>
      <c r="AZ427" s="120">
        <f>COUNTIF(U427:AY427,"A")</f>
      </c>
      <c r="BA427" s="121">
        <f>COUNTIF(U427:AY427,"F")</f>
      </c>
      <c r="BB427" s="119">
        <f>COUNTIF(U427:AY427,"E")</f>
      </c>
    </row>
    <row r="428" spans="1:54" x14ac:dyDescent="0.2">
      <c r="A428" s="84"/>
      <c r="B428" s="85"/>
      <c r="C428" s="85"/>
      <c r="D428" s="85"/>
      <c r="E428" s="86"/>
      <c r="F428" s="16">
        <f>IF(E428="","",DATEDIF(E428,$I$7,"Y"))</f>
      </c>
      <c r="G428" s="85"/>
      <c r="H428" s="85"/>
      <c r="I428" s="87"/>
      <c r="J428" s="85"/>
      <c r="K428" s="85"/>
      <c r="L428" s="10"/>
      <c r="M428" s="10"/>
      <c r="N428" s="10"/>
      <c r="O428" s="10"/>
      <c r="P428" s="85"/>
      <c r="Q428" s="88"/>
      <c r="R428" s="3">
        <f>IFERROR(VLOOKUP(TablaOctubre[[#This Row],[BARRIO]],SECTOR!$A:$B,2,0),"")</f>
      </c>
      <c r="S428" s="89"/>
      <c r="T428" s="90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6"/>
      <c r="AZ428" s="120">
        <f>COUNTIF(U428:AY428,"A")</f>
      </c>
      <c r="BA428" s="121">
        <f>COUNTIF(U428:AY428,"F")</f>
      </c>
      <c r="BB428" s="119">
        <f>COUNTIF(U428:AY428,"E")</f>
      </c>
    </row>
    <row r="429" spans="1:54" x14ac:dyDescent="0.2">
      <c r="A429" s="84"/>
      <c r="B429" s="85"/>
      <c r="C429" s="85"/>
      <c r="D429" s="85"/>
      <c r="E429" s="86"/>
      <c r="F429" s="16">
        <f>IF(E429="","",DATEDIF(E429,$I$7,"Y"))</f>
      </c>
      <c r="G429" s="85"/>
      <c r="H429" s="85"/>
      <c r="I429" s="87"/>
      <c r="J429" s="85"/>
      <c r="K429" s="85"/>
      <c r="L429" s="10"/>
      <c r="M429" s="10"/>
      <c r="N429" s="10"/>
      <c r="O429" s="10"/>
      <c r="P429" s="85"/>
      <c r="Q429" s="88"/>
      <c r="R429" s="3">
        <f>IFERROR(VLOOKUP(TablaOctubre[[#This Row],[BARRIO]],SECTOR!$A:$B,2,0),"")</f>
      </c>
      <c r="S429" s="89"/>
      <c r="T429" s="90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6"/>
      <c r="AZ429" s="120">
        <f>COUNTIF(U429:AY429,"A")</f>
      </c>
      <c r="BA429" s="121">
        <f>COUNTIF(U429:AY429,"F")</f>
      </c>
      <c r="BB429" s="119">
        <f>COUNTIF(U429:AY429,"E")</f>
      </c>
    </row>
    <row r="430" spans="1:54" x14ac:dyDescent="0.2">
      <c r="A430" s="84"/>
      <c r="B430" s="85"/>
      <c r="C430" s="85"/>
      <c r="D430" s="85"/>
      <c r="E430" s="86"/>
      <c r="F430" s="16">
        <f>IF(E430="","",DATEDIF(E430,$I$7,"Y"))</f>
      </c>
      <c r="G430" s="85"/>
      <c r="H430" s="85"/>
      <c r="I430" s="87"/>
      <c r="J430" s="85"/>
      <c r="K430" s="85"/>
      <c r="L430" s="10"/>
      <c r="M430" s="10"/>
      <c r="N430" s="10"/>
      <c r="O430" s="10"/>
      <c r="P430" s="85"/>
      <c r="Q430" s="88"/>
      <c r="R430" s="3">
        <f>IFERROR(VLOOKUP(TablaOctubre[[#This Row],[BARRIO]],SECTOR!$A:$B,2,0),"")</f>
      </c>
      <c r="S430" s="89"/>
      <c r="T430" s="90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6"/>
      <c r="AZ430" s="120">
        <f>COUNTIF(U430:AY430,"A")</f>
      </c>
      <c r="BA430" s="121">
        <f>COUNTIF(U430:AY430,"F")</f>
      </c>
      <c r="BB430" s="119">
        <f>COUNTIF(U430:AY430,"E")</f>
      </c>
    </row>
    <row r="431" spans="1:54" x14ac:dyDescent="0.2">
      <c r="A431" s="84"/>
      <c r="B431" s="85"/>
      <c r="C431" s="85"/>
      <c r="D431" s="85"/>
      <c r="E431" s="86"/>
      <c r="F431" s="16">
        <f>IF(E431="","",DATEDIF(E431,$I$7,"Y"))</f>
      </c>
      <c r="G431" s="85"/>
      <c r="H431" s="85"/>
      <c r="I431" s="87"/>
      <c r="J431" s="85"/>
      <c r="K431" s="85"/>
      <c r="L431" s="10"/>
      <c r="M431" s="10"/>
      <c r="N431" s="10"/>
      <c r="O431" s="10"/>
      <c r="P431" s="85"/>
      <c r="Q431" s="88"/>
      <c r="R431" s="3">
        <f>IFERROR(VLOOKUP(TablaOctubre[[#This Row],[BARRIO]],SECTOR!$A:$B,2,0),"")</f>
      </c>
      <c r="S431" s="89"/>
      <c r="T431" s="90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6"/>
      <c r="AZ431" s="120">
        <f>COUNTIF(U431:AY431,"A")</f>
      </c>
      <c r="BA431" s="121">
        <f>COUNTIF(U431:AY431,"F")</f>
      </c>
      <c r="BB431" s="119">
        <f>COUNTIF(U431:AY431,"E")</f>
      </c>
    </row>
    <row r="432" spans="1:54" x14ac:dyDescent="0.2">
      <c r="A432" s="84"/>
      <c r="B432" s="85"/>
      <c r="C432" s="85"/>
      <c r="D432" s="85"/>
      <c r="E432" s="86"/>
      <c r="F432" s="16">
        <f>IF(E432="","",DATEDIF(E432,$I$7,"Y"))</f>
      </c>
      <c r="G432" s="85"/>
      <c r="H432" s="85"/>
      <c r="I432" s="87"/>
      <c r="J432" s="85"/>
      <c r="K432" s="85"/>
      <c r="L432" s="10"/>
      <c r="M432" s="10"/>
      <c r="N432" s="10"/>
      <c r="O432" s="10"/>
      <c r="P432" s="85"/>
      <c r="Q432" s="88"/>
      <c r="R432" s="3">
        <f>IFERROR(VLOOKUP(TablaOctubre[[#This Row],[BARRIO]],SECTOR!$A:$B,2,0),"")</f>
      </c>
      <c r="S432" s="89"/>
      <c r="T432" s="90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6"/>
      <c r="AZ432" s="120">
        <f>COUNTIF(U432:AY432,"A")</f>
      </c>
      <c r="BA432" s="121">
        <f>COUNTIF(U432:AY432,"F")</f>
      </c>
      <c r="BB432" s="119">
        <f>COUNTIF(U432:AY432,"E")</f>
      </c>
    </row>
    <row r="433" spans="1:54" x14ac:dyDescent="0.2">
      <c r="A433" s="84"/>
      <c r="B433" s="85"/>
      <c r="C433" s="85"/>
      <c r="D433" s="85"/>
      <c r="E433" s="86"/>
      <c r="F433" s="16">
        <f>IF(E433="","",DATEDIF(E433,$I$7,"Y"))</f>
      </c>
      <c r="G433" s="85"/>
      <c r="H433" s="85"/>
      <c r="I433" s="87"/>
      <c r="J433" s="85"/>
      <c r="K433" s="85"/>
      <c r="L433" s="10"/>
      <c r="M433" s="10"/>
      <c r="N433" s="10"/>
      <c r="O433" s="10"/>
      <c r="P433" s="85"/>
      <c r="Q433" s="88"/>
      <c r="R433" s="3">
        <f>IFERROR(VLOOKUP(TablaOctubre[[#This Row],[BARRIO]],SECTOR!$A:$B,2,0),"")</f>
      </c>
      <c r="S433" s="89"/>
      <c r="T433" s="90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6"/>
      <c r="AZ433" s="120">
        <f>COUNTIF(U433:AY433,"A")</f>
      </c>
      <c r="BA433" s="121">
        <f>COUNTIF(U433:AY433,"F")</f>
      </c>
      <c r="BB433" s="119">
        <f>COUNTIF(U433:AY433,"E")</f>
      </c>
    </row>
    <row r="434" spans="1:54" x14ac:dyDescent="0.2">
      <c r="A434" s="84"/>
      <c r="B434" s="85"/>
      <c r="C434" s="85"/>
      <c r="D434" s="85"/>
      <c r="E434" s="86"/>
      <c r="F434" s="16">
        <f>IF(E434="","",DATEDIF(E434,$I$7,"Y"))</f>
      </c>
      <c r="G434" s="85"/>
      <c r="H434" s="85"/>
      <c r="I434" s="87"/>
      <c r="J434" s="85"/>
      <c r="K434" s="85"/>
      <c r="L434" s="10"/>
      <c r="M434" s="10"/>
      <c r="N434" s="10"/>
      <c r="O434" s="10"/>
      <c r="P434" s="85"/>
      <c r="Q434" s="88"/>
      <c r="R434" s="3">
        <f>IFERROR(VLOOKUP(TablaOctubre[[#This Row],[BARRIO]],SECTOR!$A:$B,2,0),"")</f>
      </c>
      <c r="S434" s="89"/>
      <c r="T434" s="90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6"/>
      <c r="AZ434" s="120">
        <f>COUNTIF(U434:AY434,"A")</f>
      </c>
      <c r="BA434" s="121">
        <f>COUNTIF(U434:AY434,"F")</f>
      </c>
      <c r="BB434" s="119">
        <f>COUNTIF(U434:AY434,"E")</f>
      </c>
    </row>
    <row r="435" spans="1:54" x14ac:dyDescent="0.2">
      <c r="A435" s="84"/>
      <c r="B435" s="85"/>
      <c r="C435" s="85"/>
      <c r="D435" s="85"/>
      <c r="E435" s="86"/>
      <c r="F435" s="16">
        <f>IF(E435="","",DATEDIF(E435,$I$7,"Y"))</f>
      </c>
      <c r="G435" s="85"/>
      <c r="H435" s="85"/>
      <c r="I435" s="87"/>
      <c r="J435" s="85"/>
      <c r="K435" s="85"/>
      <c r="L435" s="10"/>
      <c r="M435" s="10"/>
      <c r="N435" s="10"/>
      <c r="O435" s="10"/>
      <c r="P435" s="85"/>
      <c r="Q435" s="88"/>
      <c r="R435" s="3">
        <f>IFERROR(VLOOKUP(TablaOctubre[[#This Row],[BARRIO]],SECTOR!$A:$B,2,0),"")</f>
      </c>
      <c r="S435" s="89"/>
      <c r="T435" s="90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6"/>
      <c r="AZ435" s="120">
        <f>COUNTIF(U435:AY435,"A")</f>
      </c>
      <c r="BA435" s="121">
        <f>COUNTIF(U435:AY435,"F")</f>
      </c>
      <c r="BB435" s="119">
        <f>COUNTIF(U435:AY435,"E")</f>
      </c>
    </row>
    <row r="436" spans="1:54" x14ac:dyDescent="0.2">
      <c r="A436" s="84"/>
      <c r="B436" s="85"/>
      <c r="C436" s="85"/>
      <c r="D436" s="85"/>
      <c r="E436" s="86"/>
      <c r="F436" s="16">
        <f>IF(E436="","",DATEDIF(E436,$I$7,"Y"))</f>
      </c>
      <c r="G436" s="85"/>
      <c r="H436" s="85"/>
      <c r="I436" s="87"/>
      <c r="J436" s="85"/>
      <c r="K436" s="85"/>
      <c r="L436" s="10"/>
      <c r="M436" s="10"/>
      <c r="N436" s="10"/>
      <c r="O436" s="10"/>
      <c r="P436" s="85"/>
      <c r="Q436" s="88"/>
      <c r="R436" s="3">
        <f>IFERROR(VLOOKUP(TablaOctubre[[#This Row],[BARRIO]],SECTOR!$A:$B,2,0),"")</f>
      </c>
      <c r="S436" s="89"/>
      <c r="T436" s="90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6"/>
      <c r="AZ436" s="120">
        <f>COUNTIF(U436:AY436,"A")</f>
      </c>
      <c r="BA436" s="121">
        <f>COUNTIF(U436:AY436,"F")</f>
      </c>
      <c r="BB436" s="119">
        <f>COUNTIF(U436:AY436,"E")</f>
      </c>
    </row>
    <row r="437" spans="1:54" x14ac:dyDescent="0.2">
      <c r="A437" s="84"/>
      <c r="B437" s="85"/>
      <c r="C437" s="85"/>
      <c r="D437" s="85"/>
      <c r="E437" s="86"/>
      <c r="F437" s="16">
        <f>IF(E437="","",DATEDIF(E437,$I$7,"Y"))</f>
      </c>
      <c r="G437" s="85"/>
      <c r="H437" s="85"/>
      <c r="I437" s="87"/>
      <c r="J437" s="85"/>
      <c r="K437" s="85"/>
      <c r="L437" s="10"/>
      <c r="M437" s="10"/>
      <c r="N437" s="10"/>
      <c r="O437" s="10"/>
      <c r="P437" s="85"/>
      <c r="Q437" s="88"/>
      <c r="R437" s="3">
        <f>IFERROR(VLOOKUP(TablaOctubre[[#This Row],[BARRIO]],SECTOR!$A:$B,2,0),"")</f>
      </c>
      <c r="S437" s="89"/>
      <c r="T437" s="90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6"/>
      <c r="AZ437" s="120">
        <f>COUNTIF(U437:AY437,"A")</f>
      </c>
      <c r="BA437" s="121">
        <f>COUNTIF(U437:AY437,"F")</f>
      </c>
      <c r="BB437" s="119">
        <f>COUNTIF(U437:AY437,"E")</f>
      </c>
    </row>
    <row r="438" spans="1:54" x14ac:dyDescent="0.2">
      <c r="A438" s="84"/>
      <c r="B438" s="85"/>
      <c r="C438" s="85"/>
      <c r="D438" s="85"/>
      <c r="E438" s="86"/>
      <c r="F438" s="16">
        <f>IF(E438="","",DATEDIF(E438,$I$7,"Y"))</f>
      </c>
      <c r="G438" s="85"/>
      <c r="H438" s="85"/>
      <c r="I438" s="87"/>
      <c r="J438" s="85"/>
      <c r="K438" s="85"/>
      <c r="L438" s="10"/>
      <c r="M438" s="10"/>
      <c r="N438" s="10"/>
      <c r="O438" s="10"/>
      <c r="P438" s="85"/>
      <c r="Q438" s="88"/>
      <c r="R438" s="3">
        <f>IFERROR(VLOOKUP(TablaOctubre[[#This Row],[BARRIO]],SECTOR!$A:$B,2,0),"")</f>
      </c>
      <c r="S438" s="89"/>
      <c r="T438" s="90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6"/>
      <c r="AZ438" s="120">
        <f>COUNTIF(U438:AY438,"A")</f>
      </c>
      <c r="BA438" s="121">
        <f>COUNTIF(U438:AY438,"F")</f>
      </c>
      <c r="BB438" s="119">
        <f>COUNTIF(U438:AY438,"E")</f>
      </c>
    </row>
    <row r="439" spans="1:54" x14ac:dyDescent="0.2">
      <c r="A439" s="84"/>
      <c r="B439" s="85"/>
      <c r="C439" s="85"/>
      <c r="D439" s="85"/>
      <c r="E439" s="86"/>
      <c r="F439" s="16">
        <f>IF(E439="","",DATEDIF(E439,$I$7,"Y"))</f>
      </c>
      <c r="G439" s="85"/>
      <c r="H439" s="85"/>
      <c r="I439" s="87"/>
      <c r="J439" s="85"/>
      <c r="K439" s="85"/>
      <c r="L439" s="10"/>
      <c r="M439" s="10"/>
      <c r="N439" s="10"/>
      <c r="O439" s="10"/>
      <c r="P439" s="85"/>
      <c r="Q439" s="88"/>
      <c r="R439" s="3">
        <f>IFERROR(VLOOKUP(TablaOctubre[[#This Row],[BARRIO]],SECTOR!$A:$B,2,0),"")</f>
      </c>
      <c r="S439" s="89"/>
      <c r="T439" s="90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6"/>
      <c r="AZ439" s="120">
        <f>COUNTIF(U439:AY439,"A")</f>
      </c>
      <c r="BA439" s="121">
        <f>COUNTIF(U439:AY439,"F")</f>
      </c>
      <c r="BB439" s="119">
        <f>COUNTIF(U439:AY439,"E")</f>
      </c>
    </row>
    <row r="440" spans="1:54" x14ac:dyDescent="0.2">
      <c r="A440" s="84"/>
      <c r="B440" s="85"/>
      <c r="C440" s="85"/>
      <c r="D440" s="85"/>
      <c r="E440" s="86"/>
      <c r="F440" s="16">
        <f>IF(E440="","",DATEDIF(E440,$I$7,"Y"))</f>
      </c>
      <c r="G440" s="85"/>
      <c r="H440" s="85"/>
      <c r="I440" s="87"/>
      <c r="J440" s="85"/>
      <c r="K440" s="85"/>
      <c r="L440" s="10"/>
      <c r="M440" s="10"/>
      <c r="N440" s="10"/>
      <c r="O440" s="10"/>
      <c r="P440" s="85"/>
      <c r="Q440" s="88"/>
      <c r="R440" s="3">
        <f>IFERROR(VLOOKUP(TablaOctubre[[#This Row],[BARRIO]],SECTOR!$A:$B,2,0),"")</f>
      </c>
      <c r="S440" s="89"/>
      <c r="T440" s="90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6"/>
      <c r="AZ440" s="120">
        <f>COUNTIF(U440:AY440,"A")</f>
      </c>
      <c r="BA440" s="121">
        <f>COUNTIF(U440:AY440,"F")</f>
      </c>
      <c r="BB440" s="119">
        <f>COUNTIF(U440:AY440,"E")</f>
      </c>
    </row>
    <row r="441" spans="1:54" x14ac:dyDescent="0.2">
      <c r="A441" s="84"/>
      <c r="B441" s="85"/>
      <c r="C441" s="85"/>
      <c r="D441" s="85"/>
      <c r="E441" s="86"/>
      <c r="F441" s="16">
        <f>IF(E441="","",DATEDIF(E441,$I$7,"Y"))</f>
      </c>
      <c r="G441" s="85"/>
      <c r="H441" s="85"/>
      <c r="I441" s="87"/>
      <c r="J441" s="85"/>
      <c r="K441" s="85"/>
      <c r="L441" s="10"/>
      <c r="M441" s="10"/>
      <c r="N441" s="10"/>
      <c r="O441" s="10"/>
      <c r="P441" s="85"/>
      <c r="Q441" s="88"/>
      <c r="R441" s="3">
        <f>IFERROR(VLOOKUP(TablaOctubre[[#This Row],[BARRIO]],SECTOR!$A:$B,2,0),"")</f>
      </c>
      <c r="S441" s="89"/>
      <c r="T441" s="90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6"/>
      <c r="AZ441" s="120">
        <f>COUNTIF(U441:AY441,"A")</f>
      </c>
      <c r="BA441" s="121">
        <f>COUNTIF(U441:AY441,"F")</f>
      </c>
      <c r="BB441" s="119">
        <f>COUNTIF(U441:AY441,"E")</f>
      </c>
    </row>
    <row r="442" spans="1:54" x14ac:dyDescent="0.2">
      <c r="A442" s="84"/>
      <c r="B442" s="85"/>
      <c r="C442" s="85"/>
      <c r="D442" s="85"/>
      <c r="E442" s="86"/>
      <c r="F442" s="16">
        <f>IF(E442="","",DATEDIF(E442,$I$7,"Y"))</f>
      </c>
      <c r="G442" s="85"/>
      <c r="H442" s="85"/>
      <c r="I442" s="87"/>
      <c r="J442" s="85"/>
      <c r="K442" s="85"/>
      <c r="L442" s="10"/>
      <c r="M442" s="10"/>
      <c r="N442" s="10"/>
      <c r="O442" s="10"/>
      <c r="P442" s="85"/>
      <c r="Q442" s="88"/>
      <c r="R442" s="3">
        <f>IFERROR(VLOOKUP(TablaOctubre[[#This Row],[BARRIO]],SECTOR!$A:$B,2,0),"")</f>
      </c>
      <c r="S442" s="89"/>
      <c r="T442" s="90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6"/>
      <c r="AZ442" s="120">
        <f>COUNTIF(U442:AY442,"A")</f>
      </c>
      <c r="BA442" s="121">
        <f>COUNTIF(U442:AY442,"F")</f>
      </c>
      <c r="BB442" s="119">
        <f>COUNTIF(U442:AY442,"E")</f>
      </c>
    </row>
    <row r="443" spans="1:54" x14ac:dyDescent="0.2">
      <c r="A443" s="84"/>
      <c r="B443" s="85"/>
      <c r="C443" s="85"/>
      <c r="D443" s="85"/>
      <c r="E443" s="86"/>
      <c r="F443" s="16">
        <f>IF(E443="","",DATEDIF(E443,$I$7,"Y"))</f>
      </c>
      <c r="G443" s="85"/>
      <c r="H443" s="85"/>
      <c r="I443" s="87"/>
      <c r="J443" s="85"/>
      <c r="K443" s="85"/>
      <c r="L443" s="10"/>
      <c r="M443" s="10"/>
      <c r="N443" s="10"/>
      <c r="O443" s="10"/>
      <c r="P443" s="85"/>
      <c r="Q443" s="88"/>
      <c r="R443" s="3">
        <f>IFERROR(VLOOKUP(TablaOctubre[[#This Row],[BARRIO]],SECTOR!$A:$B,2,0),"")</f>
      </c>
      <c r="S443" s="89"/>
      <c r="T443" s="90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6"/>
      <c r="AZ443" s="120">
        <f>COUNTIF(U443:AY443,"A")</f>
      </c>
      <c r="BA443" s="121">
        <f>COUNTIF(U443:AY443,"F")</f>
      </c>
      <c r="BB443" s="119">
        <f>COUNTIF(U443:AY443,"E")</f>
      </c>
    </row>
    <row r="444" spans="1:54" x14ac:dyDescent="0.2">
      <c r="A444" s="84"/>
      <c r="B444" s="85"/>
      <c r="C444" s="85"/>
      <c r="D444" s="85"/>
      <c r="E444" s="86"/>
      <c r="F444" s="16">
        <f>IF(E444="","",DATEDIF(E444,$I$7,"Y"))</f>
      </c>
      <c r="G444" s="85"/>
      <c r="H444" s="85"/>
      <c r="I444" s="87"/>
      <c r="J444" s="85"/>
      <c r="K444" s="85"/>
      <c r="L444" s="10"/>
      <c r="M444" s="10"/>
      <c r="N444" s="10"/>
      <c r="O444" s="10"/>
      <c r="P444" s="85"/>
      <c r="Q444" s="88"/>
      <c r="R444" s="3">
        <f>IFERROR(VLOOKUP(TablaOctubre[[#This Row],[BARRIO]],SECTOR!$A:$B,2,0),"")</f>
      </c>
      <c r="S444" s="89"/>
      <c r="T444" s="90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6"/>
      <c r="AZ444" s="120">
        <f>COUNTIF(U444:AY444,"A")</f>
      </c>
      <c r="BA444" s="121">
        <f>COUNTIF(U444:AY444,"F")</f>
      </c>
      <c r="BB444" s="119">
        <f>COUNTIF(U444:AY444,"E")</f>
      </c>
    </row>
    <row r="445" spans="1:54" x14ac:dyDescent="0.2">
      <c r="A445" s="84"/>
      <c r="B445" s="85"/>
      <c r="C445" s="85"/>
      <c r="D445" s="85"/>
      <c r="E445" s="86"/>
      <c r="F445" s="16">
        <f>IF(E445="","",DATEDIF(E445,$I$7,"Y"))</f>
      </c>
      <c r="G445" s="85"/>
      <c r="H445" s="85"/>
      <c r="I445" s="87"/>
      <c r="J445" s="85"/>
      <c r="K445" s="85"/>
      <c r="L445" s="10"/>
      <c r="M445" s="10"/>
      <c r="N445" s="10"/>
      <c r="O445" s="10"/>
      <c r="P445" s="85"/>
      <c r="Q445" s="88"/>
      <c r="R445" s="3">
        <f>IFERROR(VLOOKUP(TablaOctubre[[#This Row],[BARRIO]],SECTOR!$A:$B,2,0),"")</f>
      </c>
      <c r="S445" s="89"/>
      <c r="T445" s="90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6"/>
      <c r="AZ445" s="120">
        <f>COUNTIF(U445:AY445,"A")</f>
      </c>
      <c r="BA445" s="121">
        <f>COUNTIF(U445:AY445,"F")</f>
      </c>
      <c r="BB445" s="119">
        <f>COUNTIF(U445:AY445,"E")</f>
      </c>
    </row>
    <row r="446" spans="1:54" x14ac:dyDescent="0.2">
      <c r="A446" s="84"/>
      <c r="B446" s="85"/>
      <c r="C446" s="85"/>
      <c r="D446" s="85"/>
      <c r="E446" s="86"/>
      <c r="F446" s="16">
        <f>IF(E446="","",DATEDIF(E446,$I$7,"Y"))</f>
      </c>
      <c r="G446" s="85"/>
      <c r="H446" s="85"/>
      <c r="I446" s="87"/>
      <c r="J446" s="85"/>
      <c r="K446" s="85"/>
      <c r="L446" s="10"/>
      <c r="M446" s="10"/>
      <c r="N446" s="10"/>
      <c r="O446" s="10"/>
      <c r="P446" s="85"/>
      <c r="Q446" s="88"/>
      <c r="R446" s="3">
        <f>IFERROR(VLOOKUP(TablaOctubre[[#This Row],[BARRIO]],SECTOR!$A:$B,2,0),"")</f>
      </c>
      <c r="S446" s="89"/>
      <c r="T446" s="90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6"/>
      <c r="AZ446" s="120">
        <f>COUNTIF(U446:AY446,"A")</f>
      </c>
      <c r="BA446" s="121">
        <f>COUNTIF(U446:AY446,"F")</f>
      </c>
      <c r="BB446" s="119">
        <f>COUNTIF(U446:AY446,"E")</f>
      </c>
    </row>
    <row r="447" spans="1:54" x14ac:dyDescent="0.2">
      <c r="A447" s="84"/>
      <c r="B447" s="85"/>
      <c r="C447" s="85"/>
      <c r="D447" s="85"/>
      <c r="E447" s="86"/>
      <c r="F447" s="16">
        <f>IF(E447="","",DATEDIF(E447,$I$7,"Y"))</f>
      </c>
      <c r="G447" s="85"/>
      <c r="H447" s="85"/>
      <c r="I447" s="87"/>
      <c r="J447" s="85"/>
      <c r="K447" s="85"/>
      <c r="L447" s="10"/>
      <c r="M447" s="10"/>
      <c r="N447" s="10"/>
      <c r="O447" s="10"/>
      <c r="P447" s="85"/>
      <c r="Q447" s="88"/>
      <c r="R447" s="3">
        <f>IFERROR(VLOOKUP(TablaOctubre[[#This Row],[BARRIO]],SECTOR!$A:$B,2,0),"")</f>
      </c>
      <c r="S447" s="89"/>
      <c r="T447" s="90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6"/>
      <c r="AZ447" s="120">
        <f>COUNTIF(U447:AY447,"A")</f>
      </c>
      <c r="BA447" s="121">
        <f>COUNTIF(U447:AY447,"F")</f>
      </c>
      <c r="BB447" s="119">
        <f>COUNTIF(U447:AY447,"E")</f>
      </c>
    </row>
    <row r="448" spans="1:54" x14ac:dyDescent="0.2">
      <c r="A448" s="84"/>
      <c r="B448" s="85"/>
      <c r="C448" s="85"/>
      <c r="D448" s="85"/>
      <c r="E448" s="86"/>
      <c r="F448" s="16">
        <f>IF(E448="","",DATEDIF(E448,$I$7,"Y"))</f>
      </c>
      <c r="G448" s="85"/>
      <c r="H448" s="85"/>
      <c r="I448" s="87"/>
      <c r="J448" s="85"/>
      <c r="K448" s="85"/>
      <c r="L448" s="10"/>
      <c r="M448" s="10"/>
      <c r="N448" s="10"/>
      <c r="O448" s="10"/>
      <c r="P448" s="85"/>
      <c r="Q448" s="88"/>
      <c r="R448" s="3">
        <f>IFERROR(VLOOKUP(TablaOctubre[[#This Row],[BARRIO]],SECTOR!$A:$B,2,0),"")</f>
      </c>
      <c r="S448" s="89"/>
      <c r="T448" s="90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6"/>
      <c r="AZ448" s="120">
        <f>COUNTIF(U448:AY448,"A")</f>
      </c>
      <c r="BA448" s="121">
        <f>COUNTIF(U448:AY448,"F")</f>
      </c>
      <c r="BB448" s="119">
        <f>COUNTIF(U448:AY448,"E")</f>
      </c>
    </row>
    <row r="449" spans="1:54" x14ac:dyDescent="0.2">
      <c r="A449" s="84"/>
      <c r="B449" s="85"/>
      <c r="C449" s="85"/>
      <c r="D449" s="85"/>
      <c r="E449" s="86"/>
      <c r="F449" s="16">
        <f>IF(E449="","",DATEDIF(E449,$I$7,"Y"))</f>
      </c>
      <c r="G449" s="85"/>
      <c r="H449" s="85"/>
      <c r="I449" s="87"/>
      <c r="J449" s="85"/>
      <c r="K449" s="85"/>
      <c r="L449" s="10"/>
      <c r="M449" s="10"/>
      <c r="N449" s="10"/>
      <c r="O449" s="10"/>
      <c r="P449" s="85"/>
      <c r="Q449" s="88"/>
      <c r="R449" s="3">
        <f>IFERROR(VLOOKUP(TablaOctubre[[#This Row],[BARRIO]],SECTOR!$A:$B,2,0),"")</f>
      </c>
      <c r="S449" s="89"/>
      <c r="T449" s="90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6"/>
      <c r="AZ449" s="120">
        <f>COUNTIF(U449:AY449,"A")</f>
      </c>
      <c r="BA449" s="121">
        <f>COUNTIF(U449:AY449,"F")</f>
      </c>
      <c r="BB449" s="119">
        <f>COUNTIF(U449:AY449,"E")</f>
      </c>
    </row>
    <row r="450" spans="1:54" x14ac:dyDescent="0.2">
      <c r="A450" s="84"/>
      <c r="B450" s="85"/>
      <c r="C450" s="85"/>
      <c r="D450" s="85"/>
      <c r="E450" s="86"/>
      <c r="F450" s="16">
        <f>IF(E450="","",DATEDIF(E450,$I$7,"Y"))</f>
      </c>
      <c r="G450" s="85"/>
      <c r="H450" s="85"/>
      <c r="I450" s="87"/>
      <c r="J450" s="85"/>
      <c r="K450" s="85"/>
      <c r="L450" s="10"/>
      <c r="M450" s="10"/>
      <c r="N450" s="10"/>
      <c r="O450" s="10"/>
      <c r="P450" s="85"/>
      <c r="Q450" s="88"/>
      <c r="R450" s="3">
        <f>IFERROR(VLOOKUP(TablaOctubre[[#This Row],[BARRIO]],SECTOR!$A:$B,2,0),"")</f>
      </c>
      <c r="S450" s="89"/>
      <c r="T450" s="90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6"/>
      <c r="AZ450" s="120">
        <f>COUNTIF(U450:AY450,"A")</f>
      </c>
      <c r="BA450" s="121">
        <f>COUNTIF(U450:AY450,"F")</f>
      </c>
      <c r="BB450" s="119">
        <f>COUNTIF(U450:AY450,"E")</f>
      </c>
    </row>
    <row r="451" spans="1:54" x14ac:dyDescent="0.2">
      <c r="A451" s="84"/>
      <c r="B451" s="85"/>
      <c r="C451" s="85"/>
      <c r="D451" s="85"/>
      <c r="E451" s="86"/>
      <c r="F451" s="16">
        <f>IF(E451="","",DATEDIF(E451,$I$7,"Y"))</f>
      </c>
      <c r="G451" s="85"/>
      <c r="H451" s="85"/>
      <c r="I451" s="87"/>
      <c r="J451" s="85"/>
      <c r="K451" s="85"/>
      <c r="L451" s="10"/>
      <c r="M451" s="10"/>
      <c r="N451" s="10"/>
      <c r="O451" s="10"/>
      <c r="P451" s="85"/>
      <c r="Q451" s="88"/>
      <c r="R451" s="3">
        <f>IFERROR(VLOOKUP(TablaOctubre[[#This Row],[BARRIO]],SECTOR!$A:$B,2,0),"")</f>
      </c>
      <c r="S451" s="89"/>
      <c r="T451" s="90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6"/>
      <c r="AZ451" s="120">
        <f>COUNTIF(U451:AY451,"A")</f>
      </c>
      <c r="BA451" s="121">
        <f>COUNTIF(U451:AY451,"F")</f>
      </c>
      <c r="BB451" s="119">
        <f>COUNTIF(U451:AY451,"E")</f>
      </c>
    </row>
    <row r="452" spans="1:54" x14ac:dyDescent="0.2">
      <c r="A452" s="84"/>
      <c r="B452" s="85"/>
      <c r="C452" s="85"/>
      <c r="D452" s="85"/>
      <c r="E452" s="86"/>
      <c r="F452" s="16">
        <f>IF(E452="","",DATEDIF(E452,$I$7,"Y"))</f>
      </c>
      <c r="G452" s="85"/>
      <c r="H452" s="85"/>
      <c r="I452" s="87"/>
      <c r="J452" s="85"/>
      <c r="K452" s="85"/>
      <c r="L452" s="10"/>
      <c r="M452" s="10"/>
      <c r="N452" s="10"/>
      <c r="O452" s="10"/>
      <c r="P452" s="85"/>
      <c r="Q452" s="88"/>
      <c r="R452" s="3">
        <f>IFERROR(VLOOKUP(TablaOctubre[[#This Row],[BARRIO]],SECTOR!$A:$B,2,0),"")</f>
      </c>
      <c r="S452" s="89"/>
      <c r="T452" s="90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6"/>
      <c r="AZ452" s="120">
        <f>COUNTIF(U452:AY452,"A")</f>
      </c>
      <c r="BA452" s="121">
        <f>COUNTIF(U452:AY452,"F")</f>
      </c>
      <c r="BB452" s="119">
        <f>COUNTIF(U452:AY452,"E")</f>
      </c>
    </row>
    <row r="453" spans="1:54" x14ac:dyDescent="0.2">
      <c r="A453" s="84"/>
      <c r="B453" s="85"/>
      <c r="C453" s="85"/>
      <c r="D453" s="85"/>
      <c r="E453" s="86"/>
      <c r="F453" s="16">
        <f>IF(E453="","",DATEDIF(E453,$I$7,"Y"))</f>
      </c>
      <c r="G453" s="85"/>
      <c r="H453" s="85"/>
      <c r="I453" s="87"/>
      <c r="J453" s="85"/>
      <c r="K453" s="85"/>
      <c r="L453" s="10"/>
      <c r="M453" s="10"/>
      <c r="N453" s="10"/>
      <c r="O453" s="10"/>
      <c r="P453" s="85"/>
      <c r="Q453" s="88"/>
      <c r="R453" s="3">
        <f>IFERROR(VLOOKUP(TablaOctubre[[#This Row],[BARRIO]],SECTOR!$A:$B,2,0),"")</f>
      </c>
      <c r="S453" s="89"/>
      <c r="T453" s="90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6"/>
      <c r="AZ453" s="120">
        <f>COUNTIF(U453:AY453,"A")</f>
      </c>
      <c r="BA453" s="121">
        <f>COUNTIF(U453:AY453,"F")</f>
      </c>
      <c r="BB453" s="119">
        <f>COUNTIF(U453:AY453,"E")</f>
      </c>
    </row>
    <row r="454" spans="1:54" x14ac:dyDescent="0.2">
      <c r="A454" s="84"/>
      <c r="B454" s="85"/>
      <c r="C454" s="85"/>
      <c r="D454" s="85"/>
      <c r="E454" s="86"/>
      <c r="F454" s="16">
        <f>IF(E454="","",DATEDIF(E454,$I$7,"Y"))</f>
      </c>
      <c r="G454" s="85"/>
      <c r="H454" s="85"/>
      <c r="I454" s="87"/>
      <c r="J454" s="85"/>
      <c r="K454" s="85"/>
      <c r="L454" s="10"/>
      <c r="M454" s="10"/>
      <c r="N454" s="10"/>
      <c r="O454" s="10"/>
      <c r="P454" s="85"/>
      <c r="Q454" s="88"/>
      <c r="R454" s="3">
        <f>IFERROR(VLOOKUP(TablaOctubre[[#This Row],[BARRIO]],SECTOR!$A:$B,2,0),"")</f>
      </c>
      <c r="S454" s="89"/>
      <c r="T454" s="90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6"/>
      <c r="AZ454" s="120">
        <f>COUNTIF(U454:AY454,"A")</f>
      </c>
      <c r="BA454" s="121">
        <f>COUNTIF(U454:AY454,"F")</f>
      </c>
      <c r="BB454" s="119">
        <f>COUNTIF(U454:AY454,"E")</f>
      </c>
    </row>
    <row r="455" spans="1:54" x14ac:dyDescent="0.2">
      <c r="A455" s="84"/>
      <c r="B455" s="85"/>
      <c r="C455" s="85"/>
      <c r="D455" s="85"/>
      <c r="E455" s="86"/>
      <c r="F455" s="16">
        <f>IF(E455="","",DATEDIF(E455,$I$7,"Y"))</f>
      </c>
      <c r="G455" s="85"/>
      <c r="H455" s="85"/>
      <c r="I455" s="87"/>
      <c r="J455" s="85"/>
      <c r="K455" s="85"/>
      <c r="L455" s="10"/>
      <c r="M455" s="10"/>
      <c r="N455" s="10"/>
      <c r="O455" s="10"/>
      <c r="P455" s="85"/>
      <c r="Q455" s="88"/>
      <c r="R455" s="3">
        <f>IFERROR(VLOOKUP(TablaOctubre[[#This Row],[BARRIO]],SECTOR!$A:$B,2,0),"")</f>
      </c>
      <c r="S455" s="89"/>
      <c r="T455" s="90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6"/>
      <c r="AZ455" s="120">
        <f>COUNTIF(U455:AY455,"A")</f>
      </c>
      <c r="BA455" s="121">
        <f>COUNTIF(U455:AY455,"F")</f>
      </c>
      <c r="BB455" s="119">
        <f>COUNTIF(U455:AY455,"E")</f>
      </c>
    </row>
    <row r="456" spans="1:54" x14ac:dyDescent="0.2">
      <c r="A456" s="84"/>
      <c r="B456" s="85"/>
      <c r="C456" s="85"/>
      <c r="D456" s="85"/>
      <c r="E456" s="86"/>
      <c r="F456" s="16">
        <f>IF(E456="","",DATEDIF(E456,$I$7,"Y"))</f>
      </c>
      <c r="G456" s="85"/>
      <c r="H456" s="85"/>
      <c r="I456" s="87"/>
      <c r="J456" s="85"/>
      <c r="K456" s="85"/>
      <c r="L456" s="10"/>
      <c r="M456" s="10"/>
      <c r="N456" s="10"/>
      <c r="O456" s="10"/>
      <c r="P456" s="85"/>
      <c r="Q456" s="88"/>
      <c r="R456" s="3">
        <f>IFERROR(VLOOKUP(TablaOctubre[[#This Row],[BARRIO]],SECTOR!$A:$B,2,0),"")</f>
      </c>
      <c r="S456" s="89"/>
      <c r="T456" s="90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6"/>
      <c r="AZ456" s="120">
        <f>COUNTIF(U456:AY456,"A")</f>
      </c>
      <c r="BA456" s="121">
        <f>COUNTIF(U456:AY456,"F")</f>
      </c>
      <c r="BB456" s="119">
        <f>COUNTIF(U456:AY456,"E")</f>
      </c>
    </row>
    <row r="457" spans="1:54" x14ac:dyDescent="0.2">
      <c r="A457" s="84"/>
      <c r="B457" s="85"/>
      <c r="C457" s="85"/>
      <c r="D457" s="85"/>
      <c r="E457" s="86"/>
      <c r="F457" s="16">
        <f>IF(E457="","",DATEDIF(E457,$I$7,"Y"))</f>
      </c>
      <c r="G457" s="85"/>
      <c r="H457" s="85"/>
      <c r="I457" s="87"/>
      <c r="J457" s="85"/>
      <c r="K457" s="85"/>
      <c r="L457" s="10"/>
      <c r="M457" s="10"/>
      <c r="N457" s="10"/>
      <c r="O457" s="10"/>
      <c r="P457" s="85"/>
      <c r="Q457" s="88"/>
      <c r="R457" s="3">
        <f>IFERROR(VLOOKUP(TablaOctubre[[#This Row],[BARRIO]],SECTOR!$A:$B,2,0),"")</f>
      </c>
      <c r="S457" s="89"/>
      <c r="T457" s="90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6"/>
      <c r="AZ457" s="120">
        <f>COUNTIF(U457:AY457,"A")</f>
      </c>
      <c r="BA457" s="121">
        <f>COUNTIF(U457:AY457,"F")</f>
      </c>
      <c r="BB457" s="119">
        <f>COUNTIF(U457:AY457,"E")</f>
      </c>
    </row>
    <row r="458" spans="1:54" x14ac:dyDescent="0.2">
      <c r="A458" s="84"/>
      <c r="B458" s="85"/>
      <c r="C458" s="85"/>
      <c r="D458" s="85"/>
      <c r="E458" s="86"/>
      <c r="F458" s="16">
        <f>IF(E458="","",DATEDIF(E458,$I$7,"Y"))</f>
      </c>
      <c r="G458" s="85"/>
      <c r="H458" s="85"/>
      <c r="I458" s="87"/>
      <c r="J458" s="85"/>
      <c r="K458" s="85"/>
      <c r="L458" s="10"/>
      <c r="M458" s="10"/>
      <c r="N458" s="10"/>
      <c r="O458" s="10"/>
      <c r="P458" s="85"/>
      <c r="Q458" s="88"/>
      <c r="R458" s="3">
        <f>IFERROR(VLOOKUP(TablaOctubre[[#This Row],[BARRIO]],SECTOR!$A:$B,2,0),"")</f>
      </c>
      <c r="S458" s="89"/>
      <c r="T458" s="90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6"/>
      <c r="AZ458" s="120">
        <f>COUNTIF(U458:AY458,"A")</f>
      </c>
      <c r="BA458" s="121">
        <f>COUNTIF(U458:AY458,"F")</f>
      </c>
      <c r="BB458" s="119">
        <f>COUNTIF(U458:AY458,"E")</f>
      </c>
    </row>
    <row r="459" spans="1:54" x14ac:dyDescent="0.2">
      <c r="A459" s="84"/>
      <c r="B459" s="85"/>
      <c r="C459" s="85"/>
      <c r="D459" s="85"/>
      <c r="E459" s="86"/>
      <c r="F459" s="16">
        <f>IF(E459="","",DATEDIF(E459,$I$7,"Y"))</f>
      </c>
      <c r="G459" s="85"/>
      <c r="H459" s="85"/>
      <c r="I459" s="87"/>
      <c r="J459" s="85"/>
      <c r="K459" s="85"/>
      <c r="L459" s="10"/>
      <c r="M459" s="10"/>
      <c r="N459" s="10"/>
      <c r="O459" s="10"/>
      <c r="P459" s="85"/>
      <c r="Q459" s="88"/>
      <c r="R459" s="3">
        <f>IFERROR(VLOOKUP(TablaOctubre[[#This Row],[BARRIO]],SECTOR!$A:$B,2,0),"")</f>
      </c>
      <c r="S459" s="89"/>
      <c r="T459" s="90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6"/>
      <c r="AZ459" s="120">
        <f>COUNTIF(U459:AY459,"A")</f>
      </c>
      <c r="BA459" s="121">
        <f>COUNTIF(U459:AY459,"F")</f>
      </c>
      <c r="BB459" s="119">
        <f>COUNTIF(U459:AY459,"E")</f>
      </c>
    </row>
    <row r="460" spans="1:54" x14ac:dyDescent="0.2">
      <c r="A460" s="84"/>
      <c r="B460" s="85"/>
      <c r="C460" s="85"/>
      <c r="D460" s="85"/>
      <c r="E460" s="86"/>
      <c r="F460" s="16">
        <f>IF(E460="","",DATEDIF(E460,$I$7,"Y"))</f>
      </c>
      <c r="G460" s="85"/>
      <c r="H460" s="85"/>
      <c r="I460" s="87"/>
      <c r="J460" s="85"/>
      <c r="K460" s="85"/>
      <c r="L460" s="10"/>
      <c r="M460" s="10"/>
      <c r="N460" s="10"/>
      <c r="O460" s="10"/>
      <c r="P460" s="85"/>
      <c r="Q460" s="88"/>
      <c r="R460" s="3">
        <f>IFERROR(VLOOKUP(TablaOctubre[[#This Row],[BARRIO]],SECTOR!$A:$B,2,0),"")</f>
      </c>
      <c r="S460" s="89"/>
      <c r="T460" s="90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6"/>
      <c r="AZ460" s="120">
        <f>COUNTIF(U460:AY460,"A")</f>
      </c>
      <c r="BA460" s="121">
        <f>COUNTIF(U460:AY460,"F")</f>
      </c>
      <c r="BB460" s="119">
        <f>COUNTIF(U460:AY460,"E")</f>
      </c>
    </row>
    <row r="461" spans="1:54" x14ac:dyDescent="0.2">
      <c r="A461" s="84"/>
      <c r="B461" s="85"/>
      <c r="C461" s="85"/>
      <c r="D461" s="85"/>
      <c r="E461" s="86"/>
      <c r="F461" s="16">
        <f>IF(E461="","",DATEDIF(E461,$I$7,"Y"))</f>
      </c>
      <c r="G461" s="85"/>
      <c r="H461" s="85"/>
      <c r="I461" s="87"/>
      <c r="J461" s="85"/>
      <c r="K461" s="85"/>
      <c r="L461" s="10"/>
      <c r="M461" s="10"/>
      <c r="N461" s="10"/>
      <c r="O461" s="10"/>
      <c r="P461" s="85"/>
      <c r="Q461" s="88"/>
      <c r="R461" s="3">
        <f>IFERROR(VLOOKUP(TablaOctubre[[#This Row],[BARRIO]],SECTOR!$A:$B,2,0),"")</f>
      </c>
      <c r="S461" s="89"/>
      <c r="T461" s="90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6"/>
      <c r="AZ461" s="120">
        <f>COUNTIF(U461:AY461,"A")</f>
      </c>
      <c r="BA461" s="121">
        <f>COUNTIF(U461:AY461,"F")</f>
      </c>
      <c r="BB461" s="119">
        <f>COUNTIF(U461:AY461,"E")</f>
      </c>
    </row>
    <row r="462" spans="1:54" x14ac:dyDescent="0.2">
      <c r="A462" s="84"/>
      <c r="B462" s="85"/>
      <c r="C462" s="85"/>
      <c r="D462" s="85"/>
      <c r="E462" s="86"/>
      <c r="F462" s="16">
        <f>IF(E462="","",DATEDIF(E462,$I$7,"Y"))</f>
      </c>
      <c r="G462" s="85"/>
      <c r="H462" s="85"/>
      <c r="I462" s="87"/>
      <c r="J462" s="85"/>
      <c r="K462" s="85"/>
      <c r="L462" s="10"/>
      <c r="M462" s="10"/>
      <c r="N462" s="10"/>
      <c r="O462" s="10"/>
      <c r="P462" s="85"/>
      <c r="Q462" s="88"/>
      <c r="R462" s="3">
        <f>IFERROR(VLOOKUP(TablaOctubre[[#This Row],[BARRIO]],SECTOR!$A:$B,2,0),"")</f>
      </c>
      <c r="S462" s="89"/>
      <c r="T462" s="90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6"/>
      <c r="AZ462" s="120">
        <f>COUNTIF(U462:AY462,"A")</f>
      </c>
      <c r="BA462" s="121">
        <f>COUNTIF(U462:AY462,"F")</f>
      </c>
      <c r="BB462" s="119">
        <f>COUNTIF(U462:AY462,"E")</f>
      </c>
    </row>
    <row r="463" spans="1:54" x14ac:dyDescent="0.2">
      <c r="A463" s="84"/>
      <c r="B463" s="85"/>
      <c r="C463" s="85"/>
      <c r="D463" s="85"/>
      <c r="E463" s="86"/>
      <c r="F463" s="16">
        <f>IF(E463="","",DATEDIF(E463,$I$7,"Y"))</f>
      </c>
      <c r="G463" s="85"/>
      <c r="H463" s="85"/>
      <c r="I463" s="87"/>
      <c r="J463" s="85"/>
      <c r="K463" s="85"/>
      <c r="L463" s="10"/>
      <c r="M463" s="10"/>
      <c r="N463" s="10"/>
      <c r="O463" s="10"/>
      <c r="P463" s="85"/>
      <c r="Q463" s="88"/>
      <c r="R463" s="3">
        <f>IFERROR(VLOOKUP(TablaOctubre[[#This Row],[BARRIO]],SECTOR!$A:$B,2,0),"")</f>
      </c>
      <c r="S463" s="89"/>
      <c r="T463" s="90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6"/>
      <c r="AZ463" s="120">
        <f>COUNTIF(U463:AY463,"A")</f>
      </c>
      <c r="BA463" s="121">
        <f>COUNTIF(U463:AY463,"F")</f>
      </c>
      <c r="BB463" s="119">
        <f>COUNTIF(U463:AY463,"E")</f>
      </c>
    </row>
    <row r="464" spans="1:54" x14ac:dyDescent="0.2">
      <c r="A464" s="84"/>
      <c r="B464" s="85"/>
      <c r="C464" s="85"/>
      <c r="D464" s="85"/>
      <c r="E464" s="86"/>
      <c r="F464" s="16">
        <f>IF(E464="","",DATEDIF(E464,$I$7,"Y"))</f>
      </c>
      <c r="G464" s="85"/>
      <c r="H464" s="85"/>
      <c r="I464" s="87"/>
      <c r="J464" s="85"/>
      <c r="K464" s="85"/>
      <c r="L464" s="10"/>
      <c r="M464" s="10"/>
      <c r="N464" s="10"/>
      <c r="O464" s="10"/>
      <c r="P464" s="85"/>
      <c r="Q464" s="88"/>
      <c r="R464" s="3">
        <f>IFERROR(VLOOKUP(TablaOctubre[[#This Row],[BARRIO]],SECTOR!$A:$B,2,0),"")</f>
      </c>
      <c r="S464" s="89"/>
      <c r="T464" s="90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6"/>
      <c r="AZ464" s="120">
        <f>COUNTIF(U464:AY464,"A")</f>
      </c>
      <c r="BA464" s="121">
        <f>COUNTIF(U464:AY464,"F")</f>
      </c>
      <c r="BB464" s="119">
        <f>COUNTIF(U464:AY464,"E")</f>
      </c>
    </row>
    <row r="465" spans="1:54" x14ac:dyDescent="0.2">
      <c r="A465" s="84"/>
      <c r="B465" s="85"/>
      <c r="C465" s="85"/>
      <c r="D465" s="85"/>
      <c r="E465" s="86"/>
      <c r="F465" s="16">
        <f>IF(E465="","",DATEDIF(E465,$I$7,"Y"))</f>
      </c>
      <c r="G465" s="85"/>
      <c r="H465" s="85"/>
      <c r="I465" s="87"/>
      <c r="J465" s="85"/>
      <c r="K465" s="85"/>
      <c r="L465" s="10"/>
      <c r="M465" s="10"/>
      <c r="N465" s="10"/>
      <c r="O465" s="10"/>
      <c r="P465" s="85"/>
      <c r="Q465" s="88"/>
      <c r="R465" s="3">
        <f>IFERROR(VLOOKUP(TablaOctubre[[#This Row],[BARRIO]],SECTOR!$A:$B,2,0),"")</f>
      </c>
      <c r="S465" s="89"/>
      <c r="T465" s="90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6"/>
      <c r="AZ465" s="120">
        <f>COUNTIF(U465:AY465,"A")</f>
      </c>
      <c r="BA465" s="121">
        <f>COUNTIF(U465:AY465,"F")</f>
      </c>
      <c r="BB465" s="119">
        <f>COUNTIF(U465:AY465,"E")</f>
      </c>
    </row>
    <row r="466" spans="1:54" x14ac:dyDescent="0.2">
      <c r="A466" s="84"/>
      <c r="B466" s="85"/>
      <c r="C466" s="85"/>
      <c r="D466" s="85"/>
      <c r="E466" s="86"/>
      <c r="F466" s="16">
        <f>IF(E466="","",DATEDIF(E466,$I$7,"Y"))</f>
      </c>
      <c r="G466" s="85"/>
      <c r="H466" s="85"/>
      <c r="I466" s="87"/>
      <c r="J466" s="85"/>
      <c r="K466" s="85"/>
      <c r="L466" s="10"/>
      <c r="M466" s="10"/>
      <c r="N466" s="10"/>
      <c r="O466" s="10"/>
      <c r="P466" s="85"/>
      <c r="Q466" s="88"/>
      <c r="R466" s="3">
        <f>IFERROR(VLOOKUP(TablaOctubre[[#This Row],[BARRIO]],SECTOR!$A:$B,2,0),"")</f>
      </c>
      <c r="S466" s="89"/>
      <c r="T466" s="90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6"/>
      <c r="AZ466" s="120">
        <f>COUNTIF(U466:AY466,"A")</f>
      </c>
      <c r="BA466" s="121">
        <f>COUNTIF(U466:AY466,"F")</f>
      </c>
      <c r="BB466" s="119">
        <f>COUNTIF(U466:AY466,"E")</f>
      </c>
    </row>
    <row r="467" spans="1:54" x14ac:dyDescent="0.2">
      <c r="A467" s="84"/>
      <c r="B467" s="85"/>
      <c r="C467" s="85"/>
      <c r="D467" s="85"/>
      <c r="E467" s="86"/>
      <c r="F467" s="16">
        <f>IF(E467="","",DATEDIF(E467,$I$7,"Y"))</f>
      </c>
      <c r="G467" s="85"/>
      <c r="H467" s="85"/>
      <c r="I467" s="87"/>
      <c r="J467" s="85"/>
      <c r="K467" s="85"/>
      <c r="L467" s="10"/>
      <c r="M467" s="10"/>
      <c r="N467" s="10"/>
      <c r="O467" s="10"/>
      <c r="P467" s="85"/>
      <c r="Q467" s="88"/>
      <c r="R467" s="3">
        <f>IFERROR(VLOOKUP(TablaOctubre[[#This Row],[BARRIO]],SECTOR!$A:$B,2,0),"")</f>
      </c>
      <c r="S467" s="89"/>
      <c r="T467" s="90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6"/>
      <c r="AZ467" s="120">
        <f>COUNTIF(U467:AY467,"A")</f>
      </c>
      <c r="BA467" s="121">
        <f>COUNTIF(U467:AY467,"F")</f>
      </c>
      <c r="BB467" s="119">
        <f>COUNTIF(U467:AY467,"E")</f>
      </c>
    </row>
    <row r="468" spans="1:54" x14ac:dyDescent="0.2">
      <c r="A468" s="84"/>
      <c r="B468" s="85"/>
      <c r="C468" s="85"/>
      <c r="D468" s="85"/>
      <c r="E468" s="86"/>
      <c r="F468" s="16">
        <f>IF(E468="","",DATEDIF(E468,$I$7,"Y"))</f>
      </c>
      <c r="G468" s="85"/>
      <c r="H468" s="85"/>
      <c r="I468" s="87"/>
      <c r="J468" s="85"/>
      <c r="K468" s="85"/>
      <c r="L468" s="10"/>
      <c r="M468" s="10"/>
      <c r="N468" s="10"/>
      <c r="O468" s="10"/>
      <c r="P468" s="85"/>
      <c r="Q468" s="88"/>
      <c r="R468" s="3">
        <f>IFERROR(VLOOKUP(TablaOctubre[[#This Row],[BARRIO]],SECTOR!$A:$B,2,0),"")</f>
      </c>
      <c r="S468" s="89"/>
      <c r="T468" s="90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6"/>
      <c r="AZ468" s="120">
        <f>COUNTIF(U468:AY468,"A")</f>
      </c>
      <c r="BA468" s="121">
        <f>COUNTIF(U468:AY468,"F")</f>
      </c>
      <c r="BB468" s="119">
        <f>COUNTIF(U468:AY468,"E")</f>
      </c>
    </row>
    <row r="469" spans="1:54" x14ac:dyDescent="0.2">
      <c r="A469" s="84"/>
      <c r="B469" s="85"/>
      <c r="C469" s="85"/>
      <c r="D469" s="85"/>
      <c r="E469" s="86"/>
      <c r="F469" s="16">
        <f>IF(E469="","",DATEDIF(E469,$I$7,"Y"))</f>
      </c>
      <c r="G469" s="85"/>
      <c r="H469" s="85"/>
      <c r="I469" s="87"/>
      <c r="J469" s="85"/>
      <c r="K469" s="85"/>
      <c r="L469" s="10"/>
      <c r="M469" s="10"/>
      <c r="N469" s="10"/>
      <c r="O469" s="10"/>
      <c r="P469" s="85"/>
      <c r="Q469" s="88"/>
      <c r="R469" s="3">
        <f>IFERROR(VLOOKUP(TablaOctubre[[#This Row],[BARRIO]],SECTOR!$A:$B,2,0),"")</f>
      </c>
      <c r="S469" s="89"/>
      <c r="T469" s="90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6"/>
      <c r="AZ469" s="120">
        <f>COUNTIF(U469:AY469,"A")</f>
      </c>
      <c r="BA469" s="121">
        <f>COUNTIF(U469:AY469,"F")</f>
      </c>
      <c r="BB469" s="119">
        <f>COUNTIF(U469:AY469,"E")</f>
      </c>
    </row>
    <row r="470" spans="1:54" x14ac:dyDescent="0.2">
      <c r="A470" s="84"/>
      <c r="B470" s="85"/>
      <c r="C470" s="85"/>
      <c r="D470" s="85"/>
      <c r="E470" s="86"/>
      <c r="F470" s="16">
        <f>IF(E470="","",DATEDIF(E470,$I$7,"Y"))</f>
      </c>
      <c r="G470" s="85"/>
      <c r="H470" s="85"/>
      <c r="I470" s="87"/>
      <c r="J470" s="85"/>
      <c r="K470" s="85"/>
      <c r="L470" s="10"/>
      <c r="M470" s="10"/>
      <c r="N470" s="10"/>
      <c r="O470" s="10"/>
      <c r="P470" s="85"/>
      <c r="Q470" s="88"/>
      <c r="R470" s="3">
        <f>IFERROR(VLOOKUP(TablaOctubre[[#This Row],[BARRIO]],SECTOR!$A:$B,2,0),"")</f>
      </c>
      <c r="S470" s="89"/>
      <c r="T470" s="90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6"/>
      <c r="AZ470" s="120">
        <f>COUNTIF(U470:AY470,"A")</f>
      </c>
      <c r="BA470" s="121">
        <f>COUNTIF(U470:AY470,"F")</f>
      </c>
      <c r="BB470" s="119">
        <f>COUNTIF(U470:AY470,"E")</f>
      </c>
    </row>
    <row r="471" spans="1:54" x14ac:dyDescent="0.2">
      <c r="A471" s="84"/>
      <c r="B471" s="85"/>
      <c r="C471" s="85"/>
      <c r="D471" s="85"/>
      <c r="E471" s="86"/>
      <c r="F471" s="16">
        <f>IF(E471="","",DATEDIF(E471,$I$7,"Y"))</f>
      </c>
      <c r="G471" s="85"/>
      <c r="H471" s="85"/>
      <c r="I471" s="87"/>
      <c r="J471" s="85"/>
      <c r="K471" s="85"/>
      <c r="L471" s="10"/>
      <c r="M471" s="10"/>
      <c r="N471" s="10"/>
      <c r="O471" s="10"/>
      <c r="P471" s="85"/>
      <c r="Q471" s="88"/>
      <c r="R471" s="3">
        <f>IFERROR(VLOOKUP(TablaOctubre[[#This Row],[BARRIO]],SECTOR!$A:$B,2,0),"")</f>
      </c>
      <c r="S471" s="89"/>
      <c r="T471" s="90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6"/>
      <c r="AZ471" s="120">
        <f>COUNTIF(U471:AY471,"A")</f>
      </c>
      <c r="BA471" s="121">
        <f>COUNTIF(U471:AY471,"F")</f>
      </c>
      <c r="BB471" s="119">
        <f>COUNTIF(U471:AY471,"E")</f>
      </c>
    </row>
    <row r="472" spans="1:54" x14ac:dyDescent="0.2">
      <c r="A472" s="84"/>
      <c r="B472" s="85"/>
      <c r="C472" s="85"/>
      <c r="D472" s="85"/>
      <c r="E472" s="86"/>
      <c r="F472" s="16">
        <f>IF(E472="","",DATEDIF(E472,$I$7,"Y"))</f>
      </c>
      <c r="G472" s="85"/>
      <c r="H472" s="85"/>
      <c r="I472" s="87"/>
      <c r="J472" s="85"/>
      <c r="K472" s="85"/>
      <c r="L472" s="10"/>
      <c r="M472" s="10"/>
      <c r="N472" s="10"/>
      <c r="O472" s="10"/>
      <c r="P472" s="85"/>
      <c r="Q472" s="88"/>
      <c r="R472" s="3">
        <f>IFERROR(VLOOKUP(TablaOctubre[[#This Row],[BARRIO]],SECTOR!$A:$B,2,0),"")</f>
      </c>
      <c r="S472" s="89"/>
      <c r="T472" s="90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6"/>
      <c r="AZ472" s="120">
        <f>COUNTIF(U472:AY472,"A")</f>
      </c>
      <c r="BA472" s="121">
        <f>COUNTIF(U472:AY472,"F")</f>
      </c>
      <c r="BB472" s="119">
        <f>COUNTIF(U472:AY472,"E")</f>
      </c>
    </row>
    <row r="473" spans="1:54" x14ac:dyDescent="0.2">
      <c r="A473" s="84"/>
      <c r="B473" s="85"/>
      <c r="C473" s="85"/>
      <c r="D473" s="85"/>
      <c r="E473" s="86"/>
      <c r="F473" s="16">
        <f>IF(E473="","",DATEDIF(E473,$I$7,"Y"))</f>
      </c>
      <c r="G473" s="85"/>
      <c r="H473" s="85"/>
      <c r="I473" s="87"/>
      <c r="J473" s="85"/>
      <c r="K473" s="85"/>
      <c r="L473" s="10"/>
      <c r="M473" s="10"/>
      <c r="N473" s="10"/>
      <c r="O473" s="10"/>
      <c r="P473" s="85"/>
      <c r="Q473" s="88"/>
      <c r="R473" s="3">
        <f>IFERROR(VLOOKUP(TablaOctubre[[#This Row],[BARRIO]],SECTOR!$A:$B,2,0),"")</f>
      </c>
      <c r="S473" s="89"/>
      <c r="T473" s="90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6"/>
      <c r="AZ473" s="120">
        <f>COUNTIF(U473:AY473,"A")</f>
      </c>
      <c r="BA473" s="121">
        <f>COUNTIF(U473:AY473,"F")</f>
      </c>
      <c r="BB473" s="119">
        <f>COUNTIF(U473:AY473,"E")</f>
      </c>
    </row>
    <row r="474" spans="1:54" x14ac:dyDescent="0.2">
      <c r="A474" s="84"/>
      <c r="B474" s="85"/>
      <c r="C474" s="85"/>
      <c r="D474" s="85"/>
      <c r="E474" s="86"/>
      <c r="F474" s="16">
        <f>IF(E474="","",DATEDIF(E474,$I$7,"Y"))</f>
      </c>
      <c r="G474" s="85"/>
      <c r="H474" s="85"/>
      <c r="I474" s="87"/>
      <c r="J474" s="85"/>
      <c r="K474" s="85"/>
      <c r="L474" s="10"/>
      <c r="M474" s="10"/>
      <c r="N474" s="10"/>
      <c r="O474" s="10"/>
      <c r="P474" s="85"/>
      <c r="Q474" s="88"/>
      <c r="R474" s="3">
        <f>IFERROR(VLOOKUP(TablaOctubre[[#This Row],[BARRIO]],SECTOR!$A:$B,2,0),"")</f>
      </c>
      <c r="S474" s="89"/>
      <c r="T474" s="90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6"/>
      <c r="AZ474" s="120">
        <f>COUNTIF(U474:AY474,"A")</f>
      </c>
      <c r="BA474" s="121">
        <f>COUNTIF(U474:AY474,"F")</f>
      </c>
      <c r="BB474" s="119">
        <f>COUNTIF(U474:AY474,"E")</f>
      </c>
    </row>
    <row r="475" spans="1:54" x14ac:dyDescent="0.2">
      <c r="A475" s="84"/>
      <c r="B475" s="85"/>
      <c r="C475" s="85"/>
      <c r="D475" s="85"/>
      <c r="E475" s="86"/>
      <c r="F475" s="16">
        <f>IF(E475="","",DATEDIF(E475,$I$7,"Y"))</f>
      </c>
      <c r="G475" s="85"/>
      <c r="H475" s="85"/>
      <c r="I475" s="87"/>
      <c r="J475" s="85"/>
      <c r="K475" s="85"/>
      <c r="L475" s="10"/>
      <c r="M475" s="10"/>
      <c r="N475" s="10"/>
      <c r="O475" s="10"/>
      <c r="P475" s="85"/>
      <c r="Q475" s="88"/>
      <c r="R475" s="3">
        <f>IFERROR(VLOOKUP(TablaOctubre[[#This Row],[BARRIO]],SECTOR!$A:$B,2,0),"")</f>
      </c>
      <c r="S475" s="89"/>
      <c r="T475" s="90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6"/>
      <c r="AZ475" s="120">
        <f>COUNTIF(U475:AY475,"A")</f>
      </c>
      <c r="BA475" s="121">
        <f>COUNTIF(U475:AY475,"F")</f>
      </c>
      <c r="BB475" s="119">
        <f>COUNTIF(U475:AY475,"E")</f>
      </c>
    </row>
    <row r="476" spans="1:54" x14ac:dyDescent="0.2">
      <c r="A476" s="84"/>
      <c r="B476" s="85"/>
      <c r="C476" s="85"/>
      <c r="D476" s="85"/>
      <c r="E476" s="86"/>
      <c r="F476" s="16">
        <f>IF(E476="","",DATEDIF(E476,$I$7,"Y"))</f>
      </c>
      <c r="G476" s="85"/>
      <c r="H476" s="85"/>
      <c r="I476" s="87"/>
      <c r="J476" s="85"/>
      <c r="K476" s="85"/>
      <c r="L476" s="10"/>
      <c r="M476" s="10"/>
      <c r="N476" s="10"/>
      <c r="O476" s="10"/>
      <c r="P476" s="85"/>
      <c r="Q476" s="88"/>
      <c r="R476" s="3">
        <f>IFERROR(VLOOKUP(TablaOctubre[[#This Row],[BARRIO]],SECTOR!$A:$B,2,0),"")</f>
      </c>
      <c r="S476" s="89"/>
      <c r="T476" s="90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6"/>
      <c r="AZ476" s="120">
        <f>COUNTIF(U476:AY476,"A")</f>
      </c>
      <c r="BA476" s="121">
        <f>COUNTIF(U476:AY476,"F")</f>
      </c>
      <c r="BB476" s="119">
        <f>COUNTIF(U476:AY476,"E")</f>
      </c>
    </row>
    <row r="477" spans="1:54" x14ac:dyDescent="0.2">
      <c r="A477" s="84"/>
      <c r="B477" s="85"/>
      <c r="C477" s="85"/>
      <c r="D477" s="85"/>
      <c r="E477" s="86"/>
      <c r="F477" s="16">
        <f>IF(E477="","",DATEDIF(E477,$I$7,"Y"))</f>
      </c>
      <c r="G477" s="85"/>
      <c r="H477" s="85"/>
      <c r="I477" s="87"/>
      <c r="J477" s="85"/>
      <c r="K477" s="85"/>
      <c r="L477" s="10"/>
      <c r="M477" s="10"/>
      <c r="N477" s="10"/>
      <c r="O477" s="10"/>
      <c r="P477" s="85"/>
      <c r="Q477" s="88"/>
      <c r="R477" s="3">
        <f>IFERROR(VLOOKUP(TablaOctubre[[#This Row],[BARRIO]],SECTOR!$A:$B,2,0),"")</f>
      </c>
      <c r="S477" s="89"/>
      <c r="T477" s="90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6"/>
      <c r="AZ477" s="120">
        <f>COUNTIF(U477:AY477,"A")</f>
      </c>
      <c r="BA477" s="121">
        <f>COUNTIF(U477:AY477,"F")</f>
      </c>
      <c r="BB477" s="119">
        <f>COUNTIF(U477:AY477,"E")</f>
      </c>
    </row>
    <row r="478" spans="1:54" x14ac:dyDescent="0.2">
      <c r="A478" s="84"/>
      <c r="B478" s="85"/>
      <c r="C478" s="85"/>
      <c r="D478" s="85"/>
      <c r="E478" s="86"/>
      <c r="F478" s="16">
        <f>IF(E478="","",DATEDIF(E478,$I$7,"Y"))</f>
      </c>
      <c r="G478" s="85"/>
      <c r="H478" s="85"/>
      <c r="I478" s="87"/>
      <c r="J478" s="85"/>
      <c r="K478" s="85"/>
      <c r="L478" s="10"/>
      <c r="M478" s="10"/>
      <c r="N478" s="10"/>
      <c r="O478" s="10"/>
      <c r="P478" s="85"/>
      <c r="Q478" s="88"/>
      <c r="R478" s="3">
        <f>IFERROR(VLOOKUP(TablaOctubre[[#This Row],[BARRIO]],SECTOR!$A:$B,2,0),"")</f>
      </c>
      <c r="S478" s="89"/>
      <c r="T478" s="90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6"/>
      <c r="AZ478" s="120">
        <f>COUNTIF(U478:AY478,"A")</f>
      </c>
      <c r="BA478" s="121">
        <f>COUNTIF(U478:AY478,"F")</f>
      </c>
      <c r="BB478" s="119">
        <f>COUNTIF(U478:AY478,"E")</f>
      </c>
    </row>
    <row r="479" spans="1:54" x14ac:dyDescent="0.2">
      <c r="A479" s="84"/>
      <c r="B479" s="85"/>
      <c r="C479" s="85"/>
      <c r="D479" s="85"/>
      <c r="E479" s="86"/>
      <c r="F479" s="16">
        <f>IF(E479="","",DATEDIF(E479,$I$7,"Y"))</f>
      </c>
      <c r="G479" s="85"/>
      <c r="H479" s="85"/>
      <c r="I479" s="87"/>
      <c r="J479" s="85"/>
      <c r="K479" s="85"/>
      <c r="L479" s="10"/>
      <c r="M479" s="10"/>
      <c r="N479" s="10"/>
      <c r="O479" s="10"/>
      <c r="P479" s="85"/>
      <c r="Q479" s="88"/>
      <c r="R479" s="3">
        <f>IFERROR(VLOOKUP(TablaOctubre[[#This Row],[BARRIO]],SECTOR!$A:$B,2,0),"")</f>
      </c>
      <c r="S479" s="89"/>
      <c r="T479" s="90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6"/>
      <c r="AZ479" s="120">
        <f>COUNTIF(U479:AY479,"A")</f>
      </c>
      <c r="BA479" s="121">
        <f>COUNTIF(U479:AY479,"F")</f>
      </c>
      <c r="BB479" s="119">
        <f>COUNTIF(U479:AY479,"E")</f>
      </c>
    </row>
    <row r="480" spans="1:54" x14ac:dyDescent="0.2">
      <c r="A480" s="84"/>
      <c r="B480" s="85"/>
      <c r="C480" s="85"/>
      <c r="D480" s="85"/>
      <c r="E480" s="86"/>
      <c r="F480" s="16">
        <f>IF(E480="","",DATEDIF(E480,$I$7,"Y"))</f>
      </c>
      <c r="G480" s="85"/>
      <c r="H480" s="85"/>
      <c r="I480" s="87"/>
      <c r="J480" s="85"/>
      <c r="K480" s="85"/>
      <c r="L480" s="10"/>
      <c r="M480" s="10"/>
      <c r="N480" s="10"/>
      <c r="O480" s="10"/>
      <c r="P480" s="85"/>
      <c r="Q480" s="88"/>
      <c r="R480" s="3">
        <f>IFERROR(VLOOKUP(TablaOctubre[[#This Row],[BARRIO]],SECTOR!$A:$B,2,0),"")</f>
      </c>
      <c r="S480" s="89"/>
      <c r="T480" s="90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6"/>
      <c r="AZ480" s="120">
        <f>COUNTIF(U480:AY480,"A")</f>
      </c>
      <c r="BA480" s="121">
        <f>COUNTIF(U480:AY480,"F")</f>
      </c>
      <c r="BB480" s="119">
        <f>COUNTIF(U480:AY480,"E")</f>
      </c>
    </row>
    <row r="481" spans="1:54" x14ac:dyDescent="0.2">
      <c r="A481" s="84"/>
      <c r="B481" s="85"/>
      <c r="C481" s="85"/>
      <c r="D481" s="85"/>
      <c r="E481" s="86"/>
      <c r="F481" s="16">
        <f>IF(E481="","",DATEDIF(E481,$I$7,"Y"))</f>
      </c>
      <c r="G481" s="85"/>
      <c r="H481" s="85"/>
      <c r="I481" s="87"/>
      <c r="J481" s="85"/>
      <c r="K481" s="85"/>
      <c r="L481" s="10"/>
      <c r="M481" s="10"/>
      <c r="N481" s="10"/>
      <c r="O481" s="10"/>
      <c r="P481" s="85"/>
      <c r="Q481" s="88"/>
      <c r="R481" s="3">
        <f>IFERROR(VLOOKUP(TablaOctubre[[#This Row],[BARRIO]],SECTOR!$A:$B,2,0),"")</f>
      </c>
      <c r="S481" s="89"/>
      <c r="T481" s="90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6"/>
      <c r="AZ481" s="120">
        <f>COUNTIF(U481:AY481,"A")</f>
      </c>
      <c r="BA481" s="121">
        <f>COUNTIF(U481:AY481,"F")</f>
      </c>
      <c r="BB481" s="119">
        <f>COUNTIF(U481:AY481,"E")</f>
      </c>
    </row>
    <row r="482" spans="1:54" x14ac:dyDescent="0.2">
      <c r="A482" s="84"/>
      <c r="B482" s="85"/>
      <c r="C482" s="85"/>
      <c r="D482" s="85"/>
      <c r="E482" s="86"/>
      <c r="F482" s="16">
        <f>IF(E482="","",DATEDIF(E482,$I$7,"Y"))</f>
      </c>
      <c r="G482" s="85"/>
      <c r="H482" s="85"/>
      <c r="I482" s="87"/>
      <c r="J482" s="85"/>
      <c r="K482" s="85"/>
      <c r="L482" s="10"/>
      <c r="M482" s="10"/>
      <c r="N482" s="10"/>
      <c r="O482" s="10"/>
      <c r="P482" s="85"/>
      <c r="Q482" s="88"/>
      <c r="R482" s="3">
        <f>IFERROR(VLOOKUP(TablaOctubre[[#This Row],[BARRIO]],SECTOR!$A:$B,2,0),"")</f>
      </c>
      <c r="S482" s="89"/>
      <c r="T482" s="90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6"/>
      <c r="AZ482" s="120">
        <f>COUNTIF(U482:AY482,"A")</f>
      </c>
      <c r="BA482" s="121">
        <f>COUNTIF(U482:AY482,"F")</f>
      </c>
      <c r="BB482" s="119">
        <f>COUNTIF(U482:AY482,"E")</f>
      </c>
    </row>
    <row r="483" spans="1:54" x14ac:dyDescent="0.2">
      <c r="A483" s="84"/>
      <c r="B483" s="85"/>
      <c r="C483" s="85"/>
      <c r="D483" s="85"/>
      <c r="E483" s="86"/>
      <c r="F483" s="16">
        <f>IF(E483="","",DATEDIF(E483,$I$7,"Y"))</f>
      </c>
      <c r="G483" s="85"/>
      <c r="H483" s="85"/>
      <c r="I483" s="87"/>
      <c r="J483" s="85"/>
      <c r="K483" s="85"/>
      <c r="L483" s="10"/>
      <c r="M483" s="10"/>
      <c r="N483" s="10"/>
      <c r="O483" s="10"/>
      <c r="P483" s="85"/>
      <c r="Q483" s="88"/>
      <c r="R483" s="3">
        <f>IFERROR(VLOOKUP(TablaOctubre[[#This Row],[BARRIO]],SECTOR!$A:$B,2,0),"")</f>
      </c>
      <c r="S483" s="89"/>
      <c r="T483" s="90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6"/>
      <c r="AZ483" s="120">
        <f>COUNTIF(U483:AY483,"A")</f>
      </c>
      <c r="BA483" s="121">
        <f>COUNTIF(U483:AY483,"F")</f>
      </c>
      <c r="BB483" s="119">
        <f>COUNTIF(U483:AY483,"E")</f>
      </c>
    </row>
    <row r="484" spans="1:54" x14ac:dyDescent="0.2">
      <c r="A484" s="84"/>
      <c r="B484" s="85"/>
      <c r="C484" s="85"/>
      <c r="D484" s="85"/>
      <c r="E484" s="86"/>
      <c r="F484" s="16">
        <f>IF(E484="","",DATEDIF(E484,$I$7,"Y"))</f>
      </c>
      <c r="G484" s="85"/>
      <c r="H484" s="85"/>
      <c r="I484" s="87"/>
      <c r="J484" s="85"/>
      <c r="K484" s="85"/>
      <c r="L484" s="10"/>
      <c r="M484" s="10"/>
      <c r="N484" s="10"/>
      <c r="O484" s="10"/>
      <c r="P484" s="85"/>
      <c r="Q484" s="88"/>
      <c r="R484" s="3">
        <f>IFERROR(VLOOKUP(TablaOctubre[[#This Row],[BARRIO]],SECTOR!$A:$B,2,0),"")</f>
      </c>
      <c r="S484" s="89"/>
      <c r="T484" s="90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6"/>
      <c r="AZ484" s="120">
        <f>COUNTIF(U484:AY484,"A")</f>
      </c>
      <c r="BA484" s="121">
        <f>COUNTIF(U484:AY484,"F")</f>
      </c>
      <c r="BB484" s="119">
        <f>COUNTIF(U484:AY484,"E")</f>
      </c>
    </row>
    <row r="485" spans="1:54" x14ac:dyDescent="0.2">
      <c r="A485" s="84"/>
      <c r="B485" s="85"/>
      <c r="C485" s="85"/>
      <c r="D485" s="85"/>
      <c r="E485" s="86"/>
      <c r="F485" s="16">
        <f>IF(E485="","",DATEDIF(E485,$I$7,"Y"))</f>
      </c>
      <c r="G485" s="85"/>
      <c r="H485" s="85"/>
      <c r="I485" s="87"/>
      <c r="J485" s="85"/>
      <c r="K485" s="85"/>
      <c r="L485" s="10"/>
      <c r="M485" s="10"/>
      <c r="N485" s="10"/>
      <c r="O485" s="10"/>
      <c r="P485" s="85"/>
      <c r="Q485" s="88"/>
      <c r="R485" s="3">
        <f>IFERROR(VLOOKUP(TablaOctubre[[#This Row],[BARRIO]],SECTOR!$A:$B,2,0),"")</f>
      </c>
      <c r="S485" s="89"/>
      <c r="T485" s="90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6"/>
      <c r="AZ485" s="120">
        <f>COUNTIF(U485:AY485,"A")</f>
      </c>
      <c r="BA485" s="121">
        <f>COUNTIF(U485:AY485,"F")</f>
      </c>
      <c r="BB485" s="119">
        <f>COUNTIF(U485:AY485,"E")</f>
      </c>
    </row>
    <row r="486" spans="1:54" x14ac:dyDescent="0.2">
      <c r="A486" s="84"/>
      <c r="B486" s="85"/>
      <c r="C486" s="85"/>
      <c r="D486" s="85"/>
      <c r="E486" s="86"/>
      <c r="F486" s="16">
        <f>IF(E486="","",DATEDIF(E486,$I$7,"Y"))</f>
      </c>
      <c r="G486" s="85"/>
      <c r="H486" s="85"/>
      <c r="I486" s="87"/>
      <c r="J486" s="85"/>
      <c r="K486" s="85"/>
      <c r="L486" s="10"/>
      <c r="M486" s="10"/>
      <c r="N486" s="10"/>
      <c r="O486" s="10"/>
      <c r="P486" s="85"/>
      <c r="Q486" s="88"/>
      <c r="R486" s="3">
        <f>IFERROR(VLOOKUP(TablaOctubre[[#This Row],[BARRIO]],SECTOR!$A:$B,2,0),"")</f>
      </c>
      <c r="S486" s="89"/>
      <c r="T486" s="90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6"/>
      <c r="AZ486" s="120">
        <f>COUNTIF(U486:AY486,"A")</f>
      </c>
      <c r="BA486" s="121">
        <f>COUNTIF(U486:AY486,"F")</f>
      </c>
      <c r="BB486" s="119">
        <f>COUNTIF(U486:AY486,"E")</f>
      </c>
    </row>
    <row r="487" spans="1:54" x14ac:dyDescent="0.2">
      <c r="A487" s="84"/>
      <c r="B487" s="85"/>
      <c r="C487" s="85"/>
      <c r="D487" s="85"/>
      <c r="E487" s="86"/>
      <c r="F487" s="16">
        <f>IF(E487="","",DATEDIF(E487,$I$7,"Y"))</f>
      </c>
      <c r="G487" s="85"/>
      <c r="H487" s="85"/>
      <c r="I487" s="87"/>
      <c r="J487" s="85"/>
      <c r="K487" s="85"/>
      <c r="L487" s="10"/>
      <c r="M487" s="10"/>
      <c r="N487" s="10"/>
      <c r="O487" s="10"/>
      <c r="P487" s="85"/>
      <c r="Q487" s="88"/>
      <c r="R487" s="3">
        <f>IFERROR(VLOOKUP(TablaOctubre[[#This Row],[BARRIO]],SECTOR!$A:$B,2,0),"")</f>
      </c>
      <c r="S487" s="89"/>
      <c r="T487" s="90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6"/>
      <c r="AZ487" s="120">
        <f>COUNTIF(U487:AY487,"A")</f>
      </c>
      <c r="BA487" s="121">
        <f>COUNTIF(U487:AY487,"F")</f>
      </c>
      <c r="BB487" s="119">
        <f>COUNTIF(U487:AY487,"E")</f>
      </c>
    </row>
    <row r="488" spans="1:54" x14ac:dyDescent="0.2">
      <c r="A488" s="84"/>
      <c r="B488" s="85"/>
      <c r="C488" s="85"/>
      <c r="D488" s="85"/>
      <c r="E488" s="86"/>
      <c r="F488" s="16">
        <f>IF(E488="","",DATEDIF(E488,$I$7,"Y"))</f>
      </c>
      <c r="G488" s="85"/>
      <c r="H488" s="85"/>
      <c r="I488" s="87"/>
      <c r="J488" s="85"/>
      <c r="K488" s="85"/>
      <c r="L488" s="10"/>
      <c r="M488" s="10"/>
      <c r="N488" s="10"/>
      <c r="O488" s="10"/>
      <c r="P488" s="85"/>
      <c r="Q488" s="88"/>
      <c r="R488" s="3">
        <f>IFERROR(VLOOKUP(TablaOctubre[[#This Row],[BARRIO]],SECTOR!$A:$B,2,0),"")</f>
      </c>
      <c r="S488" s="89"/>
      <c r="T488" s="90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6"/>
      <c r="AZ488" s="120">
        <f>COUNTIF(U488:AY488,"A")</f>
      </c>
      <c r="BA488" s="121">
        <f>COUNTIF(U488:AY488,"F")</f>
      </c>
      <c r="BB488" s="119">
        <f>COUNTIF(U488:AY488,"E")</f>
      </c>
    </row>
    <row r="489" spans="1:54" x14ac:dyDescent="0.2">
      <c r="A489" s="84"/>
      <c r="B489" s="85"/>
      <c r="C489" s="85"/>
      <c r="D489" s="85"/>
      <c r="E489" s="86"/>
      <c r="F489" s="16">
        <f>IF(E489="","",DATEDIF(E489,$I$7,"Y"))</f>
      </c>
      <c r="G489" s="85"/>
      <c r="H489" s="85"/>
      <c r="I489" s="87"/>
      <c r="J489" s="85"/>
      <c r="K489" s="85"/>
      <c r="L489" s="10"/>
      <c r="M489" s="10"/>
      <c r="N489" s="10"/>
      <c r="O489" s="10"/>
      <c r="P489" s="85"/>
      <c r="Q489" s="88"/>
      <c r="R489" s="3">
        <f>IFERROR(VLOOKUP(TablaOctubre[[#This Row],[BARRIO]],SECTOR!$A:$B,2,0),"")</f>
      </c>
      <c r="S489" s="89"/>
      <c r="T489" s="90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6"/>
      <c r="AZ489" s="120">
        <f>COUNTIF(U489:AY489,"A")</f>
      </c>
      <c r="BA489" s="121">
        <f>COUNTIF(U489:AY489,"F")</f>
      </c>
      <c r="BB489" s="119">
        <f>COUNTIF(U489:AY489,"E")</f>
      </c>
    </row>
    <row r="490" spans="1:54" x14ac:dyDescent="0.2">
      <c r="A490" s="84"/>
      <c r="B490" s="85"/>
      <c r="C490" s="85"/>
      <c r="D490" s="85"/>
      <c r="E490" s="86"/>
      <c r="F490" s="16">
        <f>IF(E490="","",DATEDIF(E490,$I$7,"Y"))</f>
      </c>
      <c r="G490" s="85"/>
      <c r="H490" s="85"/>
      <c r="I490" s="87"/>
      <c r="J490" s="85"/>
      <c r="K490" s="85"/>
      <c r="L490" s="10"/>
      <c r="M490" s="10"/>
      <c r="N490" s="10"/>
      <c r="O490" s="10"/>
      <c r="P490" s="85"/>
      <c r="Q490" s="88"/>
      <c r="R490" s="3">
        <f>IFERROR(VLOOKUP(TablaOctubre[[#This Row],[BARRIO]],SECTOR!$A:$B,2,0),"")</f>
      </c>
      <c r="S490" s="89"/>
      <c r="T490" s="90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6"/>
      <c r="AZ490" s="120">
        <f>COUNTIF(U490:AY490,"A")</f>
      </c>
      <c r="BA490" s="121">
        <f>COUNTIF(U490:AY490,"F")</f>
      </c>
      <c r="BB490" s="119">
        <f>COUNTIF(U490:AY490,"E")</f>
      </c>
    </row>
    <row r="491" spans="1:54" x14ac:dyDescent="0.2">
      <c r="A491" s="84"/>
      <c r="B491" s="85"/>
      <c r="C491" s="85"/>
      <c r="D491" s="85"/>
      <c r="E491" s="86"/>
      <c r="F491" s="16">
        <f>IF(E491="","",DATEDIF(E491,$I$7,"Y"))</f>
      </c>
      <c r="G491" s="85"/>
      <c r="H491" s="85"/>
      <c r="I491" s="87"/>
      <c r="J491" s="85"/>
      <c r="K491" s="85"/>
      <c r="L491" s="10"/>
      <c r="M491" s="10"/>
      <c r="N491" s="10"/>
      <c r="O491" s="10"/>
      <c r="P491" s="85"/>
      <c r="Q491" s="88"/>
      <c r="R491" s="3">
        <f>IFERROR(VLOOKUP(TablaOctubre[[#This Row],[BARRIO]],SECTOR!$A:$B,2,0),"")</f>
      </c>
      <c r="S491" s="89"/>
      <c r="T491" s="90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6"/>
      <c r="AZ491" s="120">
        <f>COUNTIF(U491:AY491,"A")</f>
      </c>
      <c r="BA491" s="121">
        <f>COUNTIF(U491:AY491,"F")</f>
      </c>
      <c r="BB491" s="119">
        <f>COUNTIF(U491:AY491,"E")</f>
      </c>
    </row>
    <row r="492" spans="1:54" x14ac:dyDescent="0.2">
      <c r="A492" s="84"/>
      <c r="B492" s="85"/>
      <c r="C492" s="85"/>
      <c r="D492" s="85"/>
      <c r="E492" s="86"/>
      <c r="F492" s="16">
        <f>IF(E492="","",DATEDIF(E492,$I$7,"Y"))</f>
      </c>
      <c r="G492" s="85"/>
      <c r="H492" s="85"/>
      <c r="I492" s="87"/>
      <c r="J492" s="85"/>
      <c r="K492" s="85"/>
      <c r="L492" s="10"/>
      <c r="M492" s="10"/>
      <c r="N492" s="10"/>
      <c r="O492" s="10"/>
      <c r="P492" s="85"/>
      <c r="Q492" s="88"/>
      <c r="R492" s="3">
        <f>IFERROR(VLOOKUP(TablaOctubre[[#This Row],[BARRIO]],SECTOR!$A:$B,2,0),"")</f>
      </c>
      <c r="S492" s="89"/>
      <c r="T492" s="90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6"/>
      <c r="AZ492" s="120">
        <f>COUNTIF(U492:AY492,"A")</f>
      </c>
      <c r="BA492" s="121">
        <f>COUNTIF(U492:AY492,"F")</f>
      </c>
      <c r="BB492" s="119">
        <f>COUNTIF(U492:AY492,"E")</f>
      </c>
    </row>
    <row r="493" spans="1:54" x14ac:dyDescent="0.2">
      <c r="A493" s="84"/>
      <c r="B493" s="85"/>
      <c r="C493" s="85"/>
      <c r="D493" s="85"/>
      <c r="E493" s="86"/>
      <c r="F493" s="16">
        <f>IF(E493="","",DATEDIF(E493,$I$7,"Y"))</f>
      </c>
      <c r="G493" s="85"/>
      <c r="H493" s="85"/>
      <c r="I493" s="87"/>
      <c r="J493" s="85"/>
      <c r="K493" s="85"/>
      <c r="L493" s="10"/>
      <c r="M493" s="10"/>
      <c r="N493" s="10"/>
      <c r="O493" s="10"/>
      <c r="P493" s="85"/>
      <c r="Q493" s="88"/>
      <c r="R493" s="3">
        <f>IFERROR(VLOOKUP(TablaOctubre[[#This Row],[BARRIO]],SECTOR!$A:$B,2,0),"")</f>
      </c>
      <c r="S493" s="89"/>
      <c r="T493" s="90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6"/>
      <c r="AZ493" s="120">
        <f>COUNTIF(U493:AY493,"A")</f>
      </c>
      <c r="BA493" s="121">
        <f>COUNTIF(U493:AY493,"F")</f>
      </c>
      <c r="BB493" s="119">
        <f>COUNTIF(U493:AY493,"E")</f>
      </c>
    </row>
    <row r="494" spans="1:54" x14ac:dyDescent="0.2">
      <c r="A494" s="84"/>
      <c r="B494" s="85"/>
      <c r="C494" s="85"/>
      <c r="D494" s="85"/>
      <c r="E494" s="86"/>
      <c r="F494" s="16">
        <f>IF(E494="","",DATEDIF(E494,$I$7,"Y"))</f>
      </c>
      <c r="G494" s="85"/>
      <c r="H494" s="85"/>
      <c r="I494" s="87"/>
      <c r="J494" s="85"/>
      <c r="K494" s="85"/>
      <c r="L494" s="10"/>
      <c r="M494" s="10"/>
      <c r="N494" s="10"/>
      <c r="O494" s="10"/>
      <c r="P494" s="85"/>
      <c r="Q494" s="88"/>
      <c r="R494" s="3">
        <f>IFERROR(VLOOKUP(TablaOctubre[[#This Row],[BARRIO]],SECTOR!$A:$B,2,0),"")</f>
      </c>
      <c r="S494" s="89"/>
      <c r="T494" s="90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6"/>
      <c r="AZ494" s="120">
        <f>COUNTIF(U494:AY494,"A")</f>
      </c>
      <c r="BA494" s="121">
        <f>COUNTIF(U494:AY494,"F")</f>
      </c>
      <c r="BB494" s="119">
        <f>COUNTIF(U494:AY494,"E")</f>
      </c>
    </row>
    <row r="495" spans="1:54" x14ac:dyDescent="0.2">
      <c r="A495" s="84"/>
      <c r="B495" s="85"/>
      <c r="C495" s="85"/>
      <c r="D495" s="85"/>
      <c r="E495" s="86"/>
      <c r="F495" s="16">
        <f>IF(E495="","",DATEDIF(E495,$I$7,"Y"))</f>
      </c>
      <c r="G495" s="85"/>
      <c r="H495" s="85"/>
      <c r="I495" s="87"/>
      <c r="J495" s="85"/>
      <c r="K495" s="85"/>
      <c r="L495" s="10"/>
      <c r="M495" s="10"/>
      <c r="N495" s="10"/>
      <c r="O495" s="10"/>
      <c r="P495" s="85"/>
      <c r="Q495" s="88"/>
      <c r="R495" s="3">
        <f>IFERROR(VLOOKUP(TablaOctubre[[#This Row],[BARRIO]],SECTOR!$A:$B,2,0),"")</f>
      </c>
      <c r="S495" s="89"/>
      <c r="T495" s="90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6"/>
      <c r="AZ495" s="120">
        <f>COUNTIF(U495:AY495,"A")</f>
      </c>
      <c r="BA495" s="121">
        <f>COUNTIF(U495:AY495,"F")</f>
      </c>
      <c r="BB495" s="119">
        <f>COUNTIF(U495:AY495,"E")</f>
      </c>
    </row>
    <row r="496" spans="1:54" x14ac:dyDescent="0.2">
      <c r="A496" s="84"/>
      <c r="B496" s="85"/>
      <c r="C496" s="85"/>
      <c r="D496" s="85"/>
      <c r="E496" s="86"/>
      <c r="F496" s="16">
        <f>IF(E496="","",DATEDIF(E496,$I$7,"Y"))</f>
      </c>
      <c r="G496" s="85"/>
      <c r="H496" s="85"/>
      <c r="I496" s="87"/>
      <c r="J496" s="85"/>
      <c r="K496" s="85"/>
      <c r="L496" s="10"/>
      <c r="M496" s="10"/>
      <c r="N496" s="10"/>
      <c r="O496" s="10"/>
      <c r="P496" s="85"/>
      <c r="Q496" s="88"/>
      <c r="R496" s="3">
        <f>IFERROR(VLOOKUP(TablaOctubre[[#This Row],[BARRIO]],SECTOR!$A:$B,2,0),"")</f>
      </c>
      <c r="S496" s="89"/>
      <c r="T496" s="90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6"/>
      <c r="AZ496" s="120">
        <f>COUNTIF(U496:AY496,"A")</f>
      </c>
      <c r="BA496" s="121">
        <f>COUNTIF(U496:AY496,"F")</f>
      </c>
      <c r="BB496" s="119">
        <f>COUNTIF(U496:AY496,"E")</f>
      </c>
    </row>
    <row r="497" spans="1:54" x14ac:dyDescent="0.2">
      <c r="A497" s="84"/>
      <c r="B497" s="85"/>
      <c r="C497" s="85"/>
      <c r="D497" s="85"/>
      <c r="E497" s="86"/>
      <c r="F497" s="16">
        <f>IF(E497="","",DATEDIF(E497,$I$7,"Y"))</f>
      </c>
      <c r="G497" s="85"/>
      <c r="H497" s="85"/>
      <c r="I497" s="87"/>
      <c r="J497" s="85"/>
      <c r="K497" s="85"/>
      <c r="L497" s="10"/>
      <c r="M497" s="10"/>
      <c r="N497" s="10"/>
      <c r="O497" s="10"/>
      <c r="P497" s="85"/>
      <c r="Q497" s="88"/>
      <c r="R497" s="3">
        <f>IFERROR(VLOOKUP(TablaOctubre[[#This Row],[BARRIO]],SECTOR!$A:$B,2,0),"")</f>
      </c>
      <c r="S497" s="89"/>
      <c r="T497" s="90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6"/>
      <c r="AZ497" s="120">
        <f>COUNTIF(U497:AY497,"A")</f>
      </c>
      <c r="BA497" s="121">
        <f>COUNTIF(U497:AY497,"F")</f>
      </c>
      <c r="BB497" s="119">
        <f>COUNTIF(U497:AY497,"E")</f>
      </c>
    </row>
    <row r="498" spans="1:54" x14ac:dyDescent="0.2">
      <c r="A498" s="84"/>
      <c r="B498" s="85"/>
      <c r="C498" s="85"/>
      <c r="D498" s="85"/>
      <c r="E498" s="86"/>
      <c r="F498" s="16">
        <f>IF(E498="","",DATEDIF(E498,$I$7,"Y"))</f>
      </c>
      <c r="G498" s="85"/>
      <c r="H498" s="85"/>
      <c r="I498" s="87"/>
      <c r="J498" s="85"/>
      <c r="K498" s="85"/>
      <c r="L498" s="10"/>
      <c r="M498" s="10"/>
      <c r="N498" s="10"/>
      <c r="O498" s="10"/>
      <c r="P498" s="85"/>
      <c r="Q498" s="88"/>
      <c r="R498" s="3">
        <f>IFERROR(VLOOKUP(TablaOctubre[[#This Row],[BARRIO]],SECTOR!$A:$B,2,0),"")</f>
      </c>
      <c r="S498" s="89"/>
      <c r="T498" s="90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6"/>
      <c r="AZ498" s="120">
        <f>COUNTIF(U498:AY498,"A")</f>
      </c>
      <c r="BA498" s="121">
        <f>COUNTIF(U498:AY498,"F")</f>
      </c>
      <c r="BB498" s="119">
        <f>COUNTIF(U498:AY498,"E")</f>
      </c>
    </row>
    <row r="499" spans="1:54" x14ac:dyDescent="0.2">
      <c r="A499" s="84"/>
      <c r="B499" s="85"/>
      <c r="C499" s="85"/>
      <c r="D499" s="85"/>
      <c r="E499" s="86"/>
      <c r="F499" s="16">
        <f>IF(E499="","",DATEDIF(E499,$I$7,"Y"))</f>
      </c>
      <c r="G499" s="85"/>
      <c r="H499" s="85"/>
      <c r="I499" s="87"/>
      <c r="J499" s="85"/>
      <c r="K499" s="85"/>
      <c r="L499" s="10"/>
      <c r="M499" s="10"/>
      <c r="N499" s="10"/>
      <c r="O499" s="10"/>
      <c r="P499" s="85"/>
      <c r="Q499" s="88"/>
      <c r="R499" s="3">
        <f>IFERROR(VLOOKUP(TablaOctubre[[#This Row],[BARRIO]],SECTOR!$A:$B,2,0),"")</f>
      </c>
      <c r="S499" s="89"/>
      <c r="T499" s="90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6"/>
      <c r="AZ499" s="120">
        <f>COUNTIF(U499:AY499,"A")</f>
      </c>
      <c r="BA499" s="121">
        <f>COUNTIF(U499:AY499,"F")</f>
      </c>
      <c r="BB499" s="119">
        <f>COUNTIF(U499:AY499,"E")</f>
      </c>
    </row>
    <row r="500" spans="1:54" x14ac:dyDescent="0.2">
      <c r="A500" s="84"/>
      <c r="B500" s="85"/>
      <c r="C500" s="85"/>
      <c r="D500" s="85"/>
      <c r="E500" s="86"/>
      <c r="F500" s="16">
        <f>IF(E500="","",DATEDIF(E500,$I$7,"Y"))</f>
      </c>
      <c r="G500" s="85"/>
      <c r="H500" s="85"/>
      <c r="I500" s="87"/>
      <c r="J500" s="85"/>
      <c r="K500" s="85"/>
      <c r="L500" s="10"/>
      <c r="M500" s="10"/>
      <c r="N500" s="10"/>
      <c r="O500" s="10"/>
      <c r="P500" s="85"/>
      <c r="Q500" s="88"/>
      <c r="R500" s="3">
        <f>IFERROR(VLOOKUP(TablaOctubre[[#This Row],[BARRIO]],SECTOR!$A:$B,2,0),"")</f>
      </c>
      <c r="S500" s="89"/>
      <c r="T500" s="90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6"/>
      <c r="AZ500" s="120">
        <f>COUNTIF(U500:AY500,"A")</f>
      </c>
      <c r="BA500" s="121">
        <f>COUNTIF(U500:AY500,"F")</f>
      </c>
      <c r="BB500" s="119">
        <f>COUNTIF(U500:AY500,"E")</f>
      </c>
    </row>
    <row r="501" spans="1:54" x14ac:dyDescent="0.2">
      <c r="A501" s="84"/>
      <c r="B501" s="85"/>
      <c r="C501" s="85"/>
      <c r="D501" s="85"/>
      <c r="E501" s="86"/>
      <c r="F501" s="16">
        <f>IF(E501="","",DATEDIF(E501,$I$7,"Y"))</f>
      </c>
      <c r="G501" s="85"/>
      <c r="H501" s="85"/>
      <c r="I501" s="87"/>
      <c r="J501" s="85"/>
      <c r="K501" s="85"/>
      <c r="L501" s="10"/>
      <c r="M501" s="10"/>
      <c r="N501" s="10"/>
      <c r="O501" s="10"/>
      <c r="P501" s="85"/>
      <c r="Q501" s="88"/>
      <c r="R501" s="3">
        <f>IFERROR(VLOOKUP(TablaOctubre[[#This Row],[BARRIO]],SECTOR!$A:$B,2,0),"")</f>
      </c>
      <c r="S501" s="89"/>
      <c r="T501" s="90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6"/>
      <c r="AZ501" s="120">
        <f>COUNTIF(U501:AY501,"A")</f>
      </c>
      <c r="BA501" s="121">
        <f>COUNTIF(U501:AY501,"F")</f>
      </c>
      <c r="BB501" s="119">
        <f>COUNTIF(U501:AY501,"E")</f>
      </c>
    </row>
    <row r="502" spans="1:54" x14ac:dyDescent="0.2">
      <c r="A502" s="84"/>
      <c r="B502" s="85"/>
      <c r="C502" s="85"/>
      <c r="D502" s="85"/>
      <c r="E502" s="86"/>
      <c r="F502" s="16">
        <f>IF(E502="","",DATEDIF(E502,$I$7,"Y"))</f>
      </c>
      <c r="G502" s="85"/>
      <c r="H502" s="85"/>
      <c r="I502" s="87"/>
      <c r="J502" s="85"/>
      <c r="K502" s="85"/>
      <c r="L502" s="10"/>
      <c r="M502" s="10"/>
      <c r="N502" s="10"/>
      <c r="O502" s="10"/>
      <c r="P502" s="85"/>
      <c r="Q502" s="88"/>
      <c r="R502" s="3">
        <f>IFERROR(VLOOKUP(TablaOctubre[[#This Row],[BARRIO]],SECTOR!$A:$B,2,0),"")</f>
      </c>
      <c r="S502" s="89"/>
      <c r="T502" s="90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6"/>
      <c r="AZ502" s="120">
        <f>COUNTIF(U502:AY502,"A")</f>
      </c>
      <c r="BA502" s="121">
        <f>COUNTIF(U502:AY502,"F")</f>
      </c>
      <c r="BB502" s="119">
        <f>COUNTIF(U502:AY502,"E")</f>
      </c>
    </row>
    <row r="503" spans="1:54" x14ac:dyDescent="0.2">
      <c r="A503" s="84"/>
      <c r="B503" s="85"/>
      <c r="C503" s="85"/>
      <c r="D503" s="85"/>
      <c r="E503" s="86"/>
      <c r="F503" s="16">
        <f>IF(E503="","",DATEDIF(E503,$I$7,"Y"))</f>
      </c>
      <c r="G503" s="85"/>
      <c r="H503" s="85"/>
      <c r="I503" s="87"/>
      <c r="J503" s="85"/>
      <c r="K503" s="85"/>
      <c r="L503" s="10"/>
      <c r="M503" s="10"/>
      <c r="N503" s="10"/>
      <c r="O503" s="10"/>
      <c r="P503" s="85"/>
      <c r="Q503" s="88"/>
      <c r="R503" s="3">
        <f>IFERROR(VLOOKUP(TablaOctubre[[#This Row],[BARRIO]],SECTOR!$A:$B,2,0),"")</f>
      </c>
      <c r="S503" s="89"/>
      <c r="T503" s="90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6"/>
      <c r="AZ503" s="120">
        <f>COUNTIF(U503:AY503,"A")</f>
      </c>
      <c r="BA503" s="121">
        <f>COUNTIF(U503:AY503,"F")</f>
      </c>
      <c r="BB503" s="119">
        <f>COUNTIF(U503:AY503,"E")</f>
      </c>
    </row>
    <row r="504" spans="1:54" x14ac:dyDescent="0.2">
      <c r="A504" s="100"/>
      <c r="B504" s="101"/>
      <c r="C504" s="101"/>
      <c r="D504" s="101"/>
      <c r="E504" s="102"/>
      <c r="F504" s="31">
        <f>IF(E504="","",DATEDIF(E504,$I$7,"Y"))</f>
      </c>
      <c r="G504" s="101"/>
      <c r="H504" s="101"/>
      <c r="I504" s="103"/>
      <c r="J504" s="101"/>
      <c r="K504" s="101"/>
      <c r="L504" s="10"/>
      <c r="M504" s="10"/>
      <c r="N504" s="10"/>
      <c r="O504" s="10"/>
      <c r="P504" s="101"/>
      <c r="Q504" s="91"/>
      <c r="R504" s="14">
        <f>IFERROR(VLOOKUP(TablaOctubre[[#This Row],[BARRIO]],SECTOR!$A:$B,2,0),"")</f>
      </c>
      <c r="S504" s="104"/>
      <c r="T504" s="10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7"/>
      <c r="AZ504" s="120">
        <f>COUNTIF(U504:AY504,"A")</f>
      </c>
      <c r="BA504" s="121">
        <f>COUNTIF(U504:AY504,"F")</f>
      </c>
      <c r="BB504" s="118">
        <f>COUNTIF(U504:AY504,"E")</f>
      </c>
    </row>
  </sheetData>
  <sheetProtection sheet="1" objects="1" scenarios="1" autoFilter="0"/>
  <mergeCells count="137">
    <mergeCell ref="B2:B5"/>
    <mergeCell ref="C2:I2"/>
    <mergeCell ref="C3:G3"/>
    <mergeCell ref="C4:G4"/>
    <mergeCell ref="C5:G5"/>
    <mergeCell ref="B7:C7"/>
    <mergeCell ref="D7:G7"/>
    <mergeCell ref="W7:AE7"/>
    <mergeCell ref="AG7:AH7"/>
    <mergeCell ref="AI7:AM7"/>
    <mergeCell ref="AO7:AQ7"/>
    <mergeCell ref="B8:C8"/>
    <mergeCell ref="D8:G8"/>
    <mergeCell ref="S8:T8"/>
    <mergeCell ref="W8:AA8"/>
    <mergeCell ref="AB8:AC8"/>
    <mergeCell ref="AD8:AH8"/>
    <mergeCell ref="AK8:AR8"/>
    <mergeCell ref="AS8:BB8"/>
    <mergeCell ref="B9:C9"/>
    <mergeCell ref="D9:G9"/>
    <mergeCell ref="W9:Y9"/>
    <mergeCell ref="Z9:AA9"/>
    <mergeCell ref="AD9:AF9"/>
    <mergeCell ref="AG9:AH9"/>
    <mergeCell ref="AK9:AL9"/>
    <mergeCell ref="AM9:AN9"/>
    <mergeCell ref="AO9:AP9"/>
    <mergeCell ref="AQ9:AR9"/>
    <mergeCell ref="AS9:BB9"/>
    <mergeCell ref="B10:C10"/>
    <mergeCell ref="D10:G10"/>
    <mergeCell ref="W10:Y10"/>
    <mergeCell ref="Z10:AA10"/>
    <mergeCell ref="AD10:AF10"/>
    <mergeCell ref="AG10:AH10"/>
    <mergeCell ref="AK10:AL10"/>
    <mergeCell ref="AM10:AN10"/>
    <mergeCell ref="AO10:AP10"/>
    <mergeCell ref="AQ10:AR10"/>
    <mergeCell ref="AS10:BB10"/>
    <mergeCell ref="W11:Y11"/>
    <mergeCell ref="Z11:AA11"/>
    <mergeCell ref="AD11:AF11"/>
    <mergeCell ref="AG11:AH11"/>
    <mergeCell ref="AK11:AL11"/>
    <mergeCell ref="AM11:AN11"/>
    <mergeCell ref="AO11:AP11"/>
    <mergeCell ref="AQ11:AR11"/>
    <mergeCell ref="AS11:BB13"/>
    <mergeCell ref="AQ12:AR12"/>
    <mergeCell ref="AQ13:AR13"/>
    <mergeCell ref="B12:B18"/>
    <mergeCell ref="C12:I12"/>
    <mergeCell ref="W12:Y12"/>
    <mergeCell ref="Z12:AA12"/>
    <mergeCell ref="AD12:AF12"/>
    <mergeCell ref="AG12:AH12"/>
    <mergeCell ref="AK12:AL12"/>
    <mergeCell ref="AM12:AN12"/>
    <mergeCell ref="AO12:AP12"/>
    <mergeCell ref="F13:G13"/>
    <mergeCell ref="O13:Q13"/>
    <mergeCell ref="W13:Y13"/>
    <mergeCell ref="Z13:AA13"/>
    <mergeCell ref="AD13:AF13"/>
    <mergeCell ref="AG13:AH13"/>
    <mergeCell ref="AK13:AL13"/>
    <mergeCell ref="AM13:AN13"/>
    <mergeCell ref="AO13:AP13"/>
    <mergeCell ref="C14:C15"/>
    <mergeCell ref="D14:D15"/>
    <mergeCell ref="F14:G15"/>
    <mergeCell ref="H14:H15"/>
    <mergeCell ref="I14:I15"/>
    <mergeCell ref="K14:K15"/>
    <mergeCell ref="L14:L15"/>
    <mergeCell ref="AX15:BA16"/>
    <mergeCell ref="C16:I16"/>
    <mergeCell ref="K16:K17"/>
    <mergeCell ref="L16:L17"/>
    <mergeCell ref="O16:P16"/>
    <mergeCell ref="W16:Y16"/>
    <mergeCell ref="AM14:AN14"/>
    <mergeCell ref="AO14:AP14"/>
    <mergeCell ref="AQ14:AR14"/>
    <mergeCell ref="AV14:AW14"/>
    <mergeCell ref="O15:P15"/>
    <mergeCell ref="W15:Y15"/>
    <mergeCell ref="Z15:AA15"/>
    <mergeCell ref="AD15:AF15"/>
    <mergeCell ref="AG15:AH15"/>
    <mergeCell ref="AK15:AL15"/>
    <mergeCell ref="O14:P14"/>
    <mergeCell ref="W14:Y14"/>
    <mergeCell ref="Z14:AA14"/>
    <mergeCell ref="AD14:AF14"/>
    <mergeCell ref="AG14:AH14"/>
    <mergeCell ref="AK14:AL14"/>
    <mergeCell ref="Z16:AA16"/>
    <mergeCell ref="AD16:AF16"/>
    <mergeCell ref="AG16:AH16"/>
    <mergeCell ref="AK16:AL16"/>
    <mergeCell ref="AM16:AN16"/>
    <mergeCell ref="AV16:AW16"/>
    <mergeCell ref="AM15:AN15"/>
    <mergeCell ref="AO15:AP15"/>
    <mergeCell ref="AQ15:AR15"/>
    <mergeCell ref="AV15:AW15"/>
    <mergeCell ref="AD17:AF17"/>
    <mergeCell ref="AG17:AH17"/>
    <mergeCell ref="AN17:AP17"/>
    <mergeCell ref="AV17:AW17"/>
    <mergeCell ref="AX17:AZ17"/>
    <mergeCell ref="C18:D18"/>
    <mergeCell ref="E18:G18"/>
    <mergeCell ref="H18:I18"/>
    <mergeCell ref="O18:P18"/>
    <mergeCell ref="W18:Y18"/>
    <mergeCell ref="C17:D17"/>
    <mergeCell ref="E17:G17"/>
    <mergeCell ref="H17:I17"/>
    <mergeCell ref="O17:P17"/>
    <mergeCell ref="W17:Y17"/>
    <mergeCell ref="Z17:AA17"/>
    <mergeCell ref="U21:AY22"/>
    <mergeCell ref="AZ21:BB22"/>
    <mergeCell ref="Z18:AA18"/>
    <mergeCell ref="AN18:AP18"/>
    <mergeCell ref="AV18:AW18"/>
    <mergeCell ref="AX18:AZ18"/>
    <mergeCell ref="K19:L19"/>
    <mergeCell ref="O19:P19"/>
    <mergeCell ref="W19:Y19"/>
    <mergeCell ref="Z19:AA19"/>
    <mergeCell ref="AV19:AW19"/>
    <mergeCell ref="AX19:AZ19"/>
  </mergeCells>
  <dataValidations count="12">
    <dataValidation type="custom" allowBlank="1" showInputMessage="1" showErrorMessage="1" errorTitle="SÓLO MAYÚSCULA" sqref="S24:S504">
      <formula1>EXACT(S24, UPPER(S24))</formula1>
    </dataValidation>
    <dataValidation type="custom" allowBlank="1" showInputMessage="1" showErrorMessage="1" errorTitle="SÓLO MAÚSCULA" sqref="P24:P504">
      <formula1>EXACT(P24, UPPER(P24))</formula1>
    </dataValidation>
    <dataValidation type="custom" allowBlank="1" showInputMessage="1" showErrorMessage="1" errorTitle="ERROR" error="SÓLO MAYÚSCULAS" sqref="B24:D504 J24:J504">
      <formula1>EXACT(B24, UPPER(B24))</formula1>
    </dataValidation>
    <dataValidation type="list" allowBlank="1" showInputMessage="1" showErrorMessage="1" sqref="N24:N504">
      <formula1>"SI, NO"</formula1>
    </dataValidation>
    <dataValidation type="list" allowBlank="1" showInputMessage="1" showErrorMessage="1" sqref="G24:G504">
      <formula1>"R.C, T.I, C.C, C.E, PPT, PEP, NES"</formula1>
    </dataValidation>
    <dataValidation type="list" allowBlank="1" showInputMessage="1" showErrorMessage="1" sqref="I24:I504">
      <formula1>"HOMBRE, MUJER"</formula1>
    </dataValidation>
    <dataValidation type="list" allowBlank="1" showInputMessage="1" showErrorMessage="1" sqref="L24:L504">
      <formula1>"OLFATIVA Y TACTO, MENTAL, MOVILIDAD, MULTIPLE, ORAL, PSICOSOCIAL, VISUAL, VOZ Y HABLA, NO SABE NOMBRARLA, N/A"</formula1>
    </dataValidation>
    <dataValidation type="list" allowBlank="1" showInputMessage="1" showErrorMessage="1" sqref="M24:M504">
      <formula1>"HETEROSEXUAL, LESBIANA, ASEXUAL, BISEXUAL, GAY, INTERSEXUAL, NO BINARIO, PANSEXUAL, QUEER, TRANSEXUAL O TRANSGÉNERO, OTRO"</formula1>
    </dataValidation>
    <dataValidation type="list" allowBlank="1" showInputMessage="1" showErrorMessage="1" sqref="O24:O504">
      <formula1>"AFROCOLOMBIANO, INDÍGENA, MESTIZO, MULATO, NO SABE NO RESPONDE, OTRO, PALENQUERO, RAIZAL, ROM GITANO"</formula1>
    </dataValidation>
    <dataValidation type="list" allowBlank="1" showInputMessage="1" showErrorMessage="1" sqref="O23">
      <formula1>"AFRO, INDIGENA, MESTIZA"</formula1>
    </dataValidation>
    <dataValidation type="list" allowBlank="1" showErrorMessage="1" sqref="AI7">
      <formula1>$BH$11:$BH$23</formula1>
    </dataValidation>
    <dataValidation type="list" allowBlank="1" showInputMessage="1" showErrorMessage="1" sqref="Q24:Q504">
      <formula1>SECTOR!$A$2:$A$83</formula1>
    </dataValidation>
  </dataValidations>
  <pageMargins left="0.7" right="0.7" top="0.75" bottom="0.75" header="0.3" footer="0.3"/>
  <pageSetup orientation="portrait"/>
  <ignoredErrors>
    <ignoredError sqref="O23" listDataValidation="1"/>
  </ignoredErrors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2:BB504"/>
  <sheetViews>
    <sheetView showGridLines="0" zoomScaleNormal="100" workbookViewId="0">
      <selection activeCell="A24" sqref="A24"/>
    </sheetView>
  </sheetViews>
  <sheetFormatPr defaultColWidth="9.14453125" defaultRowHeight="15" x14ac:dyDescent="0.2"/>
  <cols>
    <col min="1" max="1" width="6.1875" style="34" customWidth="1"/>
    <col min="2" max="2" width="21.7890625" style="34" customWidth="1"/>
    <col min="3" max="3" width="21.65625" style="34" customWidth="1"/>
    <col min="4" max="4" width="21.7890625" style="34" customWidth="1"/>
    <col min="5" max="5" width="19.50390625" style="34" customWidth="1"/>
    <col min="6" max="6" width="11.1640625" style="34" customWidth="1"/>
    <col min="7" max="7" width="11.56640625" style="34" customWidth="1"/>
    <col min="8" max="8" width="18.4296875" style="34" customWidth="1"/>
    <col min="9" max="9" width="22.59765625" style="34" customWidth="1"/>
    <col min="10" max="10" width="35.109375" style="34" customWidth="1"/>
    <col min="11" max="11" width="11.43359375" style="34" customWidth="1"/>
    <col min="12" max="12" width="16.8125" style="34" customWidth="1"/>
    <col min="13" max="14" width="10.22265625" style="34" customWidth="1"/>
    <col min="15" max="15" width="23.9453125" style="34" bestFit="1" customWidth="1"/>
    <col min="16" max="16" width="23.40625" style="34" customWidth="1"/>
    <col min="17" max="17" width="18.0234375" style="34" customWidth="1"/>
    <col min="18" max="18" width="16.6796875" style="34" customWidth="1"/>
    <col min="19" max="19" width="18.6953125" style="34" bestFit="1" customWidth="1"/>
    <col min="20" max="20" width="17.62109375" style="34" customWidth="1"/>
    <col min="21" max="35" width="5.91796875" style="34" customWidth="1"/>
    <col min="36" max="36" width="6.05078125" style="34" customWidth="1"/>
    <col min="37" max="54" width="5.91796875" style="34" customWidth="1"/>
    <col min="55" max="55" width="9.14453125" style="34"/>
    <col min="56" max="56" width="13.5859375" style="34" bestFit="1" customWidth="1"/>
    <col min="57" max="59" width="10.76171875" style="34" bestFit="1" customWidth="1"/>
    <col min="60" max="16384" width="9.14453125" style="34"/>
  </cols>
  <sheetData>
    <row r="2" spans="1:54" x14ac:dyDescent="0.2">
      <c r="B2" s="244"/>
      <c r="C2" s="247" t="s">
        <v>0</v>
      </c>
      <c r="D2" s="248"/>
      <c r="E2" s="248"/>
      <c r="F2" s="248"/>
      <c r="G2" s="248"/>
      <c r="H2" s="248"/>
      <c r="I2" s="249"/>
    </row>
    <row r="3" spans="1:54" x14ac:dyDescent="0.2">
      <c r="B3" s="245"/>
      <c r="C3" s="250" t="s">
        <v>1</v>
      </c>
      <c r="D3" s="251"/>
      <c r="E3" s="251"/>
      <c r="F3" s="251"/>
      <c r="G3" s="252"/>
      <c r="H3" s="35" t="s">
        <v>2</v>
      </c>
      <c r="I3" s="35" t="s">
        <v>3</v>
      </c>
    </row>
    <row r="4" spans="1:54" x14ac:dyDescent="0.2">
      <c r="B4" s="245"/>
      <c r="C4" s="250" t="s">
        <v>4</v>
      </c>
      <c r="D4" s="251"/>
      <c r="E4" s="251"/>
      <c r="F4" s="251"/>
      <c r="G4" s="252"/>
      <c r="H4" s="35" t="s">
        <v>5</v>
      </c>
      <c r="I4" s="36" t="s">
        <v>6</v>
      </c>
    </row>
    <row r="5" spans="1:54" ht="60" customHeight="1" x14ac:dyDescent="0.2">
      <c r="B5" s="246"/>
      <c r="C5" s="253" t="s">
        <v>7</v>
      </c>
      <c r="D5" s="254"/>
      <c r="E5" s="254"/>
      <c r="F5" s="254"/>
      <c r="G5" s="255"/>
      <c r="H5" s="35" t="s">
        <v>8</v>
      </c>
      <c r="I5" s="37">
        <v>46073</v>
      </c>
    </row>
    <row r="7" spans="1:54" ht="22.5" customHeight="1" x14ac:dyDescent="0.2">
      <c r="A7" s="13"/>
      <c r="B7" s="256" t="s">
        <v>9</v>
      </c>
      <c r="C7" s="257"/>
      <c r="D7" s="230"/>
      <c r="E7" s="231"/>
      <c r="F7" s="231"/>
      <c r="G7" s="232"/>
      <c r="H7" s="38"/>
      <c r="I7" s="39"/>
      <c r="J7" s="40"/>
      <c r="K7" s="40"/>
      <c r="L7" s="12"/>
      <c r="M7" s="12"/>
      <c r="N7" s="12"/>
      <c r="O7" s="12"/>
      <c r="P7" s="12"/>
      <c r="Q7" s="12"/>
      <c r="R7" s="12"/>
      <c r="S7" s="12"/>
      <c r="T7" s="41"/>
      <c r="U7" s="42"/>
      <c r="V7" s="42"/>
      <c r="W7" s="258"/>
      <c r="X7" s="258"/>
      <c r="Y7" s="258"/>
      <c r="Z7" s="258"/>
      <c r="AA7" s="258"/>
      <c r="AB7" s="258"/>
      <c r="AC7" s="258"/>
      <c r="AD7" s="258"/>
      <c r="AE7" s="258"/>
      <c r="AF7" s="13"/>
      <c r="AG7" s="234"/>
      <c r="AH7" s="152"/>
      <c r="AI7" s="233"/>
      <c r="AJ7" s="152"/>
      <c r="AK7" s="152"/>
      <c r="AL7" s="152"/>
      <c r="AM7" s="152"/>
      <c r="AN7" s="13"/>
      <c r="AO7" s="234"/>
      <c r="AP7" s="152"/>
      <c r="AQ7" s="152"/>
      <c r="AR7" s="44"/>
      <c r="AS7" s="45"/>
      <c r="AT7" s="45"/>
      <c r="AU7" s="45"/>
      <c r="AV7" s="45"/>
      <c r="AW7" s="45"/>
      <c r="AX7" s="45"/>
      <c r="AY7" s="12"/>
      <c r="AZ7" s="13"/>
      <c r="BA7" s="13"/>
      <c r="BB7" s="13"/>
    </row>
    <row r="8" spans="1:54" ht="21.75" customHeight="1" x14ac:dyDescent="0.2">
      <c r="A8" s="13"/>
      <c r="B8" s="235" t="s">
        <v>10</v>
      </c>
      <c r="C8" s="236"/>
      <c r="D8" s="223"/>
      <c r="E8" s="224"/>
      <c r="F8" s="224"/>
      <c r="G8" s="225"/>
      <c r="H8" s="11"/>
      <c r="I8" s="11"/>
      <c r="J8" s="11"/>
      <c r="K8" s="11"/>
      <c r="L8" s="12"/>
      <c r="M8" s="12"/>
      <c r="N8" s="12"/>
      <c r="O8" s="12"/>
      <c r="P8" s="12"/>
      <c r="Q8" s="12"/>
      <c r="R8" s="12"/>
      <c r="S8" s="237" t="s">
        <v>11</v>
      </c>
      <c r="T8" s="238"/>
      <c r="U8" s="13"/>
      <c r="V8" s="13"/>
      <c r="W8" s="239" t="s">
        <v>12</v>
      </c>
      <c r="X8" s="239"/>
      <c r="Y8" s="239"/>
      <c r="Z8" s="239"/>
      <c r="AA8" s="239"/>
      <c r="AB8" s="240"/>
      <c r="AC8" s="152"/>
      <c r="AD8" s="241" t="s">
        <v>13</v>
      </c>
      <c r="AE8" s="241"/>
      <c r="AF8" s="241"/>
      <c r="AG8" s="241"/>
      <c r="AH8" s="241"/>
      <c r="AI8" s="12"/>
      <c r="AJ8" s="12"/>
      <c r="AK8" s="242" t="s">
        <v>14</v>
      </c>
      <c r="AL8" s="243"/>
      <c r="AM8" s="243"/>
      <c r="AN8" s="243"/>
      <c r="AO8" s="243"/>
      <c r="AP8" s="243"/>
      <c r="AQ8" s="243"/>
      <c r="AR8" s="243"/>
      <c r="AS8" s="183"/>
      <c r="AT8" s="183"/>
      <c r="AU8" s="183"/>
      <c r="AV8" s="183"/>
      <c r="AW8" s="183"/>
      <c r="AX8" s="183"/>
      <c r="AY8" s="183"/>
      <c r="AZ8" s="183"/>
      <c r="BA8" s="183"/>
      <c r="BB8" s="183"/>
    </row>
    <row r="9" spans="1:54" ht="20.25" customHeight="1" x14ac:dyDescent="0.2">
      <c r="A9" s="13"/>
      <c r="B9" s="228" t="s">
        <v>15</v>
      </c>
      <c r="C9" s="229"/>
      <c r="D9" s="230"/>
      <c r="E9" s="231"/>
      <c r="F9" s="231"/>
      <c r="G9" s="232"/>
      <c r="H9" s="13"/>
      <c r="I9" s="13"/>
      <c r="J9" s="12"/>
      <c r="K9" s="12"/>
      <c r="L9" s="12"/>
      <c r="M9" s="12"/>
      <c r="N9" s="12"/>
      <c r="O9" s="12"/>
      <c r="P9" s="12"/>
      <c r="Q9" s="12"/>
      <c r="R9" s="12"/>
      <c r="S9" s="46" t="s">
        <v>16</v>
      </c>
      <c r="T9" s="114">
        <f>COUNTIFS(TablaNoviembre[TIPO DISCAPACIDAD], S9)</f>
      </c>
      <c r="U9" s="13"/>
      <c r="V9" s="13"/>
      <c r="W9" s="164" t="s">
        <v>17</v>
      </c>
      <c r="X9" s="164"/>
      <c r="Y9" s="164"/>
      <c r="Z9" s="147">
        <f>COUNTIFS(TablaNoviembre[ORI. SEXUAL], W9)</f>
      </c>
      <c r="AA9" s="148"/>
      <c r="AB9" s="13"/>
      <c r="AC9" s="13"/>
      <c r="AD9" s="164" t="s">
        <v>18</v>
      </c>
      <c r="AE9" s="164"/>
      <c r="AF9" s="164"/>
      <c r="AG9" s="165">
        <f>COUNTIFS(TablaNoviembre[[ETNIA ]], AD9)</f>
      </c>
      <c r="AH9" s="165"/>
      <c r="AI9" s="12"/>
      <c r="AJ9" s="12"/>
      <c r="AK9" s="226">
        <v>1</v>
      </c>
      <c r="AL9" s="226"/>
      <c r="AM9" s="202">
        <f>COUNTIFS(TablaNoviembre[[ COMUNA]], AK9)</f>
      </c>
      <c r="AN9" s="202"/>
      <c r="AO9" s="227">
        <v>3</v>
      </c>
      <c r="AP9" s="227"/>
      <c r="AQ9" s="218">
        <f>COUNTIFS(TablaNoviembre[[ COMUNA]], AO9)</f>
      </c>
      <c r="AR9" s="218"/>
      <c r="AS9" s="183"/>
      <c r="AT9" s="183"/>
      <c r="AU9" s="183"/>
      <c r="AV9" s="183"/>
      <c r="AW9" s="183"/>
      <c r="AX9" s="183"/>
      <c r="AY9" s="183"/>
      <c r="AZ9" s="183"/>
      <c r="BA9" s="183"/>
      <c r="BB9" s="183"/>
    </row>
    <row r="10" spans="1:54" ht="21.75" customHeight="1" x14ac:dyDescent="0.2">
      <c r="A10" s="13"/>
      <c r="B10" s="221" t="s">
        <v>19</v>
      </c>
      <c r="C10" s="222"/>
      <c r="D10" s="223"/>
      <c r="E10" s="224"/>
      <c r="F10" s="224"/>
      <c r="G10" s="225"/>
      <c r="H10" s="13"/>
      <c r="I10" s="13"/>
      <c r="J10" s="12"/>
      <c r="K10" s="12"/>
      <c r="L10" s="12"/>
      <c r="M10" s="12"/>
      <c r="N10" s="12"/>
      <c r="O10" s="12"/>
      <c r="P10" s="12"/>
      <c r="Q10" s="12"/>
      <c r="R10" s="12"/>
      <c r="S10" s="47" t="s">
        <v>20</v>
      </c>
      <c r="T10" s="115">
        <f>COUNTIFS(TablaNoviembre[TIPO DISCAPACIDAD], S10)</f>
      </c>
      <c r="U10" s="13"/>
      <c r="V10" s="13"/>
      <c r="W10" s="164" t="s">
        <v>21</v>
      </c>
      <c r="X10" s="164"/>
      <c r="Y10" s="164"/>
      <c r="Z10" s="147">
        <f>COUNTIFS(TablaNoviembre[ORI. SEXUAL], W10)</f>
      </c>
      <c r="AA10" s="148"/>
      <c r="AB10" s="13"/>
      <c r="AC10" s="13"/>
      <c r="AD10" s="164" t="s">
        <v>22</v>
      </c>
      <c r="AE10" s="164"/>
      <c r="AF10" s="164"/>
      <c r="AG10" s="165">
        <f>COUNTIFS(TablaNoviembre[[ETNIA ]], AD10)</f>
      </c>
      <c r="AH10" s="165"/>
      <c r="AI10" s="12"/>
      <c r="AJ10" s="12"/>
      <c r="AK10" s="226">
        <v>2</v>
      </c>
      <c r="AL10" s="226"/>
      <c r="AM10" s="202">
        <f>COUNTIFS(TablaNoviembre[[ COMUNA]], AK10)</f>
      </c>
      <c r="AN10" s="202"/>
      <c r="AO10" s="227">
        <v>4</v>
      </c>
      <c r="AP10" s="227"/>
      <c r="AQ10" s="218">
        <f>COUNTIFS(TablaNoviembre[[ COMUNA]], AO10)</f>
      </c>
      <c r="AR10" s="218"/>
      <c r="AS10" s="183"/>
      <c r="AT10" s="183"/>
      <c r="AU10" s="183"/>
      <c r="AV10" s="183"/>
      <c r="AW10" s="183"/>
      <c r="AX10" s="183"/>
      <c r="AY10" s="183"/>
      <c r="AZ10" s="183"/>
      <c r="BA10" s="183"/>
      <c r="BB10" s="183"/>
    </row>
    <row r="11" spans="1:54" ht="26.25" customHeight="1" x14ac:dyDescent="0.2">
      <c r="A11" s="13"/>
      <c r="B11" s="13"/>
      <c r="C11" s="33"/>
      <c r="D11" s="33"/>
      <c r="E11" s="33"/>
      <c r="F11" s="33"/>
      <c r="G11" s="33"/>
      <c r="H11" s="33"/>
      <c r="I11" s="33"/>
      <c r="J11" s="33"/>
      <c r="K11" s="33"/>
      <c r="L11" s="12"/>
      <c r="M11" s="12"/>
      <c r="N11" s="12"/>
      <c r="O11" s="12"/>
      <c r="P11" s="12"/>
      <c r="Q11" s="12"/>
      <c r="R11" s="12"/>
      <c r="S11" s="47" t="s">
        <v>23</v>
      </c>
      <c r="T11" s="115">
        <f>COUNTIFS(TablaNoviembre[TIPO DISCAPACIDAD], S11)</f>
      </c>
      <c r="U11" s="13"/>
      <c r="V11" s="13"/>
      <c r="W11" s="164" t="s">
        <v>24</v>
      </c>
      <c r="X11" s="164"/>
      <c r="Y11" s="164"/>
      <c r="Z11" s="147">
        <f>COUNTIFS(TablaNoviembre[ORI. SEXUAL], W11)</f>
      </c>
      <c r="AA11" s="148"/>
      <c r="AB11" s="13"/>
      <c r="AC11" s="13"/>
      <c r="AD11" s="164" t="s">
        <v>25</v>
      </c>
      <c r="AE11" s="164"/>
      <c r="AF11" s="164"/>
      <c r="AG11" s="165">
        <f>COUNTIFS(TablaNoviembre[[ETNIA ]], AD11)</f>
      </c>
      <c r="AH11" s="165"/>
      <c r="AI11" s="13"/>
      <c r="AJ11" s="13"/>
      <c r="AK11" s="201" t="s">
        <v>26</v>
      </c>
      <c r="AL11" s="201"/>
      <c r="AM11" s="202">
        <f>COUNTIFS(TablaNoviembre[[ COMUNA]], AK11)</f>
      </c>
      <c r="AN11" s="202"/>
      <c r="AO11" s="219" t="s">
        <v>27</v>
      </c>
      <c r="AP11" s="219"/>
      <c r="AQ11" s="218">
        <f>COUNTIFS(TablaNoviembre[[ COMUNA]], AO11)</f>
      </c>
      <c r="AR11" s="218"/>
      <c r="AS11" s="220"/>
      <c r="AT11" s="220"/>
      <c r="AU11" s="220"/>
      <c r="AV11" s="220"/>
      <c r="AW11" s="220"/>
      <c r="AX11" s="220"/>
      <c r="AY11" s="220"/>
      <c r="AZ11" s="220"/>
      <c r="BA11" s="220"/>
      <c r="BB11" s="220"/>
    </row>
    <row r="12" spans="1:54" ht="26.25" customHeight="1" thickBot="1" x14ac:dyDescent="0.25">
      <c r="A12" s="13"/>
      <c r="B12" s="195" t="s">
        <v>28</v>
      </c>
      <c r="C12" s="198" t="s">
        <v>29</v>
      </c>
      <c r="D12" s="199"/>
      <c r="E12" s="199"/>
      <c r="F12" s="199"/>
      <c r="G12" s="199"/>
      <c r="H12" s="199"/>
      <c r="I12" s="200"/>
      <c r="L12" s="12"/>
      <c r="M12" s="12"/>
      <c r="N12" s="12"/>
      <c r="O12" s="12"/>
      <c r="P12" s="12"/>
      <c r="Q12" s="12"/>
      <c r="R12" s="12"/>
      <c r="S12" s="48" t="s">
        <v>30</v>
      </c>
      <c r="T12" s="115">
        <f>COUNTIFS(TablaNoviembre[TIPO DISCAPACIDAD], S12)</f>
      </c>
      <c r="U12" s="13"/>
      <c r="V12" s="13"/>
      <c r="W12" s="164" t="s">
        <v>31</v>
      </c>
      <c r="X12" s="164"/>
      <c r="Y12" s="164"/>
      <c r="Z12" s="147">
        <f>COUNTIFS(TablaNoviembre[ORI. SEXUAL], W12)</f>
      </c>
      <c r="AA12" s="148"/>
      <c r="AB12" s="13"/>
      <c r="AC12" s="13"/>
      <c r="AD12" s="164" t="s">
        <v>32</v>
      </c>
      <c r="AE12" s="164"/>
      <c r="AF12" s="164"/>
      <c r="AG12" s="165">
        <f>COUNTIFS(TablaNoviembre[[ETNIA ]], AD12)</f>
      </c>
      <c r="AH12" s="165"/>
      <c r="AI12" s="49"/>
      <c r="AJ12" s="49"/>
      <c r="AK12" s="201" t="s">
        <v>33</v>
      </c>
      <c r="AL12" s="201"/>
      <c r="AM12" s="202">
        <f>COUNTIFS(TablaNoviembre[[ COMUNA]], AK12)</f>
      </c>
      <c r="AN12" s="202"/>
      <c r="AO12" s="180"/>
      <c r="AP12" s="180"/>
      <c r="AQ12" s="183"/>
      <c r="AR12" s="183"/>
      <c r="AS12" s="220"/>
      <c r="AT12" s="220"/>
      <c r="AU12" s="220"/>
      <c r="AV12" s="220"/>
      <c r="AW12" s="220"/>
      <c r="AX12" s="220"/>
      <c r="AY12" s="220"/>
      <c r="AZ12" s="220"/>
      <c r="BA12" s="220"/>
      <c r="BB12" s="220"/>
    </row>
    <row r="13" spans="1:54" ht="29.25" customHeight="1" thickBot="1" x14ac:dyDescent="0.25">
      <c r="B13" s="196"/>
      <c r="C13" s="50" t="s">
        <v>34</v>
      </c>
      <c r="D13" s="51" t="s">
        <v>35</v>
      </c>
      <c r="E13" s="51" t="s">
        <v>36</v>
      </c>
      <c r="F13" s="203" t="s">
        <v>37</v>
      </c>
      <c r="G13" s="204"/>
      <c r="H13" s="52" t="s">
        <v>38</v>
      </c>
      <c r="I13" s="53" t="s">
        <v>39</v>
      </c>
      <c r="K13" s="54"/>
      <c r="L13" s="55"/>
      <c r="M13" s="12"/>
      <c r="N13" s="12"/>
      <c r="O13" s="205" t="s">
        <v>40</v>
      </c>
      <c r="P13" s="206"/>
      <c r="Q13" s="207"/>
      <c r="R13" s="56"/>
      <c r="S13" s="57" t="s">
        <v>41</v>
      </c>
      <c r="T13" s="115">
        <f>COUNTIFS(TablaNoviembre[TIPO DISCAPACIDAD], S13)</f>
      </c>
      <c r="U13" s="56"/>
      <c r="V13" s="56"/>
      <c r="W13" s="160" t="s">
        <v>42</v>
      </c>
      <c r="X13" s="160"/>
      <c r="Y13" s="160"/>
      <c r="Z13" s="147">
        <f>COUNTIFS(TablaNoviembre[ORI. SEXUAL], W13)</f>
      </c>
      <c r="AA13" s="148"/>
      <c r="AB13" s="58"/>
      <c r="AC13" s="59"/>
      <c r="AD13" s="208" t="s">
        <v>43</v>
      </c>
      <c r="AE13" s="208"/>
      <c r="AF13" s="208"/>
      <c r="AG13" s="165">
        <f>COUNTIFS(TablaNoviembre[[ETNIA ]], AD13)</f>
      </c>
      <c r="AH13" s="165"/>
      <c r="AI13" s="56"/>
      <c r="AJ13" s="56"/>
      <c r="AK13" s="209"/>
      <c r="AL13" s="209"/>
      <c r="AM13" s="182"/>
      <c r="AN13" s="182"/>
      <c r="AO13" s="180"/>
      <c r="AP13" s="180"/>
      <c r="AQ13" s="183"/>
      <c r="AR13" s="183"/>
      <c r="AS13" s="220"/>
      <c r="AT13" s="220"/>
      <c r="AU13" s="220"/>
      <c r="AV13" s="220"/>
      <c r="AW13" s="220"/>
      <c r="AX13" s="220"/>
      <c r="AY13" s="220"/>
      <c r="AZ13" s="220"/>
      <c r="BA13" s="220"/>
      <c r="BB13" s="220"/>
    </row>
    <row r="14" spans="1:54" ht="19.5" customHeight="1" thickBot="1" x14ac:dyDescent="0.25">
      <c r="A14" s="13"/>
      <c r="B14" s="196"/>
      <c r="C14" s="210"/>
      <c r="D14" s="210"/>
      <c r="E14" s="8"/>
      <c r="F14" s="212"/>
      <c r="G14" s="213"/>
      <c r="H14" s="210"/>
      <c r="I14" s="210"/>
      <c r="K14" s="216" t="s">
        <v>44</v>
      </c>
      <c r="L14" s="184">
        <f>COUNTIFS(TablaNoviembre[SEXO], K14)</f>
      </c>
      <c r="M14" s="12"/>
      <c r="N14" s="12"/>
      <c r="O14" s="158" t="s">
        <v>45</v>
      </c>
      <c r="P14" s="159"/>
      <c r="Q14" s="116">
        <f>COUNTIFS(TablaNoviembre[EDAD], "&lt;6")</f>
      </c>
      <c r="R14" s="56"/>
      <c r="S14" s="47" t="s">
        <v>46</v>
      </c>
      <c r="T14" s="115">
        <f>COUNTIFS(TablaNoviembre[TIPO DISCAPACIDAD], S14)</f>
      </c>
      <c r="U14" s="60"/>
      <c r="V14" s="56"/>
      <c r="W14" s="160" t="s">
        <v>47</v>
      </c>
      <c r="X14" s="160"/>
      <c r="Y14" s="160"/>
      <c r="Z14" s="147">
        <f>COUNTIFS(TablaNoviembre[ORI. SEXUAL], W14)</f>
      </c>
      <c r="AA14" s="148"/>
      <c r="AB14" s="13"/>
      <c r="AC14" s="13"/>
      <c r="AD14" s="164" t="s">
        <v>48</v>
      </c>
      <c r="AE14" s="164"/>
      <c r="AF14" s="164"/>
      <c r="AG14" s="165">
        <f>COUNTIFS(TablaNoviembre[[ETNIA ]], AD14)</f>
      </c>
      <c r="AH14" s="165"/>
      <c r="AI14" s="56"/>
      <c r="AJ14" s="56"/>
      <c r="AK14" s="194"/>
      <c r="AL14" s="194"/>
      <c r="AM14" s="182"/>
      <c r="AN14" s="182"/>
      <c r="AO14" s="180"/>
      <c r="AP14" s="180"/>
      <c r="AQ14" s="183"/>
      <c r="AR14" s="183"/>
      <c r="AV14" s="151"/>
      <c r="AW14" s="152"/>
      <c r="BB14" s="13"/>
    </row>
    <row r="15" spans="1:54" ht="19.5" customHeight="1" thickBot="1" x14ac:dyDescent="0.25">
      <c r="A15" s="13"/>
      <c r="B15" s="196"/>
      <c r="C15" s="211"/>
      <c r="D15" s="211"/>
      <c r="E15" s="9"/>
      <c r="F15" s="214"/>
      <c r="G15" s="215"/>
      <c r="H15" s="211"/>
      <c r="I15" s="211"/>
      <c r="K15" s="217"/>
      <c r="L15" s="185"/>
      <c r="M15" s="12"/>
      <c r="N15" s="12"/>
      <c r="O15" s="192" t="s">
        <v>49</v>
      </c>
      <c r="P15" s="193"/>
      <c r="Q15" s="116">
        <f>COUNTIFS(TablaNoviembre[EDAD], "&gt;5", TablaNoviembre[EDAD], "&lt;11")</f>
      </c>
      <c r="R15" s="56"/>
      <c r="S15" s="57" t="s">
        <v>50</v>
      </c>
      <c r="T15" s="115">
        <f>COUNTIFS(TablaNoviembre[TIPO DISCAPACIDAD], S15)</f>
      </c>
      <c r="U15" s="60"/>
      <c r="V15" s="56"/>
      <c r="W15" s="160" t="s">
        <v>51</v>
      </c>
      <c r="X15" s="160"/>
      <c r="Y15" s="160"/>
      <c r="Z15" s="147">
        <f>COUNTIFS(TablaNoviembre[ORI. SEXUAL], W15)</f>
      </c>
      <c r="AA15" s="148"/>
      <c r="AB15" s="58"/>
      <c r="AC15" s="59"/>
      <c r="AD15" s="179" t="s">
        <v>52</v>
      </c>
      <c r="AE15" s="179"/>
      <c r="AF15" s="179"/>
      <c r="AG15" s="165">
        <f>COUNTIFS(TablaNoviembre[[ETNIA ]], AD15)</f>
      </c>
      <c r="AH15" s="165"/>
      <c r="AI15" s="56"/>
      <c r="AJ15" s="56"/>
      <c r="AK15" s="180"/>
      <c r="AL15" s="181"/>
      <c r="AM15" s="182"/>
      <c r="AN15" s="182"/>
      <c r="AO15" s="180"/>
      <c r="AP15" s="180"/>
      <c r="AQ15" s="183"/>
      <c r="AR15" s="183"/>
      <c r="AV15" s="151"/>
      <c r="AW15" s="152"/>
      <c r="AX15" s="186" t="s">
        <v>53</v>
      </c>
      <c r="AY15" s="186"/>
      <c r="AZ15" s="186"/>
      <c r="BA15" s="186"/>
      <c r="BB15" s="13"/>
    </row>
    <row r="16" spans="1:54" ht="19.5" customHeight="1" thickBot="1" x14ac:dyDescent="0.25">
      <c r="A16" s="13"/>
      <c r="B16" s="196"/>
      <c r="C16" s="187" t="s">
        <v>54</v>
      </c>
      <c r="D16" s="188"/>
      <c r="E16" s="188"/>
      <c r="F16" s="188"/>
      <c r="G16" s="188"/>
      <c r="H16" s="188"/>
      <c r="I16" s="189"/>
      <c r="K16" s="190" t="s">
        <v>55</v>
      </c>
      <c r="L16" s="184">
        <f>COUNTIFS(TablaNoviembre[SEXO], K16)</f>
      </c>
      <c r="M16" s="12"/>
      <c r="N16" s="12"/>
      <c r="O16" s="158" t="s">
        <v>56</v>
      </c>
      <c r="P16" s="159"/>
      <c r="Q16" s="116">
        <f>COUNTIFS(TablaNoviembre[EDAD], "&gt;10", TablaNoviembre[EDAD], "&lt;15")</f>
      </c>
      <c r="R16" s="56"/>
      <c r="S16" s="47" t="s">
        <v>57</v>
      </c>
      <c r="T16" s="115">
        <f>COUNTIFS(TablaNoviembre[TIPO DISCAPACIDAD], S16)</f>
      </c>
      <c r="U16" s="60"/>
      <c r="V16" s="56"/>
      <c r="W16" s="160" t="s">
        <v>58</v>
      </c>
      <c r="X16" s="160"/>
      <c r="Y16" s="160"/>
      <c r="Z16" s="147">
        <f>COUNTIFS(TablaNoviembre[ORI. SEXUAL], W16)</f>
      </c>
      <c r="AA16" s="148"/>
      <c r="AB16" s="58"/>
      <c r="AC16" s="59"/>
      <c r="AD16" s="179" t="s">
        <v>59</v>
      </c>
      <c r="AE16" s="179"/>
      <c r="AF16" s="179"/>
      <c r="AG16" s="165">
        <f>COUNTIFS(TablaNoviembre[[ETNIA ]], AD16)</f>
      </c>
      <c r="AH16" s="165"/>
      <c r="AI16" s="56"/>
      <c r="AJ16" s="56"/>
      <c r="AK16" s="180"/>
      <c r="AL16" s="180"/>
      <c r="AM16" s="181"/>
      <c r="AN16" s="181"/>
      <c r="AO16" s="56"/>
      <c r="AP16" s="56"/>
      <c r="AQ16" s="33"/>
      <c r="AV16" s="151"/>
      <c r="AW16" s="152"/>
      <c r="AX16" s="186"/>
      <c r="AY16" s="186"/>
      <c r="AZ16" s="186"/>
      <c r="BA16" s="186"/>
      <c r="BB16" s="13"/>
    </row>
    <row r="17" spans="1:54" ht="19.5" customHeight="1" thickBot="1" x14ac:dyDescent="0.25">
      <c r="A17" s="13"/>
      <c r="B17" s="196"/>
      <c r="C17" s="175" t="s">
        <v>60</v>
      </c>
      <c r="D17" s="176"/>
      <c r="E17" s="175" t="s">
        <v>61</v>
      </c>
      <c r="F17" s="177"/>
      <c r="G17" s="176"/>
      <c r="H17" s="175" t="s">
        <v>62</v>
      </c>
      <c r="I17" s="176"/>
      <c r="K17" s="191"/>
      <c r="L17" s="185"/>
      <c r="M17" s="12"/>
      <c r="N17" s="12"/>
      <c r="O17" s="158" t="s">
        <v>63</v>
      </c>
      <c r="P17" s="159"/>
      <c r="Q17" s="116">
        <f>COUNTIFS(TablaNoviembre[EDAD], "&gt;14", TablaNoviembre[EDAD], "&lt;20")</f>
      </c>
      <c r="R17" s="56"/>
      <c r="S17" s="57" t="s">
        <v>64</v>
      </c>
      <c r="T17" s="115">
        <f>COUNTIFS(TablaNoviembre[TIPO DISCAPACIDAD], S17)</f>
      </c>
      <c r="U17" s="61"/>
      <c r="V17" s="60"/>
      <c r="W17" s="178" t="s">
        <v>65</v>
      </c>
      <c r="X17" s="178"/>
      <c r="Y17" s="178"/>
      <c r="Z17" s="147">
        <f>COUNTIFS(TablaNoviembre[ORI. SEXUAL], W17)</f>
      </c>
      <c r="AA17" s="148"/>
      <c r="AB17" s="13"/>
      <c r="AC17" s="13"/>
      <c r="AD17" s="164" t="s">
        <v>66</v>
      </c>
      <c r="AE17" s="164"/>
      <c r="AF17" s="164"/>
      <c r="AG17" s="165">
        <f>COUNTIFS(TablaNoviembre[[ETNIA ]], AD17)</f>
      </c>
      <c r="AH17" s="165"/>
      <c r="AI17" s="56"/>
      <c r="AJ17" s="56"/>
      <c r="AK17" s="56"/>
      <c r="AL17" s="56"/>
      <c r="AM17" s="56"/>
      <c r="AN17" s="149"/>
      <c r="AO17" s="150"/>
      <c r="AP17" s="150"/>
      <c r="AQ17" s="33"/>
      <c r="AV17" s="151"/>
      <c r="AW17" s="152"/>
      <c r="AX17" s="166" t="s">
        <v>67</v>
      </c>
      <c r="AY17" s="167"/>
      <c r="AZ17" s="168"/>
      <c r="BA17" s="62" t="s">
        <v>68</v>
      </c>
      <c r="BB17" s="13"/>
    </row>
    <row r="18" spans="1:54" ht="19.5" customHeight="1" thickBot="1" x14ac:dyDescent="0.25">
      <c r="A18" s="13"/>
      <c r="B18" s="197"/>
      <c r="C18" s="169"/>
      <c r="D18" s="170"/>
      <c r="E18" s="169"/>
      <c r="F18" s="171"/>
      <c r="G18" s="170"/>
      <c r="H18" s="169"/>
      <c r="I18" s="170"/>
      <c r="L18" s="12"/>
      <c r="M18" s="12"/>
      <c r="N18" s="12"/>
      <c r="O18" s="158" t="s">
        <v>69</v>
      </c>
      <c r="P18" s="159"/>
      <c r="Q18" s="116">
        <f>COUNTIFS(TablaNoviembre[EDAD], "&gt;19", TablaNoviembre[EDAD], "&lt;60")</f>
      </c>
      <c r="R18" s="56"/>
      <c r="S18" s="47" t="s">
        <v>70</v>
      </c>
      <c r="T18" s="115">
        <f>COUNTIFS(TablaNoviembre[TIPO DISCAPACIDAD], S18)</f>
      </c>
      <c r="U18" s="60"/>
      <c r="V18" s="56"/>
      <c r="W18" s="172" t="s">
        <v>71</v>
      </c>
      <c r="X18" s="173"/>
      <c r="Y18" s="174"/>
      <c r="Z18" s="147">
        <f>COUNTIFS(TablaNoviembre[ORI. SEXUAL], W18)</f>
      </c>
      <c r="AA18" s="148"/>
      <c r="AB18" s="13"/>
      <c r="AC18" s="13"/>
      <c r="AD18" s="13"/>
      <c r="AE18" s="13"/>
      <c r="AF18" s="13"/>
      <c r="AG18" s="13"/>
      <c r="AH18" s="60"/>
      <c r="AI18" s="56"/>
      <c r="AJ18" s="56"/>
      <c r="AK18" s="56"/>
      <c r="AL18" s="56"/>
      <c r="AM18" s="56"/>
      <c r="AN18" s="149"/>
      <c r="AO18" s="150"/>
      <c r="AP18" s="150"/>
      <c r="AQ18" s="33"/>
      <c r="AV18" s="151"/>
      <c r="AW18" s="152"/>
      <c r="AX18" s="153" t="s">
        <v>72</v>
      </c>
      <c r="AY18" s="154"/>
      <c r="AZ18" s="155"/>
      <c r="BA18" s="63" t="s">
        <v>73</v>
      </c>
      <c r="BB18" s="13"/>
    </row>
    <row r="19" spans="1:54" ht="19.5" customHeight="1" thickBot="1" x14ac:dyDescent="0.25">
      <c r="A19" s="13"/>
      <c r="B19" s="64"/>
      <c r="C19" s="43"/>
      <c r="D19" s="43"/>
      <c r="E19" s="43"/>
      <c r="F19" s="65"/>
      <c r="G19" s="66"/>
      <c r="H19" s="66"/>
      <c r="I19" s="66"/>
      <c r="J19" s="66"/>
      <c r="K19" s="156" t="s">
        <v>74</v>
      </c>
      <c r="L19" s="157"/>
      <c r="M19" s="12"/>
      <c r="N19" s="12"/>
      <c r="O19" s="158" t="s">
        <v>75</v>
      </c>
      <c r="P19" s="159"/>
      <c r="Q19" s="116">
        <f>COUNTIFS(TablaNoviembre[EDAD], "&gt;59")</f>
      </c>
      <c r="R19" s="56"/>
      <c r="U19" s="60"/>
      <c r="V19" s="56"/>
      <c r="W19" s="160" t="s">
        <v>66</v>
      </c>
      <c r="X19" s="160"/>
      <c r="Y19" s="160"/>
      <c r="Z19" s="147">
        <f>COUNTIFS(TablaNoviembre[ORI. SEXUAL], W19)</f>
      </c>
      <c r="AA19" s="148"/>
      <c r="AB19" s="13"/>
      <c r="AC19" s="13"/>
      <c r="AD19" s="13"/>
      <c r="AE19" s="13"/>
      <c r="AF19" s="13"/>
      <c r="AG19" s="13"/>
      <c r="AH19" s="67"/>
      <c r="AI19" s="68"/>
      <c r="AJ19" s="68" t="s">
        <v>76</v>
      </c>
      <c r="AK19" s="68"/>
      <c r="AL19" s="68"/>
      <c r="AM19" s="68"/>
      <c r="AN19" s="68"/>
      <c r="AO19" s="68"/>
      <c r="AP19" s="68"/>
      <c r="AQ19" s="33"/>
      <c r="AV19" s="151"/>
      <c r="AW19" s="152"/>
      <c r="AX19" s="161" t="s">
        <v>77</v>
      </c>
      <c r="AY19" s="162"/>
      <c r="AZ19" s="163"/>
      <c r="BA19" s="69" t="s">
        <v>78</v>
      </c>
      <c r="BB19" s="13"/>
    </row>
    <row r="20" spans="1:54" ht="20.25" customHeight="1" thickBot="1" x14ac:dyDescent="0.25">
      <c r="A20" s="13"/>
      <c r="B20" s="33"/>
      <c r="C20" s="33"/>
      <c r="D20" s="33"/>
      <c r="E20" s="33"/>
      <c r="F20" s="65"/>
      <c r="G20" s="66"/>
      <c r="H20" s="66"/>
      <c r="I20" s="66"/>
      <c r="J20" s="66"/>
      <c r="K20" s="70" t="s">
        <v>79</v>
      </c>
      <c r="L20" s="117">
        <f>COUNTIF(TablaNoviembre[VICTIMA CONF. ARMADO], K20)</f>
      </c>
      <c r="M20" s="12"/>
      <c r="N20" s="12"/>
      <c r="O20" s="12"/>
      <c r="P20" s="12"/>
      <c r="Q20" s="12"/>
      <c r="R20" s="12"/>
      <c r="S20" s="12"/>
      <c r="T20" s="3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68"/>
      <c r="AI20" s="68"/>
      <c r="AJ20" s="68"/>
      <c r="AK20" s="68"/>
      <c r="AL20" s="68"/>
      <c r="AM20" s="68"/>
      <c r="AN20" s="68"/>
      <c r="AO20" s="68"/>
      <c r="AP20" s="68"/>
      <c r="AQ20" s="33"/>
      <c r="AR20" s="33"/>
      <c r="AS20" s="33"/>
      <c r="AT20" s="33"/>
      <c r="AU20" s="33"/>
      <c r="AV20" s="33"/>
      <c r="AW20" s="33"/>
      <c r="AX20" s="33"/>
      <c r="AY20" s="33"/>
      <c r="AZ20" s="13"/>
      <c r="BA20" s="13"/>
      <c r="BB20" s="13"/>
    </row>
    <row r="21" spans="1:54" ht="18.75" customHeight="1" thickBot="1" x14ac:dyDescent="0.25">
      <c r="A21" s="13"/>
      <c r="B21" s="13"/>
      <c r="C21" s="33"/>
      <c r="D21" s="33"/>
      <c r="E21" s="33"/>
      <c r="F21" s="33"/>
      <c r="G21" s="33"/>
      <c r="H21" s="33"/>
      <c r="I21" s="33"/>
      <c r="J21" s="33"/>
      <c r="K21" s="71" t="s">
        <v>80</v>
      </c>
      <c r="L21" s="117">
        <f>COUNTIF(TablaNoviembre[VICTIMA CONF. ARMADO], K21)</f>
      </c>
      <c r="M21" s="12"/>
      <c r="N21" s="12"/>
      <c r="O21" s="12"/>
      <c r="P21" s="12"/>
      <c r="Q21" s="12"/>
      <c r="R21" s="12"/>
      <c r="S21" s="12"/>
      <c r="T21" s="33"/>
      <c r="U21" s="135" t="s">
        <v>143</v>
      </c>
      <c r="V21" s="136"/>
      <c r="W21" s="136"/>
      <c r="X21" s="136"/>
      <c r="Y21" s="136"/>
      <c r="Z21" s="136"/>
      <c r="AA21" s="136"/>
      <c r="AB21" s="136"/>
      <c r="AC21" s="136"/>
      <c r="AD21" s="136"/>
      <c r="AE21" s="136"/>
      <c r="AF21" s="136"/>
      <c r="AG21" s="136"/>
      <c r="AH21" s="136"/>
      <c r="AI21" s="136"/>
      <c r="AJ21" s="136"/>
      <c r="AK21" s="136"/>
      <c r="AL21" s="136"/>
      <c r="AM21" s="136"/>
      <c r="AN21" s="136"/>
      <c r="AO21" s="136"/>
      <c r="AP21" s="136"/>
      <c r="AQ21" s="136"/>
      <c r="AR21" s="136"/>
      <c r="AS21" s="136"/>
      <c r="AT21" s="136"/>
      <c r="AU21" s="136"/>
      <c r="AV21" s="136"/>
      <c r="AW21" s="136"/>
      <c r="AX21" s="136"/>
      <c r="AY21" s="137"/>
      <c r="AZ21" s="141" t="s">
        <v>81</v>
      </c>
      <c r="BA21" s="142"/>
      <c r="BB21" s="143"/>
    </row>
    <row r="22" spans="1:54" ht="15" customHeight="1" thickBot="1" x14ac:dyDescent="0.25">
      <c r="A22" s="13"/>
      <c r="B22" s="13"/>
      <c r="C22" s="33"/>
      <c r="D22" s="33"/>
      <c r="E22" s="33"/>
      <c r="F22" s="33"/>
      <c r="G22" s="33"/>
      <c r="H22" s="33"/>
      <c r="I22" s="33"/>
      <c r="J22" s="33"/>
      <c r="K22" s="33"/>
      <c r="L22" s="72"/>
      <c r="M22" s="72"/>
      <c r="N22" s="72"/>
      <c r="O22" s="72"/>
      <c r="P22" s="72"/>
      <c r="Q22" s="12"/>
      <c r="R22" s="12"/>
      <c r="S22" s="12"/>
      <c r="T22" s="73"/>
      <c r="U22" s="138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  <c r="AF22" s="139"/>
      <c r="AG22" s="139"/>
      <c r="AH22" s="139"/>
      <c r="AI22" s="139"/>
      <c r="AJ22" s="139"/>
      <c r="AK22" s="139"/>
      <c r="AL22" s="139"/>
      <c r="AM22" s="139"/>
      <c r="AN22" s="139"/>
      <c r="AO22" s="139"/>
      <c r="AP22" s="139"/>
      <c r="AQ22" s="139"/>
      <c r="AR22" s="139"/>
      <c r="AS22" s="139"/>
      <c r="AT22" s="139"/>
      <c r="AU22" s="139"/>
      <c r="AV22" s="139"/>
      <c r="AW22" s="139"/>
      <c r="AX22" s="139"/>
      <c r="AY22" s="140"/>
      <c r="AZ22" s="144"/>
      <c r="BA22" s="145"/>
      <c r="BB22" s="146"/>
    </row>
    <row r="23" spans="1:54" ht="42" customHeight="1" x14ac:dyDescent="0.2">
      <c r="A23" s="74" t="s">
        <v>82</v>
      </c>
      <c r="B23" s="108" t="s">
        <v>83</v>
      </c>
      <c r="C23" s="108" t="s">
        <v>84</v>
      </c>
      <c r="D23" s="108" t="s">
        <v>85</v>
      </c>
      <c r="E23" s="108" t="s">
        <v>86</v>
      </c>
      <c r="F23" s="109" t="s">
        <v>87</v>
      </c>
      <c r="G23" s="110" t="s">
        <v>88</v>
      </c>
      <c r="H23" s="109" t="s">
        <v>89</v>
      </c>
      <c r="I23" s="111" t="s">
        <v>90</v>
      </c>
      <c r="J23" s="112" t="s">
        <v>91</v>
      </c>
      <c r="K23" s="75" t="s">
        <v>92</v>
      </c>
      <c r="L23" s="76" t="s">
        <v>93</v>
      </c>
      <c r="M23" s="77" t="s">
        <v>94</v>
      </c>
      <c r="N23" s="78" t="s">
        <v>95</v>
      </c>
      <c r="O23" s="79" t="s">
        <v>96</v>
      </c>
      <c r="P23" s="113" t="s">
        <v>97</v>
      </c>
      <c r="Q23" s="80" t="s">
        <v>98</v>
      </c>
      <c r="R23" s="80" t="s">
        <v>99</v>
      </c>
      <c r="S23" s="80" t="s">
        <v>100</v>
      </c>
      <c r="T23" s="81" t="s">
        <v>101</v>
      </c>
      <c r="U23" s="28" t="s">
        <v>102</v>
      </c>
      <c r="V23" s="28" t="s">
        <v>103</v>
      </c>
      <c r="W23" s="27" t="s">
        <v>104</v>
      </c>
      <c r="X23" s="122" t="s">
        <v>105</v>
      </c>
      <c r="Y23" s="26" t="s">
        <v>106</v>
      </c>
      <c r="Z23" s="26" t="s">
        <v>107</v>
      </c>
      <c r="AA23" s="28" t="s">
        <v>108</v>
      </c>
      <c r="AB23" s="28" t="s">
        <v>109</v>
      </c>
      <c r="AC23" s="28" t="s">
        <v>110</v>
      </c>
      <c r="AD23" s="26" t="s">
        <v>111</v>
      </c>
      <c r="AE23" s="122" t="s">
        <v>112</v>
      </c>
      <c r="AF23" s="26" t="s">
        <v>113</v>
      </c>
      <c r="AG23" s="122" t="s">
        <v>114</v>
      </c>
      <c r="AH23" s="26" t="s">
        <v>115</v>
      </c>
      <c r="AI23" s="28" t="s">
        <v>116</v>
      </c>
      <c r="AJ23" s="28" t="s">
        <v>117</v>
      </c>
      <c r="AK23" s="28" t="s">
        <v>118</v>
      </c>
      <c r="AL23" s="122" t="s">
        <v>119</v>
      </c>
      <c r="AM23" s="26" t="s">
        <v>120</v>
      </c>
      <c r="AN23" s="122" t="s">
        <v>121</v>
      </c>
      <c r="AO23" s="122" t="s">
        <v>122</v>
      </c>
      <c r="AP23" s="28" t="s">
        <v>123</v>
      </c>
      <c r="AQ23" s="125" t="s">
        <v>124</v>
      </c>
      <c r="AR23" s="29" t="s">
        <v>125</v>
      </c>
      <c r="AS23" s="123" t="s">
        <v>126</v>
      </c>
      <c r="AT23" s="26" t="s">
        <v>127</v>
      </c>
      <c r="AU23" s="122" t="s">
        <v>128</v>
      </c>
      <c r="AV23" s="122" t="s">
        <v>129</v>
      </c>
      <c r="AW23" s="28" t="s">
        <v>130</v>
      </c>
      <c r="AX23" s="124" t="s">
        <v>131</v>
      </c>
      <c r="AY23" s="122" t="s">
        <v>132</v>
      </c>
      <c r="AZ23" s="82" t="s">
        <v>68</v>
      </c>
      <c r="BA23" s="82" t="s">
        <v>73</v>
      </c>
      <c r="BB23" s="83" t="s">
        <v>78</v>
      </c>
    </row>
    <row r="24" spans="1:54" ht="15.75" customHeight="1" x14ac:dyDescent="0.2">
      <c r="A24" s="84"/>
      <c r="B24" s="85"/>
      <c r="C24" s="85"/>
      <c r="D24" s="85"/>
      <c r="E24" s="86"/>
      <c r="F24" s="16">
        <f>IF(E24="","",DATEDIF(E24,$I$7,"Y"))</f>
      </c>
      <c r="G24" s="85"/>
      <c r="H24" s="85"/>
      <c r="I24" s="87"/>
      <c r="J24" s="85"/>
      <c r="K24" s="85"/>
      <c r="L24" s="2"/>
      <c r="M24" s="2"/>
      <c r="N24" s="2"/>
      <c r="O24" s="2"/>
      <c r="P24" s="85"/>
      <c r="Q24" s="88"/>
      <c r="R24" s="3">
        <f>IFERROR(VLOOKUP(TablaNoviembre[[#This Row],[BARRIO]],SECTOR!$A:$B,2,0),"")</f>
      </c>
      <c r="S24" s="89"/>
      <c r="T24" s="90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17">
        <f>COUNTIF(U24:AY24,"A")</f>
      </c>
      <c r="BA24" s="17">
        <f>COUNTIF(U24:AY24,"F")</f>
      </c>
      <c r="BB24" s="17">
        <f>COUNTIF(U24:AY24,"E")</f>
      </c>
    </row>
    <row r="25" spans="1:54" ht="15.75" customHeight="1" x14ac:dyDescent="0.2">
      <c r="A25" s="84"/>
      <c r="B25" s="85"/>
      <c r="C25" s="85"/>
      <c r="D25" s="85"/>
      <c r="E25" s="86"/>
      <c r="F25" s="16">
        <f>IF(E25="","",DATEDIF(E25,$I$7,"Y"))</f>
      </c>
      <c r="G25" s="85"/>
      <c r="H25" s="85"/>
      <c r="I25" s="87"/>
      <c r="J25" s="85"/>
      <c r="K25" s="85"/>
      <c r="L25" s="2"/>
      <c r="M25" s="2"/>
      <c r="N25" s="1"/>
      <c r="O25" s="1"/>
      <c r="P25" s="85"/>
      <c r="Q25" s="88"/>
      <c r="R25" s="3">
        <f>IFERROR(VLOOKUP(TablaNoviembre[[#This Row],[BARRIO]],SECTOR!$A:$B,2,0),"")</f>
      </c>
      <c r="S25" s="89"/>
      <c r="T25" s="90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17">
        <f>COUNTIF(U25:AY25,"A")</f>
      </c>
      <c r="BA25" s="17">
        <f>COUNTIF(U25:AY25,"F")</f>
      </c>
      <c r="BB25" s="17">
        <f>COUNTIF(U25:AY25,"E")</f>
      </c>
    </row>
    <row r="26" spans="1:54" ht="15.75" customHeight="1" x14ac:dyDescent="0.2">
      <c r="A26" s="84"/>
      <c r="B26" s="85"/>
      <c r="C26" s="85"/>
      <c r="D26" s="85"/>
      <c r="E26" s="86"/>
      <c r="F26" s="16">
        <f>IF(E26="","",DATEDIF(E26,$I$7,"Y"))</f>
      </c>
      <c r="G26" s="85"/>
      <c r="H26" s="85"/>
      <c r="I26" s="87"/>
      <c r="J26" s="85"/>
      <c r="K26" s="85"/>
      <c r="L26" s="2"/>
      <c r="M26" s="2"/>
      <c r="N26" s="1"/>
      <c r="O26" s="1"/>
      <c r="P26" s="85"/>
      <c r="Q26" s="88"/>
      <c r="R26" s="3">
        <f>IFERROR(VLOOKUP(TablaNoviembre[[#This Row],[BARRIO]],SECTOR!$A:$B,2,0),"")</f>
      </c>
      <c r="S26" s="89"/>
      <c r="T26" s="90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17">
        <f>COUNTIF(U26:AY26,"A")</f>
      </c>
      <c r="BA26" s="17">
        <f>COUNTIF(U26:AY26,"F")</f>
      </c>
      <c r="BB26" s="17">
        <f>COUNTIF(U26:AY26,"E")</f>
      </c>
    </row>
    <row r="27" spans="1:54" ht="15.75" customHeight="1" x14ac:dyDescent="0.2">
      <c r="A27" s="84"/>
      <c r="B27" s="85"/>
      <c r="C27" s="85"/>
      <c r="D27" s="85"/>
      <c r="E27" s="86"/>
      <c r="F27" s="16">
        <f>IF(E27="","",DATEDIF(E27,$I$7,"Y"))</f>
      </c>
      <c r="G27" s="85"/>
      <c r="H27" s="85"/>
      <c r="I27" s="87"/>
      <c r="J27" s="85"/>
      <c r="K27" s="85"/>
      <c r="L27" s="2"/>
      <c r="M27" s="2"/>
      <c r="N27" s="1"/>
      <c r="O27" s="1"/>
      <c r="P27" s="85"/>
      <c r="Q27" s="88"/>
      <c r="R27" s="3">
        <f>IFERROR(VLOOKUP(TablaNoviembre[[#This Row],[BARRIO]],SECTOR!$A:$B,2,0),"")</f>
      </c>
      <c r="S27" s="89"/>
      <c r="T27" s="90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17">
        <f>COUNTIF(U27:AY27,"A")</f>
      </c>
      <c r="BA27" s="17">
        <f>COUNTIF(U27:AY27,"F")</f>
      </c>
      <c r="BB27" s="17">
        <f>COUNTIF(U27:AY27,"E")</f>
      </c>
    </row>
    <row r="28" spans="1:54" ht="15.75" customHeight="1" x14ac:dyDescent="0.2">
      <c r="A28" s="84"/>
      <c r="B28" s="85"/>
      <c r="C28" s="85"/>
      <c r="D28" s="85"/>
      <c r="E28" s="86"/>
      <c r="F28" s="16">
        <f>IF(E28="","",DATEDIF(E28,$I$7,"Y"))</f>
      </c>
      <c r="G28" s="85"/>
      <c r="H28" s="85"/>
      <c r="I28" s="87"/>
      <c r="J28" s="85"/>
      <c r="K28" s="85"/>
      <c r="L28" s="2"/>
      <c r="M28" s="2"/>
      <c r="N28" s="1"/>
      <c r="O28" s="1"/>
      <c r="P28" s="85"/>
      <c r="Q28" s="88"/>
      <c r="R28" s="3">
        <f>IFERROR(VLOOKUP(TablaNoviembre[[#This Row],[BARRIO]],SECTOR!$A:$B,2,0),"")</f>
      </c>
      <c r="S28" s="89"/>
      <c r="T28" s="90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17">
        <f>COUNTIF(U28:AY28,"A")</f>
      </c>
      <c r="BA28" s="17">
        <f>COUNTIF(U28:AY28,"F")</f>
      </c>
      <c r="BB28" s="17">
        <f>COUNTIF(U28:AY28,"E")</f>
      </c>
    </row>
    <row r="29" spans="1:54" ht="15.75" customHeight="1" x14ac:dyDescent="0.2">
      <c r="A29" s="84"/>
      <c r="B29" s="85"/>
      <c r="C29" s="85"/>
      <c r="D29" s="85"/>
      <c r="E29" s="86"/>
      <c r="F29" s="16">
        <f>IF(E29="","",DATEDIF(E29,$I$7,"Y"))</f>
      </c>
      <c r="G29" s="85"/>
      <c r="H29" s="85"/>
      <c r="I29" s="87"/>
      <c r="J29" s="85"/>
      <c r="K29" s="85"/>
      <c r="L29" s="2"/>
      <c r="M29" s="2"/>
      <c r="N29" s="1"/>
      <c r="O29" s="1"/>
      <c r="P29" s="85"/>
      <c r="Q29" s="88"/>
      <c r="R29" s="3">
        <f>IFERROR(VLOOKUP(TablaNoviembre[[#This Row],[BARRIO]],SECTOR!$A:$B,2,0),"")</f>
      </c>
      <c r="S29" s="89"/>
      <c r="T29" s="90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17">
        <f>COUNTIF(U29:AY29,"A")</f>
      </c>
      <c r="BA29" s="17">
        <f>COUNTIF(U29:AY29,"F")</f>
      </c>
      <c r="BB29" s="17">
        <f>COUNTIF(U29:AY29,"E")</f>
      </c>
    </row>
    <row r="30" spans="1:54" ht="15.75" customHeight="1" x14ac:dyDescent="0.2">
      <c r="A30" s="84"/>
      <c r="B30" s="85"/>
      <c r="C30" s="85"/>
      <c r="D30" s="85"/>
      <c r="E30" s="86"/>
      <c r="F30" s="16">
        <f>IF(E30="","",DATEDIF(E30,$I$7,"Y"))</f>
      </c>
      <c r="G30" s="85"/>
      <c r="H30" s="85"/>
      <c r="I30" s="87"/>
      <c r="J30" s="85"/>
      <c r="K30" s="85"/>
      <c r="L30" s="2"/>
      <c r="M30" s="2"/>
      <c r="N30" s="1"/>
      <c r="O30" s="1"/>
      <c r="P30" s="85"/>
      <c r="Q30" s="88"/>
      <c r="R30" s="3">
        <f>IFERROR(VLOOKUP(TablaNoviembre[[#This Row],[BARRIO]],SECTOR!$A:$B,2,0),"")</f>
      </c>
      <c r="S30" s="89"/>
      <c r="T30" s="90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17">
        <f>COUNTIF(U30:AY30,"A")</f>
      </c>
      <c r="BA30" s="17">
        <f>COUNTIF(U30:AY30,"F")</f>
      </c>
      <c r="BB30" s="17">
        <f>COUNTIF(U30:AY30,"E")</f>
      </c>
    </row>
    <row r="31" spans="1:54" ht="15.75" customHeight="1" x14ac:dyDescent="0.2">
      <c r="A31" s="84"/>
      <c r="B31" s="85"/>
      <c r="C31" s="85"/>
      <c r="D31" s="85"/>
      <c r="E31" s="86"/>
      <c r="F31" s="16">
        <f>IF(E31="","",DATEDIF(E31,$I$7,"Y"))</f>
      </c>
      <c r="G31" s="85"/>
      <c r="H31" s="85"/>
      <c r="I31" s="87"/>
      <c r="J31" s="85"/>
      <c r="K31" s="85"/>
      <c r="L31" s="2"/>
      <c r="M31" s="2"/>
      <c r="N31" s="1"/>
      <c r="O31" s="1"/>
      <c r="P31" s="85"/>
      <c r="Q31" s="88"/>
      <c r="R31" s="3">
        <f>IFERROR(VLOOKUP(TablaNoviembre[[#This Row],[BARRIO]],SECTOR!$A:$B,2,0),"")</f>
      </c>
      <c r="S31" s="89"/>
      <c r="T31" s="90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17">
        <f>COUNTIF(U31:AY31,"A")</f>
      </c>
      <c r="BA31" s="17">
        <f>COUNTIF(U31:AY31,"F")</f>
      </c>
      <c r="BB31" s="17">
        <f>COUNTIF(U31:AY31,"E")</f>
      </c>
    </row>
    <row r="32" spans="1:54" ht="15.75" customHeight="1" x14ac:dyDescent="0.2">
      <c r="A32" s="84"/>
      <c r="B32" s="85"/>
      <c r="C32" s="85"/>
      <c r="D32" s="85"/>
      <c r="E32" s="86"/>
      <c r="F32" s="16">
        <f>IF(E32="","",DATEDIF(E32,$I$7,"Y"))</f>
      </c>
      <c r="G32" s="85"/>
      <c r="H32" s="85"/>
      <c r="I32" s="87"/>
      <c r="J32" s="85"/>
      <c r="K32" s="85"/>
      <c r="L32" s="2"/>
      <c r="M32" s="2"/>
      <c r="N32" s="1"/>
      <c r="O32" s="1"/>
      <c r="P32" s="85"/>
      <c r="Q32" s="88"/>
      <c r="R32" s="3">
        <f>IFERROR(VLOOKUP(TablaNoviembre[[#This Row],[BARRIO]],SECTOR!$A:$B,2,0),"")</f>
      </c>
      <c r="S32" s="89"/>
      <c r="T32" s="90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17">
        <f>COUNTIF(U32:AY32,"A")</f>
      </c>
      <c r="BA32" s="17">
        <f>COUNTIF(U32:AY32,"F")</f>
      </c>
      <c r="BB32" s="17">
        <f>COUNTIF(U32:AY32,"E")</f>
      </c>
    </row>
    <row r="33" spans="1:54" ht="15.75" customHeight="1" x14ac:dyDescent="0.2">
      <c r="A33" s="84"/>
      <c r="B33" s="85"/>
      <c r="C33" s="85"/>
      <c r="D33" s="85"/>
      <c r="E33" s="86"/>
      <c r="F33" s="16">
        <f>IF(E33="","",DATEDIF(E33,$I$7,"Y"))</f>
      </c>
      <c r="G33" s="85"/>
      <c r="H33" s="85"/>
      <c r="I33" s="87"/>
      <c r="J33" s="85"/>
      <c r="K33" s="85"/>
      <c r="L33" s="2"/>
      <c r="M33" s="2"/>
      <c r="N33" s="1"/>
      <c r="O33" s="1"/>
      <c r="P33" s="85"/>
      <c r="Q33" s="88"/>
      <c r="R33" s="3">
        <f>IFERROR(VLOOKUP(TablaNoviembre[[#This Row],[BARRIO]],SECTOR!$A:$B,2,0),"")</f>
      </c>
      <c r="S33" s="89"/>
      <c r="T33" s="90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17">
        <f>COUNTIF(U33:AY33,"A")</f>
      </c>
      <c r="BA33" s="17">
        <f>COUNTIF(U33:AY33,"F")</f>
      </c>
      <c r="BB33" s="17">
        <f>COUNTIF(U33:AY33,"E")</f>
      </c>
    </row>
    <row r="34" spans="1:54" ht="15.75" customHeight="1" x14ac:dyDescent="0.2">
      <c r="A34" s="84"/>
      <c r="B34" s="85"/>
      <c r="C34" s="85"/>
      <c r="D34" s="85"/>
      <c r="E34" s="86"/>
      <c r="F34" s="16">
        <f>IF(E34="","",DATEDIF(E34,$I$7,"Y"))</f>
      </c>
      <c r="G34" s="85"/>
      <c r="H34" s="85"/>
      <c r="I34" s="87"/>
      <c r="J34" s="85"/>
      <c r="K34" s="85"/>
      <c r="L34" s="2"/>
      <c r="M34" s="2"/>
      <c r="N34" s="1"/>
      <c r="O34" s="1"/>
      <c r="P34" s="85"/>
      <c r="Q34" s="88"/>
      <c r="R34" s="3">
        <f>IFERROR(VLOOKUP(TablaNoviembre[[#This Row],[BARRIO]],SECTOR!$A:$B,2,0),"")</f>
      </c>
      <c r="S34" s="89"/>
      <c r="T34" s="90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17">
        <f>COUNTIF(U34:AY34,"A")</f>
      </c>
      <c r="BA34" s="17">
        <f>COUNTIF(U34:AY34,"F")</f>
      </c>
      <c r="BB34" s="17">
        <f>COUNTIF(U34:AY34,"E")</f>
      </c>
    </row>
    <row r="35" spans="1:54" ht="15.75" customHeight="1" x14ac:dyDescent="0.2">
      <c r="A35" s="84"/>
      <c r="B35" s="85"/>
      <c r="C35" s="85"/>
      <c r="D35" s="85"/>
      <c r="E35" s="86"/>
      <c r="F35" s="16">
        <f>IF(E35="","",DATEDIF(E35,$I$7,"Y"))</f>
      </c>
      <c r="G35" s="85"/>
      <c r="H35" s="85"/>
      <c r="I35" s="87"/>
      <c r="J35" s="85"/>
      <c r="K35" s="85"/>
      <c r="L35" s="2"/>
      <c r="M35" s="2"/>
      <c r="N35" s="1"/>
      <c r="O35" s="1"/>
      <c r="P35" s="85"/>
      <c r="Q35" s="88"/>
      <c r="R35" s="3">
        <f>IFERROR(VLOOKUP(TablaNoviembre[[#This Row],[BARRIO]],SECTOR!$A:$B,2,0),"")</f>
      </c>
      <c r="S35" s="89"/>
      <c r="T35" s="90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17">
        <f>COUNTIF(U35:AY35,"A")</f>
      </c>
      <c r="BA35" s="17">
        <f>COUNTIF(U35:AY35,"F")</f>
      </c>
      <c r="BB35" s="17">
        <f>COUNTIF(U35:AY35,"E")</f>
      </c>
    </row>
    <row r="36" spans="1:54" ht="15.75" customHeight="1" x14ac:dyDescent="0.2">
      <c r="A36" s="84"/>
      <c r="B36" s="85"/>
      <c r="C36" s="85"/>
      <c r="D36" s="85"/>
      <c r="E36" s="86"/>
      <c r="F36" s="16">
        <f>IF(E36="","",DATEDIF(E36,$I$7,"Y"))</f>
      </c>
      <c r="G36" s="85"/>
      <c r="H36" s="85"/>
      <c r="I36" s="87"/>
      <c r="J36" s="85"/>
      <c r="K36" s="85"/>
      <c r="L36" s="2"/>
      <c r="M36" s="2"/>
      <c r="N36" s="1"/>
      <c r="O36" s="1"/>
      <c r="P36" s="85"/>
      <c r="Q36" s="88"/>
      <c r="R36" s="3">
        <f>IFERROR(VLOOKUP(TablaNoviembre[[#This Row],[BARRIO]],SECTOR!$A:$B,2,0),"")</f>
      </c>
      <c r="S36" s="89"/>
      <c r="T36" s="90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17">
        <f>COUNTIF(U36:AY36,"A")</f>
      </c>
      <c r="BA36" s="17">
        <f>COUNTIF(U36:AY36,"F")</f>
      </c>
      <c r="BB36" s="17">
        <f>COUNTIF(U36:AY36,"E")</f>
      </c>
    </row>
    <row r="37" spans="1:54" ht="15.75" customHeight="1" x14ac:dyDescent="0.2">
      <c r="A37" s="84"/>
      <c r="B37" s="85"/>
      <c r="C37" s="85"/>
      <c r="D37" s="85"/>
      <c r="E37" s="86"/>
      <c r="F37" s="16">
        <f>IF(E37="","",DATEDIF(E37,$I$7,"Y"))</f>
      </c>
      <c r="G37" s="85"/>
      <c r="H37" s="85"/>
      <c r="I37" s="87"/>
      <c r="J37" s="85"/>
      <c r="K37" s="85"/>
      <c r="L37" s="2"/>
      <c r="M37" s="2"/>
      <c r="N37" s="1"/>
      <c r="O37" s="1"/>
      <c r="P37" s="85"/>
      <c r="Q37" s="88"/>
      <c r="R37" s="3">
        <f>IFERROR(VLOOKUP(TablaNoviembre[[#This Row],[BARRIO]],SECTOR!$A:$B,2,0),"")</f>
      </c>
      <c r="S37" s="89"/>
      <c r="T37" s="90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17">
        <f>COUNTIF(U37:AY37,"A")</f>
      </c>
      <c r="BA37" s="17">
        <f>COUNTIF(U37:AY37,"F")</f>
      </c>
      <c r="BB37" s="17">
        <f>COUNTIF(U37:AY37,"E")</f>
      </c>
    </row>
    <row r="38" spans="1:54" ht="15.75" customHeight="1" x14ac:dyDescent="0.2">
      <c r="A38" s="84"/>
      <c r="B38" s="85"/>
      <c r="C38" s="85"/>
      <c r="D38" s="85"/>
      <c r="E38" s="86"/>
      <c r="F38" s="16">
        <f>IF(E38="","",DATEDIF(E38,$I$7,"Y"))</f>
      </c>
      <c r="G38" s="85"/>
      <c r="H38" s="85"/>
      <c r="I38" s="87"/>
      <c r="J38" s="85"/>
      <c r="K38" s="85"/>
      <c r="L38" s="2"/>
      <c r="M38" s="2"/>
      <c r="N38" s="1"/>
      <c r="O38" s="1"/>
      <c r="P38" s="85"/>
      <c r="Q38" s="88"/>
      <c r="R38" s="3">
        <f>IFERROR(VLOOKUP(TablaNoviembre[[#This Row],[BARRIO]],SECTOR!$A:$B,2,0),"")</f>
      </c>
      <c r="S38" s="89"/>
      <c r="T38" s="90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17">
        <f>COUNTIF(U38:AY38,"A")</f>
      </c>
      <c r="BA38" s="17">
        <f>COUNTIF(U38:AY38,"F")</f>
      </c>
      <c r="BB38" s="17">
        <f>COUNTIF(U38:AY38,"E")</f>
      </c>
    </row>
    <row r="39" spans="1:54" ht="15.75" customHeight="1" x14ac:dyDescent="0.2">
      <c r="A39" s="84"/>
      <c r="B39" s="85"/>
      <c r="C39" s="85"/>
      <c r="D39" s="85"/>
      <c r="E39" s="86"/>
      <c r="F39" s="16">
        <f>IF(E39="","",DATEDIF(E39,$I$7,"Y"))</f>
      </c>
      <c r="G39" s="85"/>
      <c r="H39" s="85"/>
      <c r="I39" s="87"/>
      <c r="J39" s="85"/>
      <c r="K39" s="85"/>
      <c r="L39" s="2"/>
      <c r="M39" s="2"/>
      <c r="N39" s="1"/>
      <c r="O39" s="1"/>
      <c r="P39" s="85"/>
      <c r="Q39" s="88"/>
      <c r="R39" s="3">
        <f>IFERROR(VLOOKUP(TablaNoviembre[[#This Row],[BARRIO]],SECTOR!$A:$B,2,0),"")</f>
      </c>
      <c r="S39" s="89"/>
      <c r="T39" s="90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17">
        <f>COUNTIF(U39:AY39,"A")</f>
      </c>
      <c r="BA39" s="17">
        <f>COUNTIF(U39:AY39,"F")</f>
      </c>
      <c r="BB39" s="17">
        <f>COUNTIF(U39:AY39,"E")</f>
      </c>
    </row>
    <row r="40" spans="1:54" ht="15.75" customHeight="1" x14ac:dyDescent="0.2">
      <c r="A40" s="84"/>
      <c r="B40" s="85"/>
      <c r="C40" s="85"/>
      <c r="D40" s="85"/>
      <c r="E40" s="86"/>
      <c r="F40" s="16">
        <f>IF(E40="","",DATEDIF(E40,$I$7,"Y"))</f>
      </c>
      <c r="G40" s="85"/>
      <c r="H40" s="85"/>
      <c r="I40" s="87"/>
      <c r="J40" s="85"/>
      <c r="K40" s="85"/>
      <c r="L40" s="2"/>
      <c r="M40" s="2"/>
      <c r="N40" s="1"/>
      <c r="O40" s="1"/>
      <c r="P40" s="85"/>
      <c r="Q40" s="88"/>
      <c r="R40" s="3">
        <f>IFERROR(VLOOKUP(TablaNoviembre[[#This Row],[BARRIO]],SECTOR!$A:$B,2,0),"")</f>
      </c>
      <c r="S40" s="89"/>
      <c r="T40" s="90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17">
        <f>COUNTIF(U40:AY40,"A")</f>
      </c>
      <c r="BA40" s="17">
        <f>COUNTIF(U40:AY40,"F")</f>
      </c>
      <c r="BB40" s="17">
        <f>COUNTIF(U40:AY40,"E")</f>
      </c>
    </row>
    <row r="41" spans="1:54" ht="15.75" customHeight="1" x14ac:dyDescent="0.2">
      <c r="A41" s="84"/>
      <c r="B41" s="85"/>
      <c r="C41" s="85"/>
      <c r="D41" s="85"/>
      <c r="E41" s="86"/>
      <c r="F41" s="16">
        <f>IF(E41="","",DATEDIF(E41,$I$7,"Y"))</f>
      </c>
      <c r="G41" s="85"/>
      <c r="H41" s="85"/>
      <c r="I41" s="87"/>
      <c r="J41" s="85"/>
      <c r="K41" s="85"/>
      <c r="L41" s="2"/>
      <c r="M41" s="2"/>
      <c r="N41" s="1"/>
      <c r="O41" s="1"/>
      <c r="P41" s="85"/>
      <c r="Q41" s="88"/>
      <c r="R41" s="3">
        <f>IFERROR(VLOOKUP(TablaNoviembre[[#This Row],[BARRIO]],SECTOR!$A:$B,2,0),"")</f>
      </c>
      <c r="S41" s="89"/>
      <c r="T41" s="90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17">
        <f>COUNTIF(U41:AY41,"A")</f>
      </c>
      <c r="BA41" s="17">
        <f>COUNTIF(U41:AY41,"F")</f>
      </c>
      <c r="BB41" s="17">
        <f>COUNTIF(U41:AY41,"E")</f>
      </c>
    </row>
    <row r="42" spans="1:54" ht="15.75" customHeight="1" x14ac:dyDescent="0.2">
      <c r="A42" s="84"/>
      <c r="B42" s="85"/>
      <c r="C42" s="85"/>
      <c r="D42" s="85"/>
      <c r="E42" s="86"/>
      <c r="F42" s="16">
        <f>IF(E42="","",DATEDIF(E42,$I$7,"Y"))</f>
      </c>
      <c r="G42" s="85"/>
      <c r="H42" s="85"/>
      <c r="I42" s="87"/>
      <c r="J42" s="85"/>
      <c r="K42" s="85"/>
      <c r="L42" s="2"/>
      <c r="M42" s="2"/>
      <c r="N42" s="1"/>
      <c r="O42" s="1"/>
      <c r="P42" s="85"/>
      <c r="Q42" s="88"/>
      <c r="R42" s="3">
        <f>IFERROR(VLOOKUP(TablaNoviembre[[#This Row],[BARRIO]],SECTOR!$A:$B,2,0),"")</f>
      </c>
      <c r="S42" s="89"/>
      <c r="T42" s="90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17">
        <f>COUNTIF(U42:AY42,"A")</f>
      </c>
      <c r="BA42" s="17">
        <f>COUNTIF(U42:AY42,"F")</f>
      </c>
      <c r="BB42" s="17">
        <f>COUNTIF(U42:AY42,"E")</f>
      </c>
    </row>
    <row r="43" spans="1:54" ht="15.75" customHeight="1" x14ac:dyDescent="0.2">
      <c r="A43" s="84"/>
      <c r="B43" s="85"/>
      <c r="C43" s="85"/>
      <c r="D43" s="85"/>
      <c r="E43" s="86"/>
      <c r="F43" s="16">
        <f>IF(E43="","",DATEDIF(E43,$I$7,"Y"))</f>
      </c>
      <c r="G43" s="85"/>
      <c r="H43" s="85"/>
      <c r="I43" s="87"/>
      <c r="J43" s="85"/>
      <c r="K43" s="85"/>
      <c r="L43" s="2"/>
      <c r="M43" s="2"/>
      <c r="N43" s="1"/>
      <c r="O43" s="1"/>
      <c r="P43" s="85"/>
      <c r="Q43" s="88"/>
      <c r="R43" s="3">
        <f>IFERROR(VLOOKUP(TablaNoviembre[[#This Row],[BARRIO]],SECTOR!$A:$B,2,0),"")</f>
      </c>
      <c r="S43" s="89"/>
      <c r="T43" s="90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17">
        <f>COUNTIF(U43:AY43,"A")</f>
      </c>
      <c r="BA43" s="17">
        <f>COUNTIF(U43:AY43,"F")</f>
      </c>
      <c r="BB43" s="17">
        <f>COUNTIF(U43:AY43,"E")</f>
      </c>
    </row>
    <row r="44" spans="1:54" ht="15.75" customHeight="1" x14ac:dyDescent="0.2">
      <c r="A44" s="84"/>
      <c r="B44" s="85"/>
      <c r="C44" s="85"/>
      <c r="D44" s="85"/>
      <c r="E44" s="86"/>
      <c r="F44" s="16">
        <f>IF(E44="","",DATEDIF(E44,$I$7,"Y"))</f>
      </c>
      <c r="G44" s="85"/>
      <c r="H44" s="85"/>
      <c r="I44" s="87"/>
      <c r="J44" s="85"/>
      <c r="K44" s="85"/>
      <c r="L44" s="2"/>
      <c r="M44" s="2"/>
      <c r="N44" s="1"/>
      <c r="O44" s="1"/>
      <c r="P44" s="85"/>
      <c r="Q44" s="88"/>
      <c r="R44" s="3">
        <f>IFERROR(VLOOKUP(TablaNoviembre[[#This Row],[BARRIO]],SECTOR!$A:$B,2,0),"")</f>
      </c>
      <c r="S44" s="89"/>
      <c r="T44" s="90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17">
        <f>COUNTIF(U44:AY44,"A")</f>
      </c>
      <c r="BA44" s="17">
        <f>COUNTIF(U44:AY44,"F")</f>
      </c>
      <c r="BB44" s="17">
        <f>COUNTIF(U44:AY44,"E")</f>
      </c>
    </row>
    <row r="45" spans="1:54" ht="15.75" customHeight="1" x14ac:dyDescent="0.2">
      <c r="A45" s="84"/>
      <c r="B45" s="85"/>
      <c r="C45" s="85"/>
      <c r="D45" s="85"/>
      <c r="E45" s="86"/>
      <c r="F45" s="16">
        <f>IF(E45="","",DATEDIF(E45,$I$7,"Y"))</f>
      </c>
      <c r="G45" s="85"/>
      <c r="H45" s="85"/>
      <c r="I45" s="87"/>
      <c r="J45" s="85"/>
      <c r="K45" s="85"/>
      <c r="L45" s="2"/>
      <c r="M45" s="2"/>
      <c r="N45" s="1"/>
      <c r="O45" s="1"/>
      <c r="P45" s="85"/>
      <c r="Q45" s="88"/>
      <c r="R45" s="3">
        <f>IFERROR(VLOOKUP(TablaNoviembre[[#This Row],[BARRIO]],SECTOR!$A:$B,2,0),"")</f>
      </c>
      <c r="S45" s="89"/>
      <c r="T45" s="90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17">
        <f>COUNTIF(U45:AY45,"A")</f>
      </c>
      <c r="BA45" s="17">
        <f>COUNTIF(U45:AY45,"F")</f>
      </c>
      <c r="BB45" s="17">
        <f>COUNTIF(U45:AY45,"E")</f>
      </c>
    </row>
    <row r="46" spans="1:54" ht="15.75" customHeight="1" x14ac:dyDescent="0.2">
      <c r="A46" s="84"/>
      <c r="B46" s="85"/>
      <c r="C46" s="85"/>
      <c r="D46" s="85"/>
      <c r="E46" s="86"/>
      <c r="F46" s="16">
        <f>IF(E46="","",DATEDIF(E46,$I$7,"Y"))</f>
      </c>
      <c r="G46" s="85"/>
      <c r="H46" s="85"/>
      <c r="I46" s="87"/>
      <c r="J46" s="85"/>
      <c r="K46" s="85"/>
      <c r="L46" s="2"/>
      <c r="M46" s="2"/>
      <c r="N46" s="1"/>
      <c r="O46" s="1"/>
      <c r="P46" s="85"/>
      <c r="Q46" s="88"/>
      <c r="R46" s="3">
        <f>IFERROR(VLOOKUP(TablaNoviembre[[#This Row],[BARRIO]],SECTOR!$A:$B,2,0),"")</f>
      </c>
      <c r="S46" s="89"/>
      <c r="T46" s="90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17">
        <f>COUNTIF(U46:AY46,"A")</f>
      </c>
      <c r="BA46" s="17">
        <f>COUNTIF(U46:AY46,"F")</f>
      </c>
      <c r="BB46" s="17">
        <f>COUNTIF(U46:AY46,"E")</f>
      </c>
    </row>
    <row r="47" spans="1:54" ht="15.75" customHeight="1" x14ac:dyDescent="0.2">
      <c r="A47" s="84"/>
      <c r="B47" s="85"/>
      <c r="C47" s="85"/>
      <c r="D47" s="85"/>
      <c r="E47" s="86"/>
      <c r="F47" s="16">
        <f>IF(E47="","",DATEDIF(E47,$I$7,"Y"))</f>
      </c>
      <c r="G47" s="85"/>
      <c r="H47" s="85"/>
      <c r="I47" s="87"/>
      <c r="J47" s="85"/>
      <c r="K47" s="85"/>
      <c r="L47" s="2"/>
      <c r="M47" s="2"/>
      <c r="N47" s="1"/>
      <c r="O47" s="1"/>
      <c r="P47" s="85"/>
      <c r="Q47" s="88"/>
      <c r="R47" s="3">
        <f>IFERROR(VLOOKUP(TablaNoviembre[[#This Row],[BARRIO]],SECTOR!$A:$B,2,0),"")</f>
      </c>
      <c r="S47" s="89"/>
      <c r="T47" s="90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17">
        <f>COUNTIF(U47:AY47,"A")</f>
      </c>
      <c r="BA47" s="17">
        <f>COUNTIF(U47:AY47,"F")</f>
      </c>
      <c r="BB47" s="17">
        <f>COUNTIF(U47:AY47,"E")</f>
      </c>
    </row>
    <row r="48" spans="1:54" ht="15.75" customHeight="1" x14ac:dyDescent="0.2">
      <c r="A48" s="84"/>
      <c r="B48" s="85"/>
      <c r="C48" s="85"/>
      <c r="D48" s="85"/>
      <c r="E48" s="86"/>
      <c r="F48" s="16">
        <f>IF(E48="","",DATEDIF(E48,$I$7,"Y"))</f>
      </c>
      <c r="G48" s="85"/>
      <c r="H48" s="85"/>
      <c r="I48" s="87"/>
      <c r="J48" s="85"/>
      <c r="K48" s="85"/>
      <c r="L48" s="2"/>
      <c r="M48" s="2"/>
      <c r="N48" s="1"/>
      <c r="O48" s="1"/>
      <c r="P48" s="85"/>
      <c r="Q48" s="88"/>
      <c r="R48" s="3">
        <f>IFERROR(VLOOKUP(TablaNoviembre[[#This Row],[BARRIO]],SECTOR!$A:$B,2,0),"")</f>
      </c>
      <c r="S48" s="89"/>
      <c r="T48" s="90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17">
        <f>COUNTIF(U48:AY48,"A")</f>
      </c>
      <c r="BA48" s="17">
        <f>COUNTIF(U48:AY48,"F")</f>
      </c>
      <c r="BB48" s="17">
        <f>COUNTIF(U48:AY48,"E")</f>
      </c>
    </row>
    <row r="49" spans="1:54" ht="15.75" customHeight="1" x14ac:dyDescent="0.2">
      <c r="A49" s="84"/>
      <c r="B49" s="85"/>
      <c r="C49" s="85"/>
      <c r="D49" s="85"/>
      <c r="E49" s="86"/>
      <c r="F49" s="16">
        <f>IF(E49="","",DATEDIF(E49,$I$7,"Y"))</f>
      </c>
      <c r="G49" s="85"/>
      <c r="H49" s="85"/>
      <c r="I49" s="87"/>
      <c r="J49" s="85"/>
      <c r="K49" s="85"/>
      <c r="L49" s="2"/>
      <c r="M49" s="2"/>
      <c r="N49" s="1"/>
      <c r="O49" s="1"/>
      <c r="P49" s="85"/>
      <c r="Q49" s="88"/>
      <c r="R49" s="3">
        <f>IFERROR(VLOOKUP(TablaNoviembre[[#This Row],[BARRIO]],SECTOR!$A:$B,2,0),"")</f>
      </c>
      <c r="S49" s="89"/>
      <c r="T49" s="90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17">
        <f>COUNTIF(U49:AY49,"A")</f>
      </c>
      <c r="BA49" s="17">
        <f>COUNTIF(U49:AY49,"F")</f>
      </c>
      <c r="BB49" s="17">
        <f>COUNTIF(U49:AY49,"E")</f>
      </c>
    </row>
    <row r="50" spans="1:54" ht="15.75" customHeight="1" x14ac:dyDescent="0.2">
      <c r="A50" s="84"/>
      <c r="B50" s="85"/>
      <c r="C50" s="85"/>
      <c r="D50" s="85"/>
      <c r="E50" s="86"/>
      <c r="F50" s="16">
        <f>IF(E50="","",DATEDIF(E50,$I$7,"Y"))</f>
      </c>
      <c r="G50" s="85"/>
      <c r="H50" s="85"/>
      <c r="I50" s="87"/>
      <c r="J50" s="85"/>
      <c r="K50" s="85"/>
      <c r="L50" s="2"/>
      <c r="M50" s="2"/>
      <c r="N50" s="1"/>
      <c r="O50" s="1"/>
      <c r="P50" s="85"/>
      <c r="Q50" s="88"/>
      <c r="R50" s="3">
        <f>IFERROR(VLOOKUP(TablaNoviembre[[#This Row],[BARRIO]],SECTOR!$A:$B,2,0),"")</f>
      </c>
      <c r="S50" s="89"/>
      <c r="T50" s="90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17">
        <f>COUNTIF(U50:AY50,"A")</f>
      </c>
      <c r="BA50" s="17">
        <f>COUNTIF(U50:AY50,"F")</f>
      </c>
      <c r="BB50" s="17">
        <f>COUNTIF(U50:AY50,"E")</f>
      </c>
    </row>
    <row r="51" spans="1:54" ht="15.75" customHeight="1" x14ac:dyDescent="0.2">
      <c r="A51" s="84"/>
      <c r="B51" s="85"/>
      <c r="C51" s="85"/>
      <c r="D51" s="85"/>
      <c r="E51" s="86"/>
      <c r="F51" s="16">
        <f>IF(E51="","",DATEDIF(E51,$I$7,"Y"))</f>
      </c>
      <c r="G51" s="85"/>
      <c r="H51" s="85"/>
      <c r="I51" s="87"/>
      <c r="J51" s="85"/>
      <c r="K51" s="85"/>
      <c r="L51" s="2"/>
      <c r="M51" s="2"/>
      <c r="N51" s="1"/>
      <c r="O51" s="1"/>
      <c r="P51" s="85"/>
      <c r="Q51" s="88"/>
      <c r="R51" s="3">
        <f>IFERROR(VLOOKUP(TablaNoviembre[[#This Row],[BARRIO]],SECTOR!$A:$B,2,0),"")</f>
      </c>
      <c r="S51" s="89"/>
      <c r="T51" s="90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17">
        <f>COUNTIF(U51:AY51,"A")</f>
      </c>
      <c r="BA51" s="17">
        <f>COUNTIF(U51:AY51,"F")</f>
      </c>
      <c r="BB51" s="17">
        <f>COUNTIF(U51:AY51,"E")</f>
      </c>
    </row>
    <row r="52" spans="1:54" ht="15.75" customHeight="1" x14ac:dyDescent="0.2">
      <c r="A52" s="84"/>
      <c r="B52" s="85"/>
      <c r="C52" s="85"/>
      <c r="D52" s="85"/>
      <c r="E52" s="86"/>
      <c r="F52" s="16">
        <f>IF(E52="","",DATEDIF(E52,$I$7,"Y"))</f>
      </c>
      <c r="G52" s="85"/>
      <c r="H52" s="85"/>
      <c r="I52" s="87"/>
      <c r="J52" s="85"/>
      <c r="K52" s="85"/>
      <c r="L52" s="2"/>
      <c r="M52" s="2"/>
      <c r="N52" s="1"/>
      <c r="O52" s="1"/>
      <c r="P52" s="85"/>
      <c r="Q52" s="88"/>
      <c r="R52" s="3">
        <f>IFERROR(VLOOKUP(TablaNoviembre[[#This Row],[BARRIO]],SECTOR!$A:$B,2,0),"")</f>
      </c>
      <c r="S52" s="89"/>
      <c r="T52" s="90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17">
        <f>COUNTIF(U52:AY52,"A")</f>
      </c>
      <c r="BA52" s="17">
        <f>COUNTIF(U52:AY52,"F")</f>
      </c>
      <c r="BB52" s="17">
        <f>COUNTIF(U52:AY52,"E")</f>
      </c>
    </row>
    <row r="53" spans="1:54" ht="15.75" customHeight="1" x14ac:dyDescent="0.2">
      <c r="A53" s="84"/>
      <c r="B53" s="85"/>
      <c r="C53" s="85"/>
      <c r="D53" s="85"/>
      <c r="E53" s="86"/>
      <c r="F53" s="16">
        <f>IF(E53="","",DATEDIF(E53,$I$7,"Y"))</f>
      </c>
      <c r="G53" s="85"/>
      <c r="H53" s="85"/>
      <c r="I53" s="87"/>
      <c r="J53" s="85"/>
      <c r="K53" s="85"/>
      <c r="L53" s="2"/>
      <c r="M53" s="2"/>
      <c r="N53" s="1"/>
      <c r="O53" s="1"/>
      <c r="P53" s="85"/>
      <c r="Q53" s="88"/>
      <c r="R53" s="3">
        <f>IFERROR(VLOOKUP(TablaNoviembre[[#This Row],[BARRIO]],SECTOR!$A:$B,2,0),"")</f>
      </c>
      <c r="S53" s="89"/>
      <c r="T53" s="90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17">
        <f>COUNTIF(U53:AY53,"A")</f>
      </c>
      <c r="BA53" s="17">
        <f>COUNTIF(U53:AY53,"F")</f>
      </c>
      <c r="BB53" s="17">
        <f>COUNTIF(U53:AY53,"E")</f>
      </c>
    </row>
    <row r="54" spans="1:54" ht="15.75" customHeight="1" x14ac:dyDescent="0.2">
      <c r="A54" s="84"/>
      <c r="B54" s="85"/>
      <c r="C54" s="85"/>
      <c r="D54" s="85"/>
      <c r="E54" s="86"/>
      <c r="F54" s="16">
        <f>IF(E54="","",DATEDIF(E54,$I$7,"Y"))</f>
      </c>
      <c r="G54" s="85"/>
      <c r="H54" s="85"/>
      <c r="I54" s="87"/>
      <c r="J54" s="85"/>
      <c r="K54" s="85"/>
      <c r="L54" s="2"/>
      <c r="M54" s="2"/>
      <c r="N54" s="1"/>
      <c r="O54" s="1"/>
      <c r="P54" s="85"/>
      <c r="Q54" s="88"/>
      <c r="R54" s="3">
        <f>IFERROR(VLOOKUP(TablaNoviembre[[#This Row],[BARRIO]],SECTOR!$A:$B,2,0),"")</f>
      </c>
      <c r="S54" s="89"/>
      <c r="T54" s="90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17">
        <f>COUNTIF(U54:AY54,"A")</f>
      </c>
      <c r="BA54" s="17">
        <f>COUNTIF(U54:AY54,"F")</f>
      </c>
      <c r="BB54" s="17">
        <f>COUNTIF(U54:AY54,"E")</f>
      </c>
    </row>
    <row r="55" spans="1:54" ht="15.75" customHeight="1" x14ac:dyDescent="0.2">
      <c r="A55" s="84"/>
      <c r="B55" s="85"/>
      <c r="C55" s="85"/>
      <c r="D55" s="85"/>
      <c r="E55" s="86"/>
      <c r="F55" s="16">
        <f>IF(E55="","",DATEDIF(E55,$I$7,"Y"))</f>
      </c>
      <c r="G55" s="85"/>
      <c r="H55" s="85"/>
      <c r="I55" s="87"/>
      <c r="J55" s="85"/>
      <c r="K55" s="85"/>
      <c r="L55" s="2"/>
      <c r="M55" s="2"/>
      <c r="N55" s="1"/>
      <c r="O55" s="1"/>
      <c r="P55" s="85"/>
      <c r="Q55" s="88"/>
      <c r="R55" s="3">
        <f>IFERROR(VLOOKUP(TablaNoviembre[[#This Row],[BARRIO]],SECTOR!$A:$B,2,0),"")</f>
      </c>
      <c r="S55" s="89"/>
      <c r="T55" s="90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17">
        <f>COUNTIF(U55:AY55,"A")</f>
      </c>
      <c r="BA55" s="17">
        <f>COUNTIF(U55:AY55,"F")</f>
      </c>
      <c r="BB55" s="17">
        <f>COUNTIF(U55:AY55,"E")</f>
      </c>
    </row>
    <row r="56" spans="1:54" ht="15.75" customHeight="1" x14ac:dyDescent="0.2">
      <c r="A56" s="84"/>
      <c r="B56" s="85"/>
      <c r="C56" s="85"/>
      <c r="D56" s="85"/>
      <c r="E56" s="86"/>
      <c r="F56" s="16">
        <f>IF(E56="","",DATEDIF(E56,$I$7,"Y"))</f>
      </c>
      <c r="G56" s="85"/>
      <c r="H56" s="85"/>
      <c r="I56" s="87"/>
      <c r="J56" s="85"/>
      <c r="K56" s="85"/>
      <c r="L56" s="2"/>
      <c r="M56" s="2"/>
      <c r="N56" s="1"/>
      <c r="O56" s="1"/>
      <c r="P56" s="85"/>
      <c r="Q56" s="88"/>
      <c r="R56" s="3">
        <f>IFERROR(VLOOKUP(TablaNoviembre[[#This Row],[BARRIO]],SECTOR!$A:$B,2,0),"")</f>
      </c>
      <c r="S56" s="89"/>
      <c r="T56" s="90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17">
        <f>COUNTIF(U56:AY56,"A")</f>
      </c>
      <c r="BA56" s="17">
        <f>COUNTIF(U56:AY56,"F")</f>
      </c>
      <c r="BB56" s="17">
        <f>COUNTIF(U56:AY56,"E")</f>
      </c>
    </row>
    <row r="57" spans="1:54" ht="15.75" customHeight="1" x14ac:dyDescent="0.2">
      <c r="A57" s="84"/>
      <c r="B57" s="85"/>
      <c r="C57" s="85"/>
      <c r="D57" s="85"/>
      <c r="E57" s="86"/>
      <c r="F57" s="16">
        <f>IF(E57="","",DATEDIF(E57,$I$7,"Y"))</f>
      </c>
      <c r="G57" s="85"/>
      <c r="H57" s="85"/>
      <c r="I57" s="87"/>
      <c r="J57" s="85"/>
      <c r="K57" s="85"/>
      <c r="L57" s="2"/>
      <c r="M57" s="2"/>
      <c r="N57" s="1"/>
      <c r="O57" s="1"/>
      <c r="P57" s="85"/>
      <c r="Q57" s="88"/>
      <c r="R57" s="3">
        <f>IFERROR(VLOOKUP(TablaNoviembre[[#This Row],[BARRIO]],SECTOR!$A:$B,2,0),"")</f>
      </c>
      <c r="S57" s="89"/>
      <c r="T57" s="90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17">
        <f>COUNTIF(U57:AY57,"A")</f>
      </c>
      <c r="BA57" s="17">
        <f>COUNTIF(U57:AY57,"F")</f>
      </c>
      <c r="BB57" s="17">
        <f>COUNTIF(U57:AY57,"E")</f>
      </c>
    </row>
    <row r="58" spans="1:54" ht="15.75" customHeight="1" x14ac:dyDescent="0.2">
      <c r="A58" s="84"/>
      <c r="B58" s="85"/>
      <c r="C58" s="85"/>
      <c r="D58" s="85"/>
      <c r="E58" s="86"/>
      <c r="F58" s="16">
        <f>IF(E58="","",DATEDIF(E58,$I$7,"Y"))</f>
      </c>
      <c r="G58" s="85"/>
      <c r="H58" s="85"/>
      <c r="I58" s="87"/>
      <c r="J58" s="85"/>
      <c r="K58" s="85"/>
      <c r="L58" s="2"/>
      <c r="M58" s="2"/>
      <c r="N58" s="1"/>
      <c r="O58" s="1"/>
      <c r="P58" s="85"/>
      <c r="Q58" s="88"/>
      <c r="R58" s="3">
        <f>IFERROR(VLOOKUP(TablaNoviembre[[#This Row],[BARRIO]],SECTOR!$A:$B,2,0),"")</f>
      </c>
      <c r="S58" s="89"/>
      <c r="T58" s="90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17">
        <f>COUNTIF(U58:AY58,"A")</f>
      </c>
      <c r="BA58" s="17">
        <f>COUNTIF(U58:AY58,"F")</f>
      </c>
      <c r="BB58" s="17">
        <f>COUNTIF(U58:AY58,"E")</f>
      </c>
    </row>
    <row r="59" spans="1:54" ht="15.75" customHeight="1" x14ac:dyDescent="0.2">
      <c r="A59" s="84"/>
      <c r="B59" s="85"/>
      <c r="C59" s="85"/>
      <c r="D59" s="85"/>
      <c r="E59" s="86"/>
      <c r="F59" s="16">
        <f>IF(E59="","",DATEDIF(E59,$I$7,"Y"))</f>
      </c>
      <c r="G59" s="85"/>
      <c r="H59" s="85"/>
      <c r="I59" s="87"/>
      <c r="J59" s="85"/>
      <c r="K59" s="85"/>
      <c r="L59" s="2"/>
      <c r="M59" s="2"/>
      <c r="N59" s="1"/>
      <c r="O59" s="1"/>
      <c r="P59" s="85"/>
      <c r="Q59" s="88"/>
      <c r="R59" s="3">
        <f>IFERROR(VLOOKUP(TablaNoviembre[[#This Row],[BARRIO]],SECTOR!$A:$B,2,0),"")</f>
      </c>
      <c r="S59" s="89"/>
      <c r="T59" s="90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17">
        <f>COUNTIF(U59:AY59,"A")</f>
      </c>
      <c r="BA59" s="17">
        <f>COUNTIF(U59:AY59,"F")</f>
      </c>
      <c r="BB59" s="17">
        <f>COUNTIF(U59:AY59,"E")</f>
      </c>
    </row>
    <row r="60" spans="1:54" ht="15.75" customHeight="1" x14ac:dyDescent="0.2">
      <c r="A60" s="84"/>
      <c r="B60" s="85"/>
      <c r="C60" s="85"/>
      <c r="D60" s="85"/>
      <c r="E60" s="86"/>
      <c r="F60" s="16">
        <f>IF(E60="","",DATEDIF(E60,$I$7,"Y"))</f>
      </c>
      <c r="G60" s="85"/>
      <c r="H60" s="85"/>
      <c r="I60" s="87"/>
      <c r="J60" s="85"/>
      <c r="K60" s="85"/>
      <c r="L60" s="2"/>
      <c r="M60" s="2"/>
      <c r="N60" s="1"/>
      <c r="O60" s="1"/>
      <c r="P60" s="85"/>
      <c r="Q60" s="88"/>
      <c r="R60" s="3">
        <f>IFERROR(VLOOKUP(TablaNoviembre[[#This Row],[BARRIO]],SECTOR!$A:$B,2,0),"")</f>
      </c>
      <c r="S60" s="89"/>
      <c r="T60" s="90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17">
        <f>COUNTIF(U60:AY60,"A")</f>
      </c>
      <c r="BA60" s="17">
        <f>COUNTIF(U60:AY60,"F")</f>
      </c>
      <c r="BB60" s="17">
        <f>COUNTIF(U60:AY60,"E")</f>
      </c>
    </row>
    <row r="61" spans="1:54" ht="15.75" customHeight="1" x14ac:dyDescent="0.2">
      <c r="A61" s="84"/>
      <c r="B61" s="85"/>
      <c r="C61" s="85"/>
      <c r="D61" s="85"/>
      <c r="E61" s="86"/>
      <c r="F61" s="16">
        <f>IF(E61="","",DATEDIF(E61,$I$7,"Y"))</f>
      </c>
      <c r="G61" s="85"/>
      <c r="H61" s="85"/>
      <c r="I61" s="87"/>
      <c r="J61" s="85"/>
      <c r="K61" s="85"/>
      <c r="L61" s="2"/>
      <c r="M61" s="2"/>
      <c r="N61" s="1"/>
      <c r="O61" s="1"/>
      <c r="P61" s="85"/>
      <c r="Q61" s="88"/>
      <c r="R61" s="3">
        <f>IFERROR(VLOOKUP(TablaNoviembre[[#This Row],[BARRIO]],SECTOR!$A:$B,2,0),"")</f>
      </c>
      <c r="S61" s="89"/>
      <c r="T61" s="90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17">
        <f>COUNTIF(U61:AY61,"A")</f>
      </c>
      <c r="BA61" s="17">
        <f>COUNTIF(U61:AY61,"F")</f>
      </c>
      <c r="BB61" s="17">
        <f>COUNTIF(U61:AY61,"E")</f>
      </c>
    </row>
    <row r="62" spans="1:54" ht="15.75" customHeight="1" x14ac:dyDescent="0.2">
      <c r="A62" s="84"/>
      <c r="B62" s="85"/>
      <c r="C62" s="85"/>
      <c r="D62" s="85"/>
      <c r="E62" s="86"/>
      <c r="F62" s="16">
        <f>IF(E62="","",DATEDIF(E62,$I$7,"Y"))</f>
      </c>
      <c r="G62" s="85"/>
      <c r="H62" s="85"/>
      <c r="I62" s="87"/>
      <c r="J62" s="85"/>
      <c r="K62" s="85"/>
      <c r="L62" s="2"/>
      <c r="M62" s="2"/>
      <c r="N62" s="1"/>
      <c r="O62" s="1"/>
      <c r="P62" s="85"/>
      <c r="Q62" s="88"/>
      <c r="R62" s="3">
        <f>IFERROR(VLOOKUP(TablaNoviembre[[#This Row],[BARRIO]],SECTOR!$A:$B,2,0),"")</f>
      </c>
      <c r="S62" s="89"/>
      <c r="T62" s="90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17">
        <f>COUNTIF(U62:AY62,"A")</f>
      </c>
      <c r="BA62" s="17">
        <f>COUNTIF(U62:AY62,"F")</f>
      </c>
      <c r="BB62" s="17">
        <f>COUNTIF(U62:AY62,"E")</f>
      </c>
    </row>
    <row r="63" spans="1:54" ht="15.75" customHeight="1" x14ac:dyDescent="0.2">
      <c r="A63" s="84"/>
      <c r="B63" s="85"/>
      <c r="C63" s="85"/>
      <c r="D63" s="85"/>
      <c r="E63" s="86"/>
      <c r="F63" s="16">
        <f>IF(E63="","",DATEDIF(E63,$I$7,"Y"))</f>
      </c>
      <c r="G63" s="85"/>
      <c r="H63" s="85"/>
      <c r="I63" s="87"/>
      <c r="J63" s="85"/>
      <c r="K63" s="85"/>
      <c r="L63" s="2"/>
      <c r="M63" s="2"/>
      <c r="N63" s="1"/>
      <c r="O63" s="1"/>
      <c r="P63" s="85"/>
      <c r="Q63" s="88"/>
      <c r="R63" s="3">
        <f>IFERROR(VLOOKUP(TablaNoviembre[[#This Row],[BARRIO]],SECTOR!$A:$B,2,0),"")</f>
      </c>
      <c r="S63" s="89"/>
      <c r="T63" s="90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17">
        <f>COUNTIF(U63:AY63,"A")</f>
      </c>
      <c r="BA63" s="17">
        <f>COUNTIF(U63:AY63,"F")</f>
      </c>
      <c r="BB63" s="17">
        <f>COUNTIF(U63:AY63,"E")</f>
      </c>
    </row>
    <row r="64" spans="1:54" ht="15.75" customHeight="1" x14ac:dyDescent="0.2">
      <c r="A64" s="84"/>
      <c r="B64" s="85"/>
      <c r="C64" s="85"/>
      <c r="D64" s="85"/>
      <c r="E64" s="86"/>
      <c r="F64" s="16">
        <f>IF(E64="","",DATEDIF(E64,$I$7,"Y"))</f>
      </c>
      <c r="G64" s="85"/>
      <c r="H64" s="85"/>
      <c r="I64" s="87"/>
      <c r="J64" s="85"/>
      <c r="K64" s="85"/>
      <c r="L64" s="2"/>
      <c r="M64" s="2"/>
      <c r="N64" s="1"/>
      <c r="O64" s="1"/>
      <c r="P64" s="85"/>
      <c r="Q64" s="88"/>
      <c r="R64" s="3">
        <f>IFERROR(VLOOKUP(TablaNoviembre[[#This Row],[BARRIO]],SECTOR!$A:$B,2,0),"")</f>
      </c>
      <c r="S64" s="89"/>
      <c r="T64" s="90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17">
        <f>COUNTIF(U64:AY64,"A")</f>
      </c>
      <c r="BA64" s="17">
        <f>COUNTIF(U64:AY64,"F")</f>
      </c>
      <c r="BB64" s="17">
        <f>COUNTIF(U64:AY64,"E")</f>
      </c>
    </row>
    <row r="65" spans="1:54" ht="15.75" customHeight="1" x14ac:dyDescent="0.2">
      <c r="A65" s="84"/>
      <c r="B65" s="85"/>
      <c r="C65" s="85"/>
      <c r="D65" s="85"/>
      <c r="E65" s="86"/>
      <c r="F65" s="16">
        <f>IF(E65="","",DATEDIF(E65,$I$7,"Y"))</f>
      </c>
      <c r="G65" s="85"/>
      <c r="H65" s="85"/>
      <c r="I65" s="87"/>
      <c r="J65" s="85"/>
      <c r="K65" s="85"/>
      <c r="L65" s="2"/>
      <c r="M65" s="2"/>
      <c r="N65" s="1"/>
      <c r="O65" s="1"/>
      <c r="P65" s="85"/>
      <c r="Q65" s="88"/>
      <c r="R65" s="3">
        <f>IFERROR(VLOOKUP(TablaNoviembre[[#This Row],[BARRIO]],SECTOR!$A:$B,2,0),"")</f>
      </c>
      <c r="S65" s="89"/>
      <c r="T65" s="90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17">
        <f>COUNTIF(U65:AY65,"A")</f>
      </c>
      <c r="BA65" s="17">
        <f>COUNTIF(U65:AY65,"F")</f>
      </c>
      <c r="BB65" s="17">
        <f>COUNTIF(U65:AY65,"E")</f>
      </c>
    </row>
    <row r="66" spans="1:54" ht="15.75" customHeight="1" x14ac:dyDescent="0.2">
      <c r="A66" s="84"/>
      <c r="B66" s="85"/>
      <c r="C66" s="85"/>
      <c r="D66" s="85"/>
      <c r="E66" s="86"/>
      <c r="F66" s="16">
        <f>IF(E66="","",DATEDIF(E66,$I$7,"Y"))</f>
      </c>
      <c r="G66" s="85"/>
      <c r="H66" s="85"/>
      <c r="I66" s="87"/>
      <c r="J66" s="85"/>
      <c r="K66" s="85"/>
      <c r="L66" s="2"/>
      <c r="M66" s="2"/>
      <c r="N66" s="1"/>
      <c r="O66" s="1"/>
      <c r="P66" s="85"/>
      <c r="Q66" s="88"/>
      <c r="R66" s="3">
        <f>IFERROR(VLOOKUP(TablaNoviembre[[#This Row],[BARRIO]],SECTOR!$A:$B,2,0),"")</f>
      </c>
      <c r="S66" s="89"/>
      <c r="T66" s="90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17">
        <f>COUNTIF(U66:AY66,"A")</f>
      </c>
      <c r="BA66" s="17">
        <f>COUNTIF(U66:AY66,"F")</f>
      </c>
      <c r="BB66" s="17">
        <f>COUNTIF(U66:AY66,"E")</f>
      </c>
    </row>
    <row r="67" spans="1:54" ht="15.75" customHeight="1" x14ac:dyDescent="0.2">
      <c r="A67" s="84"/>
      <c r="B67" s="91"/>
      <c r="C67" s="91"/>
      <c r="D67" s="91"/>
      <c r="E67" s="92"/>
      <c r="F67" s="16">
        <f>IF(E67="","",DATEDIF(E67,$I$7,"Y"))</f>
      </c>
      <c r="G67" s="91"/>
      <c r="H67" s="91"/>
      <c r="I67" s="93"/>
      <c r="J67" s="91"/>
      <c r="K67" s="91"/>
      <c r="L67" s="2"/>
      <c r="M67" s="2"/>
      <c r="N67" s="1"/>
      <c r="O67" s="1"/>
      <c r="P67" s="85"/>
      <c r="Q67" s="88"/>
      <c r="R67" s="3">
        <f>IFERROR(VLOOKUP(TablaNoviembre[[#This Row],[BARRIO]],SECTOR!$A:$B,2,0),"")</f>
      </c>
      <c r="S67" s="89"/>
      <c r="T67" s="90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17">
        <f>COUNTIF(U67:AY67,"A")</f>
      </c>
      <c r="BA67" s="17">
        <f>COUNTIF(U67:AY67,"F")</f>
      </c>
      <c r="BB67" s="17">
        <f>COUNTIF(U67:AY67,"E")</f>
      </c>
    </row>
    <row r="68" spans="1:54" ht="15.75" customHeight="1" x14ac:dyDescent="0.2">
      <c r="A68" s="84"/>
      <c r="B68" s="94"/>
      <c r="C68" s="94"/>
      <c r="D68" s="94"/>
      <c r="E68" s="95"/>
      <c r="F68" s="16">
        <f>IF(E68="","",DATEDIF(E68,$I$7,"Y"))</f>
      </c>
      <c r="G68" s="94"/>
      <c r="H68" s="94"/>
      <c r="I68" s="96"/>
      <c r="J68" s="94"/>
      <c r="K68" s="94"/>
      <c r="L68" s="2"/>
      <c r="M68" s="2"/>
      <c r="N68" s="1"/>
      <c r="O68" s="1"/>
      <c r="P68" s="85"/>
      <c r="Q68" s="88"/>
      <c r="R68" s="3">
        <f>IFERROR(VLOOKUP(TablaNoviembre[[#This Row],[BARRIO]],SECTOR!$A:$B,2,0),"")</f>
      </c>
      <c r="S68" s="89"/>
      <c r="T68" s="90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17">
        <f>COUNTIF(U68:AY68,"A")</f>
      </c>
      <c r="BA68" s="17">
        <f>COUNTIF(U68:AY68,"F")</f>
      </c>
      <c r="BB68" s="17">
        <f>COUNTIF(U68:AY68,"E")</f>
      </c>
    </row>
    <row r="69" spans="1:54" ht="15.75" customHeight="1" x14ac:dyDescent="0.2">
      <c r="A69" s="84"/>
      <c r="B69" s="97"/>
      <c r="C69" s="97"/>
      <c r="D69" s="97"/>
      <c r="E69" s="98"/>
      <c r="F69" s="16">
        <f>IF(E69="","",DATEDIF(E69,$I$7,"Y"))</f>
      </c>
      <c r="G69" s="97"/>
      <c r="H69" s="97"/>
      <c r="I69" s="99"/>
      <c r="J69" s="97"/>
      <c r="K69" s="97"/>
      <c r="L69" s="2"/>
      <c r="M69" s="2"/>
      <c r="N69" s="1"/>
      <c r="O69" s="1"/>
      <c r="P69" s="85"/>
      <c r="Q69" s="88"/>
      <c r="R69" s="3">
        <f>IFERROR(VLOOKUP(TablaNoviembre[[#This Row],[BARRIO]],SECTOR!$A:$B,2,0),"")</f>
      </c>
      <c r="S69" s="89"/>
      <c r="T69" s="90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5"/>
      <c r="AZ69" s="18">
        <f>COUNTIF(U69:AY69,"A")</f>
      </c>
      <c r="BA69" s="17">
        <f>COUNTIF(U69:AY69,"F")</f>
      </c>
      <c r="BB69" s="17">
        <f>COUNTIF(U69:AY69,"E")</f>
      </c>
    </row>
    <row r="70" spans="1:54" ht="15.75" customHeight="1" x14ac:dyDescent="0.2">
      <c r="A70" s="84"/>
      <c r="B70" s="97"/>
      <c r="C70" s="97"/>
      <c r="D70" s="97"/>
      <c r="E70" s="98"/>
      <c r="F70" s="16">
        <f>IF(E70="","",DATEDIF(E70,$I$7,"Y"))</f>
      </c>
      <c r="G70" s="97"/>
      <c r="H70" s="97"/>
      <c r="I70" s="99"/>
      <c r="J70" s="97"/>
      <c r="K70" s="97"/>
      <c r="L70" s="2"/>
      <c r="M70" s="2"/>
      <c r="N70" s="1"/>
      <c r="O70" s="1"/>
      <c r="P70" s="85"/>
      <c r="Q70" s="88"/>
      <c r="R70" s="3">
        <f>IFERROR(VLOOKUP(TablaNoviembre[[#This Row],[BARRIO]],SECTOR!$A:$B,2,0),"")</f>
      </c>
      <c r="S70" s="89"/>
      <c r="T70" s="90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6"/>
      <c r="AZ70" s="19">
        <f>COUNTIF(U70:AY70,"A")</f>
      </c>
      <c r="BA70" s="17">
        <f>COUNTIF(U70:AY70,"F")</f>
      </c>
      <c r="BB70" s="17">
        <f>COUNTIF(U70:AY70,"E")</f>
      </c>
    </row>
    <row r="71" spans="1:54" ht="15.75" customHeight="1" x14ac:dyDescent="0.2">
      <c r="A71" s="84"/>
      <c r="B71" s="97"/>
      <c r="C71" s="97"/>
      <c r="D71" s="97"/>
      <c r="E71" s="98"/>
      <c r="F71" s="16">
        <f>IF(E71="","",DATEDIF(E71,$I$7,"Y"))</f>
      </c>
      <c r="G71" s="97"/>
      <c r="H71" s="97"/>
      <c r="I71" s="99"/>
      <c r="J71" s="97"/>
      <c r="K71" s="97"/>
      <c r="L71" s="2"/>
      <c r="M71" s="2"/>
      <c r="N71" s="1"/>
      <c r="O71" s="1"/>
      <c r="P71" s="85"/>
      <c r="Q71" s="88"/>
      <c r="R71" s="3">
        <f>IFERROR(VLOOKUP(TablaNoviembre[[#This Row],[BARRIO]],SECTOR!$A:$B,2,0),"")</f>
      </c>
      <c r="S71" s="89"/>
      <c r="T71" s="90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6"/>
      <c r="AZ71" s="19">
        <f>COUNTIF(U71:AY71,"A")</f>
      </c>
      <c r="BA71" s="17">
        <f>COUNTIF(U71:AY71,"F")</f>
      </c>
      <c r="BB71" s="17">
        <f>COUNTIF(U71:AY71,"E")</f>
      </c>
    </row>
    <row r="72" spans="1:54" ht="15.75" customHeight="1" x14ac:dyDescent="0.2">
      <c r="A72" s="84"/>
      <c r="B72" s="97"/>
      <c r="C72" s="97"/>
      <c r="D72" s="97"/>
      <c r="E72" s="98"/>
      <c r="F72" s="16">
        <f>IF(E72="","",DATEDIF(E72,$I$7,"Y"))</f>
      </c>
      <c r="G72" s="97"/>
      <c r="H72" s="97"/>
      <c r="I72" s="99"/>
      <c r="J72" s="97"/>
      <c r="K72" s="97"/>
      <c r="L72" s="2"/>
      <c r="M72" s="2"/>
      <c r="N72" s="1"/>
      <c r="O72" s="1"/>
      <c r="P72" s="85"/>
      <c r="Q72" s="88"/>
      <c r="R72" s="3">
        <f>IFERROR(VLOOKUP(TablaNoviembre[[#This Row],[BARRIO]],SECTOR!$A:$B,2,0),"")</f>
      </c>
      <c r="S72" s="89"/>
      <c r="T72" s="90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6"/>
      <c r="AZ72" s="19">
        <f>COUNTIF(U72:AY72,"A")</f>
      </c>
      <c r="BA72" s="17">
        <f>COUNTIF(U72:AY72,"F")</f>
      </c>
      <c r="BB72" s="17">
        <f>COUNTIF(U72:AY72,"E")</f>
      </c>
    </row>
    <row r="73" spans="1:54" ht="15.75" customHeight="1" x14ac:dyDescent="0.2">
      <c r="A73" s="84"/>
      <c r="B73" s="97"/>
      <c r="C73" s="97"/>
      <c r="D73" s="97"/>
      <c r="E73" s="98"/>
      <c r="F73" s="16">
        <f>IF(E73="","",DATEDIF(E73,$I$7,"Y"))</f>
      </c>
      <c r="G73" s="97"/>
      <c r="H73" s="97"/>
      <c r="I73" s="99"/>
      <c r="J73" s="97"/>
      <c r="K73" s="97"/>
      <c r="L73" s="2"/>
      <c r="M73" s="2"/>
      <c r="N73" s="1"/>
      <c r="O73" s="1"/>
      <c r="P73" s="85"/>
      <c r="Q73" s="88"/>
      <c r="R73" s="3">
        <f>IFERROR(VLOOKUP(TablaNoviembre[[#This Row],[BARRIO]],SECTOR!$A:$B,2,0),"")</f>
      </c>
      <c r="S73" s="89"/>
      <c r="T73" s="90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6"/>
      <c r="AZ73" s="19">
        <f>COUNTIF(U73:AY73,"A")</f>
      </c>
      <c r="BA73" s="17">
        <f>COUNTIF(U73:AY73,"F")</f>
      </c>
      <c r="BB73" s="17">
        <f>COUNTIF(U73:AY73,"E")</f>
      </c>
    </row>
    <row r="74" spans="1:54" ht="15.75" customHeight="1" x14ac:dyDescent="0.2">
      <c r="A74" s="84"/>
      <c r="B74" s="97"/>
      <c r="C74" s="97"/>
      <c r="D74" s="97"/>
      <c r="E74" s="98"/>
      <c r="F74" s="16">
        <f>IF(E74="","",DATEDIF(E74,$I$7,"Y"))</f>
      </c>
      <c r="G74" s="97"/>
      <c r="H74" s="97"/>
      <c r="I74" s="99"/>
      <c r="J74" s="97"/>
      <c r="K74" s="97"/>
      <c r="L74" s="2"/>
      <c r="M74" s="2"/>
      <c r="N74" s="1"/>
      <c r="O74" s="1"/>
      <c r="P74" s="85"/>
      <c r="Q74" s="88"/>
      <c r="R74" s="3">
        <f>IFERROR(VLOOKUP(TablaNoviembre[[#This Row],[BARRIO]],SECTOR!$A:$B,2,0),"")</f>
      </c>
      <c r="S74" s="89"/>
      <c r="T74" s="90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6"/>
      <c r="AZ74" s="19">
        <f>COUNTIF(U74:AY74,"A")</f>
      </c>
      <c r="BA74" s="17">
        <f>COUNTIF(U74:AY74,"F")</f>
      </c>
      <c r="BB74" s="17">
        <f>COUNTIF(U74:AY74,"E")</f>
      </c>
    </row>
    <row r="75" spans="1:54" ht="15.75" customHeight="1" x14ac:dyDescent="0.2">
      <c r="A75" s="84"/>
      <c r="B75" s="97"/>
      <c r="C75" s="97"/>
      <c r="D75" s="97"/>
      <c r="E75" s="98"/>
      <c r="F75" s="16">
        <f>IF(E75="","",DATEDIF(E75,$I$7,"Y"))</f>
      </c>
      <c r="G75" s="97"/>
      <c r="H75" s="97"/>
      <c r="I75" s="99"/>
      <c r="J75" s="97"/>
      <c r="K75" s="97"/>
      <c r="L75" s="2"/>
      <c r="M75" s="2"/>
      <c r="N75" s="1"/>
      <c r="O75" s="1"/>
      <c r="P75" s="85"/>
      <c r="Q75" s="88"/>
      <c r="R75" s="3">
        <f>IFERROR(VLOOKUP(TablaNoviembre[[#This Row],[BARRIO]],SECTOR!$A:$B,2,0),"")</f>
      </c>
      <c r="S75" s="89"/>
      <c r="T75" s="90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6"/>
      <c r="AZ75" s="19">
        <f>COUNTIF(U75:AY75,"A")</f>
      </c>
      <c r="BA75" s="17">
        <f>COUNTIF(U75:AY75,"F")</f>
      </c>
      <c r="BB75" s="17">
        <f>COUNTIF(U75:AY75,"E")</f>
      </c>
    </row>
    <row r="76" spans="1:54" ht="15.75" customHeight="1" x14ac:dyDescent="0.2">
      <c r="A76" s="84"/>
      <c r="B76" s="97"/>
      <c r="C76" s="97"/>
      <c r="D76" s="97"/>
      <c r="E76" s="98"/>
      <c r="F76" s="16">
        <f>IF(E76="","",DATEDIF(E76,$I$7,"Y"))</f>
      </c>
      <c r="G76" s="97"/>
      <c r="H76" s="97"/>
      <c r="I76" s="99"/>
      <c r="J76" s="97"/>
      <c r="K76" s="97"/>
      <c r="L76" s="2"/>
      <c r="M76" s="2"/>
      <c r="N76" s="1"/>
      <c r="O76" s="1"/>
      <c r="P76" s="85"/>
      <c r="Q76" s="88"/>
      <c r="R76" s="3">
        <f>IFERROR(VLOOKUP(TablaNoviembre[[#This Row],[BARRIO]],SECTOR!$A:$B,2,0),"")</f>
      </c>
      <c r="S76" s="89"/>
      <c r="T76" s="90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6"/>
      <c r="AZ76" s="19">
        <f>COUNTIF(U76:AY76,"A")</f>
      </c>
      <c r="BA76" s="17">
        <f>COUNTIF(U76:AY76,"F")</f>
      </c>
      <c r="BB76" s="17">
        <f>COUNTIF(U76:AY76,"E")</f>
      </c>
    </row>
    <row r="77" spans="1:54" ht="15.75" customHeight="1" x14ac:dyDescent="0.2">
      <c r="A77" s="84"/>
      <c r="B77" s="97"/>
      <c r="C77" s="97"/>
      <c r="D77" s="97"/>
      <c r="E77" s="98"/>
      <c r="F77" s="16">
        <f>IF(E77="","",DATEDIF(E77,$I$7,"Y"))</f>
      </c>
      <c r="G77" s="97"/>
      <c r="H77" s="97"/>
      <c r="I77" s="99"/>
      <c r="J77" s="97"/>
      <c r="K77" s="97"/>
      <c r="L77" s="2"/>
      <c r="M77" s="2"/>
      <c r="N77" s="1"/>
      <c r="O77" s="1"/>
      <c r="P77" s="85"/>
      <c r="Q77" s="88"/>
      <c r="R77" s="3">
        <f>IFERROR(VLOOKUP(TablaNoviembre[[#This Row],[BARRIO]],SECTOR!$A:$B,2,0),"")</f>
      </c>
      <c r="S77" s="89"/>
      <c r="T77" s="90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6"/>
      <c r="AZ77" s="19">
        <f>COUNTIF(U77:AY77,"A")</f>
      </c>
      <c r="BA77" s="17">
        <f>COUNTIF(U77:AY77,"F")</f>
      </c>
      <c r="BB77" s="17">
        <f>COUNTIF(U77:AY77,"E")</f>
      </c>
    </row>
    <row r="78" spans="1:54" ht="15.75" customHeight="1" x14ac:dyDescent="0.2">
      <c r="A78" s="84"/>
      <c r="B78" s="97"/>
      <c r="C78" s="97"/>
      <c r="D78" s="97"/>
      <c r="E78" s="98"/>
      <c r="F78" s="16">
        <f>IF(E78="","",DATEDIF(E78,$I$7,"Y"))</f>
      </c>
      <c r="G78" s="97"/>
      <c r="H78" s="97"/>
      <c r="I78" s="99"/>
      <c r="J78" s="97"/>
      <c r="K78" s="97"/>
      <c r="L78" s="2"/>
      <c r="M78" s="2"/>
      <c r="N78" s="1"/>
      <c r="O78" s="1"/>
      <c r="P78" s="85"/>
      <c r="Q78" s="88"/>
      <c r="R78" s="3">
        <f>IFERROR(VLOOKUP(TablaNoviembre[[#This Row],[BARRIO]],SECTOR!$A:$B,2,0),"")</f>
      </c>
      <c r="S78" s="89"/>
      <c r="T78" s="90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6"/>
      <c r="AZ78" s="19">
        <f>COUNTIF(U78:AY78,"A")</f>
      </c>
      <c r="BA78" s="17">
        <f>COUNTIF(U78:AY78,"F")</f>
      </c>
      <c r="BB78" s="17">
        <f>COUNTIF(U78:AY78,"E")</f>
      </c>
    </row>
    <row r="79" spans="1:54" ht="15.75" customHeight="1" x14ac:dyDescent="0.2">
      <c r="A79" s="84"/>
      <c r="B79" s="85"/>
      <c r="C79" s="85"/>
      <c r="D79" s="85"/>
      <c r="E79" s="86"/>
      <c r="F79" s="16">
        <f>IF(E79="","",DATEDIF(E79,$I$7,"Y"))</f>
      </c>
      <c r="G79" s="85"/>
      <c r="H79" s="85"/>
      <c r="I79" s="87"/>
      <c r="J79" s="85"/>
      <c r="K79" s="85"/>
      <c r="L79" s="2"/>
      <c r="M79" s="2"/>
      <c r="N79" s="1"/>
      <c r="O79" s="1"/>
      <c r="P79" s="85"/>
      <c r="Q79" s="88"/>
      <c r="R79" s="3">
        <f>IFERROR(VLOOKUP(TablaNoviembre[[#This Row],[BARRIO]],SECTOR!$A:$B,2,0),"")</f>
      </c>
      <c r="S79" s="89"/>
      <c r="T79" s="90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6"/>
      <c r="AZ79" s="19">
        <f>COUNTIF(U79:AY79,"A")</f>
      </c>
      <c r="BA79" s="17">
        <f>COUNTIF(U79:AY79,"F")</f>
      </c>
      <c r="BB79" s="17">
        <f>COUNTIF(U79:AY79,"E")</f>
      </c>
    </row>
    <row r="80" spans="1:54" ht="15.75" customHeight="1" x14ac:dyDescent="0.2">
      <c r="A80" s="84"/>
      <c r="B80" s="85"/>
      <c r="C80" s="85"/>
      <c r="D80" s="85"/>
      <c r="E80" s="86"/>
      <c r="F80" s="16">
        <f>IF(E80="","",DATEDIF(E80,$I$7,"Y"))</f>
      </c>
      <c r="G80" s="85"/>
      <c r="H80" s="85"/>
      <c r="I80" s="87"/>
      <c r="J80" s="85"/>
      <c r="K80" s="85"/>
      <c r="L80" s="2"/>
      <c r="M80" s="2"/>
      <c r="N80" s="1"/>
      <c r="O80" s="1"/>
      <c r="P80" s="85"/>
      <c r="Q80" s="88"/>
      <c r="R80" s="3">
        <f>IFERROR(VLOOKUP(TablaNoviembre[[#This Row],[BARRIO]],SECTOR!$A:$B,2,0),"")</f>
      </c>
      <c r="S80" s="89"/>
      <c r="T80" s="90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6"/>
      <c r="AZ80" s="19">
        <f>COUNTIF(U80:AY80,"A")</f>
      </c>
      <c r="BA80" s="17">
        <f>COUNTIF(U80:AY80,"F")</f>
      </c>
      <c r="BB80" s="17">
        <f>COUNTIF(U80:AY80,"E")</f>
      </c>
    </row>
    <row r="81" spans="1:54" ht="15.75" customHeight="1" x14ac:dyDescent="0.2">
      <c r="A81" s="84"/>
      <c r="B81" s="85"/>
      <c r="C81" s="85"/>
      <c r="D81" s="85"/>
      <c r="E81" s="86"/>
      <c r="F81" s="16">
        <f>IF(E81="","",DATEDIF(E81,$I$7,"Y"))</f>
      </c>
      <c r="G81" s="85"/>
      <c r="H81" s="85"/>
      <c r="I81" s="87"/>
      <c r="J81" s="85"/>
      <c r="K81" s="85"/>
      <c r="L81" s="2"/>
      <c r="M81" s="2"/>
      <c r="N81" s="1"/>
      <c r="O81" s="1"/>
      <c r="P81" s="85"/>
      <c r="Q81" s="88"/>
      <c r="R81" s="3">
        <f>IFERROR(VLOOKUP(TablaNoviembre[[#This Row],[BARRIO]],SECTOR!$A:$B,2,0),"")</f>
      </c>
      <c r="S81" s="89"/>
      <c r="T81" s="90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6"/>
      <c r="AZ81" s="19">
        <f>COUNTIF(U81:AY81,"A")</f>
      </c>
      <c r="BA81" s="17">
        <f>COUNTIF(U81:AY81,"F")</f>
      </c>
      <c r="BB81" s="17">
        <f>COUNTIF(U81:AY81,"E")</f>
      </c>
    </row>
    <row r="82" spans="1:54" ht="15.75" customHeight="1" x14ac:dyDescent="0.2">
      <c r="A82" s="84"/>
      <c r="B82" s="85"/>
      <c r="C82" s="85"/>
      <c r="D82" s="85"/>
      <c r="E82" s="86"/>
      <c r="F82" s="16">
        <f>IF(E82="","",DATEDIF(E82,$I$7,"Y"))</f>
      </c>
      <c r="G82" s="85"/>
      <c r="H82" s="85"/>
      <c r="I82" s="87"/>
      <c r="J82" s="85"/>
      <c r="K82" s="85"/>
      <c r="L82" s="2"/>
      <c r="M82" s="2"/>
      <c r="N82" s="1"/>
      <c r="O82" s="1"/>
      <c r="P82" s="85"/>
      <c r="Q82" s="88"/>
      <c r="R82" s="3">
        <f>IFERROR(VLOOKUP(TablaNoviembre[[#This Row],[BARRIO]],SECTOR!$A:$B,2,0),"")</f>
      </c>
      <c r="S82" s="89"/>
      <c r="T82" s="90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6"/>
      <c r="AZ82" s="19">
        <f>COUNTIF(U82:AY82,"A")</f>
      </c>
      <c r="BA82" s="17">
        <f>COUNTIF(U82:AY82,"F")</f>
      </c>
      <c r="BB82" s="17">
        <f>COUNTIF(U82:AY82,"E")</f>
      </c>
    </row>
    <row r="83" spans="1:54" ht="15.75" customHeight="1" x14ac:dyDescent="0.2">
      <c r="A83" s="84"/>
      <c r="B83" s="85"/>
      <c r="C83" s="85"/>
      <c r="D83" s="85"/>
      <c r="E83" s="86"/>
      <c r="F83" s="16">
        <f>IF(E83="","",DATEDIF(E83,$I$7,"Y"))</f>
      </c>
      <c r="G83" s="85"/>
      <c r="H83" s="85"/>
      <c r="I83" s="87"/>
      <c r="J83" s="85"/>
      <c r="K83" s="85"/>
      <c r="L83" s="2"/>
      <c r="M83" s="2"/>
      <c r="N83" s="1"/>
      <c r="O83" s="1"/>
      <c r="P83" s="85"/>
      <c r="Q83" s="88"/>
      <c r="R83" s="3">
        <f>IFERROR(VLOOKUP(TablaNoviembre[[#This Row],[BARRIO]],SECTOR!$A:$B,2,0),"")</f>
      </c>
      <c r="S83" s="89"/>
      <c r="T83" s="90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6"/>
      <c r="AZ83" s="19">
        <f>COUNTIF(U83:AY83,"A")</f>
      </c>
      <c r="BA83" s="17">
        <f>COUNTIF(U83:AY83,"F")</f>
      </c>
      <c r="BB83" s="17">
        <f>COUNTIF(U83:AY83,"E")</f>
      </c>
    </row>
    <row r="84" spans="1:54" ht="15.75" customHeight="1" x14ac:dyDescent="0.2">
      <c r="A84" s="84"/>
      <c r="B84" s="85"/>
      <c r="C84" s="85"/>
      <c r="D84" s="85"/>
      <c r="E84" s="86"/>
      <c r="F84" s="16">
        <f>IF(E84="","",DATEDIF(E84,$I$7,"Y"))</f>
      </c>
      <c r="G84" s="85"/>
      <c r="H84" s="85"/>
      <c r="I84" s="87"/>
      <c r="J84" s="85"/>
      <c r="K84" s="85"/>
      <c r="L84" s="2"/>
      <c r="M84" s="2"/>
      <c r="N84" s="1"/>
      <c r="O84" s="1"/>
      <c r="P84" s="85"/>
      <c r="Q84" s="88"/>
      <c r="R84" s="3">
        <f>IFERROR(VLOOKUP(TablaNoviembre[[#This Row],[BARRIO]],SECTOR!$A:$B,2,0),"")</f>
      </c>
      <c r="S84" s="89"/>
      <c r="T84" s="90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6"/>
      <c r="AZ84" s="19">
        <f>COUNTIF(U84:AY84,"A")</f>
      </c>
      <c r="BA84" s="17">
        <f>COUNTIF(U84:AY84,"F")</f>
      </c>
      <c r="BB84" s="17">
        <f>COUNTIF(U84:AY84,"E")</f>
      </c>
    </row>
    <row r="85" spans="1:54" ht="15.75" customHeight="1" x14ac:dyDescent="0.2">
      <c r="A85" s="84"/>
      <c r="B85" s="85"/>
      <c r="C85" s="85"/>
      <c r="D85" s="85"/>
      <c r="E85" s="86"/>
      <c r="F85" s="16">
        <f>IF(E85="","",DATEDIF(E85,$I$7,"Y"))</f>
      </c>
      <c r="G85" s="85"/>
      <c r="H85" s="85"/>
      <c r="I85" s="87"/>
      <c r="J85" s="85"/>
      <c r="K85" s="85"/>
      <c r="L85" s="2"/>
      <c r="M85" s="2"/>
      <c r="N85" s="1"/>
      <c r="O85" s="1"/>
      <c r="P85" s="85"/>
      <c r="Q85" s="88"/>
      <c r="R85" s="3">
        <f>IFERROR(VLOOKUP(TablaNoviembre[[#This Row],[BARRIO]],SECTOR!$A:$B,2,0),"")</f>
      </c>
      <c r="S85" s="89"/>
      <c r="T85" s="90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6"/>
      <c r="AZ85" s="19">
        <f>COUNTIF(U85:AY85,"A")</f>
      </c>
      <c r="BA85" s="17">
        <f>COUNTIF(U85:AY85,"F")</f>
      </c>
      <c r="BB85" s="17">
        <f>COUNTIF(U85:AY85,"E")</f>
      </c>
    </row>
    <row r="86" spans="1:54" ht="15.75" customHeight="1" x14ac:dyDescent="0.2">
      <c r="A86" s="84"/>
      <c r="B86" s="85"/>
      <c r="C86" s="85"/>
      <c r="D86" s="85"/>
      <c r="E86" s="86"/>
      <c r="F86" s="16">
        <f>IF(E86="","",DATEDIF(E86,$I$7,"Y"))</f>
      </c>
      <c r="G86" s="85"/>
      <c r="H86" s="85"/>
      <c r="I86" s="87"/>
      <c r="J86" s="85"/>
      <c r="K86" s="85"/>
      <c r="L86" s="2"/>
      <c r="M86" s="2"/>
      <c r="N86" s="1"/>
      <c r="O86" s="1"/>
      <c r="P86" s="85"/>
      <c r="Q86" s="88"/>
      <c r="R86" s="3">
        <f>IFERROR(VLOOKUP(TablaNoviembre[[#This Row],[BARRIO]],SECTOR!$A:$B,2,0),"")</f>
      </c>
      <c r="S86" s="89"/>
      <c r="T86" s="90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6"/>
      <c r="AZ86" s="19">
        <f>COUNTIF(U86:AY86,"A")</f>
      </c>
      <c r="BA86" s="17">
        <f>COUNTIF(U86:AY86,"F")</f>
      </c>
      <c r="BB86" s="17">
        <f>COUNTIF(U86:AY86,"E")</f>
      </c>
    </row>
    <row r="87" spans="1:54" ht="15.75" customHeight="1" x14ac:dyDescent="0.2">
      <c r="A87" s="84"/>
      <c r="B87" s="85"/>
      <c r="C87" s="85"/>
      <c r="D87" s="85"/>
      <c r="E87" s="86"/>
      <c r="F87" s="16">
        <f>IF(E87="","",DATEDIF(E87,$I$7,"Y"))</f>
      </c>
      <c r="G87" s="85"/>
      <c r="H87" s="85"/>
      <c r="I87" s="87"/>
      <c r="J87" s="85"/>
      <c r="K87" s="85"/>
      <c r="L87" s="2"/>
      <c r="M87" s="2"/>
      <c r="N87" s="1"/>
      <c r="O87" s="1"/>
      <c r="P87" s="85"/>
      <c r="Q87" s="88"/>
      <c r="R87" s="3">
        <f>IFERROR(VLOOKUP(TablaNoviembre[[#This Row],[BARRIO]],SECTOR!$A:$B,2,0),"")</f>
      </c>
      <c r="S87" s="89"/>
      <c r="T87" s="90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6"/>
      <c r="AZ87" s="19">
        <f>COUNTIF(U87:AY87,"A")</f>
      </c>
      <c r="BA87" s="17">
        <f>COUNTIF(U87:AY87,"F")</f>
      </c>
      <c r="BB87" s="17">
        <f>COUNTIF(U87:AY87,"E")</f>
      </c>
    </row>
    <row r="88" spans="1:54" ht="15.75" customHeight="1" x14ac:dyDescent="0.2">
      <c r="A88" s="84"/>
      <c r="B88" s="85"/>
      <c r="C88" s="85"/>
      <c r="D88" s="85"/>
      <c r="E88" s="86"/>
      <c r="F88" s="16">
        <f>IF(E88="","",DATEDIF(E88,$I$7,"Y"))</f>
      </c>
      <c r="G88" s="85"/>
      <c r="H88" s="85"/>
      <c r="I88" s="87"/>
      <c r="J88" s="85"/>
      <c r="K88" s="85"/>
      <c r="L88" s="2"/>
      <c r="M88" s="2"/>
      <c r="N88" s="1"/>
      <c r="O88" s="1"/>
      <c r="P88" s="85"/>
      <c r="Q88" s="88"/>
      <c r="R88" s="3">
        <f>IFERROR(VLOOKUP(TablaNoviembre[[#This Row],[BARRIO]],SECTOR!$A:$B,2,0),"")</f>
      </c>
      <c r="S88" s="89"/>
      <c r="T88" s="90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6"/>
      <c r="AZ88" s="19">
        <f>COUNTIF(U88:AY88,"A")</f>
      </c>
      <c r="BA88" s="17">
        <f>COUNTIF(U88:AY88,"F")</f>
      </c>
      <c r="BB88" s="17">
        <f>COUNTIF(U88:AY88,"E")</f>
      </c>
    </row>
    <row r="89" spans="1:54" ht="15.75" customHeight="1" x14ac:dyDescent="0.2">
      <c r="A89" s="84"/>
      <c r="B89" s="85"/>
      <c r="C89" s="85"/>
      <c r="D89" s="85"/>
      <c r="E89" s="86"/>
      <c r="F89" s="16">
        <f>IF(E89="","",DATEDIF(E89,$I$7,"Y"))</f>
      </c>
      <c r="G89" s="85"/>
      <c r="H89" s="85"/>
      <c r="I89" s="87"/>
      <c r="J89" s="85"/>
      <c r="K89" s="85"/>
      <c r="L89" s="2"/>
      <c r="M89" s="2"/>
      <c r="N89" s="1"/>
      <c r="O89" s="1"/>
      <c r="P89" s="85"/>
      <c r="Q89" s="88"/>
      <c r="R89" s="3">
        <f>IFERROR(VLOOKUP(TablaNoviembre[[#This Row],[BARRIO]],SECTOR!$A:$B,2,0),"")</f>
      </c>
      <c r="S89" s="89"/>
      <c r="T89" s="90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6"/>
      <c r="AZ89" s="19">
        <f>COUNTIF(U89:AY89,"A")</f>
      </c>
      <c r="BA89" s="17">
        <f>COUNTIF(U89:AY89,"F")</f>
      </c>
      <c r="BB89" s="17">
        <f>COUNTIF(U89:AY89,"E")</f>
      </c>
    </row>
    <row r="90" spans="1:54" ht="15.75" customHeight="1" x14ac:dyDescent="0.2">
      <c r="A90" s="84"/>
      <c r="B90" s="85"/>
      <c r="C90" s="85"/>
      <c r="D90" s="85"/>
      <c r="E90" s="86"/>
      <c r="F90" s="16">
        <f>IF(E90="","",DATEDIF(E90,$I$7,"Y"))</f>
      </c>
      <c r="G90" s="85"/>
      <c r="H90" s="85"/>
      <c r="I90" s="87"/>
      <c r="J90" s="85"/>
      <c r="K90" s="85"/>
      <c r="L90" s="2"/>
      <c r="M90" s="2"/>
      <c r="N90" s="1"/>
      <c r="O90" s="1"/>
      <c r="P90" s="85"/>
      <c r="Q90" s="88"/>
      <c r="R90" s="3">
        <f>IFERROR(VLOOKUP(TablaNoviembre[[#This Row],[BARRIO]],SECTOR!$A:$B,2,0),"")</f>
      </c>
      <c r="S90" s="89"/>
      <c r="T90" s="90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6"/>
      <c r="AZ90" s="19">
        <f>COUNTIF(U90:AY90,"A")</f>
      </c>
      <c r="BA90" s="17">
        <f>COUNTIF(U90:AY90,"F")</f>
      </c>
      <c r="BB90" s="17">
        <f>COUNTIF(U90:AY90,"E")</f>
      </c>
    </row>
    <row r="91" spans="1:54" ht="15.75" customHeight="1" x14ac:dyDescent="0.2">
      <c r="A91" s="84"/>
      <c r="B91" s="85"/>
      <c r="C91" s="85"/>
      <c r="D91" s="85"/>
      <c r="E91" s="86"/>
      <c r="F91" s="16">
        <f>IF(E91="","",DATEDIF(E91,$I$7,"Y"))</f>
      </c>
      <c r="G91" s="85"/>
      <c r="H91" s="85"/>
      <c r="I91" s="87"/>
      <c r="J91" s="85"/>
      <c r="K91" s="85"/>
      <c r="L91" s="2"/>
      <c r="M91" s="2"/>
      <c r="N91" s="1"/>
      <c r="O91" s="1"/>
      <c r="P91" s="85"/>
      <c r="Q91" s="88"/>
      <c r="R91" s="3">
        <f>IFERROR(VLOOKUP(TablaNoviembre[[#This Row],[BARRIO]],SECTOR!$A:$B,2,0),"")</f>
      </c>
      <c r="S91" s="89"/>
      <c r="T91" s="90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6"/>
      <c r="AZ91" s="19">
        <f>COUNTIF(U91:AY91,"A")</f>
      </c>
      <c r="BA91" s="17">
        <f>COUNTIF(U91:AY91,"F")</f>
      </c>
      <c r="BB91" s="17">
        <f>COUNTIF(U91:AY91,"E")</f>
      </c>
    </row>
    <row r="92" spans="1:54" ht="15.75" customHeight="1" x14ac:dyDescent="0.2">
      <c r="A92" s="84"/>
      <c r="B92" s="85"/>
      <c r="C92" s="85"/>
      <c r="D92" s="85"/>
      <c r="E92" s="86"/>
      <c r="F92" s="16">
        <f>IF(E92="","",DATEDIF(E92,$I$7,"Y"))</f>
      </c>
      <c r="G92" s="85"/>
      <c r="H92" s="85"/>
      <c r="I92" s="87"/>
      <c r="J92" s="85"/>
      <c r="K92" s="85"/>
      <c r="L92" s="2"/>
      <c r="M92" s="2"/>
      <c r="N92" s="1"/>
      <c r="O92" s="1"/>
      <c r="P92" s="85"/>
      <c r="Q92" s="88"/>
      <c r="R92" s="3">
        <f>IFERROR(VLOOKUP(TablaNoviembre[[#This Row],[BARRIO]],SECTOR!$A:$B,2,0),"")</f>
      </c>
      <c r="S92" s="89"/>
      <c r="T92" s="90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6"/>
      <c r="AZ92" s="19">
        <f>COUNTIF(U92:AY92,"A")</f>
      </c>
      <c r="BA92" s="17">
        <f>COUNTIF(U92:AY92,"F")</f>
      </c>
      <c r="BB92" s="17">
        <f>COUNTIF(U92:AY92,"E")</f>
      </c>
    </row>
    <row r="93" spans="1:54" ht="15.75" customHeight="1" x14ac:dyDescent="0.2">
      <c r="A93" s="84"/>
      <c r="B93" s="85"/>
      <c r="C93" s="85"/>
      <c r="D93" s="85"/>
      <c r="E93" s="86"/>
      <c r="F93" s="16">
        <f>IF(E93="","",DATEDIF(E93,$I$7,"Y"))</f>
      </c>
      <c r="G93" s="85"/>
      <c r="H93" s="85"/>
      <c r="I93" s="87"/>
      <c r="J93" s="85"/>
      <c r="K93" s="85"/>
      <c r="L93" s="2"/>
      <c r="M93" s="2"/>
      <c r="N93" s="1"/>
      <c r="O93" s="1"/>
      <c r="P93" s="85"/>
      <c r="Q93" s="88"/>
      <c r="R93" s="3">
        <f>IFERROR(VLOOKUP(TablaNoviembre[[#This Row],[BARRIO]],SECTOR!$A:$B,2,0),"")</f>
      </c>
      <c r="S93" s="89"/>
      <c r="T93" s="90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6"/>
      <c r="AZ93" s="19">
        <f>COUNTIF(U93:AY93,"A")</f>
      </c>
      <c r="BA93" s="17">
        <f>COUNTIF(U93:AY93,"F")</f>
      </c>
      <c r="BB93" s="17">
        <f>COUNTIF(U93:AY93,"E")</f>
      </c>
    </row>
    <row r="94" spans="1:54" ht="15.75" customHeight="1" x14ac:dyDescent="0.2">
      <c r="A94" s="84"/>
      <c r="B94" s="85"/>
      <c r="C94" s="85"/>
      <c r="D94" s="85"/>
      <c r="E94" s="86"/>
      <c r="F94" s="16">
        <f>IF(E94="","",DATEDIF(E94,$I$7,"Y"))</f>
      </c>
      <c r="G94" s="85"/>
      <c r="H94" s="85"/>
      <c r="I94" s="87"/>
      <c r="J94" s="85"/>
      <c r="K94" s="85"/>
      <c r="L94" s="2"/>
      <c r="M94" s="2"/>
      <c r="N94" s="1"/>
      <c r="O94" s="1"/>
      <c r="P94" s="85"/>
      <c r="Q94" s="88"/>
      <c r="R94" s="3">
        <f>IFERROR(VLOOKUP(TablaNoviembre[[#This Row],[BARRIO]],SECTOR!$A:$B,2,0),"")</f>
      </c>
      <c r="S94" s="89"/>
      <c r="T94" s="90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6"/>
      <c r="AZ94" s="19">
        <f>COUNTIF(U94:AY94,"A")</f>
      </c>
      <c r="BA94" s="17">
        <f>COUNTIF(U94:AY94,"F")</f>
      </c>
      <c r="BB94" s="17">
        <f>COUNTIF(U94:AY94,"E")</f>
      </c>
    </row>
    <row r="95" spans="1:54" ht="15.75" customHeight="1" x14ac:dyDescent="0.2">
      <c r="A95" s="84"/>
      <c r="B95" s="85"/>
      <c r="C95" s="85"/>
      <c r="D95" s="85"/>
      <c r="E95" s="86"/>
      <c r="F95" s="16">
        <f>IF(E95="","",DATEDIF(E95,$I$7,"Y"))</f>
      </c>
      <c r="G95" s="85"/>
      <c r="H95" s="85"/>
      <c r="I95" s="87"/>
      <c r="J95" s="85"/>
      <c r="K95" s="85"/>
      <c r="L95" s="2"/>
      <c r="M95" s="2"/>
      <c r="N95" s="1"/>
      <c r="O95" s="1"/>
      <c r="P95" s="85"/>
      <c r="Q95" s="88"/>
      <c r="R95" s="3">
        <f>IFERROR(VLOOKUP(TablaNoviembre[[#This Row],[BARRIO]],SECTOR!$A:$B,2,0),"")</f>
      </c>
      <c r="S95" s="89"/>
      <c r="T95" s="90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6"/>
      <c r="AZ95" s="19">
        <f>COUNTIF(U95:AY95,"A")</f>
      </c>
      <c r="BA95" s="17">
        <f>COUNTIF(U95:AY95,"F")</f>
      </c>
      <c r="BB95" s="17">
        <f>COUNTIF(U95:AY95,"E")</f>
      </c>
    </row>
    <row r="96" spans="1:54" ht="15.75" customHeight="1" x14ac:dyDescent="0.2">
      <c r="A96" s="84"/>
      <c r="B96" s="85"/>
      <c r="C96" s="85"/>
      <c r="D96" s="85"/>
      <c r="E96" s="86"/>
      <c r="F96" s="16">
        <f>IF(E96="","",DATEDIF(E96,$I$7,"Y"))</f>
      </c>
      <c r="G96" s="85"/>
      <c r="H96" s="85"/>
      <c r="I96" s="87"/>
      <c r="J96" s="85"/>
      <c r="K96" s="85"/>
      <c r="L96" s="2"/>
      <c r="M96" s="2"/>
      <c r="N96" s="1"/>
      <c r="O96" s="1"/>
      <c r="P96" s="85"/>
      <c r="Q96" s="88"/>
      <c r="R96" s="3">
        <f>IFERROR(VLOOKUP(TablaNoviembre[[#This Row],[BARRIO]],SECTOR!$A:$B,2,0),"")</f>
      </c>
      <c r="S96" s="89"/>
      <c r="T96" s="90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7"/>
      <c r="AZ96" s="30">
        <f>COUNTIF(U96:AY96,"A")</f>
      </c>
      <c r="BA96" s="17">
        <f>COUNTIF(U96:AY96,"F")</f>
      </c>
      <c r="BB96" s="17">
        <f>COUNTIF(U96:AY96,"E")</f>
      </c>
    </row>
    <row r="97" spans="1:54" ht="15.75" customHeight="1" x14ac:dyDescent="0.2">
      <c r="A97" s="84"/>
      <c r="B97" s="85"/>
      <c r="C97" s="85"/>
      <c r="D97" s="85"/>
      <c r="E97" s="86"/>
      <c r="F97" s="16">
        <f>IF(E97="","",DATEDIF(E97,$I$7,"Y"))</f>
      </c>
      <c r="G97" s="85"/>
      <c r="H97" s="85"/>
      <c r="I97" s="87"/>
      <c r="J97" s="85"/>
      <c r="K97" s="85"/>
      <c r="L97" s="2"/>
      <c r="M97" s="2"/>
      <c r="N97" s="1"/>
      <c r="O97" s="1"/>
      <c r="P97" s="85"/>
      <c r="Q97" s="88"/>
      <c r="R97" s="3">
        <f>IFERROR(VLOOKUP(TablaNoviembre[[#This Row],[BARRIO]],SECTOR!$A:$B,2,0),"")</f>
      </c>
      <c r="S97" s="89"/>
      <c r="T97" s="90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6"/>
      <c r="AZ97" s="30">
        <f>COUNTIF(U97:AY97,"A")</f>
      </c>
      <c r="BA97" s="17">
        <f>COUNTIF(U97:AY97,"F")</f>
      </c>
      <c r="BB97" s="17">
        <f>COUNTIF(U97:AY97,"E")</f>
      </c>
    </row>
    <row r="98" spans="1:54" ht="15.75" customHeight="1" x14ac:dyDescent="0.2">
      <c r="A98" s="84"/>
      <c r="B98" s="85"/>
      <c r="C98" s="85"/>
      <c r="D98" s="85"/>
      <c r="E98" s="86"/>
      <c r="F98" s="16">
        <f>IF(E98="","",DATEDIF(E98,$I$7,"Y"))</f>
      </c>
      <c r="G98" s="85"/>
      <c r="H98" s="85"/>
      <c r="I98" s="87"/>
      <c r="J98" s="85"/>
      <c r="K98" s="85"/>
      <c r="L98" s="2"/>
      <c r="M98" s="2"/>
      <c r="N98" s="1"/>
      <c r="O98" s="1"/>
      <c r="P98" s="85"/>
      <c r="Q98" s="88"/>
      <c r="R98" s="3">
        <f>IFERROR(VLOOKUP(TablaNoviembre[[#This Row],[BARRIO]],SECTOR!$A:$B,2,0),"")</f>
      </c>
      <c r="S98" s="89"/>
      <c r="T98" s="90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6"/>
      <c r="AZ98" s="30">
        <f>COUNTIF(U98:AY98,"A")</f>
      </c>
      <c r="BA98" s="17">
        <f>COUNTIF(U98:AY98,"F")</f>
      </c>
      <c r="BB98" s="17">
        <f>COUNTIF(U98:AY98,"E")</f>
      </c>
    </row>
    <row r="99" spans="1:54" ht="15.75" customHeight="1" x14ac:dyDescent="0.2">
      <c r="A99" s="84"/>
      <c r="B99" s="85"/>
      <c r="C99" s="85"/>
      <c r="D99" s="85"/>
      <c r="E99" s="86"/>
      <c r="F99" s="16">
        <f>IF(E99="","",DATEDIF(E99,$I$7,"Y"))</f>
      </c>
      <c r="G99" s="85"/>
      <c r="H99" s="85"/>
      <c r="I99" s="87"/>
      <c r="J99" s="85"/>
      <c r="K99" s="85"/>
      <c r="L99" s="2"/>
      <c r="M99" s="2"/>
      <c r="N99" s="1"/>
      <c r="O99" s="1"/>
      <c r="P99" s="85"/>
      <c r="Q99" s="88"/>
      <c r="R99" s="3">
        <f>IFERROR(VLOOKUP(TablaNoviembre[[#This Row],[BARRIO]],SECTOR!$A:$B,2,0),"")</f>
      </c>
      <c r="S99" s="89"/>
      <c r="T99" s="90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6"/>
      <c r="AZ99" s="30">
        <f>COUNTIF(U99:AY99,"A")</f>
      </c>
      <c r="BA99" s="17">
        <f>COUNTIF(U99:AY99,"F")</f>
      </c>
      <c r="BB99" s="17">
        <f>COUNTIF(U99:AY99,"E")</f>
      </c>
    </row>
    <row r="100" spans="1:54" ht="15.75" customHeight="1" x14ac:dyDescent="0.2">
      <c r="A100" s="84"/>
      <c r="B100" s="85"/>
      <c r="C100" s="85"/>
      <c r="D100" s="85"/>
      <c r="E100" s="86"/>
      <c r="F100" s="16">
        <f>IF(E100="","",DATEDIF(E100,$I$7,"Y"))</f>
      </c>
      <c r="G100" s="85"/>
      <c r="H100" s="85"/>
      <c r="I100" s="87"/>
      <c r="J100" s="85"/>
      <c r="K100" s="85"/>
      <c r="L100" s="2"/>
      <c r="M100" s="2"/>
      <c r="N100" s="1"/>
      <c r="O100" s="1"/>
      <c r="P100" s="85"/>
      <c r="Q100" s="88"/>
      <c r="R100" s="3">
        <f>IFERROR(VLOOKUP(TablaNoviembre[[#This Row],[BARRIO]],SECTOR!$A:$B,2,0),"")</f>
      </c>
      <c r="S100" s="89"/>
      <c r="T100" s="90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6"/>
      <c r="AZ100" s="30">
        <f>COUNTIF(U100:AY100,"A")</f>
      </c>
      <c r="BA100" s="17">
        <f>COUNTIF(U100:AY100,"F")</f>
      </c>
      <c r="BB100" s="17">
        <f>COUNTIF(U100:AY100,"E")</f>
      </c>
    </row>
    <row r="101" spans="1:54" ht="15.75" customHeight="1" x14ac:dyDescent="0.2">
      <c r="A101" s="84"/>
      <c r="B101" s="85"/>
      <c r="C101" s="85"/>
      <c r="D101" s="85"/>
      <c r="E101" s="86"/>
      <c r="F101" s="16">
        <f>IF(E101="","",DATEDIF(E101,$I$7,"Y"))</f>
      </c>
      <c r="G101" s="85"/>
      <c r="H101" s="85"/>
      <c r="I101" s="87"/>
      <c r="J101" s="85"/>
      <c r="K101" s="85"/>
      <c r="L101" s="2"/>
      <c r="M101" s="2"/>
      <c r="N101" s="1"/>
      <c r="O101" s="1"/>
      <c r="P101" s="85"/>
      <c r="Q101" s="88"/>
      <c r="R101" s="3">
        <f>IFERROR(VLOOKUP(TablaNoviembre[[#This Row],[BARRIO]],SECTOR!$A:$B,2,0),"")</f>
      </c>
      <c r="S101" s="89"/>
      <c r="T101" s="90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6"/>
      <c r="AZ101" s="30">
        <f>COUNTIF(U101:AY101,"A")</f>
      </c>
      <c r="BA101" s="17">
        <f>COUNTIF(U101:AY101,"F")</f>
      </c>
      <c r="BB101" s="17">
        <f>COUNTIF(U101:AY101,"E")</f>
      </c>
    </row>
    <row r="102" spans="1:54" ht="15.75" customHeight="1" x14ac:dyDescent="0.2">
      <c r="A102" s="84"/>
      <c r="B102" s="85"/>
      <c r="C102" s="85"/>
      <c r="D102" s="85"/>
      <c r="E102" s="86"/>
      <c r="F102" s="16">
        <f>IF(E102="","",DATEDIF(E102,$I$7,"Y"))</f>
      </c>
      <c r="G102" s="85"/>
      <c r="H102" s="85"/>
      <c r="I102" s="87"/>
      <c r="J102" s="85"/>
      <c r="K102" s="85"/>
      <c r="L102" s="2"/>
      <c r="M102" s="2"/>
      <c r="N102" s="1"/>
      <c r="O102" s="1"/>
      <c r="P102" s="85"/>
      <c r="Q102" s="88"/>
      <c r="R102" s="3">
        <f>IFERROR(VLOOKUP(TablaNoviembre[[#This Row],[BARRIO]],SECTOR!$A:$B,2,0),"")</f>
      </c>
      <c r="S102" s="89"/>
      <c r="T102" s="90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6"/>
      <c r="AZ102" s="30">
        <f>COUNTIF(U102:AY102,"A")</f>
      </c>
      <c r="BA102" s="17">
        <f>COUNTIF(U102:AY102,"F")</f>
      </c>
      <c r="BB102" s="17">
        <f>COUNTIF(U102:AY102,"E")</f>
      </c>
    </row>
    <row r="103" spans="1:54" ht="15.75" customHeight="1" x14ac:dyDescent="0.2">
      <c r="A103" s="84"/>
      <c r="B103" s="85"/>
      <c r="C103" s="85"/>
      <c r="D103" s="85"/>
      <c r="E103" s="86"/>
      <c r="F103" s="16">
        <f>IF(E103="","",DATEDIF(E103,$I$7,"Y"))</f>
      </c>
      <c r="G103" s="85"/>
      <c r="H103" s="85"/>
      <c r="I103" s="87"/>
      <c r="J103" s="85"/>
      <c r="K103" s="85"/>
      <c r="L103" s="2"/>
      <c r="M103" s="2"/>
      <c r="N103" s="1"/>
      <c r="O103" s="1"/>
      <c r="P103" s="85"/>
      <c r="Q103" s="88"/>
      <c r="R103" s="3">
        <f>IFERROR(VLOOKUP(TablaNoviembre[[#This Row],[BARRIO]],SECTOR!$A:$B,2,0),"")</f>
      </c>
      <c r="S103" s="89"/>
      <c r="T103" s="90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6"/>
      <c r="AZ103" s="30">
        <f>COUNTIF(U103:AY103,"A")</f>
      </c>
      <c r="BA103" s="17">
        <f>COUNTIF(U103:AY103,"F")</f>
      </c>
      <c r="BB103" s="17">
        <f>COUNTIF(U103:AY103,"E")</f>
      </c>
    </row>
    <row r="104" spans="1:54" ht="15.75" customHeight="1" x14ac:dyDescent="0.2">
      <c r="A104" s="84"/>
      <c r="B104" s="85"/>
      <c r="C104" s="85"/>
      <c r="D104" s="85"/>
      <c r="E104" s="86"/>
      <c r="F104" s="16">
        <f>IF(E104="","",DATEDIF(E104,$I$7,"Y"))</f>
      </c>
      <c r="G104" s="85"/>
      <c r="H104" s="85"/>
      <c r="I104" s="87"/>
      <c r="J104" s="85"/>
      <c r="K104" s="85"/>
      <c r="L104" s="2"/>
      <c r="M104" s="2"/>
      <c r="N104" s="1"/>
      <c r="O104" s="1"/>
      <c r="P104" s="85"/>
      <c r="Q104" s="88"/>
      <c r="R104" s="3">
        <f>IFERROR(VLOOKUP(TablaNoviembre[[#This Row],[BARRIO]],SECTOR!$A:$B,2,0),"")</f>
      </c>
      <c r="S104" s="89"/>
      <c r="T104" s="90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6"/>
      <c r="AZ104" s="30">
        <f>COUNTIF(U104:AY104,"A")</f>
      </c>
      <c r="BA104" s="17">
        <f>COUNTIF(U104:AY104,"F")</f>
      </c>
      <c r="BB104" s="17">
        <f>COUNTIF(U104:AY104,"E")</f>
      </c>
    </row>
    <row r="105" spans="1:54" ht="15.75" customHeight="1" x14ac:dyDescent="0.2">
      <c r="A105" s="84"/>
      <c r="B105" s="85"/>
      <c r="C105" s="85"/>
      <c r="D105" s="85"/>
      <c r="E105" s="86"/>
      <c r="F105" s="16">
        <f>IF(E105="","",DATEDIF(E105,$I$7,"Y"))</f>
      </c>
      <c r="G105" s="85"/>
      <c r="H105" s="85"/>
      <c r="I105" s="87"/>
      <c r="J105" s="85"/>
      <c r="K105" s="85"/>
      <c r="L105" s="2"/>
      <c r="M105" s="2"/>
      <c r="N105" s="1"/>
      <c r="O105" s="1"/>
      <c r="P105" s="85"/>
      <c r="Q105" s="88"/>
      <c r="R105" s="3">
        <f>IFERROR(VLOOKUP(TablaNoviembre[[#This Row],[BARRIO]],SECTOR!$A:$B,2,0),"")</f>
      </c>
      <c r="S105" s="89"/>
      <c r="T105" s="90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6"/>
      <c r="AZ105" s="30">
        <f>COUNTIF(U105:AY105,"A")</f>
      </c>
      <c r="BA105" s="17">
        <f>COUNTIF(U105:AY105,"F")</f>
      </c>
      <c r="BB105" s="17">
        <f>COUNTIF(U105:AY105,"E")</f>
      </c>
    </row>
    <row r="106" spans="1:54" ht="15.75" customHeight="1" x14ac:dyDescent="0.2">
      <c r="A106" s="84"/>
      <c r="B106" s="85"/>
      <c r="C106" s="85"/>
      <c r="D106" s="85"/>
      <c r="E106" s="86"/>
      <c r="F106" s="16">
        <f>IF(E106="","",DATEDIF(E106,$I$7,"Y"))</f>
      </c>
      <c r="G106" s="85"/>
      <c r="H106" s="85"/>
      <c r="I106" s="87"/>
      <c r="J106" s="85"/>
      <c r="K106" s="85"/>
      <c r="L106" s="2"/>
      <c r="M106" s="2"/>
      <c r="N106" s="1"/>
      <c r="O106" s="1"/>
      <c r="P106" s="85"/>
      <c r="Q106" s="88"/>
      <c r="R106" s="3">
        <f>IFERROR(VLOOKUP(TablaNoviembre[[#This Row],[BARRIO]],SECTOR!$A:$B,2,0),"")</f>
      </c>
      <c r="S106" s="89"/>
      <c r="T106" s="90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6"/>
      <c r="AZ106" s="30">
        <f>COUNTIF(U106:AY106,"A")</f>
      </c>
      <c r="BA106" s="17">
        <f>COUNTIF(U106:AY106,"F")</f>
      </c>
      <c r="BB106" s="17">
        <f>COUNTIF(U106:AY106,"E")</f>
      </c>
    </row>
    <row r="107" spans="1:54" ht="15.75" customHeight="1" x14ac:dyDescent="0.2">
      <c r="A107" s="84"/>
      <c r="B107" s="85"/>
      <c r="C107" s="85"/>
      <c r="D107" s="85"/>
      <c r="E107" s="86"/>
      <c r="F107" s="16">
        <f>IF(E107="","",DATEDIF(E107,$I$7,"Y"))</f>
      </c>
      <c r="G107" s="85"/>
      <c r="H107" s="85"/>
      <c r="I107" s="87"/>
      <c r="J107" s="85"/>
      <c r="K107" s="85"/>
      <c r="L107" s="2"/>
      <c r="M107" s="2"/>
      <c r="N107" s="1"/>
      <c r="O107" s="1"/>
      <c r="P107" s="85"/>
      <c r="Q107" s="88"/>
      <c r="R107" s="3">
        <f>IFERROR(VLOOKUP(TablaNoviembre[[#This Row],[BARRIO]],SECTOR!$A:$B,2,0),"")</f>
      </c>
      <c r="S107" s="89"/>
      <c r="T107" s="90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6"/>
      <c r="AZ107" s="30">
        <f>COUNTIF(U107:AY107,"A")</f>
      </c>
      <c r="BA107" s="17">
        <f>COUNTIF(U107:AY107,"F")</f>
      </c>
      <c r="BB107" s="17">
        <f>COUNTIF(U107:AY107,"E")</f>
      </c>
    </row>
    <row r="108" spans="1:54" ht="15.75" customHeight="1" x14ac:dyDescent="0.2">
      <c r="A108" s="84"/>
      <c r="B108" s="85"/>
      <c r="C108" s="85"/>
      <c r="D108" s="85"/>
      <c r="E108" s="86"/>
      <c r="F108" s="16">
        <f>IF(E108="","",DATEDIF(E108,$I$7,"Y"))</f>
      </c>
      <c r="G108" s="85"/>
      <c r="H108" s="85"/>
      <c r="I108" s="87"/>
      <c r="J108" s="85"/>
      <c r="K108" s="85"/>
      <c r="L108" s="2"/>
      <c r="M108" s="2"/>
      <c r="N108" s="1"/>
      <c r="O108" s="1"/>
      <c r="P108" s="85"/>
      <c r="Q108" s="88"/>
      <c r="R108" s="3">
        <f>IFERROR(VLOOKUP(TablaNoviembre[[#This Row],[BARRIO]],SECTOR!$A:$B,2,0),"")</f>
      </c>
      <c r="S108" s="89"/>
      <c r="T108" s="90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6"/>
      <c r="AZ108" s="30">
        <f>COUNTIF(U108:AY108,"A")</f>
      </c>
      <c r="BA108" s="17">
        <f>COUNTIF(U108:AY108,"F")</f>
      </c>
      <c r="BB108" s="17">
        <f>COUNTIF(U108:AY108,"E")</f>
      </c>
    </row>
    <row r="109" spans="1:54" ht="15.75" customHeight="1" x14ac:dyDescent="0.2">
      <c r="A109" s="84"/>
      <c r="B109" s="85"/>
      <c r="C109" s="85"/>
      <c r="D109" s="85"/>
      <c r="E109" s="86"/>
      <c r="F109" s="16">
        <f>IF(E109="","",DATEDIF(E109,$I$7,"Y"))</f>
      </c>
      <c r="G109" s="85"/>
      <c r="H109" s="85"/>
      <c r="I109" s="87"/>
      <c r="J109" s="85"/>
      <c r="K109" s="85"/>
      <c r="L109" s="2"/>
      <c r="M109" s="2"/>
      <c r="N109" s="1"/>
      <c r="O109" s="1"/>
      <c r="P109" s="85"/>
      <c r="Q109" s="88"/>
      <c r="R109" s="3">
        <f>IFERROR(VLOOKUP(TablaNoviembre[[#This Row],[BARRIO]],SECTOR!$A:$B,2,0),"")</f>
      </c>
      <c r="S109" s="89"/>
      <c r="T109" s="90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6"/>
      <c r="AZ109" s="30">
        <f>COUNTIF(U109:AY109,"A")</f>
      </c>
      <c r="BA109" s="17">
        <f>COUNTIF(U109:AY109,"F")</f>
      </c>
      <c r="BB109" s="17">
        <f>COUNTIF(U109:AY109,"E")</f>
      </c>
    </row>
    <row r="110" spans="1:54" ht="15.75" customHeight="1" x14ac:dyDescent="0.2">
      <c r="A110" s="84"/>
      <c r="B110" s="85"/>
      <c r="C110" s="85"/>
      <c r="D110" s="85"/>
      <c r="E110" s="86"/>
      <c r="F110" s="16">
        <f>IF(E110="","",DATEDIF(E110,$I$7,"Y"))</f>
      </c>
      <c r="G110" s="85"/>
      <c r="H110" s="85"/>
      <c r="I110" s="87"/>
      <c r="J110" s="85"/>
      <c r="K110" s="85"/>
      <c r="L110" s="2"/>
      <c r="M110" s="2"/>
      <c r="N110" s="1"/>
      <c r="O110" s="1"/>
      <c r="P110" s="85"/>
      <c r="Q110" s="88"/>
      <c r="R110" s="3">
        <f>IFERROR(VLOOKUP(TablaNoviembre[[#This Row],[BARRIO]],SECTOR!$A:$B,2,0),"")</f>
      </c>
      <c r="S110" s="89"/>
      <c r="T110" s="90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6"/>
      <c r="AZ110" s="30">
        <f>COUNTIF(U110:AY110,"A")</f>
      </c>
      <c r="BA110" s="17">
        <f>COUNTIF(U110:AY110,"F")</f>
      </c>
      <c r="BB110" s="17">
        <f>COUNTIF(U110:AY110,"E")</f>
      </c>
    </row>
    <row r="111" spans="1:54" ht="15.75" customHeight="1" x14ac:dyDescent="0.2">
      <c r="A111" s="84"/>
      <c r="B111" s="85"/>
      <c r="C111" s="85"/>
      <c r="D111" s="85"/>
      <c r="E111" s="86"/>
      <c r="F111" s="16">
        <f>IF(E111="","",DATEDIF(E111,$I$7,"Y"))</f>
      </c>
      <c r="G111" s="85"/>
      <c r="H111" s="85"/>
      <c r="I111" s="87"/>
      <c r="J111" s="85"/>
      <c r="K111" s="85"/>
      <c r="L111" s="2"/>
      <c r="M111" s="2"/>
      <c r="N111" s="1"/>
      <c r="O111" s="1"/>
      <c r="P111" s="85"/>
      <c r="Q111" s="88"/>
      <c r="R111" s="3">
        <f>IFERROR(VLOOKUP(TablaNoviembre[[#This Row],[BARRIO]],SECTOR!$A:$B,2,0),"")</f>
      </c>
      <c r="S111" s="89"/>
      <c r="T111" s="90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6"/>
      <c r="AZ111" s="30">
        <f>COUNTIF(U111:AY111,"A")</f>
      </c>
      <c r="BA111" s="17">
        <f>COUNTIF(U111:AY111,"F")</f>
      </c>
      <c r="BB111" s="17">
        <f>COUNTIF(U111:AY111,"E")</f>
      </c>
    </row>
    <row r="112" spans="1:54" ht="15.75" customHeight="1" x14ac:dyDescent="0.2">
      <c r="A112" s="84"/>
      <c r="B112" s="85"/>
      <c r="C112" s="85"/>
      <c r="D112" s="85"/>
      <c r="E112" s="86"/>
      <c r="F112" s="16">
        <f>IF(E112="","",DATEDIF(E112,$I$7,"Y"))</f>
      </c>
      <c r="G112" s="85"/>
      <c r="H112" s="85"/>
      <c r="I112" s="87"/>
      <c r="J112" s="85"/>
      <c r="K112" s="85"/>
      <c r="L112" s="2"/>
      <c r="M112" s="2"/>
      <c r="N112" s="1"/>
      <c r="O112" s="1"/>
      <c r="P112" s="85"/>
      <c r="Q112" s="88"/>
      <c r="R112" s="3">
        <f>IFERROR(VLOOKUP(TablaNoviembre[[#This Row],[BARRIO]],SECTOR!$A:$B,2,0),"")</f>
      </c>
      <c r="S112" s="89"/>
      <c r="T112" s="90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6"/>
      <c r="AZ112" s="30">
        <f>COUNTIF(U112:AY112,"A")</f>
      </c>
      <c r="BA112" s="17">
        <f>COUNTIF(U112:AY112,"F")</f>
      </c>
      <c r="BB112" s="17">
        <f>COUNTIF(U112:AY112,"E")</f>
      </c>
    </row>
    <row r="113" spans="1:54" ht="15.75" customHeight="1" x14ac:dyDescent="0.2">
      <c r="A113" s="84"/>
      <c r="B113" s="85"/>
      <c r="C113" s="85"/>
      <c r="D113" s="85"/>
      <c r="E113" s="86"/>
      <c r="F113" s="16">
        <f>IF(E113="","",DATEDIF(E113,$I$7,"Y"))</f>
      </c>
      <c r="G113" s="85"/>
      <c r="H113" s="85"/>
      <c r="I113" s="87"/>
      <c r="J113" s="85"/>
      <c r="K113" s="85"/>
      <c r="L113" s="2"/>
      <c r="M113" s="2"/>
      <c r="N113" s="1"/>
      <c r="O113" s="1"/>
      <c r="P113" s="85"/>
      <c r="Q113" s="88"/>
      <c r="R113" s="3">
        <f>IFERROR(VLOOKUP(TablaNoviembre[[#This Row],[BARRIO]],SECTOR!$A:$B,2,0),"")</f>
      </c>
      <c r="S113" s="89"/>
      <c r="T113" s="90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6"/>
      <c r="AZ113" s="30">
        <f>COUNTIF(U113:AY113,"A")</f>
      </c>
      <c r="BA113" s="17">
        <f>COUNTIF(U113:AY113,"F")</f>
      </c>
      <c r="BB113" s="17">
        <f>COUNTIF(U113:AY113,"E")</f>
      </c>
    </row>
    <row r="114" spans="1:54" ht="15.75" customHeight="1" x14ac:dyDescent="0.2">
      <c r="A114" s="84"/>
      <c r="B114" s="85"/>
      <c r="C114" s="85"/>
      <c r="D114" s="85"/>
      <c r="E114" s="86"/>
      <c r="F114" s="16">
        <f>IF(E114="","",DATEDIF(E114,$I$7,"Y"))</f>
      </c>
      <c r="G114" s="85"/>
      <c r="H114" s="85"/>
      <c r="I114" s="87"/>
      <c r="J114" s="85"/>
      <c r="K114" s="85"/>
      <c r="L114" s="2"/>
      <c r="M114" s="2"/>
      <c r="N114" s="1"/>
      <c r="O114" s="1"/>
      <c r="P114" s="85"/>
      <c r="Q114" s="88"/>
      <c r="R114" s="3">
        <f>IFERROR(VLOOKUP(TablaNoviembre[[#This Row],[BARRIO]],SECTOR!$A:$B,2,0),"")</f>
      </c>
      <c r="S114" s="89"/>
      <c r="T114" s="90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6"/>
      <c r="AZ114" s="30">
        <f>COUNTIF(U114:AY114,"A")</f>
      </c>
      <c r="BA114" s="17">
        <f>COUNTIF(U114:AY114,"F")</f>
      </c>
      <c r="BB114" s="17">
        <f>COUNTIF(U114:AY114,"E")</f>
      </c>
    </row>
    <row r="115" spans="1:54" ht="15.75" customHeight="1" x14ac:dyDescent="0.2">
      <c r="A115" s="84"/>
      <c r="B115" s="85"/>
      <c r="C115" s="85"/>
      <c r="D115" s="85"/>
      <c r="E115" s="86"/>
      <c r="F115" s="16">
        <f>IF(E115="","",DATEDIF(E115,$I$7,"Y"))</f>
      </c>
      <c r="G115" s="85"/>
      <c r="H115" s="85"/>
      <c r="I115" s="87"/>
      <c r="J115" s="85"/>
      <c r="K115" s="85"/>
      <c r="L115" s="2"/>
      <c r="M115" s="2"/>
      <c r="N115" s="1"/>
      <c r="O115" s="1"/>
      <c r="P115" s="85"/>
      <c r="Q115" s="88"/>
      <c r="R115" s="3">
        <f>IFERROR(VLOOKUP(TablaNoviembre[[#This Row],[BARRIO]],SECTOR!$A:$B,2,0),"")</f>
      </c>
      <c r="S115" s="89"/>
      <c r="T115" s="90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6"/>
      <c r="AZ115" s="30">
        <f>COUNTIF(U115:AY115,"A")</f>
      </c>
      <c r="BA115" s="17">
        <f>COUNTIF(U115:AY115,"F")</f>
      </c>
      <c r="BB115" s="17">
        <f>COUNTIF(U115:AY115,"E")</f>
      </c>
    </row>
    <row r="116" spans="1:54" ht="15.75" customHeight="1" x14ac:dyDescent="0.2">
      <c r="A116" s="84"/>
      <c r="B116" s="85"/>
      <c r="C116" s="85"/>
      <c r="D116" s="85"/>
      <c r="E116" s="86"/>
      <c r="F116" s="16">
        <f>IF(E116="","",DATEDIF(E116,$I$7,"Y"))</f>
      </c>
      <c r="G116" s="85"/>
      <c r="H116" s="85"/>
      <c r="I116" s="87"/>
      <c r="J116" s="85"/>
      <c r="K116" s="85"/>
      <c r="L116" s="2"/>
      <c r="M116" s="2"/>
      <c r="N116" s="1"/>
      <c r="O116" s="1"/>
      <c r="P116" s="85"/>
      <c r="Q116" s="88"/>
      <c r="R116" s="3">
        <f>IFERROR(VLOOKUP(TablaNoviembre[[#This Row],[BARRIO]],SECTOR!$A:$B,2,0),"")</f>
      </c>
      <c r="S116" s="89"/>
      <c r="T116" s="90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6"/>
      <c r="AZ116" s="30">
        <f>COUNTIF(U116:AY116,"A")</f>
      </c>
      <c r="BA116" s="17">
        <f>COUNTIF(U116:AY116,"F")</f>
      </c>
      <c r="BB116" s="17">
        <f>COUNTIF(U116:AY116,"E")</f>
      </c>
    </row>
    <row r="117" spans="1:54" ht="15.75" customHeight="1" x14ac:dyDescent="0.2">
      <c r="A117" s="84"/>
      <c r="B117" s="85"/>
      <c r="C117" s="85"/>
      <c r="D117" s="85"/>
      <c r="E117" s="86"/>
      <c r="F117" s="16">
        <f>IF(E117="","",DATEDIF(E117,$I$7,"Y"))</f>
      </c>
      <c r="G117" s="85"/>
      <c r="H117" s="85"/>
      <c r="I117" s="87"/>
      <c r="J117" s="85"/>
      <c r="K117" s="85"/>
      <c r="L117" s="2"/>
      <c r="M117" s="2"/>
      <c r="N117" s="1"/>
      <c r="O117" s="1"/>
      <c r="P117" s="85"/>
      <c r="Q117" s="88"/>
      <c r="R117" s="3">
        <f>IFERROR(VLOOKUP(TablaNoviembre[[#This Row],[BARRIO]],SECTOR!$A:$B,2,0),"")</f>
      </c>
      <c r="S117" s="89"/>
      <c r="T117" s="90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6"/>
      <c r="AZ117" s="30">
        <f>COUNTIF(U117:AY117,"A")</f>
      </c>
      <c r="BA117" s="17">
        <f>COUNTIF(U117:AY117,"F")</f>
      </c>
      <c r="BB117" s="17">
        <f>COUNTIF(U117:AY117,"E")</f>
      </c>
    </row>
    <row r="118" spans="1:54" ht="15.75" customHeight="1" x14ac:dyDescent="0.2">
      <c r="A118" s="84"/>
      <c r="B118" s="85"/>
      <c r="C118" s="85"/>
      <c r="D118" s="85"/>
      <c r="E118" s="86"/>
      <c r="F118" s="16">
        <f>IF(E118="","",DATEDIF(E118,$I$7,"Y"))</f>
      </c>
      <c r="G118" s="85"/>
      <c r="H118" s="85"/>
      <c r="I118" s="87"/>
      <c r="J118" s="85"/>
      <c r="K118" s="85"/>
      <c r="L118" s="2"/>
      <c r="M118" s="2"/>
      <c r="N118" s="1"/>
      <c r="O118" s="1"/>
      <c r="P118" s="85"/>
      <c r="Q118" s="88"/>
      <c r="R118" s="3">
        <f>IFERROR(VLOOKUP(TablaNoviembre[[#This Row],[BARRIO]],SECTOR!$A:$B,2,0),"")</f>
      </c>
      <c r="S118" s="89"/>
      <c r="T118" s="90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6"/>
      <c r="AZ118" s="30">
        <f>COUNTIF(U118:AY118,"A")</f>
      </c>
      <c r="BA118" s="17">
        <f>COUNTIF(U118:AY118,"F")</f>
      </c>
      <c r="BB118" s="17">
        <f>COUNTIF(U118:AY118,"E")</f>
      </c>
    </row>
    <row r="119" spans="1:54" ht="15.75" customHeight="1" x14ac:dyDescent="0.2">
      <c r="A119" s="84"/>
      <c r="B119" s="85"/>
      <c r="C119" s="85"/>
      <c r="D119" s="85"/>
      <c r="E119" s="86"/>
      <c r="F119" s="16">
        <f>IF(E119="","",DATEDIF(E119,$I$7,"Y"))</f>
      </c>
      <c r="G119" s="85"/>
      <c r="H119" s="85"/>
      <c r="I119" s="87"/>
      <c r="J119" s="85"/>
      <c r="K119" s="85"/>
      <c r="L119" s="2"/>
      <c r="M119" s="2"/>
      <c r="N119" s="1"/>
      <c r="O119" s="1"/>
      <c r="P119" s="85"/>
      <c r="Q119" s="88"/>
      <c r="R119" s="3">
        <f>IFERROR(VLOOKUP(TablaNoviembre[[#This Row],[BARRIO]],SECTOR!$A:$B,2,0),"")</f>
      </c>
      <c r="S119" s="89"/>
      <c r="T119" s="90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6"/>
      <c r="AZ119" s="30">
        <f>COUNTIF(U119:AY119,"A")</f>
      </c>
      <c r="BA119" s="17">
        <f>COUNTIF(U119:AY119,"F")</f>
      </c>
      <c r="BB119" s="17">
        <f>COUNTIF(U119:AY119,"E")</f>
      </c>
    </row>
    <row r="120" spans="1:54" ht="15.75" customHeight="1" x14ac:dyDescent="0.2">
      <c r="A120" s="84"/>
      <c r="B120" s="85"/>
      <c r="C120" s="85"/>
      <c r="D120" s="85"/>
      <c r="E120" s="86"/>
      <c r="F120" s="16">
        <f>IF(E120="","",DATEDIF(E120,$I$7,"Y"))</f>
      </c>
      <c r="G120" s="85"/>
      <c r="H120" s="85"/>
      <c r="I120" s="87"/>
      <c r="J120" s="85"/>
      <c r="K120" s="85"/>
      <c r="L120" s="2"/>
      <c r="M120" s="2"/>
      <c r="N120" s="1"/>
      <c r="O120" s="1"/>
      <c r="P120" s="85"/>
      <c r="Q120" s="88"/>
      <c r="R120" s="3">
        <f>IFERROR(VLOOKUP(TablaNoviembre[[#This Row],[BARRIO]],SECTOR!$A:$B,2,0),"")</f>
      </c>
      <c r="S120" s="89"/>
      <c r="T120" s="90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6"/>
      <c r="AZ120" s="30">
        <f>COUNTIF(U120:AY120,"A")</f>
      </c>
      <c r="BA120" s="17">
        <f>COUNTIF(U120:AY120,"F")</f>
      </c>
      <c r="BB120" s="17">
        <f>COUNTIF(U120:AY120,"E")</f>
      </c>
    </row>
    <row r="121" spans="1:54" ht="15.75" customHeight="1" x14ac:dyDescent="0.2">
      <c r="A121" s="84"/>
      <c r="B121" s="85"/>
      <c r="C121" s="85"/>
      <c r="D121" s="85"/>
      <c r="E121" s="86"/>
      <c r="F121" s="16">
        <f>IF(E121="","",DATEDIF(E121,$I$7,"Y"))</f>
      </c>
      <c r="G121" s="85"/>
      <c r="H121" s="85"/>
      <c r="I121" s="87"/>
      <c r="J121" s="85"/>
      <c r="K121" s="85"/>
      <c r="L121" s="2"/>
      <c r="M121" s="2"/>
      <c r="N121" s="1"/>
      <c r="O121" s="1"/>
      <c r="P121" s="85"/>
      <c r="Q121" s="88"/>
      <c r="R121" s="3">
        <f>IFERROR(VLOOKUP(TablaNoviembre[[#This Row],[BARRIO]],SECTOR!$A:$B,2,0),"")</f>
      </c>
      <c r="S121" s="89"/>
      <c r="T121" s="90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6"/>
      <c r="AZ121" s="30">
        <f>COUNTIF(U121:AY121,"A")</f>
      </c>
      <c r="BA121" s="17">
        <f>COUNTIF(U121:AY121,"F")</f>
      </c>
      <c r="BB121" s="17">
        <f>COUNTIF(U121:AY121,"E")</f>
      </c>
    </row>
    <row r="122" spans="1:54" ht="15.75" customHeight="1" x14ac:dyDescent="0.2">
      <c r="A122" s="84"/>
      <c r="B122" s="85"/>
      <c r="C122" s="85"/>
      <c r="D122" s="85"/>
      <c r="E122" s="86"/>
      <c r="F122" s="16">
        <f>IF(E122="","",DATEDIF(E122,$I$7,"Y"))</f>
      </c>
      <c r="G122" s="85"/>
      <c r="H122" s="85"/>
      <c r="I122" s="87"/>
      <c r="J122" s="85"/>
      <c r="K122" s="85"/>
      <c r="L122" s="2"/>
      <c r="M122" s="2"/>
      <c r="N122" s="1"/>
      <c r="O122" s="1"/>
      <c r="P122" s="85"/>
      <c r="Q122" s="88"/>
      <c r="R122" s="3">
        <f>IFERROR(VLOOKUP(TablaNoviembre[[#This Row],[BARRIO]],SECTOR!$A:$B,2,0),"")</f>
      </c>
      <c r="S122" s="89"/>
      <c r="T122" s="90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30">
        <f>COUNTIF(U122:AY122,"A")</f>
      </c>
      <c r="BA122" s="17">
        <f>COUNTIF(U122:AY122,"F")</f>
      </c>
      <c r="BB122" s="17">
        <f>COUNTIF(U122:AY122,"E")</f>
      </c>
    </row>
    <row r="123" spans="1:54" x14ac:dyDescent="0.2">
      <c r="A123" s="100"/>
      <c r="B123" s="101"/>
      <c r="C123" s="101"/>
      <c r="D123" s="101"/>
      <c r="E123" s="102"/>
      <c r="F123" s="16">
        <f>IF(E123="","",DATEDIF(E123,$I$7,"Y"))</f>
      </c>
      <c r="G123" s="101"/>
      <c r="H123" s="101"/>
      <c r="I123" s="103"/>
      <c r="J123" s="101"/>
      <c r="K123" s="101"/>
      <c r="L123" s="10"/>
      <c r="M123" s="10"/>
      <c r="N123" s="10"/>
      <c r="O123" s="10"/>
      <c r="P123" s="101"/>
      <c r="Q123" s="88"/>
      <c r="R123" s="3">
        <f>IFERROR(VLOOKUP(TablaNoviembre[[#This Row],[BARRIO]],SECTOR!$A:$B,2,0),"")</f>
      </c>
      <c r="S123" s="104"/>
      <c r="T123" s="10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7"/>
      <c r="AZ123" s="30">
        <f>COUNTIF(U123:AY123,"A")</f>
      </c>
      <c r="BA123" s="32">
        <f>COUNTIF(U123:AY123,"F")</f>
      </c>
      <c r="BB123" s="118">
        <f>COUNTIF(U123:AY123,"E")</f>
      </c>
    </row>
    <row r="124" spans="1:54" x14ac:dyDescent="0.2">
      <c r="A124" s="100"/>
      <c r="B124" s="101"/>
      <c r="C124" s="101"/>
      <c r="D124" s="101"/>
      <c r="E124" s="102"/>
      <c r="F124" s="16">
        <f>IF(E124="","",DATEDIF(E124,$I$7,"Y"))</f>
      </c>
      <c r="G124" s="101"/>
      <c r="H124" s="101"/>
      <c r="I124" s="103"/>
      <c r="J124" s="101"/>
      <c r="K124" s="101"/>
      <c r="L124" s="10"/>
      <c r="M124" s="10"/>
      <c r="N124" s="10"/>
      <c r="O124" s="10"/>
      <c r="P124" s="101"/>
      <c r="Q124" s="88"/>
      <c r="R124" s="3">
        <f>IFERROR(VLOOKUP(TablaNoviembre[[#This Row],[BARRIO]],SECTOR!$A:$B,2,0),"")</f>
      </c>
      <c r="S124" s="104"/>
      <c r="T124" s="10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7"/>
      <c r="AZ124" s="30">
        <f>COUNTIF(U124:AY124,"A")</f>
      </c>
      <c r="BA124" s="32">
        <f>COUNTIF(U124:AY124,"F")</f>
      </c>
      <c r="BB124" s="118">
        <f>COUNTIF(U124:AY124,"E")</f>
      </c>
    </row>
    <row r="125" spans="1:54" x14ac:dyDescent="0.2">
      <c r="A125" s="100"/>
      <c r="B125" s="106"/>
      <c r="C125" s="101"/>
      <c r="D125" s="101"/>
      <c r="E125" s="102"/>
      <c r="F125" s="16">
        <f>IF(E125="","",DATEDIF(E125,$I$7,"Y"))</f>
      </c>
      <c r="G125" s="101"/>
      <c r="H125" s="101"/>
      <c r="I125" s="103"/>
      <c r="J125" s="101"/>
      <c r="K125" s="101"/>
      <c r="L125" s="10"/>
      <c r="M125" s="10"/>
      <c r="N125" s="10"/>
      <c r="O125" s="10"/>
      <c r="P125" s="101"/>
      <c r="Q125" s="88"/>
      <c r="R125" s="3">
        <f>IFERROR(VLOOKUP(TablaNoviembre[[#This Row],[BARRIO]],SECTOR!$A:$B,2,0),"")</f>
      </c>
      <c r="S125" s="104"/>
      <c r="T125" s="10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7"/>
      <c r="AZ125" s="30">
        <f>COUNTIF(U125:AY125,"A")</f>
      </c>
      <c r="BA125" s="32">
        <f>COUNTIF(U125:AY125,"F")</f>
      </c>
      <c r="BB125" s="118">
        <f>COUNTIF(U125:AY125,"E")</f>
      </c>
    </row>
    <row r="126" spans="1:54" x14ac:dyDescent="0.2">
      <c r="A126" s="84"/>
      <c r="B126" s="107"/>
      <c r="C126" s="85"/>
      <c r="D126" s="85"/>
      <c r="E126" s="86"/>
      <c r="F126" s="16">
        <f>IF(E126="","",DATEDIF(E126,$I$7,"Y"))</f>
      </c>
      <c r="G126" s="85"/>
      <c r="H126" s="85"/>
      <c r="I126" s="87"/>
      <c r="J126" s="85"/>
      <c r="K126" s="85"/>
      <c r="L126" s="10"/>
      <c r="M126" s="10"/>
      <c r="N126" s="10"/>
      <c r="O126" s="10"/>
      <c r="P126" s="85"/>
      <c r="Q126" s="88"/>
      <c r="R126" s="3">
        <f>IFERROR(VLOOKUP(TablaNoviembre[[#This Row],[BARRIO]],SECTOR!$A:$B,2,0),"")</f>
      </c>
      <c r="S126" s="89"/>
      <c r="T126" s="90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6"/>
      <c r="AZ126" s="30">
        <f>COUNTIF(U126:AY126,"A")</f>
      </c>
      <c r="BA126" s="32">
        <f>COUNTIF(U126:AY126,"F")</f>
      </c>
      <c r="BB126" s="119">
        <f>COUNTIF(U126:AY126,"E")</f>
      </c>
    </row>
    <row r="127" spans="1:54" x14ac:dyDescent="0.2">
      <c r="A127" s="84"/>
      <c r="B127" s="107"/>
      <c r="C127" s="85"/>
      <c r="D127" s="85"/>
      <c r="E127" s="86"/>
      <c r="F127" s="16">
        <f>IF(E127="","",DATEDIF(E127,$I$7,"Y"))</f>
      </c>
      <c r="G127" s="85"/>
      <c r="H127" s="85"/>
      <c r="I127" s="87"/>
      <c r="J127" s="85"/>
      <c r="K127" s="85"/>
      <c r="L127" s="10"/>
      <c r="M127" s="10"/>
      <c r="N127" s="10"/>
      <c r="O127" s="10"/>
      <c r="P127" s="85"/>
      <c r="Q127" s="88"/>
      <c r="R127" s="3">
        <f>IFERROR(VLOOKUP(TablaNoviembre[[#This Row],[BARRIO]],SECTOR!$A:$B,2,0),"")</f>
      </c>
      <c r="S127" s="89"/>
      <c r="T127" s="90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6"/>
      <c r="AZ127" s="120">
        <f>COUNTIF(U127:AY127,"A")</f>
      </c>
      <c r="BA127" s="121">
        <f>COUNTIF(U127:AY127,"F")</f>
      </c>
      <c r="BB127" s="119">
        <f>COUNTIF(U127:AY127,"E")</f>
      </c>
    </row>
    <row r="128" spans="1:54" x14ac:dyDescent="0.2">
      <c r="A128" s="84"/>
      <c r="B128" s="107"/>
      <c r="C128" s="85"/>
      <c r="D128" s="85"/>
      <c r="E128" s="86"/>
      <c r="F128" s="16">
        <f>IF(E128="","",DATEDIF(E128,$I$7,"Y"))</f>
      </c>
      <c r="G128" s="85"/>
      <c r="H128" s="85"/>
      <c r="I128" s="87"/>
      <c r="J128" s="85"/>
      <c r="K128" s="85"/>
      <c r="L128" s="10"/>
      <c r="M128" s="10"/>
      <c r="N128" s="10"/>
      <c r="O128" s="10"/>
      <c r="P128" s="85"/>
      <c r="Q128" s="88"/>
      <c r="R128" s="3">
        <f>IFERROR(VLOOKUP(TablaNoviembre[[#This Row],[BARRIO]],SECTOR!$A:$B,2,0),"")</f>
      </c>
      <c r="S128" s="89"/>
      <c r="T128" s="90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6"/>
      <c r="AZ128" s="120">
        <f>COUNTIF(U128:AY128,"A")</f>
      </c>
      <c r="BA128" s="121">
        <f>COUNTIF(U128:AY128,"F")</f>
      </c>
      <c r="BB128" s="119">
        <f>COUNTIF(U128:AY128,"E")</f>
      </c>
    </row>
    <row r="129" spans="1:54" x14ac:dyDescent="0.2">
      <c r="A129" s="84"/>
      <c r="B129" s="107"/>
      <c r="C129" s="85"/>
      <c r="D129" s="85"/>
      <c r="E129" s="86"/>
      <c r="F129" s="16">
        <f>IF(E129="","",DATEDIF(E129,$I$7,"Y"))</f>
      </c>
      <c r="G129" s="85"/>
      <c r="H129" s="85"/>
      <c r="I129" s="87"/>
      <c r="J129" s="85"/>
      <c r="K129" s="85"/>
      <c r="L129" s="10"/>
      <c r="M129" s="10"/>
      <c r="N129" s="10"/>
      <c r="O129" s="10"/>
      <c r="P129" s="85"/>
      <c r="Q129" s="88"/>
      <c r="R129" s="3">
        <f>IFERROR(VLOOKUP(TablaNoviembre[[#This Row],[BARRIO]],SECTOR!$A:$B,2,0),"")</f>
      </c>
      <c r="S129" s="89"/>
      <c r="T129" s="90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6"/>
      <c r="AZ129" s="120">
        <f>COUNTIF(U129:AY129,"A")</f>
      </c>
      <c r="BA129" s="121">
        <f>COUNTIF(U129:AY129,"F")</f>
      </c>
      <c r="BB129" s="119">
        <f>COUNTIF(U129:AY129,"E")</f>
      </c>
    </row>
    <row r="130" spans="1:54" x14ac:dyDescent="0.2">
      <c r="A130" s="84"/>
      <c r="B130" s="107"/>
      <c r="C130" s="85"/>
      <c r="D130" s="85"/>
      <c r="E130" s="86"/>
      <c r="F130" s="16">
        <f>IF(E130="","",DATEDIF(E130,$I$7,"Y"))</f>
      </c>
      <c r="G130" s="85"/>
      <c r="H130" s="85"/>
      <c r="I130" s="87"/>
      <c r="J130" s="85"/>
      <c r="K130" s="85"/>
      <c r="L130" s="10"/>
      <c r="M130" s="10"/>
      <c r="N130" s="10"/>
      <c r="O130" s="10"/>
      <c r="P130" s="85"/>
      <c r="Q130" s="88"/>
      <c r="R130" s="3">
        <f>IFERROR(VLOOKUP(TablaNoviembre[[#This Row],[BARRIO]],SECTOR!$A:$B,2,0),"")</f>
      </c>
      <c r="S130" s="89"/>
      <c r="T130" s="90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6"/>
      <c r="AZ130" s="120">
        <f>COUNTIF(U130:AY130,"A")</f>
      </c>
      <c r="BA130" s="121">
        <f>COUNTIF(U130:AY130,"F")</f>
      </c>
      <c r="BB130" s="119">
        <f>COUNTIF(U130:AY130,"E")</f>
      </c>
    </row>
    <row r="131" spans="1:54" x14ac:dyDescent="0.2">
      <c r="A131" s="84"/>
      <c r="B131" s="107"/>
      <c r="C131" s="85"/>
      <c r="D131" s="85"/>
      <c r="E131" s="86"/>
      <c r="F131" s="16">
        <f>IF(E131="","",DATEDIF(E131,$I$7,"Y"))</f>
      </c>
      <c r="G131" s="85"/>
      <c r="H131" s="85"/>
      <c r="I131" s="87"/>
      <c r="J131" s="85"/>
      <c r="K131" s="85"/>
      <c r="L131" s="10"/>
      <c r="M131" s="10"/>
      <c r="N131" s="10"/>
      <c r="O131" s="10"/>
      <c r="P131" s="85"/>
      <c r="Q131" s="88"/>
      <c r="R131" s="3">
        <f>IFERROR(VLOOKUP(TablaNoviembre[[#This Row],[BARRIO]],SECTOR!$A:$B,2,0),"")</f>
      </c>
      <c r="S131" s="89"/>
      <c r="T131" s="90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6"/>
      <c r="AZ131" s="120">
        <f>COUNTIF(U131:AY131,"A")</f>
      </c>
      <c r="BA131" s="121">
        <f>COUNTIF(U131:AY131,"F")</f>
      </c>
      <c r="BB131" s="119">
        <f>COUNTIF(U131:AY131,"E")</f>
      </c>
    </row>
    <row r="132" spans="1:54" x14ac:dyDescent="0.2">
      <c r="A132" s="84"/>
      <c r="B132" s="107"/>
      <c r="C132" s="85"/>
      <c r="D132" s="85"/>
      <c r="E132" s="86"/>
      <c r="F132" s="16">
        <f>IF(E132="","",DATEDIF(E132,$I$7,"Y"))</f>
      </c>
      <c r="G132" s="85"/>
      <c r="H132" s="85"/>
      <c r="I132" s="87"/>
      <c r="J132" s="85"/>
      <c r="K132" s="85"/>
      <c r="L132" s="10"/>
      <c r="M132" s="10"/>
      <c r="N132" s="10"/>
      <c r="O132" s="10"/>
      <c r="P132" s="85"/>
      <c r="Q132" s="88"/>
      <c r="R132" s="3">
        <f>IFERROR(VLOOKUP(TablaNoviembre[[#This Row],[BARRIO]],SECTOR!$A:$B,2,0),"")</f>
      </c>
      <c r="S132" s="89"/>
      <c r="T132" s="90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6"/>
      <c r="AZ132" s="120">
        <f>COUNTIF(U132:AY132,"A")</f>
      </c>
      <c r="BA132" s="121">
        <f>COUNTIF(U132:AY132,"F")</f>
      </c>
      <c r="BB132" s="119">
        <f>COUNTIF(U132:AY132,"E")</f>
      </c>
    </row>
    <row r="133" spans="1:54" x14ac:dyDescent="0.2">
      <c r="A133" s="84"/>
      <c r="B133" s="107"/>
      <c r="C133" s="85"/>
      <c r="D133" s="85"/>
      <c r="E133" s="86"/>
      <c r="F133" s="16">
        <f>IF(E133="","",DATEDIF(E133,$I$7,"Y"))</f>
      </c>
      <c r="G133" s="85"/>
      <c r="H133" s="85"/>
      <c r="I133" s="87"/>
      <c r="J133" s="85"/>
      <c r="K133" s="85"/>
      <c r="L133" s="10"/>
      <c r="M133" s="10"/>
      <c r="N133" s="10"/>
      <c r="O133" s="10"/>
      <c r="P133" s="85"/>
      <c r="Q133" s="88"/>
      <c r="R133" s="3">
        <f>IFERROR(VLOOKUP(TablaNoviembre[[#This Row],[BARRIO]],SECTOR!$A:$B,2,0),"")</f>
      </c>
      <c r="S133" s="89"/>
      <c r="T133" s="90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6"/>
      <c r="AZ133" s="120">
        <f>COUNTIF(U133:AY133,"A")</f>
      </c>
      <c r="BA133" s="121">
        <f>COUNTIF(U133:AY133,"F")</f>
      </c>
      <c r="BB133" s="119">
        <f>COUNTIF(U133:AY133,"E")</f>
      </c>
    </row>
    <row r="134" spans="1:54" x14ac:dyDescent="0.2">
      <c r="A134" s="84"/>
      <c r="B134" s="107"/>
      <c r="C134" s="85"/>
      <c r="D134" s="85"/>
      <c r="E134" s="86"/>
      <c r="F134" s="16">
        <f>IF(E134="","",DATEDIF(E134,$I$7,"Y"))</f>
      </c>
      <c r="G134" s="85"/>
      <c r="H134" s="85"/>
      <c r="I134" s="87"/>
      <c r="J134" s="85"/>
      <c r="K134" s="85"/>
      <c r="L134" s="10"/>
      <c r="M134" s="10"/>
      <c r="N134" s="10"/>
      <c r="O134" s="10"/>
      <c r="P134" s="85"/>
      <c r="Q134" s="88"/>
      <c r="R134" s="3">
        <f>IFERROR(VLOOKUP(TablaNoviembre[[#This Row],[BARRIO]],SECTOR!$A:$B,2,0),"")</f>
      </c>
      <c r="S134" s="89"/>
      <c r="T134" s="90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6"/>
      <c r="AZ134" s="120">
        <f>COUNTIF(U134:AY134,"A")</f>
      </c>
      <c r="BA134" s="121">
        <f>COUNTIF(U134:AY134,"F")</f>
      </c>
      <c r="BB134" s="119">
        <f>COUNTIF(U134:AY134,"E")</f>
      </c>
    </row>
    <row r="135" spans="1:54" x14ac:dyDescent="0.2">
      <c r="A135" s="84"/>
      <c r="B135" s="107"/>
      <c r="C135" s="85"/>
      <c r="D135" s="85"/>
      <c r="E135" s="86"/>
      <c r="F135" s="16">
        <f>IF(E135="","",DATEDIF(E135,$I$7,"Y"))</f>
      </c>
      <c r="G135" s="85"/>
      <c r="H135" s="85"/>
      <c r="I135" s="87"/>
      <c r="J135" s="85"/>
      <c r="K135" s="85"/>
      <c r="L135" s="10"/>
      <c r="M135" s="10"/>
      <c r="N135" s="10"/>
      <c r="O135" s="10"/>
      <c r="P135" s="85"/>
      <c r="Q135" s="88"/>
      <c r="R135" s="3">
        <f>IFERROR(VLOOKUP(TablaNoviembre[[#This Row],[BARRIO]],SECTOR!$A:$B,2,0),"")</f>
      </c>
      <c r="S135" s="89"/>
      <c r="T135" s="90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6"/>
      <c r="AZ135" s="120">
        <f>COUNTIF(U135:AY135,"A")</f>
      </c>
      <c r="BA135" s="121">
        <f>COUNTIF(U135:AY135,"F")</f>
      </c>
      <c r="BB135" s="119">
        <f>COUNTIF(U135:AY135,"E")</f>
      </c>
    </row>
    <row r="136" spans="1:54" x14ac:dyDescent="0.2">
      <c r="A136" s="84"/>
      <c r="B136" s="107"/>
      <c r="C136" s="85"/>
      <c r="D136" s="85"/>
      <c r="E136" s="86"/>
      <c r="F136" s="16">
        <f>IF(E136="","",DATEDIF(E136,$I$7,"Y"))</f>
      </c>
      <c r="G136" s="85"/>
      <c r="H136" s="85"/>
      <c r="I136" s="87"/>
      <c r="J136" s="85"/>
      <c r="K136" s="85"/>
      <c r="L136" s="10"/>
      <c r="M136" s="10"/>
      <c r="N136" s="10"/>
      <c r="O136" s="10"/>
      <c r="P136" s="85"/>
      <c r="Q136" s="88"/>
      <c r="R136" s="3">
        <f>IFERROR(VLOOKUP(TablaNoviembre[[#This Row],[BARRIO]],SECTOR!$A:$B,2,0),"")</f>
      </c>
      <c r="S136" s="89"/>
      <c r="T136" s="90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6"/>
      <c r="AZ136" s="120">
        <f>COUNTIF(U136:AY136,"A")</f>
      </c>
      <c r="BA136" s="121">
        <f>COUNTIF(U136:AY136,"F")</f>
      </c>
      <c r="BB136" s="119">
        <f>COUNTIF(U136:AY136,"E")</f>
      </c>
    </row>
    <row r="137" spans="1:54" x14ac:dyDescent="0.2">
      <c r="A137" s="84"/>
      <c r="B137" s="107"/>
      <c r="C137" s="85"/>
      <c r="D137" s="85"/>
      <c r="E137" s="86"/>
      <c r="F137" s="16">
        <f>IF(E137="","",DATEDIF(E137,$I$7,"Y"))</f>
      </c>
      <c r="G137" s="85"/>
      <c r="H137" s="85"/>
      <c r="I137" s="87"/>
      <c r="J137" s="85"/>
      <c r="K137" s="85"/>
      <c r="L137" s="10"/>
      <c r="M137" s="10"/>
      <c r="N137" s="10"/>
      <c r="O137" s="10"/>
      <c r="P137" s="85"/>
      <c r="Q137" s="88"/>
      <c r="R137" s="3">
        <f>IFERROR(VLOOKUP(TablaNoviembre[[#This Row],[BARRIO]],SECTOR!$A:$B,2,0),"")</f>
      </c>
      <c r="S137" s="89"/>
      <c r="T137" s="90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6"/>
      <c r="AZ137" s="120">
        <f>COUNTIF(U137:AY137,"A")</f>
      </c>
      <c r="BA137" s="121">
        <f>COUNTIF(U137:AY137,"F")</f>
      </c>
      <c r="BB137" s="119">
        <f>COUNTIF(U137:AY137,"E")</f>
      </c>
    </row>
    <row r="138" spans="1:54" x14ac:dyDescent="0.2">
      <c r="A138" s="84"/>
      <c r="B138" s="107"/>
      <c r="C138" s="85"/>
      <c r="D138" s="85"/>
      <c r="E138" s="86"/>
      <c r="F138" s="16">
        <f>IF(E138="","",DATEDIF(E138,$I$7,"Y"))</f>
      </c>
      <c r="G138" s="85"/>
      <c r="H138" s="85"/>
      <c r="I138" s="87"/>
      <c r="J138" s="85"/>
      <c r="K138" s="85"/>
      <c r="L138" s="10"/>
      <c r="M138" s="10"/>
      <c r="N138" s="10"/>
      <c r="O138" s="10"/>
      <c r="P138" s="85"/>
      <c r="Q138" s="88"/>
      <c r="R138" s="3">
        <f>IFERROR(VLOOKUP(TablaNoviembre[[#This Row],[BARRIO]],SECTOR!$A:$B,2,0),"")</f>
      </c>
      <c r="S138" s="89"/>
      <c r="T138" s="90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6"/>
      <c r="AZ138" s="120">
        <f>COUNTIF(U138:AY138,"A")</f>
      </c>
      <c r="BA138" s="121">
        <f>COUNTIF(U138:AY138,"F")</f>
      </c>
      <c r="BB138" s="119">
        <f>COUNTIF(U138:AY138,"E")</f>
      </c>
    </row>
    <row r="139" spans="1:54" x14ac:dyDescent="0.2">
      <c r="A139" s="84"/>
      <c r="B139" s="107"/>
      <c r="C139" s="85"/>
      <c r="D139" s="85"/>
      <c r="E139" s="86"/>
      <c r="F139" s="16">
        <f>IF(E139="","",DATEDIF(E139,$I$7,"Y"))</f>
      </c>
      <c r="G139" s="85"/>
      <c r="H139" s="85"/>
      <c r="I139" s="87"/>
      <c r="J139" s="85"/>
      <c r="K139" s="85"/>
      <c r="L139" s="10"/>
      <c r="M139" s="10"/>
      <c r="N139" s="10"/>
      <c r="O139" s="10"/>
      <c r="P139" s="85"/>
      <c r="Q139" s="88"/>
      <c r="R139" s="3">
        <f>IFERROR(VLOOKUP(TablaNoviembre[[#This Row],[BARRIO]],SECTOR!$A:$B,2,0),"")</f>
      </c>
      <c r="S139" s="89"/>
      <c r="T139" s="90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6"/>
      <c r="AZ139" s="120">
        <f>COUNTIF(U139:AY139,"A")</f>
      </c>
      <c r="BA139" s="121">
        <f>COUNTIF(U139:AY139,"F")</f>
      </c>
      <c r="BB139" s="119">
        <f>COUNTIF(U139:AY139,"E")</f>
      </c>
    </row>
    <row r="140" spans="1:54" x14ac:dyDescent="0.2">
      <c r="A140" s="84"/>
      <c r="B140" s="107"/>
      <c r="C140" s="85"/>
      <c r="D140" s="85"/>
      <c r="E140" s="86"/>
      <c r="F140" s="16">
        <f>IF(E140="","",DATEDIF(E140,$I$7,"Y"))</f>
      </c>
      <c r="G140" s="85"/>
      <c r="H140" s="85"/>
      <c r="I140" s="87"/>
      <c r="J140" s="85"/>
      <c r="K140" s="85"/>
      <c r="L140" s="10"/>
      <c r="M140" s="10"/>
      <c r="N140" s="10"/>
      <c r="O140" s="10"/>
      <c r="P140" s="85"/>
      <c r="Q140" s="88"/>
      <c r="R140" s="3">
        <f>IFERROR(VLOOKUP(TablaNoviembre[[#This Row],[BARRIO]],SECTOR!$A:$B,2,0),"")</f>
      </c>
      <c r="S140" s="89"/>
      <c r="T140" s="90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6"/>
      <c r="AZ140" s="120">
        <f>COUNTIF(U140:AY140,"A")</f>
      </c>
      <c r="BA140" s="121">
        <f>COUNTIF(U140:AY140,"F")</f>
      </c>
      <c r="BB140" s="119">
        <f>COUNTIF(U140:AY140,"E")</f>
      </c>
    </row>
    <row r="141" spans="1:54" x14ac:dyDescent="0.2">
      <c r="A141" s="84"/>
      <c r="B141" s="107"/>
      <c r="C141" s="85"/>
      <c r="D141" s="85"/>
      <c r="E141" s="86"/>
      <c r="F141" s="16">
        <f>IF(E141="","",DATEDIF(E141,$I$7,"Y"))</f>
      </c>
      <c r="G141" s="85"/>
      <c r="H141" s="85"/>
      <c r="I141" s="87"/>
      <c r="J141" s="85"/>
      <c r="K141" s="85"/>
      <c r="L141" s="10"/>
      <c r="M141" s="10"/>
      <c r="N141" s="10"/>
      <c r="O141" s="10"/>
      <c r="P141" s="85"/>
      <c r="Q141" s="88"/>
      <c r="R141" s="3">
        <f>IFERROR(VLOOKUP(TablaNoviembre[[#This Row],[BARRIO]],SECTOR!$A:$B,2,0),"")</f>
      </c>
      <c r="S141" s="89"/>
      <c r="T141" s="90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6"/>
      <c r="AZ141" s="120">
        <f>COUNTIF(U141:AY141,"A")</f>
      </c>
      <c r="BA141" s="121">
        <f>COUNTIF(U141:AY141,"F")</f>
      </c>
      <c r="BB141" s="119">
        <f>COUNTIF(U141:AY141,"E")</f>
      </c>
    </row>
    <row r="142" spans="1:54" x14ac:dyDescent="0.2">
      <c r="A142" s="84"/>
      <c r="B142" s="107"/>
      <c r="C142" s="85"/>
      <c r="D142" s="85"/>
      <c r="E142" s="86"/>
      <c r="F142" s="16">
        <f>IF(E142="","",DATEDIF(E142,$I$7,"Y"))</f>
      </c>
      <c r="G142" s="85"/>
      <c r="H142" s="85"/>
      <c r="I142" s="87"/>
      <c r="J142" s="85"/>
      <c r="K142" s="85"/>
      <c r="L142" s="10"/>
      <c r="M142" s="10"/>
      <c r="N142" s="10"/>
      <c r="O142" s="10"/>
      <c r="P142" s="85"/>
      <c r="Q142" s="88"/>
      <c r="R142" s="3">
        <f>IFERROR(VLOOKUP(TablaNoviembre[[#This Row],[BARRIO]],SECTOR!$A:$B,2,0),"")</f>
      </c>
      <c r="S142" s="89"/>
      <c r="T142" s="90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6"/>
      <c r="AZ142" s="120">
        <f>COUNTIF(U142:AY142,"A")</f>
      </c>
      <c r="BA142" s="121">
        <f>COUNTIF(U142:AY142,"F")</f>
      </c>
      <c r="BB142" s="119">
        <f>COUNTIF(U142:AY142,"E")</f>
      </c>
    </row>
    <row r="143" spans="1:54" x14ac:dyDescent="0.2">
      <c r="A143" s="84"/>
      <c r="B143" s="107"/>
      <c r="C143" s="85"/>
      <c r="D143" s="85"/>
      <c r="E143" s="86"/>
      <c r="F143" s="16">
        <f>IF(E143="","",DATEDIF(E143,$I$7,"Y"))</f>
      </c>
      <c r="G143" s="85"/>
      <c r="H143" s="85"/>
      <c r="I143" s="87"/>
      <c r="J143" s="85"/>
      <c r="K143" s="85"/>
      <c r="L143" s="10"/>
      <c r="M143" s="10"/>
      <c r="N143" s="10"/>
      <c r="O143" s="10"/>
      <c r="P143" s="85"/>
      <c r="Q143" s="88"/>
      <c r="R143" s="3">
        <f>IFERROR(VLOOKUP(TablaNoviembre[[#This Row],[BARRIO]],SECTOR!$A:$B,2,0),"")</f>
      </c>
      <c r="S143" s="89"/>
      <c r="T143" s="90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6"/>
      <c r="AZ143" s="120">
        <f>COUNTIF(U143:AY143,"A")</f>
      </c>
      <c r="BA143" s="121">
        <f>COUNTIF(U143:AY143,"F")</f>
      </c>
      <c r="BB143" s="119">
        <f>COUNTIF(U143:AY143,"E")</f>
      </c>
    </row>
    <row r="144" spans="1:54" x14ac:dyDescent="0.2">
      <c r="A144" s="84"/>
      <c r="B144" s="107"/>
      <c r="C144" s="85"/>
      <c r="D144" s="85"/>
      <c r="E144" s="86"/>
      <c r="F144" s="16">
        <f>IF(E144="","",DATEDIF(E144,$I$7,"Y"))</f>
      </c>
      <c r="G144" s="85"/>
      <c r="H144" s="85"/>
      <c r="I144" s="87"/>
      <c r="J144" s="85"/>
      <c r="K144" s="85"/>
      <c r="L144" s="10"/>
      <c r="M144" s="10"/>
      <c r="N144" s="10"/>
      <c r="O144" s="10"/>
      <c r="P144" s="85"/>
      <c r="Q144" s="88"/>
      <c r="R144" s="3">
        <f>IFERROR(VLOOKUP(TablaNoviembre[[#This Row],[BARRIO]],SECTOR!$A:$B,2,0),"")</f>
      </c>
      <c r="S144" s="89"/>
      <c r="T144" s="90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6"/>
      <c r="AZ144" s="120">
        <f>COUNTIF(U144:AY144,"A")</f>
      </c>
      <c r="BA144" s="121">
        <f>COUNTIF(U144:AY144,"F")</f>
      </c>
      <c r="BB144" s="119">
        <f>COUNTIF(U144:AY144,"E")</f>
      </c>
    </row>
    <row r="145" spans="1:54" x14ac:dyDescent="0.2">
      <c r="A145" s="84"/>
      <c r="B145" s="107"/>
      <c r="C145" s="85"/>
      <c r="D145" s="85"/>
      <c r="E145" s="86"/>
      <c r="F145" s="16">
        <f>IF(E145="","",DATEDIF(E145,$I$7,"Y"))</f>
      </c>
      <c r="G145" s="85"/>
      <c r="H145" s="85"/>
      <c r="I145" s="87"/>
      <c r="J145" s="85"/>
      <c r="K145" s="85"/>
      <c r="L145" s="10"/>
      <c r="M145" s="10"/>
      <c r="N145" s="10"/>
      <c r="O145" s="10"/>
      <c r="P145" s="85"/>
      <c r="Q145" s="88"/>
      <c r="R145" s="3">
        <f>IFERROR(VLOOKUP(TablaNoviembre[[#This Row],[BARRIO]],SECTOR!$A:$B,2,0),"")</f>
      </c>
      <c r="S145" s="89"/>
      <c r="T145" s="90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6"/>
      <c r="AZ145" s="120">
        <f>COUNTIF(U145:AY145,"A")</f>
      </c>
      <c r="BA145" s="121">
        <f>COUNTIF(U145:AY145,"F")</f>
      </c>
      <c r="BB145" s="119">
        <f>COUNTIF(U145:AY145,"E")</f>
      </c>
    </row>
    <row r="146" spans="1:54" x14ac:dyDescent="0.2">
      <c r="A146" s="84"/>
      <c r="B146" s="107"/>
      <c r="C146" s="85"/>
      <c r="D146" s="85"/>
      <c r="E146" s="86"/>
      <c r="F146" s="16">
        <f>IF(E146="","",DATEDIF(E146,$I$7,"Y"))</f>
      </c>
      <c r="G146" s="85"/>
      <c r="H146" s="85"/>
      <c r="I146" s="87"/>
      <c r="J146" s="85"/>
      <c r="K146" s="85"/>
      <c r="L146" s="10"/>
      <c r="M146" s="10"/>
      <c r="N146" s="10"/>
      <c r="O146" s="10"/>
      <c r="P146" s="85"/>
      <c r="Q146" s="88"/>
      <c r="R146" s="3">
        <f>IFERROR(VLOOKUP(TablaNoviembre[[#This Row],[BARRIO]],SECTOR!$A:$B,2,0),"")</f>
      </c>
      <c r="S146" s="89"/>
      <c r="T146" s="90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6"/>
      <c r="AZ146" s="120">
        <f>COUNTIF(U146:AY146,"A")</f>
      </c>
      <c r="BA146" s="121">
        <f>COUNTIF(U146:AY146,"F")</f>
      </c>
      <c r="BB146" s="119">
        <f>COUNTIF(U146:AY146,"E")</f>
      </c>
    </row>
    <row r="147" spans="1:54" x14ac:dyDescent="0.2">
      <c r="A147" s="84"/>
      <c r="B147" s="107"/>
      <c r="C147" s="85"/>
      <c r="D147" s="85"/>
      <c r="E147" s="86"/>
      <c r="F147" s="16">
        <f>IF(E147="","",DATEDIF(E147,$I$7,"Y"))</f>
      </c>
      <c r="G147" s="85"/>
      <c r="H147" s="85"/>
      <c r="I147" s="87"/>
      <c r="J147" s="85"/>
      <c r="K147" s="85"/>
      <c r="L147" s="10"/>
      <c r="M147" s="10"/>
      <c r="N147" s="10"/>
      <c r="O147" s="10"/>
      <c r="P147" s="85"/>
      <c r="Q147" s="88"/>
      <c r="R147" s="3">
        <f>IFERROR(VLOOKUP(TablaNoviembre[[#This Row],[BARRIO]],SECTOR!$A:$B,2,0),"")</f>
      </c>
      <c r="S147" s="89"/>
      <c r="T147" s="90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6"/>
      <c r="AZ147" s="120">
        <f>COUNTIF(U147:AY147,"A")</f>
      </c>
      <c r="BA147" s="121">
        <f>COUNTIF(U147:AY147,"F")</f>
      </c>
      <c r="BB147" s="119">
        <f>COUNTIF(U147:AY147,"E")</f>
      </c>
    </row>
    <row r="148" spans="1:54" x14ac:dyDescent="0.2">
      <c r="A148" s="84"/>
      <c r="B148" s="107"/>
      <c r="C148" s="85"/>
      <c r="D148" s="85"/>
      <c r="E148" s="86"/>
      <c r="F148" s="16">
        <f>IF(E148="","",DATEDIF(E148,$I$7,"Y"))</f>
      </c>
      <c r="G148" s="85"/>
      <c r="H148" s="85"/>
      <c r="I148" s="87"/>
      <c r="J148" s="85"/>
      <c r="K148" s="85"/>
      <c r="L148" s="10"/>
      <c r="M148" s="10"/>
      <c r="N148" s="10"/>
      <c r="O148" s="10"/>
      <c r="P148" s="85"/>
      <c r="Q148" s="88"/>
      <c r="R148" s="3">
        <f>IFERROR(VLOOKUP(TablaNoviembre[[#This Row],[BARRIO]],SECTOR!$A:$B,2,0),"")</f>
      </c>
      <c r="S148" s="89"/>
      <c r="T148" s="90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6"/>
      <c r="AZ148" s="120">
        <f>COUNTIF(U148:AY148,"A")</f>
      </c>
      <c r="BA148" s="121">
        <f>COUNTIF(U148:AY148,"F")</f>
      </c>
      <c r="BB148" s="119">
        <f>COUNTIF(U148:AY148,"E")</f>
      </c>
    </row>
    <row r="149" spans="1:54" x14ac:dyDescent="0.2">
      <c r="A149" s="84"/>
      <c r="B149" s="107"/>
      <c r="C149" s="85"/>
      <c r="D149" s="85"/>
      <c r="E149" s="86"/>
      <c r="F149" s="16">
        <f>IF(E149="","",DATEDIF(E149,$I$7,"Y"))</f>
      </c>
      <c r="G149" s="85"/>
      <c r="H149" s="85"/>
      <c r="I149" s="87"/>
      <c r="J149" s="85"/>
      <c r="K149" s="85"/>
      <c r="L149" s="10"/>
      <c r="M149" s="10"/>
      <c r="N149" s="10"/>
      <c r="O149" s="10"/>
      <c r="P149" s="85"/>
      <c r="Q149" s="88"/>
      <c r="R149" s="3">
        <f>IFERROR(VLOOKUP(TablaNoviembre[[#This Row],[BARRIO]],SECTOR!$A:$B,2,0),"")</f>
      </c>
      <c r="S149" s="89"/>
      <c r="T149" s="90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6"/>
      <c r="AZ149" s="120">
        <f>COUNTIF(U149:AY149,"A")</f>
      </c>
      <c r="BA149" s="121">
        <f>COUNTIF(U149:AY149,"F")</f>
      </c>
      <c r="BB149" s="119">
        <f>COUNTIF(U149:AY149,"E")</f>
      </c>
    </row>
    <row r="150" spans="1:54" x14ac:dyDescent="0.2">
      <c r="A150" s="84"/>
      <c r="B150" s="107"/>
      <c r="C150" s="85"/>
      <c r="D150" s="85"/>
      <c r="E150" s="86"/>
      <c r="F150" s="16">
        <f>IF(E150="","",DATEDIF(E150,$I$7,"Y"))</f>
      </c>
      <c r="G150" s="85"/>
      <c r="H150" s="85"/>
      <c r="I150" s="87"/>
      <c r="J150" s="85"/>
      <c r="K150" s="85"/>
      <c r="L150" s="10"/>
      <c r="M150" s="10"/>
      <c r="N150" s="10"/>
      <c r="O150" s="10"/>
      <c r="P150" s="85"/>
      <c r="Q150" s="88"/>
      <c r="R150" s="3">
        <f>IFERROR(VLOOKUP(TablaNoviembre[[#This Row],[BARRIO]],SECTOR!$A:$B,2,0),"")</f>
      </c>
      <c r="S150" s="89"/>
      <c r="T150" s="90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6"/>
      <c r="AZ150" s="120">
        <f>COUNTIF(U150:AY150,"A")</f>
      </c>
      <c r="BA150" s="121">
        <f>COUNTIF(U150:AY150,"F")</f>
      </c>
      <c r="BB150" s="119">
        <f>COUNTIF(U150:AY150,"E")</f>
      </c>
    </row>
    <row r="151" spans="1:54" x14ac:dyDescent="0.2">
      <c r="A151" s="84"/>
      <c r="B151" s="107"/>
      <c r="C151" s="85"/>
      <c r="D151" s="85"/>
      <c r="E151" s="86"/>
      <c r="F151" s="16">
        <f>IF(E151="","",DATEDIF(E151,$I$7,"Y"))</f>
      </c>
      <c r="G151" s="85"/>
      <c r="H151" s="85"/>
      <c r="I151" s="87"/>
      <c r="J151" s="85"/>
      <c r="K151" s="85"/>
      <c r="L151" s="10"/>
      <c r="M151" s="10"/>
      <c r="N151" s="10"/>
      <c r="O151" s="10"/>
      <c r="P151" s="85"/>
      <c r="Q151" s="88"/>
      <c r="R151" s="3">
        <f>IFERROR(VLOOKUP(TablaNoviembre[[#This Row],[BARRIO]],SECTOR!$A:$B,2,0),"")</f>
      </c>
      <c r="S151" s="89"/>
      <c r="T151" s="90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6"/>
      <c r="AZ151" s="120">
        <f>COUNTIF(U151:AY151,"A")</f>
      </c>
      <c r="BA151" s="121">
        <f>COUNTIF(U151:AY151,"F")</f>
      </c>
      <c r="BB151" s="119">
        <f>COUNTIF(U151:AY151,"E")</f>
      </c>
    </row>
    <row r="152" spans="1:54" x14ac:dyDescent="0.2">
      <c r="A152" s="84"/>
      <c r="B152" s="107"/>
      <c r="C152" s="85"/>
      <c r="D152" s="85"/>
      <c r="E152" s="86"/>
      <c r="F152" s="16">
        <f>IF(E152="","",DATEDIF(E152,$I$7,"Y"))</f>
      </c>
      <c r="G152" s="85"/>
      <c r="H152" s="85"/>
      <c r="I152" s="87"/>
      <c r="J152" s="85"/>
      <c r="K152" s="85"/>
      <c r="L152" s="10"/>
      <c r="M152" s="10"/>
      <c r="N152" s="10"/>
      <c r="O152" s="10"/>
      <c r="P152" s="85"/>
      <c r="Q152" s="88"/>
      <c r="R152" s="3">
        <f>IFERROR(VLOOKUP(TablaNoviembre[[#This Row],[BARRIO]],SECTOR!$A:$B,2,0),"")</f>
      </c>
      <c r="S152" s="89"/>
      <c r="T152" s="90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6"/>
      <c r="AZ152" s="120">
        <f>COUNTIF(U152:AY152,"A")</f>
      </c>
      <c r="BA152" s="121">
        <f>COUNTIF(U152:AY152,"F")</f>
      </c>
      <c r="BB152" s="119">
        <f>COUNTIF(U152:AY152,"E")</f>
      </c>
    </row>
    <row r="153" spans="1:54" x14ac:dyDescent="0.2">
      <c r="A153" s="84"/>
      <c r="B153" s="107"/>
      <c r="C153" s="85"/>
      <c r="D153" s="85"/>
      <c r="E153" s="86"/>
      <c r="F153" s="16">
        <f>IF(E153="","",DATEDIF(E153,$I$7,"Y"))</f>
      </c>
      <c r="G153" s="85"/>
      <c r="H153" s="85"/>
      <c r="I153" s="87"/>
      <c r="J153" s="85"/>
      <c r="K153" s="85"/>
      <c r="L153" s="10"/>
      <c r="M153" s="10"/>
      <c r="N153" s="10"/>
      <c r="O153" s="10"/>
      <c r="P153" s="85"/>
      <c r="Q153" s="88"/>
      <c r="R153" s="3">
        <f>IFERROR(VLOOKUP(TablaNoviembre[[#This Row],[BARRIO]],SECTOR!$A:$B,2,0),"")</f>
      </c>
      <c r="S153" s="89"/>
      <c r="T153" s="90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6"/>
      <c r="AZ153" s="120">
        <f>COUNTIF(U153:AY153,"A")</f>
      </c>
      <c r="BA153" s="121">
        <f>COUNTIF(U153:AY153,"F")</f>
      </c>
      <c r="BB153" s="119">
        <f>COUNTIF(U153:AY153,"E")</f>
      </c>
    </row>
    <row r="154" spans="1:54" x14ac:dyDescent="0.2">
      <c r="A154" s="84"/>
      <c r="B154" s="107"/>
      <c r="C154" s="85"/>
      <c r="D154" s="85"/>
      <c r="E154" s="86"/>
      <c r="F154" s="16">
        <f>IF(E154="","",DATEDIF(E154,$I$7,"Y"))</f>
      </c>
      <c r="G154" s="85"/>
      <c r="H154" s="85"/>
      <c r="I154" s="87"/>
      <c r="J154" s="85"/>
      <c r="K154" s="85"/>
      <c r="L154" s="10"/>
      <c r="M154" s="10"/>
      <c r="N154" s="10"/>
      <c r="O154" s="10"/>
      <c r="P154" s="85"/>
      <c r="Q154" s="88"/>
      <c r="R154" s="3">
        <f>IFERROR(VLOOKUP(TablaNoviembre[[#This Row],[BARRIO]],SECTOR!$A:$B,2,0),"")</f>
      </c>
      <c r="S154" s="89"/>
      <c r="T154" s="90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6"/>
      <c r="AZ154" s="120">
        <f>COUNTIF(U154:AY154,"A")</f>
      </c>
      <c r="BA154" s="121">
        <f>COUNTIF(U154:AY154,"F")</f>
      </c>
      <c r="BB154" s="119">
        <f>COUNTIF(U154:AY154,"E")</f>
      </c>
    </row>
    <row r="155" spans="1:54" x14ac:dyDescent="0.2">
      <c r="A155" s="84"/>
      <c r="B155" s="107"/>
      <c r="C155" s="85"/>
      <c r="D155" s="85"/>
      <c r="E155" s="86"/>
      <c r="F155" s="16">
        <f>IF(E155="","",DATEDIF(E155,$I$7,"Y"))</f>
      </c>
      <c r="G155" s="85"/>
      <c r="H155" s="85"/>
      <c r="I155" s="87"/>
      <c r="J155" s="85"/>
      <c r="K155" s="85"/>
      <c r="L155" s="10"/>
      <c r="M155" s="10"/>
      <c r="N155" s="10"/>
      <c r="O155" s="10"/>
      <c r="P155" s="85"/>
      <c r="Q155" s="88"/>
      <c r="R155" s="3">
        <f>IFERROR(VLOOKUP(TablaNoviembre[[#This Row],[BARRIO]],SECTOR!$A:$B,2,0),"")</f>
      </c>
      <c r="S155" s="89"/>
      <c r="T155" s="90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6"/>
      <c r="AZ155" s="120">
        <f>COUNTIF(U155:AY155,"A")</f>
      </c>
      <c r="BA155" s="121">
        <f>COUNTIF(U155:AY155,"F")</f>
      </c>
      <c r="BB155" s="119">
        <f>COUNTIF(U155:AY155,"E")</f>
      </c>
    </row>
    <row r="156" spans="1:54" x14ac:dyDescent="0.2">
      <c r="A156" s="84"/>
      <c r="B156" s="107"/>
      <c r="C156" s="85"/>
      <c r="D156" s="85"/>
      <c r="E156" s="86"/>
      <c r="F156" s="16">
        <f>IF(E156="","",DATEDIF(E156,$I$7,"Y"))</f>
      </c>
      <c r="G156" s="85"/>
      <c r="H156" s="85"/>
      <c r="I156" s="87"/>
      <c r="J156" s="85"/>
      <c r="K156" s="85"/>
      <c r="L156" s="10"/>
      <c r="M156" s="10"/>
      <c r="N156" s="10"/>
      <c r="O156" s="10"/>
      <c r="P156" s="85"/>
      <c r="Q156" s="88"/>
      <c r="R156" s="3">
        <f>IFERROR(VLOOKUP(TablaNoviembre[[#This Row],[BARRIO]],SECTOR!$A:$B,2,0),"")</f>
      </c>
      <c r="S156" s="89"/>
      <c r="T156" s="90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6"/>
      <c r="AZ156" s="120">
        <f>COUNTIF(U156:AY156,"A")</f>
      </c>
      <c r="BA156" s="121">
        <f>COUNTIF(U156:AY156,"F")</f>
      </c>
      <c r="BB156" s="119">
        <f>COUNTIF(U156:AY156,"E")</f>
      </c>
    </row>
    <row r="157" spans="1:54" x14ac:dyDescent="0.2">
      <c r="A157" s="84"/>
      <c r="B157" s="107"/>
      <c r="C157" s="85"/>
      <c r="D157" s="85"/>
      <c r="E157" s="86"/>
      <c r="F157" s="16">
        <f>IF(E157="","",DATEDIF(E157,$I$7,"Y"))</f>
      </c>
      <c r="G157" s="85"/>
      <c r="H157" s="85"/>
      <c r="I157" s="87"/>
      <c r="J157" s="85"/>
      <c r="K157" s="85"/>
      <c r="L157" s="10"/>
      <c r="M157" s="10"/>
      <c r="N157" s="10"/>
      <c r="O157" s="10"/>
      <c r="P157" s="85"/>
      <c r="Q157" s="88"/>
      <c r="R157" s="3">
        <f>IFERROR(VLOOKUP(TablaNoviembre[[#This Row],[BARRIO]],SECTOR!$A:$B,2,0),"")</f>
      </c>
      <c r="S157" s="89"/>
      <c r="T157" s="90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6"/>
      <c r="AZ157" s="120">
        <f>COUNTIF(U157:AY157,"A")</f>
      </c>
      <c r="BA157" s="121">
        <f>COUNTIF(U157:AY157,"F")</f>
      </c>
      <c r="BB157" s="119">
        <f>COUNTIF(U157:AY157,"E")</f>
      </c>
    </row>
    <row r="158" spans="1:54" x14ac:dyDescent="0.2">
      <c r="A158" s="84"/>
      <c r="B158" s="107"/>
      <c r="C158" s="85"/>
      <c r="D158" s="85"/>
      <c r="E158" s="86"/>
      <c r="F158" s="16">
        <f>IF(E158="","",DATEDIF(E158,$I$7,"Y"))</f>
      </c>
      <c r="G158" s="85"/>
      <c r="H158" s="85"/>
      <c r="I158" s="87"/>
      <c r="J158" s="85"/>
      <c r="K158" s="85"/>
      <c r="L158" s="10"/>
      <c r="M158" s="10"/>
      <c r="N158" s="10"/>
      <c r="O158" s="10"/>
      <c r="P158" s="85"/>
      <c r="Q158" s="88"/>
      <c r="R158" s="3">
        <f>IFERROR(VLOOKUP(TablaNoviembre[[#This Row],[BARRIO]],SECTOR!$A:$B,2,0),"")</f>
      </c>
      <c r="S158" s="89"/>
      <c r="T158" s="90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6"/>
      <c r="AZ158" s="120">
        <f>COUNTIF(U158:AY158,"A")</f>
      </c>
      <c r="BA158" s="121">
        <f>COUNTIF(U158:AY158,"F")</f>
      </c>
      <c r="BB158" s="119">
        <f>COUNTIF(U158:AY158,"E")</f>
      </c>
    </row>
    <row r="159" spans="1:54" x14ac:dyDescent="0.2">
      <c r="A159" s="84"/>
      <c r="B159" s="107"/>
      <c r="C159" s="85"/>
      <c r="D159" s="85"/>
      <c r="E159" s="86"/>
      <c r="F159" s="16">
        <f>IF(E159="","",DATEDIF(E159,$I$7,"Y"))</f>
      </c>
      <c r="G159" s="85"/>
      <c r="H159" s="85"/>
      <c r="I159" s="87"/>
      <c r="J159" s="85"/>
      <c r="K159" s="85"/>
      <c r="L159" s="10"/>
      <c r="M159" s="10"/>
      <c r="N159" s="10"/>
      <c r="O159" s="10"/>
      <c r="P159" s="85"/>
      <c r="Q159" s="88"/>
      <c r="R159" s="3">
        <f>IFERROR(VLOOKUP(TablaNoviembre[[#This Row],[BARRIO]],SECTOR!$A:$B,2,0),"")</f>
      </c>
      <c r="S159" s="89"/>
      <c r="T159" s="90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6"/>
      <c r="AZ159" s="120">
        <f>COUNTIF(U159:AY159,"A")</f>
      </c>
      <c r="BA159" s="121">
        <f>COUNTIF(U159:AY159,"F")</f>
      </c>
      <c r="BB159" s="119">
        <f>COUNTIF(U159:AY159,"E")</f>
      </c>
    </row>
    <row r="160" spans="1:54" x14ac:dyDescent="0.2">
      <c r="A160" s="84"/>
      <c r="B160" s="107"/>
      <c r="C160" s="85"/>
      <c r="D160" s="85"/>
      <c r="E160" s="86"/>
      <c r="F160" s="16">
        <f>IF(E160="","",DATEDIF(E160,$I$7,"Y"))</f>
      </c>
      <c r="G160" s="85"/>
      <c r="H160" s="85"/>
      <c r="I160" s="87"/>
      <c r="J160" s="85"/>
      <c r="K160" s="85"/>
      <c r="L160" s="10"/>
      <c r="M160" s="10"/>
      <c r="N160" s="10"/>
      <c r="O160" s="10"/>
      <c r="P160" s="85"/>
      <c r="Q160" s="88"/>
      <c r="R160" s="3">
        <f>IFERROR(VLOOKUP(TablaNoviembre[[#This Row],[BARRIO]],SECTOR!$A:$B,2,0),"")</f>
      </c>
      <c r="S160" s="89"/>
      <c r="T160" s="90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6"/>
      <c r="AZ160" s="120">
        <f>COUNTIF(U160:AY160,"A")</f>
      </c>
      <c r="BA160" s="121">
        <f>COUNTIF(U160:AY160,"F")</f>
      </c>
      <c r="BB160" s="119">
        <f>COUNTIF(U160:AY160,"E")</f>
      </c>
    </row>
    <row r="161" spans="1:54" x14ac:dyDescent="0.2">
      <c r="A161" s="84"/>
      <c r="B161" s="107"/>
      <c r="C161" s="85"/>
      <c r="D161" s="85"/>
      <c r="E161" s="86"/>
      <c r="F161" s="16">
        <f>IF(E161="","",DATEDIF(E161,$I$7,"Y"))</f>
      </c>
      <c r="G161" s="85"/>
      <c r="H161" s="85"/>
      <c r="I161" s="87"/>
      <c r="J161" s="85"/>
      <c r="K161" s="85"/>
      <c r="L161" s="10"/>
      <c r="M161" s="10"/>
      <c r="N161" s="10"/>
      <c r="O161" s="10"/>
      <c r="P161" s="85"/>
      <c r="Q161" s="88"/>
      <c r="R161" s="3">
        <f>IFERROR(VLOOKUP(TablaNoviembre[[#This Row],[BARRIO]],SECTOR!$A:$B,2,0),"")</f>
      </c>
      <c r="S161" s="89"/>
      <c r="T161" s="90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6"/>
      <c r="AZ161" s="120">
        <f>COUNTIF(U161:AY161,"A")</f>
      </c>
      <c r="BA161" s="121">
        <f>COUNTIF(U161:AY161,"F")</f>
      </c>
      <c r="BB161" s="119">
        <f>COUNTIF(U161:AY161,"E")</f>
      </c>
    </row>
    <row r="162" spans="1:54" x14ac:dyDescent="0.2">
      <c r="A162" s="84"/>
      <c r="B162" s="107"/>
      <c r="C162" s="85"/>
      <c r="D162" s="85"/>
      <c r="E162" s="86"/>
      <c r="F162" s="16">
        <f>IF(E162="","",DATEDIF(E162,$I$7,"Y"))</f>
      </c>
      <c r="G162" s="85"/>
      <c r="H162" s="85"/>
      <c r="I162" s="87"/>
      <c r="J162" s="85"/>
      <c r="K162" s="85"/>
      <c r="L162" s="10"/>
      <c r="M162" s="10"/>
      <c r="N162" s="10"/>
      <c r="O162" s="10"/>
      <c r="P162" s="85"/>
      <c r="Q162" s="88"/>
      <c r="R162" s="3">
        <f>IFERROR(VLOOKUP(TablaNoviembre[[#This Row],[BARRIO]],SECTOR!$A:$B,2,0),"")</f>
      </c>
      <c r="S162" s="89"/>
      <c r="T162" s="90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6"/>
      <c r="AZ162" s="120">
        <f>COUNTIF(U162:AY162,"A")</f>
      </c>
      <c r="BA162" s="121">
        <f>COUNTIF(U162:AY162,"F")</f>
      </c>
      <c r="BB162" s="119">
        <f>COUNTIF(U162:AY162,"E")</f>
      </c>
    </row>
    <row r="163" spans="1:54" x14ac:dyDescent="0.2">
      <c r="A163" s="84"/>
      <c r="B163" s="107"/>
      <c r="C163" s="85"/>
      <c r="D163" s="85"/>
      <c r="E163" s="86"/>
      <c r="F163" s="16">
        <f>IF(E163="","",DATEDIF(E163,$I$7,"Y"))</f>
      </c>
      <c r="G163" s="85"/>
      <c r="H163" s="85"/>
      <c r="I163" s="87"/>
      <c r="J163" s="85"/>
      <c r="K163" s="85"/>
      <c r="L163" s="10"/>
      <c r="M163" s="10"/>
      <c r="N163" s="10"/>
      <c r="O163" s="10"/>
      <c r="P163" s="85"/>
      <c r="Q163" s="88"/>
      <c r="R163" s="3">
        <f>IFERROR(VLOOKUP(TablaNoviembre[[#This Row],[BARRIO]],SECTOR!$A:$B,2,0),"")</f>
      </c>
      <c r="S163" s="89"/>
      <c r="T163" s="90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6"/>
      <c r="AZ163" s="120">
        <f>COUNTIF(U163:AY163,"A")</f>
      </c>
      <c r="BA163" s="121">
        <f>COUNTIF(U163:AY163,"F")</f>
      </c>
      <c r="BB163" s="119">
        <f>COUNTIF(U163:AY163,"E")</f>
      </c>
    </row>
    <row r="164" spans="1:54" x14ac:dyDescent="0.2">
      <c r="A164" s="84"/>
      <c r="B164" s="107"/>
      <c r="C164" s="85"/>
      <c r="D164" s="85"/>
      <c r="E164" s="86"/>
      <c r="F164" s="16">
        <f>IF(E164="","",DATEDIF(E164,$I$7,"Y"))</f>
      </c>
      <c r="G164" s="85"/>
      <c r="H164" s="85"/>
      <c r="I164" s="87"/>
      <c r="J164" s="85"/>
      <c r="K164" s="85"/>
      <c r="L164" s="10"/>
      <c r="M164" s="10"/>
      <c r="N164" s="10"/>
      <c r="O164" s="10"/>
      <c r="P164" s="85"/>
      <c r="Q164" s="88"/>
      <c r="R164" s="3">
        <f>IFERROR(VLOOKUP(TablaNoviembre[[#This Row],[BARRIO]],SECTOR!$A:$B,2,0),"")</f>
      </c>
      <c r="S164" s="89"/>
      <c r="T164" s="90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6"/>
      <c r="AZ164" s="120">
        <f>COUNTIF(U164:AY164,"A")</f>
      </c>
      <c r="BA164" s="121">
        <f>COUNTIF(U164:AY164,"F")</f>
      </c>
      <c r="BB164" s="119">
        <f>COUNTIF(U164:AY164,"E")</f>
      </c>
    </row>
    <row r="165" spans="1:54" x14ac:dyDescent="0.2">
      <c r="A165" s="84"/>
      <c r="B165" s="107"/>
      <c r="C165" s="85"/>
      <c r="D165" s="85"/>
      <c r="E165" s="86"/>
      <c r="F165" s="16">
        <f>IF(E165="","",DATEDIF(E165,$I$7,"Y"))</f>
      </c>
      <c r="G165" s="85"/>
      <c r="H165" s="85"/>
      <c r="I165" s="87"/>
      <c r="J165" s="85"/>
      <c r="K165" s="85"/>
      <c r="L165" s="10"/>
      <c r="M165" s="10"/>
      <c r="N165" s="10"/>
      <c r="O165" s="10"/>
      <c r="P165" s="85"/>
      <c r="Q165" s="88"/>
      <c r="R165" s="3">
        <f>IFERROR(VLOOKUP(TablaNoviembre[[#This Row],[BARRIO]],SECTOR!$A:$B,2,0),"")</f>
      </c>
      <c r="S165" s="89"/>
      <c r="T165" s="90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6"/>
      <c r="AZ165" s="120">
        <f>COUNTIF(U165:AY165,"A")</f>
      </c>
      <c r="BA165" s="121">
        <f>COUNTIF(U165:AY165,"F")</f>
      </c>
      <c r="BB165" s="119">
        <f>COUNTIF(U165:AY165,"E")</f>
      </c>
    </row>
    <row r="166" spans="1:54" x14ac:dyDescent="0.2">
      <c r="A166" s="84"/>
      <c r="B166" s="107"/>
      <c r="C166" s="85"/>
      <c r="D166" s="85"/>
      <c r="E166" s="86"/>
      <c r="F166" s="16">
        <f>IF(E166="","",DATEDIF(E166,$I$7,"Y"))</f>
      </c>
      <c r="G166" s="85"/>
      <c r="H166" s="85"/>
      <c r="I166" s="87"/>
      <c r="J166" s="85"/>
      <c r="K166" s="85"/>
      <c r="L166" s="10"/>
      <c r="M166" s="10"/>
      <c r="N166" s="10"/>
      <c r="O166" s="10"/>
      <c r="P166" s="85"/>
      <c r="Q166" s="88"/>
      <c r="R166" s="3">
        <f>IFERROR(VLOOKUP(TablaNoviembre[[#This Row],[BARRIO]],SECTOR!$A:$B,2,0),"")</f>
      </c>
      <c r="S166" s="89"/>
      <c r="T166" s="90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6"/>
      <c r="AZ166" s="120">
        <f>COUNTIF(U166:AY166,"A")</f>
      </c>
      <c r="BA166" s="121">
        <f>COUNTIF(U166:AY166,"F")</f>
      </c>
      <c r="BB166" s="119">
        <f>COUNTIF(U166:AY166,"E")</f>
      </c>
    </row>
    <row r="167" spans="1:54" x14ac:dyDescent="0.2">
      <c r="A167" s="84"/>
      <c r="B167" s="107"/>
      <c r="C167" s="85"/>
      <c r="D167" s="85"/>
      <c r="E167" s="86"/>
      <c r="F167" s="16">
        <f>IF(E167="","",DATEDIF(E167,$I$7,"Y"))</f>
      </c>
      <c r="G167" s="85"/>
      <c r="H167" s="85"/>
      <c r="I167" s="87"/>
      <c r="J167" s="85"/>
      <c r="K167" s="85"/>
      <c r="L167" s="10"/>
      <c r="M167" s="10"/>
      <c r="N167" s="10"/>
      <c r="O167" s="10"/>
      <c r="P167" s="85"/>
      <c r="Q167" s="88"/>
      <c r="R167" s="3">
        <f>IFERROR(VLOOKUP(TablaNoviembre[[#This Row],[BARRIO]],SECTOR!$A:$B,2,0),"")</f>
      </c>
      <c r="S167" s="89"/>
      <c r="T167" s="90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6"/>
      <c r="AZ167" s="120">
        <f>COUNTIF(U167:AY167,"A")</f>
      </c>
      <c r="BA167" s="121">
        <f>COUNTIF(U167:AY167,"F")</f>
      </c>
      <c r="BB167" s="119">
        <f>COUNTIF(U167:AY167,"E")</f>
      </c>
    </row>
    <row r="168" spans="1:54" x14ac:dyDescent="0.2">
      <c r="A168" s="84"/>
      <c r="B168" s="107"/>
      <c r="C168" s="85"/>
      <c r="D168" s="85"/>
      <c r="E168" s="86"/>
      <c r="F168" s="16">
        <f>IF(E168="","",DATEDIF(E168,$I$7,"Y"))</f>
      </c>
      <c r="G168" s="85"/>
      <c r="H168" s="85"/>
      <c r="I168" s="87"/>
      <c r="J168" s="85"/>
      <c r="K168" s="85"/>
      <c r="L168" s="2"/>
      <c r="M168" s="2"/>
      <c r="N168" s="10"/>
      <c r="O168" s="2"/>
      <c r="P168" s="85"/>
      <c r="Q168" s="88"/>
      <c r="R168" s="3">
        <f>IFERROR(VLOOKUP(TablaNoviembre[[#This Row],[BARRIO]],SECTOR!$A:$B,2,0),"")</f>
      </c>
      <c r="S168" s="89"/>
      <c r="T168" s="90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6"/>
      <c r="AZ168" s="120">
        <f>COUNTIF(U168:AY168,"A")</f>
      </c>
      <c r="BA168" s="121">
        <f>COUNTIF(U168:AY168,"F")</f>
      </c>
      <c r="BB168" s="119">
        <f>COUNTIF(U168:AY168,"E")</f>
      </c>
    </row>
    <row r="169" spans="1:54" x14ac:dyDescent="0.2">
      <c r="A169" s="84"/>
      <c r="B169" s="85"/>
      <c r="C169" s="85"/>
      <c r="D169" s="85"/>
      <c r="E169" s="86"/>
      <c r="F169" s="16">
        <f>IF(E169="","",DATEDIF(E169,$I$7,"Y"))</f>
      </c>
      <c r="G169" s="85"/>
      <c r="H169" s="85"/>
      <c r="I169" s="87"/>
      <c r="J169" s="85"/>
      <c r="K169" s="85"/>
      <c r="L169" s="10"/>
      <c r="M169" s="10"/>
      <c r="N169" s="10"/>
      <c r="O169" s="10"/>
      <c r="P169" s="85"/>
      <c r="Q169" s="88"/>
      <c r="R169" s="3">
        <f>IFERROR(VLOOKUP(TablaNoviembre[[#This Row],[BARRIO]],SECTOR!$A:$B,2,0),"")</f>
      </c>
      <c r="S169" s="89"/>
      <c r="T169" s="90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6"/>
      <c r="AZ169" s="30">
        <f>COUNTIF(U169:AY169,"A")</f>
      </c>
      <c r="BA169" s="32">
        <f>COUNTIF(U169:AY169,"F")</f>
      </c>
      <c r="BB169" s="119">
        <f>COUNTIF(U169:AY169,"E")</f>
      </c>
    </row>
    <row r="170" spans="1:54" x14ac:dyDescent="0.2">
      <c r="A170" s="84"/>
      <c r="B170" s="85"/>
      <c r="C170" s="85"/>
      <c r="D170" s="85"/>
      <c r="E170" s="86"/>
      <c r="F170" s="16">
        <f>IF(E170="","",DATEDIF(E170,$I$7,"Y"))</f>
      </c>
      <c r="G170" s="85"/>
      <c r="H170" s="85"/>
      <c r="I170" s="87"/>
      <c r="J170" s="85"/>
      <c r="K170" s="85"/>
      <c r="L170" s="10"/>
      <c r="M170" s="10"/>
      <c r="N170" s="10"/>
      <c r="O170" s="10"/>
      <c r="P170" s="85"/>
      <c r="Q170" s="88"/>
      <c r="R170" s="3">
        <f>IFERROR(VLOOKUP(TablaNoviembre[[#This Row],[BARRIO]],SECTOR!$A:$B,2,0),"")</f>
      </c>
      <c r="S170" s="89"/>
      <c r="T170" s="90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6"/>
      <c r="AZ170" s="120">
        <f>COUNTIF(U170:AY170,"A")</f>
      </c>
      <c r="BA170" s="121">
        <f>COUNTIF(U170:AY170,"F")</f>
      </c>
      <c r="BB170" s="119">
        <f>COUNTIF(U170:AY170,"E")</f>
      </c>
    </row>
    <row r="171" spans="1:54" x14ac:dyDescent="0.2">
      <c r="A171" s="84"/>
      <c r="B171" s="85"/>
      <c r="C171" s="85"/>
      <c r="D171" s="85"/>
      <c r="E171" s="86"/>
      <c r="F171" s="16">
        <f>IF(E171="","",DATEDIF(E171,$I$7,"Y"))</f>
      </c>
      <c r="G171" s="85"/>
      <c r="H171" s="85"/>
      <c r="I171" s="87"/>
      <c r="J171" s="85"/>
      <c r="K171" s="85"/>
      <c r="L171" s="10"/>
      <c r="M171" s="10"/>
      <c r="N171" s="10"/>
      <c r="O171" s="10"/>
      <c r="P171" s="85"/>
      <c r="Q171" s="88"/>
      <c r="R171" s="3">
        <f>IFERROR(VLOOKUP(TablaNoviembre[[#This Row],[BARRIO]],SECTOR!$A:$B,2,0),"")</f>
      </c>
      <c r="S171" s="89"/>
      <c r="T171" s="90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6"/>
      <c r="AZ171" s="120">
        <f>COUNTIF(U171:AY171,"A")</f>
      </c>
      <c r="BA171" s="121">
        <f>COUNTIF(U171:AY171,"F")</f>
      </c>
      <c r="BB171" s="119">
        <f>COUNTIF(U171:AY171,"E")</f>
      </c>
    </row>
    <row r="172" spans="1:54" x14ac:dyDescent="0.2">
      <c r="A172" s="84"/>
      <c r="B172" s="85"/>
      <c r="C172" s="85"/>
      <c r="D172" s="85"/>
      <c r="E172" s="86"/>
      <c r="F172" s="16">
        <f>IF(E172="","",DATEDIF(E172,$I$7,"Y"))</f>
      </c>
      <c r="G172" s="85"/>
      <c r="H172" s="85"/>
      <c r="I172" s="87"/>
      <c r="J172" s="85"/>
      <c r="K172" s="85"/>
      <c r="L172" s="10"/>
      <c r="M172" s="10"/>
      <c r="N172" s="10"/>
      <c r="O172" s="10"/>
      <c r="P172" s="85"/>
      <c r="Q172" s="88"/>
      <c r="R172" s="3">
        <f>IFERROR(VLOOKUP(TablaNoviembre[[#This Row],[BARRIO]],SECTOR!$A:$B,2,0),"")</f>
      </c>
      <c r="S172" s="89"/>
      <c r="T172" s="90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6"/>
      <c r="AZ172" s="120">
        <f>COUNTIF(U172:AY172,"A")</f>
      </c>
      <c r="BA172" s="121">
        <f>COUNTIF(U172:AY172,"F")</f>
      </c>
      <c r="BB172" s="119">
        <f>COUNTIF(U172:AY172,"E")</f>
      </c>
    </row>
    <row r="173" spans="1:54" x14ac:dyDescent="0.2">
      <c r="A173" s="84"/>
      <c r="B173" s="85"/>
      <c r="C173" s="85"/>
      <c r="D173" s="85"/>
      <c r="E173" s="86"/>
      <c r="F173" s="16">
        <f>IF(E173="","",DATEDIF(E173,$I$7,"Y"))</f>
      </c>
      <c r="G173" s="85"/>
      <c r="H173" s="85"/>
      <c r="I173" s="87"/>
      <c r="J173" s="85"/>
      <c r="K173" s="85"/>
      <c r="L173" s="10"/>
      <c r="M173" s="10"/>
      <c r="N173" s="10"/>
      <c r="O173" s="10"/>
      <c r="P173" s="85"/>
      <c r="Q173" s="88"/>
      <c r="R173" s="3">
        <f>IFERROR(VLOOKUP(TablaNoviembre[[#This Row],[BARRIO]],SECTOR!$A:$B,2,0),"")</f>
      </c>
      <c r="S173" s="89"/>
      <c r="T173" s="90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6"/>
      <c r="AZ173" s="120">
        <f>COUNTIF(U173:AY173,"A")</f>
      </c>
      <c r="BA173" s="121">
        <f>COUNTIF(U173:AY173,"F")</f>
      </c>
      <c r="BB173" s="119">
        <f>COUNTIF(U173:AY173,"E")</f>
      </c>
    </row>
    <row r="174" spans="1:54" x14ac:dyDescent="0.2">
      <c r="A174" s="84"/>
      <c r="B174" s="85"/>
      <c r="C174" s="85"/>
      <c r="D174" s="85"/>
      <c r="E174" s="86"/>
      <c r="F174" s="16">
        <f>IF(E174="","",DATEDIF(E174,$I$7,"Y"))</f>
      </c>
      <c r="G174" s="85"/>
      <c r="H174" s="85"/>
      <c r="I174" s="87"/>
      <c r="J174" s="85"/>
      <c r="K174" s="85"/>
      <c r="L174" s="10"/>
      <c r="M174" s="10"/>
      <c r="N174" s="10"/>
      <c r="O174" s="10"/>
      <c r="P174" s="85"/>
      <c r="Q174" s="88"/>
      <c r="R174" s="3">
        <f>IFERROR(VLOOKUP(TablaNoviembre[[#This Row],[BARRIO]],SECTOR!$A:$B,2,0),"")</f>
      </c>
      <c r="S174" s="89"/>
      <c r="T174" s="90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6"/>
      <c r="AZ174" s="120">
        <f>COUNTIF(U174:AY174,"A")</f>
      </c>
      <c r="BA174" s="121">
        <f>COUNTIF(U174:AY174,"F")</f>
      </c>
      <c r="BB174" s="119">
        <f>COUNTIF(U174:AY174,"E")</f>
      </c>
    </row>
    <row r="175" spans="1:54" x14ac:dyDescent="0.2">
      <c r="A175" s="84"/>
      <c r="B175" s="85"/>
      <c r="C175" s="85"/>
      <c r="D175" s="85"/>
      <c r="E175" s="86"/>
      <c r="F175" s="16">
        <f>IF(E175="","",DATEDIF(E175,$I$7,"Y"))</f>
      </c>
      <c r="G175" s="85"/>
      <c r="H175" s="85"/>
      <c r="I175" s="87"/>
      <c r="J175" s="85"/>
      <c r="K175" s="85"/>
      <c r="L175" s="10"/>
      <c r="M175" s="10"/>
      <c r="N175" s="10"/>
      <c r="O175" s="10"/>
      <c r="P175" s="85"/>
      <c r="Q175" s="88"/>
      <c r="R175" s="3">
        <f>IFERROR(VLOOKUP(TablaNoviembre[[#This Row],[BARRIO]],SECTOR!$A:$B,2,0),"")</f>
      </c>
      <c r="S175" s="89"/>
      <c r="T175" s="90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6"/>
      <c r="AZ175" s="120">
        <f>COUNTIF(U175:AY175,"A")</f>
      </c>
      <c r="BA175" s="121">
        <f>COUNTIF(U175:AY175,"F")</f>
      </c>
      <c r="BB175" s="119">
        <f>COUNTIF(U175:AY175,"E")</f>
      </c>
    </row>
    <row r="176" spans="1:54" x14ac:dyDescent="0.2">
      <c r="A176" s="84"/>
      <c r="B176" s="85"/>
      <c r="C176" s="85"/>
      <c r="D176" s="85"/>
      <c r="E176" s="86"/>
      <c r="F176" s="16">
        <f>IF(E176="","",DATEDIF(E176,$I$7,"Y"))</f>
      </c>
      <c r="G176" s="85"/>
      <c r="H176" s="85"/>
      <c r="I176" s="87"/>
      <c r="J176" s="85"/>
      <c r="K176" s="85"/>
      <c r="L176" s="10"/>
      <c r="M176" s="10"/>
      <c r="N176" s="10"/>
      <c r="O176" s="10"/>
      <c r="P176" s="85"/>
      <c r="Q176" s="88"/>
      <c r="R176" s="3">
        <f>IFERROR(VLOOKUP(TablaNoviembre[[#This Row],[BARRIO]],SECTOR!$A:$B,2,0),"")</f>
      </c>
      <c r="S176" s="89"/>
      <c r="T176" s="90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6"/>
      <c r="AZ176" s="120">
        <f>COUNTIF(U176:AY176,"A")</f>
      </c>
      <c r="BA176" s="121">
        <f>COUNTIF(U176:AY176,"F")</f>
      </c>
      <c r="BB176" s="119">
        <f>COUNTIF(U176:AY176,"E")</f>
      </c>
    </row>
    <row r="177" spans="1:54" x14ac:dyDescent="0.2">
      <c r="A177" s="84"/>
      <c r="B177" s="85"/>
      <c r="C177" s="85"/>
      <c r="D177" s="85"/>
      <c r="E177" s="86"/>
      <c r="F177" s="16">
        <f>IF(E177="","",DATEDIF(E177,$I$7,"Y"))</f>
      </c>
      <c r="G177" s="85"/>
      <c r="H177" s="85"/>
      <c r="I177" s="87"/>
      <c r="J177" s="85"/>
      <c r="K177" s="85"/>
      <c r="L177" s="10"/>
      <c r="M177" s="10"/>
      <c r="N177" s="10"/>
      <c r="O177" s="10"/>
      <c r="P177" s="85"/>
      <c r="Q177" s="88"/>
      <c r="R177" s="3">
        <f>IFERROR(VLOOKUP(TablaNoviembre[[#This Row],[BARRIO]],SECTOR!$A:$B,2,0),"")</f>
      </c>
      <c r="S177" s="89"/>
      <c r="T177" s="90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6"/>
      <c r="AZ177" s="120">
        <f>COUNTIF(U177:AY177,"A")</f>
      </c>
      <c r="BA177" s="121">
        <f>COUNTIF(U177:AY177,"F")</f>
      </c>
      <c r="BB177" s="119">
        <f>COUNTIF(U177:AY177,"E")</f>
      </c>
    </row>
    <row r="178" spans="1:54" x14ac:dyDescent="0.2">
      <c r="A178" s="84"/>
      <c r="B178" s="85"/>
      <c r="C178" s="85"/>
      <c r="D178" s="85"/>
      <c r="E178" s="86"/>
      <c r="F178" s="16">
        <f>IF(E178="","",DATEDIF(E178,$I$7,"Y"))</f>
      </c>
      <c r="G178" s="85"/>
      <c r="H178" s="85"/>
      <c r="I178" s="87"/>
      <c r="J178" s="85"/>
      <c r="K178" s="85"/>
      <c r="L178" s="10"/>
      <c r="M178" s="10"/>
      <c r="N178" s="10"/>
      <c r="O178" s="10"/>
      <c r="P178" s="85"/>
      <c r="Q178" s="88"/>
      <c r="R178" s="3">
        <f>IFERROR(VLOOKUP(TablaNoviembre[[#This Row],[BARRIO]],SECTOR!$A:$B,2,0),"")</f>
      </c>
      <c r="S178" s="89"/>
      <c r="T178" s="90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6"/>
      <c r="AZ178" s="120">
        <f>COUNTIF(U178:AY178,"A")</f>
      </c>
      <c r="BA178" s="121">
        <f>COUNTIF(U178:AY178,"F")</f>
      </c>
      <c r="BB178" s="119">
        <f>COUNTIF(U178:AY178,"E")</f>
      </c>
    </row>
    <row r="179" spans="1:54" x14ac:dyDescent="0.2">
      <c r="A179" s="84"/>
      <c r="B179" s="85"/>
      <c r="C179" s="85"/>
      <c r="D179" s="85"/>
      <c r="E179" s="86"/>
      <c r="F179" s="16">
        <f>IF(E179="","",DATEDIF(E179,$I$7,"Y"))</f>
      </c>
      <c r="G179" s="85"/>
      <c r="H179" s="85"/>
      <c r="I179" s="87"/>
      <c r="J179" s="85"/>
      <c r="K179" s="85"/>
      <c r="L179" s="10"/>
      <c r="M179" s="10"/>
      <c r="N179" s="10"/>
      <c r="O179" s="10"/>
      <c r="P179" s="85"/>
      <c r="Q179" s="88"/>
      <c r="R179" s="3">
        <f>IFERROR(VLOOKUP(TablaNoviembre[[#This Row],[BARRIO]],SECTOR!$A:$B,2,0),"")</f>
      </c>
      <c r="S179" s="89"/>
      <c r="T179" s="90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6"/>
      <c r="AZ179" s="120">
        <f>COUNTIF(U179:AY179,"A")</f>
      </c>
      <c r="BA179" s="121">
        <f>COUNTIF(U179:AY179,"F")</f>
      </c>
      <c r="BB179" s="119">
        <f>COUNTIF(U179:AY179,"E")</f>
      </c>
    </row>
    <row r="180" spans="1:54" x14ac:dyDescent="0.2">
      <c r="A180" s="84"/>
      <c r="B180" s="85"/>
      <c r="C180" s="85"/>
      <c r="D180" s="85"/>
      <c r="E180" s="86"/>
      <c r="F180" s="16">
        <f>IF(E180="","",DATEDIF(E180,$I$7,"Y"))</f>
      </c>
      <c r="G180" s="85"/>
      <c r="H180" s="85"/>
      <c r="I180" s="87"/>
      <c r="J180" s="85"/>
      <c r="K180" s="85"/>
      <c r="L180" s="10"/>
      <c r="M180" s="10"/>
      <c r="N180" s="10"/>
      <c r="O180" s="10"/>
      <c r="P180" s="85"/>
      <c r="Q180" s="88"/>
      <c r="R180" s="3">
        <f>IFERROR(VLOOKUP(TablaNoviembre[[#This Row],[BARRIO]],SECTOR!$A:$B,2,0),"")</f>
      </c>
      <c r="S180" s="89"/>
      <c r="T180" s="90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6"/>
      <c r="AZ180" s="120">
        <f>COUNTIF(U180:AY180,"A")</f>
      </c>
      <c r="BA180" s="121">
        <f>COUNTIF(U180:AY180,"F")</f>
      </c>
      <c r="BB180" s="119">
        <f>COUNTIF(U180:AY180,"E")</f>
      </c>
    </row>
    <row r="181" spans="1:54" x14ac:dyDescent="0.2">
      <c r="A181" s="84"/>
      <c r="B181" s="85"/>
      <c r="C181" s="85"/>
      <c r="D181" s="85"/>
      <c r="E181" s="86"/>
      <c r="F181" s="16">
        <f>IF(E181="","",DATEDIF(E181,$I$7,"Y"))</f>
      </c>
      <c r="G181" s="85"/>
      <c r="H181" s="85"/>
      <c r="I181" s="87"/>
      <c r="J181" s="85"/>
      <c r="K181" s="85"/>
      <c r="L181" s="10"/>
      <c r="M181" s="10"/>
      <c r="N181" s="10"/>
      <c r="O181" s="10"/>
      <c r="P181" s="85"/>
      <c r="Q181" s="88"/>
      <c r="R181" s="3">
        <f>IFERROR(VLOOKUP(TablaNoviembre[[#This Row],[BARRIO]],SECTOR!$A:$B,2,0),"")</f>
      </c>
      <c r="S181" s="89"/>
      <c r="T181" s="90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6"/>
      <c r="AZ181" s="120">
        <f>COUNTIF(U181:AY181,"A")</f>
      </c>
      <c r="BA181" s="121">
        <f>COUNTIF(U181:AY181,"F")</f>
      </c>
      <c r="BB181" s="119">
        <f>COUNTIF(U181:AY181,"E")</f>
      </c>
    </row>
    <row r="182" spans="1:54" x14ac:dyDescent="0.2">
      <c r="A182" s="84"/>
      <c r="B182" s="85"/>
      <c r="C182" s="85"/>
      <c r="D182" s="85"/>
      <c r="E182" s="86"/>
      <c r="F182" s="16">
        <f>IF(E182="","",DATEDIF(E182,$I$7,"Y"))</f>
      </c>
      <c r="G182" s="85"/>
      <c r="H182" s="85"/>
      <c r="I182" s="87"/>
      <c r="J182" s="85"/>
      <c r="K182" s="85"/>
      <c r="L182" s="10"/>
      <c r="M182" s="10"/>
      <c r="N182" s="10"/>
      <c r="O182" s="10"/>
      <c r="P182" s="85"/>
      <c r="Q182" s="88"/>
      <c r="R182" s="3">
        <f>IFERROR(VLOOKUP(TablaNoviembre[[#This Row],[BARRIO]],SECTOR!$A:$B,2,0),"")</f>
      </c>
      <c r="S182" s="89"/>
      <c r="T182" s="90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6"/>
      <c r="AZ182" s="120">
        <f>COUNTIF(U182:AY182,"A")</f>
      </c>
      <c r="BA182" s="121">
        <f>COUNTIF(U182:AY182,"F")</f>
      </c>
      <c r="BB182" s="119">
        <f>COUNTIF(U182:AY182,"E")</f>
      </c>
    </row>
    <row r="183" spans="1:54" x14ac:dyDescent="0.2">
      <c r="A183" s="84"/>
      <c r="B183" s="85"/>
      <c r="C183" s="85"/>
      <c r="D183" s="85"/>
      <c r="E183" s="86"/>
      <c r="F183" s="16">
        <f>IF(E183="","",DATEDIF(E183,$I$7,"Y"))</f>
      </c>
      <c r="G183" s="85"/>
      <c r="H183" s="85"/>
      <c r="I183" s="87"/>
      <c r="J183" s="85"/>
      <c r="K183" s="85"/>
      <c r="L183" s="10"/>
      <c r="M183" s="10"/>
      <c r="N183" s="10"/>
      <c r="O183" s="10"/>
      <c r="P183" s="85"/>
      <c r="Q183" s="88"/>
      <c r="R183" s="3">
        <f>IFERROR(VLOOKUP(TablaNoviembre[[#This Row],[BARRIO]],SECTOR!$A:$B,2,0),"")</f>
      </c>
      <c r="S183" s="89"/>
      <c r="T183" s="90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6"/>
      <c r="AZ183" s="120">
        <f>COUNTIF(U183:AY183,"A")</f>
      </c>
      <c r="BA183" s="121">
        <f>COUNTIF(U183:AY183,"F")</f>
      </c>
      <c r="BB183" s="119">
        <f>COUNTIF(U183:AY183,"E")</f>
      </c>
    </row>
    <row r="184" spans="1:54" x14ac:dyDescent="0.2">
      <c r="A184" s="84"/>
      <c r="B184" s="85"/>
      <c r="C184" s="85"/>
      <c r="D184" s="85"/>
      <c r="E184" s="86"/>
      <c r="F184" s="16">
        <f>IF(E184="","",DATEDIF(E184,$I$7,"Y"))</f>
      </c>
      <c r="G184" s="85"/>
      <c r="H184" s="85"/>
      <c r="I184" s="87"/>
      <c r="J184" s="85"/>
      <c r="K184" s="85"/>
      <c r="L184" s="10"/>
      <c r="M184" s="10"/>
      <c r="N184" s="10"/>
      <c r="O184" s="10"/>
      <c r="P184" s="85"/>
      <c r="Q184" s="88"/>
      <c r="R184" s="3">
        <f>IFERROR(VLOOKUP(TablaNoviembre[[#This Row],[BARRIO]],SECTOR!$A:$B,2,0),"")</f>
      </c>
      <c r="S184" s="89"/>
      <c r="T184" s="90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6"/>
      <c r="AZ184" s="120">
        <f>COUNTIF(U184:AY184,"A")</f>
      </c>
      <c r="BA184" s="121">
        <f>COUNTIF(U184:AY184,"F")</f>
      </c>
      <c r="BB184" s="119">
        <f>COUNTIF(U184:AY184,"E")</f>
      </c>
    </row>
    <row r="185" spans="1:54" x14ac:dyDescent="0.2">
      <c r="A185" s="84"/>
      <c r="B185" s="85"/>
      <c r="C185" s="85"/>
      <c r="D185" s="85"/>
      <c r="E185" s="86"/>
      <c r="F185" s="16">
        <f>IF(E185="","",DATEDIF(E185,$I$7,"Y"))</f>
      </c>
      <c r="G185" s="85"/>
      <c r="H185" s="85"/>
      <c r="I185" s="87"/>
      <c r="J185" s="85"/>
      <c r="K185" s="85"/>
      <c r="L185" s="10"/>
      <c r="M185" s="10"/>
      <c r="N185" s="10"/>
      <c r="O185" s="10"/>
      <c r="P185" s="85"/>
      <c r="Q185" s="88"/>
      <c r="R185" s="3">
        <f>IFERROR(VLOOKUP(TablaNoviembre[[#This Row],[BARRIO]],SECTOR!$A:$B,2,0),"")</f>
      </c>
      <c r="S185" s="89"/>
      <c r="T185" s="90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6"/>
      <c r="AZ185" s="120">
        <f>COUNTIF(U185:AY185,"A")</f>
      </c>
      <c r="BA185" s="121">
        <f>COUNTIF(U185:AY185,"F")</f>
      </c>
      <c r="BB185" s="119">
        <f>COUNTIF(U185:AY185,"E")</f>
      </c>
    </row>
    <row r="186" spans="1:54" x14ac:dyDescent="0.2">
      <c r="A186" s="84"/>
      <c r="B186" s="85"/>
      <c r="C186" s="85"/>
      <c r="D186" s="85"/>
      <c r="E186" s="86"/>
      <c r="F186" s="16">
        <f>IF(E186="","",DATEDIF(E186,$I$7,"Y"))</f>
      </c>
      <c r="G186" s="85"/>
      <c r="H186" s="85"/>
      <c r="I186" s="87"/>
      <c r="J186" s="85"/>
      <c r="K186" s="85"/>
      <c r="L186" s="10"/>
      <c r="M186" s="10"/>
      <c r="N186" s="10"/>
      <c r="O186" s="10"/>
      <c r="P186" s="85"/>
      <c r="Q186" s="88"/>
      <c r="R186" s="3">
        <f>IFERROR(VLOOKUP(TablaNoviembre[[#This Row],[BARRIO]],SECTOR!$A:$B,2,0),"")</f>
      </c>
      <c r="S186" s="89"/>
      <c r="T186" s="90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6"/>
      <c r="AZ186" s="120">
        <f>COUNTIF(U186:AY186,"A")</f>
      </c>
      <c r="BA186" s="121">
        <f>COUNTIF(U186:AY186,"F")</f>
      </c>
      <c r="BB186" s="119">
        <f>COUNTIF(U186:AY186,"E")</f>
      </c>
    </row>
    <row r="187" spans="1:54" x14ac:dyDescent="0.2">
      <c r="A187" s="84"/>
      <c r="B187" s="85"/>
      <c r="C187" s="85"/>
      <c r="D187" s="85"/>
      <c r="E187" s="86"/>
      <c r="F187" s="16">
        <f>IF(E187="","",DATEDIF(E187,$I$7,"Y"))</f>
      </c>
      <c r="G187" s="85"/>
      <c r="H187" s="85"/>
      <c r="I187" s="87"/>
      <c r="J187" s="85"/>
      <c r="K187" s="85"/>
      <c r="L187" s="10"/>
      <c r="M187" s="10"/>
      <c r="N187" s="10"/>
      <c r="O187" s="10"/>
      <c r="P187" s="85"/>
      <c r="Q187" s="88"/>
      <c r="R187" s="3">
        <f>IFERROR(VLOOKUP(TablaNoviembre[[#This Row],[BARRIO]],SECTOR!$A:$B,2,0),"")</f>
      </c>
      <c r="S187" s="89"/>
      <c r="T187" s="90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6"/>
      <c r="AZ187" s="120">
        <f>COUNTIF(U187:AY187,"A")</f>
      </c>
      <c r="BA187" s="121">
        <f>COUNTIF(U187:AY187,"F")</f>
      </c>
      <c r="BB187" s="119">
        <f>COUNTIF(U187:AY187,"E")</f>
      </c>
    </row>
    <row r="188" spans="1:54" x14ac:dyDescent="0.2">
      <c r="A188" s="84"/>
      <c r="B188" s="85"/>
      <c r="C188" s="85"/>
      <c r="D188" s="85"/>
      <c r="E188" s="86"/>
      <c r="F188" s="16">
        <f>IF(E188="","",DATEDIF(E188,$I$7,"Y"))</f>
      </c>
      <c r="G188" s="85"/>
      <c r="H188" s="85"/>
      <c r="I188" s="87"/>
      <c r="J188" s="85"/>
      <c r="K188" s="85"/>
      <c r="L188" s="10"/>
      <c r="M188" s="10"/>
      <c r="N188" s="10"/>
      <c r="O188" s="10"/>
      <c r="P188" s="85"/>
      <c r="Q188" s="88"/>
      <c r="R188" s="3">
        <f>IFERROR(VLOOKUP(TablaNoviembre[[#This Row],[BARRIO]],SECTOR!$A:$B,2,0),"")</f>
      </c>
      <c r="S188" s="89"/>
      <c r="T188" s="90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6"/>
      <c r="AZ188" s="120">
        <f>COUNTIF(U188:AY188,"A")</f>
      </c>
      <c r="BA188" s="121">
        <f>COUNTIF(U188:AY188,"F")</f>
      </c>
      <c r="BB188" s="119">
        <f>COUNTIF(U188:AY188,"E")</f>
      </c>
    </row>
    <row r="189" spans="1:54" x14ac:dyDescent="0.2">
      <c r="A189" s="84"/>
      <c r="B189" s="85"/>
      <c r="C189" s="85"/>
      <c r="D189" s="85"/>
      <c r="E189" s="86"/>
      <c r="F189" s="16">
        <f>IF(E189="","",DATEDIF(E189,$I$7,"Y"))</f>
      </c>
      <c r="G189" s="85"/>
      <c r="H189" s="85"/>
      <c r="I189" s="87"/>
      <c r="J189" s="85"/>
      <c r="K189" s="85"/>
      <c r="L189" s="10"/>
      <c r="M189" s="10"/>
      <c r="N189" s="10"/>
      <c r="O189" s="10"/>
      <c r="P189" s="85"/>
      <c r="Q189" s="88"/>
      <c r="R189" s="3">
        <f>IFERROR(VLOOKUP(TablaNoviembre[[#This Row],[BARRIO]],SECTOR!$A:$B,2,0),"")</f>
      </c>
      <c r="S189" s="89"/>
      <c r="T189" s="90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6"/>
      <c r="AZ189" s="120">
        <f>COUNTIF(U189:AY189,"A")</f>
      </c>
      <c r="BA189" s="121">
        <f>COUNTIF(U189:AY189,"F")</f>
      </c>
      <c r="BB189" s="119">
        <f>COUNTIF(U189:AY189,"E")</f>
      </c>
    </row>
    <row r="190" spans="1:54" x14ac:dyDescent="0.2">
      <c r="A190" s="84"/>
      <c r="B190" s="85"/>
      <c r="C190" s="85"/>
      <c r="D190" s="85"/>
      <c r="E190" s="86"/>
      <c r="F190" s="16">
        <f>IF(E190="","",DATEDIF(E190,$I$7,"Y"))</f>
      </c>
      <c r="G190" s="85"/>
      <c r="H190" s="85"/>
      <c r="I190" s="87"/>
      <c r="J190" s="85"/>
      <c r="K190" s="85"/>
      <c r="L190" s="10"/>
      <c r="M190" s="10"/>
      <c r="N190" s="10"/>
      <c r="O190" s="10"/>
      <c r="P190" s="85"/>
      <c r="Q190" s="88"/>
      <c r="R190" s="3">
        <f>IFERROR(VLOOKUP(TablaNoviembre[[#This Row],[BARRIO]],SECTOR!$A:$B,2,0),"")</f>
      </c>
      <c r="S190" s="89"/>
      <c r="T190" s="90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6"/>
      <c r="AZ190" s="120">
        <f>COUNTIF(U190:AY190,"A")</f>
      </c>
      <c r="BA190" s="121">
        <f>COUNTIF(U190:AY190,"F")</f>
      </c>
      <c r="BB190" s="119">
        <f>COUNTIF(U190:AY190,"E")</f>
      </c>
    </row>
    <row r="191" spans="1:54" x14ac:dyDescent="0.2">
      <c r="A191" s="84"/>
      <c r="B191" s="85"/>
      <c r="C191" s="85"/>
      <c r="D191" s="85"/>
      <c r="E191" s="86"/>
      <c r="F191" s="16">
        <f>IF(E191="","",DATEDIF(E191,$I$7,"Y"))</f>
      </c>
      <c r="G191" s="85"/>
      <c r="H191" s="85"/>
      <c r="I191" s="87"/>
      <c r="J191" s="85"/>
      <c r="K191" s="85"/>
      <c r="L191" s="10"/>
      <c r="M191" s="10"/>
      <c r="N191" s="10"/>
      <c r="O191" s="10"/>
      <c r="P191" s="85"/>
      <c r="Q191" s="88"/>
      <c r="R191" s="3">
        <f>IFERROR(VLOOKUP(TablaNoviembre[[#This Row],[BARRIO]],SECTOR!$A:$B,2,0),"")</f>
      </c>
      <c r="S191" s="89"/>
      <c r="T191" s="90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6"/>
      <c r="AZ191" s="120">
        <f>COUNTIF(U191:AY191,"A")</f>
      </c>
      <c r="BA191" s="121">
        <f>COUNTIF(U191:AY191,"F")</f>
      </c>
      <c r="BB191" s="119">
        <f>COUNTIF(U191:AY191,"E")</f>
      </c>
    </row>
    <row r="192" spans="1:54" x14ac:dyDescent="0.2">
      <c r="A192" s="84"/>
      <c r="B192" s="85"/>
      <c r="C192" s="85"/>
      <c r="D192" s="85"/>
      <c r="E192" s="86"/>
      <c r="F192" s="16">
        <f>IF(E192="","",DATEDIF(E192,$I$7,"Y"))</f>
      </c>
      <c r="G192" s="85"/>
      <c r="H192" s="85"/>
      <c r="I192" s="87"/>
      <c r="J192" s="85"/>
      <c r="K192" s="85"/>
      <c r="L192" s="10"/>
      <c r="M192" s="10"/>
      <c r="N192" s="10"/>
      <c r="O192" s="10"/>
      <c r="P192" s="85"/>
      <c r="Q192" s="88"/>
      <c r="R192" s="3">
        <f>IFERROR(VLOOKUP(TablaNoviembre[[#This Row],[BARRIO]],SECTOR!$A:$B,2,0),"")</f>
      </c>
      <c r="S192" s="89"/>
      <c r="T192" s="90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6"/>
      <c r="AZ192" s="120">
        <f>COUNTIF(U192:AY192,"A")</f>
      </c>
      <c r="BA192" s="121">
        <f>COUNTIF(U192:AY192,"F")</f>
      </c>
      <c r="BB192" s="119">
        <f>COUNTIF(U192:AY192,"E")</f>
      </c>
    </row>
    <row r="193" spans="1:54" x14ac:dyDescent="0.2">
      <c r="A193" s="84"/>
      <c r="B193" s="85"/>
      <c r="C193" s="85"/>
      <c r="D193" s="85"/>
      <c r="E193" s="86"/>
      <c r="F193" s="16">
        <f>IF(E193="","",DATEDIF(E193,$I$7,"Y"))</f>
      </c>
      <c r="G193" s="85"/>
      <c r="H193" s="85"/>
      <c r="I193" s="87"/>
      <c r="J193" s="85"/>
      <c r="K193" s="85"/>
      <c r="L193" s="10"/>
      <c r="M193" s="10"/>
      <c r="N193" s="10"/>
      <c r="O193" s="10"/>
      <c r="P193" s="85"/>
      <c r="Q193" s="88"/>
      <c r="R193" s="3">
        <f>IFERROR(VLOOKUP(TablaNoviembre[[#This Row],[BARRIO]],SECTOR!$A:$B,2,0),"")</f>
      </c>
      <c r="S193" s="89"/>
      <c r="T193" s="90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6"/>
      <c r="AZ193" s="120">
        <f>COUNTIF(U193:AY193,"A")</f>
      </c>
      <c r="BA193" s="121">
        <f>COUNTIF(U193:AY193,"F")</f>
      </c>
      <c r="BB193" s="119">
        <f>COUNTIF(U193:AY193,"E")</f>
      </c>
    </row>
    <row r="194" spans="1:54" x14ac:dyDescent="0.2">
      <c r="A194" s="84"/>
      <c r="B194" s="85"/>
      <c r="C194" s="85"/>
      <c r="D194" s="85"/>
      <c r="E194" s="86"/>
      <c r="F194" s="16">
        <f>IF(E194="","",DATEDIF(E194,$I$7,"Y"))</f>
      </c>
      <c r="G194" s="85"/>
      <c r="H194" s="85"/>
      <c r="I194" s="87"/>
      <c r="J194" s="85"/>
      <c r="K194" s="85"/>
      <c r="L194" s="10"/>
      <c r="M194" s="10"/>
      <c r="N194" s="10"/>
      <c r="O194" s="10"/>
      <c r="P194" s="85"/>
      <c r="Q194" s="88"/>
      <c r="R194" s="3">
        <f>IFERROR(VLOOKUP(TablaNoviembre[[#This Row],[BARRIO]],SECTOR!$A:$B,2,0),"")</f>
      </c>
      <c r="S194" s="89"/>
      <c r="T194" s="90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6"/>
      <c r="AZ194" s="120">
        <f>COUNTIF(U194:AY194,"A")</f>
      </c>
      <c r="BA194" s="121">
        <f>COUNTIF(U194:AY194,"F")</f>
      </c>
      <c r="BB194" s="119">
        <f>COUNTIF(U194:AY194,"E")</f>
      </c>
    </row>
    <row r="195" spans="1:54" x14ac:dyDescent="0.2">
      <c r="A195" s="84"/>
      <c r="B195" s="85"/>
      <c r="C195" s="85"/>
      <c r="D195" s="85"/>
      <c r="E195" s="86"/>
      <c r="F195" s="16">
        <f>IF(E195="","",DATEDIF(E195,$I$7,"Y"))</f>
      </c>
      <c r="G195" s="85"/>
      <c r="H195" s="85"/>
      <c r="I195" s="87"/>
      <c r="J195" s="85"/>
      <c r="K195" s="85"/>
      <c r="L195" s="10"/>
      <c r="M195" s="10"/>
      <c r="N195" s="10"/>
      <c r="O195" s="10"/>
      <c r="P195" s="85"/>
      <c r="Q195" s="88"/>
      <c r="R195" s="3">
        <f>IFERROR(VLOOKUP(TablaNoviembre[[#This Row],[BARRIO]],SECTOR!$A:$B,2,0),"")</f>
      </c>
      <c r="S195" s="89"/>
      <c r="T195" s="90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6"/>
      <c r="AZ195" s="120">
        <f>COUNTIF(U195:AY195,"A")</f>
      </c>
      <c r="BA195" s="121">
        <f>COUNTIF(U195:AY195,"F")</f>
      </c>
      <c r="BB195" s="119">
        <f>COUNTIF(U195:AY195,"E")</f>
      </c>
    </row>
    <row r="196" spans="1:54" x14ac:dyDescent="0.2">
      <c r="A196" s="84"/>
      <c r="B196" s="85"/>
      <c r="C196" s="85"/>
      <c r="D196" s="85"/>
      <c r="E196" s="86"/>
      <c r="F196" s="16">
        <f>IF(E196="","",DATEDIF(E196,$I$7,"Y"))</f>
      </c>
      <c r="G196" s="85"/>
      <c r="H196" s="85"/>
      <c r="I196" s="87"/>
      <c r="J196" s="85"/>
      <c r="K196" s="85"/>
      <c r="L196" s="10"/>
      <c r="M196" s="10"/>
      <c r="N196" s="10"/>
      <c r="O196" s="10"/>
      <c r="P196" s="85"/>
      <c r="Q196" s="88"/>
      <c r="R196" s="3">
        <f>IFERROR(VLOOKUP(TablaNoviembre[[#This Row],[BARRIO]],SECTOR!$A:$B,2,0),"")</f>
      </c>
      <c r="S196" s="89"/>
      <c r="T196" s="90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6"/>
      <c r="AZ196" s="120">
        <f>COUNTIF(U196:AY196,"A")</f>
      </c>
      <c r="BA196" s="121">
        <f>COUNTIF(U196:AY196,"F")</f>
      </c>
      <c r="BB196" s="119">
        <f>COUNTIF(U196:AY196,"E")</f>
      </c>
    </row>
    <row r="197" spans="1:54" x14ac:dyDescent="0.2">
      <c r="A197" s="84"/>
      <c r="B197" s="85"/>
      <c r="C197" s="85"/>
      <c r="D197" s="85"/>
      <c r="E197" s="86"/>
      <c r="F197" s="16">
        <f>IF(E197="","",DATEDIF(E197,$I$7,"Y"))</f>
      </c>
      <c r="G197" s="85"/>
      <c r="H197" s="85"/>
      <c r="I197" s="87"/>
      <c r="J197" s="85"/>
      <c r="K197" s="85"/>
      <c r="L197" s="10"/>
      <c r="M197" s="10"/>
      <c r="N197" s="10"/>
      <c r="O197" s="10"/>
      <c r="P197" s="85"/>
      <c r="Q197" s="88"/>
      <c r="R197" s="3">
        <f>IFERROR(VLOOKUP(TablaNoviembre[[#This Row],[BARRIO]],SECTOR!$A:$B,2,0),"")</f>
      </c>
      <c r="S197" s="89"/>
      <c r="T197" s="90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6"/>
      <c r="AZ197" s="120">
        <f>COUNTIF(U197:AY197,"A")</f>
      </c>
      <c r="BA197" s="121">
        <f>COUNTIF(U197:AY197,"F")</f>
      </c>
      <c r="BB197" s="119">
        <f>COUNTIF(U197:AY197,"E")</f>
      </c>
    </row>
    <row r="198" spans="1:54" x14ac:dyDescent="0.2">
      <c r="A198" s="84"/>
      <c r="B198" s="85"/>
      <c r="C198" s="85"/>
      <c r="D198" s="85"/>
      <c r="E198" s="86"/>
      <c r="F198" s="16">
        <f>IF(E198="","",DATEDIF(E198,$I$7,"Y"))</f>
      </c>
      <c r="G198" s="85"/>
      <c r="H198" s="85"/>
      <c r="I198" s="87"/>
      <c r="J198" s="85"/>
      <c r="K198" s="85"/>
      <c r="L198" s="10"/>
      <c r="M198" s="10"/>
      <c r="N198" s="10"/>
      <c r="O198" s="10"/>
      <c r="P198" s="85"/>
      <c r="Q198" s="88"/>
      <c r="R198" s="3">
        <f>IFERROR(VLOOKUP(TablaNoviembre[[#This Row],[BARRIO]],SECTOR!$A:$B,2,0),"")</f>
      </c>
      <c r="S198" s="89"/>
      <c r="T198" s="90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6"/>
      <c r="AZ198" s="120">
        <f>COUNTIF(U198:AY198,"A")</f>
      </c>
      <c r="BA198" s="121">
        <f>COUNTIF(U198:AY198,"F")</f>
      </c>
      <c r="BB198" s="119">
        <f>COUNTIF(U198:AY198,"E")</f>
      </c>
    </row>
    <row r="199" spans="1:54" x14ac:dyDescent="0.2">
      <c r="A199" s="84"/>
      <c r="B199" s="85"/>
      <c r="C199" s="85"/>
      <c r="D199" s="85"/>
      <c r="E199" s="86"/>
      <c r="F199" s="16">
        <f>IF(E199="","",DATEDIF(E199,$I$7,"Y"))</f>
      </c>
      <c r="G199" s="85"/>
      <c r="H199" s="85"/>
      <c r="I199" s="87"/>
      <c r="J199" s="85"/>
      <c r="K199" s="85"/>
      <c r="L199" s="10"/>
      <c r="M199" s="10"/>
      <c r="N199" s="10"/>
      <c r="O199" s="10"/>
      <c r="P199" s="85"/>
      <c r="Q199" s="88"/>
      <c r="R199" s="3">
        <f>IFERROR(VLOOKUP(TablaNoviembre[[#This Row],[BARRIO]],SECTOR!$A:$B,2,0),"")</f>
      </c>
      <c r="S199" s="89"/>
      <c r="T199" s="90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6"/>
      <c r="AZ199" s="120">
        <f>COUNTIF(U199:AY199,"A")</f>
      </c>
      <c r="BA199" s="121">
        <f>COUNTIF(U199:AY199,"F")</f>
      </c>
      <c r="BB199" s="119">
        <f>COUNTIF(U199:AY199,"E")</f>
      </c>
    </row>
    <row r="200" spans="1:54" x14ac:dyDescent="0.2">
      <c r="A200" s="84"/>
      <c r="B200" s="85"/>
      <c r="C200" s="85"/>
      <c r="D200" s="85"/>
      <c r="E200" s="86"/>
      <c r="F200" s="16">
        <f>IF(E200="","",DATEDIF(E200,$I$7,"Y"))</f>
      </c>
      <c r="G200" s="85"/>
      <c r="H200" s="85"/>
      <c r="I200" s="87"/>
      <c r="J200" s="85"/>
      <c r="K200" s="85"/>
      <c r="L200" s="10"/>
      <c r="M200" s="10"/>
      <c r="N200" s="10"/>
      <c r="O200" s="10"/>
      <c r="P200" s="85"/>
      <c r="Q200" s="88"/>
      <c r="R200" s="3">
        <f>IFERROR(VLOOKUP(TablaNoviembre[[#This Row],[BARRIO]],SECTOR!$A:$B,2,0),"")</f>
      </c>
      <c r="S200" s="89"/>
      <c r="T200" s="90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6"/>
      <c r="AZ200" s="120">
        <f>COUNTIF(U200:AY200,"A")</f>
      </c>
      <c r="BA200" s="121">
        <f>COUNTIF(U200:AY200,"F")</f>
      </c>
      <c r="BB200" s="119">
        <f>COUNTIF(U200:AY200,"E")</f>
      </c>
    </row>
    <row r="201" spans="1:54" x14ac:dyDescent="0.2">
      <c r="A201" s="84"/>
      <c r="B201" s="85"/>
      <c r="C201" s="85"/>
      <c r="D201" s="85"/>
      <c r="E201" s="86"/>
      <c r="F201" s="16">
        <f>IF(E201="","",DATEDIF(E201,$I$7,"Y"))</f>
      </c>
      <c r="G201" s="85"/>
      <c r="H201" s="85"/>
      <c r="I201" s="87"/>
      <c r="J201" s="85"/>
      <c r="K201" s="85"/>
      <c r="L201" s="10"/>
      <c r="M201" s="10"/>
      <c r="N201" s="10"/>
      <c r="O201" s="10"/>
      <c r="P201" s="85"/>
      <c r="Q201" s="88"/>
      <c r="R201" s="3">
        <f>IFERROR(VLOOKUP(TablaNoviembre[[#This Row],[BARRIO]],SECTOR!$A:$B,2,0),"")</f>
      </c>
      <c r="S201" s="89"/>
      <c r="T201" s="90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6"/>
      <c r="AZ201" s="120">
        <f>COUNTIF(U201:AY201,"A")</f>
      </c>
      <c r="BA201" s="121">
        <f>COUNTIF(U201:AY201,"F")</f>
      </c>
      <c r="BB201" s="119">
        <f>COUNTIF(U201:AY201,"E")</f>
      </c>
    </row>
    <row r="202" spans="1:54" x14ac:dyDescent="0.2">
      <c r="A202" s="84"/>
      <c r="B202" s="85"/>
      <c r="C202" s="85"/>
      <c r="D202" s="85"/>
      <c r="E202" s="86"/>
      <c r="F202" s="16">
        <f>IF(E202="","",DATEDIF(E202,$I$7,"Y"))</f>
      </c>
      <c r="G202" s="85"/>
      <c r="H202" s="85"/>
      <c r="I202" s="87"/>
      <c r="J202" s="85"/>
      <c r="K202" s="85"/>
      <c r="L202" s="10"/>
      <c r="M202" s="10"/>
      <c r="N202" s="10"/>
      <c r="O202" s="10"/>
      <c r="P202" s="85"/>
      <c r="Q202" s="88"/>
      <c r="R202" s="3">
        <f>IFERROR(VLOOKUP(TablaNoviembre[[#This Row],[BARRIO]],SECTOR!$A:$B,2,0),"")</f>
      </c>
      <c r="S202" s="89"/>
      <c r="T202" s="90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6"/>
      <c r="AZ202" s="120">
        <f>COUNTIF(U202:AY202,"A")</f>
      </c>
      <c r="BA202" s="121">
        <f>COUNTIF(U202:AY202,"F")</f>
      </c>
      <c r="BB202" s="119">
        <f>COUNTIF(U202:AY202,"E")</f>
      </c>
    </row>
    <row r="203" spans="1:54" x14ac:dyDescent="0.2">
      <c r="A203" s="84"/>
      <c r="B203" s="85"/>
      <c r="C203" s="85"/>
      <c r="D203" s="85"/>
      <c r="E203" s="86"/>
      <c r="F203" s="16">
        <f>IF(E203="","",DATEDIF(E203,$I$7,"Y"))</f>
      </c>
      <c r="G203" s="85"/>
      <c r="H203" s="85"/>
      <c r="I203" s="87"/>
      <c r="J203" s="85"/>
      <c r="K203" s="85"/>
      <c r="L203" s="10"/>
      <c r="M203" s="10"/>
      <c r="N203" s="10"/>
      <c r="O203" s="10"/>
      <c r="P203" s="85"/>
      <c r="Q203" s="88"/>
      <c r="R203" s="3">
        <f>IFERROR(VLOOKUP(TablaNoviembre[[#This Row],[BARRIO]],SECTOR!$A:$B,2,0),"")</f>
      </c>
      <c r="S203" s="89"/>
      <c r="T203" s="90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6"/>
      <c r="AZ203" s="120">
        <f>COUNTIF(U203:AY203,"A")</f>
      </c>
      <c r="BA203" s="121">
        <f>COUNTIF(U203:AY203,"F")</f>
      </c>
      <c r="BB203" s="119">
        <f>COUNTIF(U203:AY203,"E")</f>
      </c>
    </row>
    <row r="204" spans="1:54" x14ac:dyDescent="0.2">
      <c r="A204" s="84"/>
      <c r="B204" s="85"/>
      <c r="C204" s="85"/>
      <c r="D204" s="85"/>
      <c r="E204" s="86"/>
      <c r="F204" s="16">
        <f>IF(E204="","",DATEDIF(E204,$I$7,"Y"))</f>
      </c>
      <c r="G204" s="85"/>
      <c r="H204" s="85"/>
      <c r="I204" s="87"/>
      <c r="J204" s="85"/>
      <c r="K204" s="85"/>
      <c r="L204" s="10"/>
      <c r="M204" s="10"/>
      <c r="N204" s="10"/>
      <c r="O204" s="10"/>
      <c r="P204" s="85"/>
      <c r="Q204" s="88"/>
      <c r="R204" s="3">
        <f>IFERROR(VLOOKUP(TablaNoviembre[[#This Row],[BARRIO]],SECTOR!$A:$B,2,0),"")</f>
      </c>
      <c r="S204" s="89"/>
      <c r="T204" s="90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6"/>
      <c r="AZ204" s="120">
        <f>COUNTIF(U204:AY204,"A")</f>
      </c>
      <c r="BA204" s="121">
        <f>COUNTIF(U204:AY204,"F")</f>
      </c>
      <c r="BB204" s="119">
        <f>COUNTIF(U204:AY204,"E")</f>
      </c>
    </row>
    <row r="205" spans="1:54" x14ac:dyDescent="0.2">
      <c r="A205" s="84"/>
      <c r="B205" s="85"/>
      <c r="C205" s="85"/>
      <c r="D205" s="85"/>
      <c r="E205" s="86"/>
      <c r="F205" s="16">
        <f>IF(E205="","",DATEDIF(E205,$I$7,"Y"))</f>
      </c>
      <c r="G205" s="85"/>
      <c r="H205" s="85"/>
      <c r="I205" s="87"/>
      <c r="J205" s="85"/>
      <c r="K205" s="85"/>
      <c r="L205" s="10"/>
      <c r="M205" s="10"/>
      <c r="N205" s="10"/>
      <c r="O205" s="10"/>
      <c r="P205" s="85"/>
      <c r="Q205" s="88"/>
      <c r="R205" s="3">
        <f>IFERROR(VLOOKUP(TablaNoviembre[[#This Row],[BARRIO]],SECTOR!$A:$B,2,0),"")</f>
      </c>
      <c r="S205" s="89"/>
      <c r="T205" s="90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6"/>
      <c r="AZ205" s="120">
        <f>COUNTIF(U205:AY205,"A")</f>
      </c>
      <c r="BA205" s="121">
        <f>COUNTIF(U205:AY205,"F")</f>
      </c>
      <c r="BB205" s="119">
        <f>COUNTIF(U205:AY205,"E")</f>
      </c>
    </row>
    <row r="206" spans="1:54" x14ac:dyDescent="0.2">
      <c r="A206" s="84"/>
      <c r="B206" s="85"/>
      <c r="C206" s="85"/>
      <c r="D206" s="85"/>
      <c r="E206" s="86"/>
      <c r="F206" s="16">
        <f>IF(E206="","",DATEDIF(E206,$I$7,"Y"))</f>
      </c>
      <c r="G206" s="85"/>
      <c r="H206" s="85"/>
      <c r="I206" s="87"/>
      <c r="J206" s="85"/>
      <c r="K206" s="85"/>
      <c r="L206" s="10"/>
      <c r="M206" s="10"/>
      <c r="N206" s="10"/>
      <c r="O206" s="10"/>
      <c r="P206" s="85"/>
      <c r="Q206" s="88"/>
      <c r="R206" s="3">
        <f>IFERROR(VLOOKUP(TablaNoviembre[[#This Row],[BARRIO]],SECTOR!$A:$B,2,0),"")</f>
      </c>
      <c r="S206" s="89"/>
      <c r="T206" s="90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6"/>
      <c r="AZ206" s="120">
        <f>COUNTIF(U206:AY206,"A")</f>
      </c>
      <c r="BA206" s="121">
        <f>COUNTIF(U206:AY206,"F")</f>
      </c>
      <c r="BB206" s="119">
        <f>COUNTIF(U206:AY206,"E")</f>
      </c>
    </row>
    <row r="207" spans="1:54" x14ac:dyDescent="0.2">
      <c r="A207" s="84"/>
      <c r="B207" s="85"/>
      <c r="C207" s="85"/>
      <c r="D207" s="85"/>
      <c r="E207" s="86"/>
      <c r="F207" s="16">
        <f>IF(E207="","",DATEDIF(E207,$I$7,"Y"))</f>
      </c>
      <c r="G207" s="85"/>
      <c r="H207" s="85"/>
      <c r="I207" s="87"/>
      <c r="J207" s="85"/>
      <c r="K207" s="85"/>
      <c r="L207" s="10"/>
      <c r="M207" s="10"/>
      <c r="N207" s="10"/>
      <c r="O207" s="10"/>
      <c r="P207" s="85"/>
      <c r="Q207" s="88"/>
      <c r="R207" s="3">
        <f>IFERROR(VLOOKUP(TablaNoviembre[[#This Row],[BARRIO]],SECTOR!$A:$B,2,0),"")</f>
      </c>
      <c r="S207" s="89"/>
      <c r="T207" s="90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6"/>
      <c r="AZ207" s="120">
        <f>COUNTIF(U207:AY207,"A")</f>
      </c>
      <c r="BA207" s="121">
        <f>COUNTIF(U207:AY207,"F")</f>
      </c>
      <c r="BB207" s="119">
        <f>COUNTIF(U207:AY207,"E")</f>
      </c>
    </row>
    <row r="208" spans="1:54" x14ac:dyDescent="0.2">
      <c r="A208" s="84"/>
      <c r="B208" s="85"/>
      <c r="C208" s="85"/>
      <c r="D208" s="85"/>
      <c r="E208" s="86"/>
      <c r="F208" s="16">
        <f>IF(E208="","",DATEDIF(E208,$I$7,"Y"))</f>
      </c>
      <c r="G208" s="85"/>
      <c r="H208" s="85"/>
      <c r="I208" s="87"/>
      <c r="J208" s="85"/>
      <c r="K208" s="85"/>
      <c r="L208" s="10"/>
      <c r="M208" s="10"/>
      <c r="N208" s="10"/>
      <c r="O208" s="10"/>
      <c r="P208" s="85"/>
      <c r="Q208" s="88"/>
      <c r="R208" s="3">
        <f>IFERROR(VLOOKUP(TablaNoviembre[[#This Row],[BARRIO]],SECTOR!$A:$B,2,0),"")</f>
      </c>
      <c r="S208" s="89"/>
      <c r="T208" s="90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6"/>
      <c r="AZ208" s="120">
        <f>COUNTIF(U208:AY208,"A")</f>
      </c>
      <c r="BA208" s="121">
        <f>COUNTIF(U208:AY208,"F")</f>
      </c>
      <c r="BB208" s="119">
        <f>COUNTIF(U208:AY208,"E")</f>
      </c>
    </row>
    <row r="209" spans="1:54" x14ac:dyDescent="0.2">
      <c r="A209" s="84"/>
      <c r="B209" s="85"/>
      <c r="C209" s="85"/>
      <c r="D209" s="85"/>
      <c r="E209" s="86"/>
      <c r="F209" s="16">
        <f>IF(E209="","",DATEDIF(E209,$I$7,"Y"))</f>
      </c>
      <c r="G209" s="85"/>
      <c r="H209" s="85"/>
      <c r="I209" s="87"/>
      <c r="J209" s="85"/>
      <c r="K209" s="85"/>
      <c r="L209" s="10"/>
      <c r="M209" s="10"/>
      <c r="N209" s="10"/>
      <c r="O209" s="10"/>
      <c r="P209" s="85"/>
      <c r="Q209" s="88"/>
      <c r="R209" s="3">
        <f>IFERROR(VLOOKUP(TablaNoviembre[[#This Row],[BARRIO]],SECTOR!$A:$B,2,0),"")</f>
      </c>
      <c r="S209" s="89"/>
      <c r="T209" s="90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6"/>
      <c r="AZ209" s="120">
        <f>COUNTIF(U209:AY209,"A")</f>
      </c>
      <c r="BA209" s="121">
        <f>COUNTIF(U209:AY209,"F")</f>
      </c>
      <c r="BB209" s="119">
        <f>COUNTIF(U209:AY209,"E")</f>
      </c>
    </row>
    <row r="210" spans="1:54" x14ac:dyDescent="0.2">
      <c r="A210" s="84"/>
      <c r="B210" s="85"/>
      <c r="C210" s="85"/>
      <c r="D210" s="85"/>
      <c r="E210" s="86"/>
      <c r="F210" s="16">
        <f>IF(E210="","",DATEDIF(E210,$I$7,"Y"))</f>
      </c>
      <c r="G210" s="85"/>
      <c r="H210" s="85"/>
      <c r="I210" s="87"/>
      <c r="J210" s="85"/>
      <c r="K210" s="85"/>
      <c r="L210" s="10"/>
      <c r="M210" s="10"/>
      <c r="N210" s="10"/>
      <c r="O210" s="10"/>
      <c r="P210" s="85"/>
      <c r="Q210" s="88"/>
      <c r="R210" s="3">
        <f>IFERROR(VLOOKUP(TablaNoviembre[[#This Row],[BARRIO]],SECTOR!$A:$B,2,0),"")</f>
      </c>
      <c r="S210" s="89"/>
      <c r="T210" s="90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6"/>
      <c r="AZ210" s="120">
        <f>COUNTIF(U210:AY210,"A")</f>
      </c>
      <c r="BA210" s="121">
        <f>COUNTIF(U210:AY210,"F")</f>
      </c>
      <c r="BB210" s="119">
        <f>COUNTIF(U210:AY210,"E")</f>
      </c>
    </row>
    <row r="211" spans="1:54" x14ac:dyDescent="0.2">
      <c r="A211" s="84"/>
      <c r="B211" s="85"/>
      <c r="C211" s="85"/>
      <c r="D211" s="85"/>
      <c r="E211" s="86"/>
      <c r="F211" s="16">
        <f>IF(E211="","",DATEDIF(E211,$I$7,"Y"))</f>
      </c>
      <c r="G211" s="85"/>
      <c r="H211" s="85"/>
      <c r="I211" s="87"/>
      <c r="J211" s="85"/>
      <c r="K211" s="85"/>
      <c r="L211" s="10"/>
      <c r="M211" s="10"/>
      <c r="N211" s="10"/>
      <c r="O211" s="10"/>
      <c r="P211" s="85"/>
      <c r="Q211" s="88"/>
      <c r="R211" s="3">
        <f>IFERROR(VLOOKUP(TablaNoviembre[[#This Row],[BARRIO]],SECTOR!$A:$B,2,0),"")</f>
      </c>
      <c r="S211" s="89"/>
      <c r="T211" s="90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6"/>
      <c r="AZ211" s="120">
        <f>COUNTIF(U211:AY211,"A")</f>
      </c>
      <c r="BA211" s="121">
        <f>COUNTIF(U211:AY211,"F")</f>
      </c>
      <c r="BB211" s="119">
        <f>COUNTIF(U211:AY211,"E")</f>
      </c>
    </row>
    <row r="212" spans="1:54" x14ac:dyDescent="0.2">
      <c r="A212" s="84"/>
      <c r="B212" s="85"/>
      <c r="C212" s="85"/>
      <c r="D212" s="85"/>
      <c r="E212" s="86"/>
      <c r="F212" s="16">
        <f>IF(E212="","",DATEDIF(E212,$I$7,"Y"))</f>
      </c>
      <c r="G212" s="85"/>
      <c r="H212" s="85"/>
      <c r="I212" s="87"/>
      <c r="J212" s="85"/>
      <c r="K212" s="85"/>
      <c r="L212" s="10"/>
      <c r="M212" s="10"/>
      <c r="N212" s="10"/>
      <c r="O212" s="10"/>
      <c r="P212" s="85"/>
      <c r="Q212" s="88"/>
      <c r="R212" s="3">
        <f>IFERROR(VLOOKUP(TablaNoviembre[[#This Row],[BARRIO]],SECTOR!$A:$B,2,0),"")</f>
      </c>
      <c r="S212" s="89"/>
      <c r="T212" s="90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6"/>
      <c r="AZ212" s="120">
        <f>COUNTIF(U212:AY212,"A")</f>
      </c>
      <c r="BA212" s="121">
        <f>COUNTIF(U212:AY212,"F")</f>
      </c>
      <c r="BB212" s="119">
        <f>COUNTIF(U212:AY212,"E")</f>
      </c>
    </row>
    <row r="213" spans="1:54" x14ac:dyDescent="0.2">
      <c r="A213" s="84"/>
      <c r="B213" s="85"/>
      <c r="C213" s="85"/>
      <c r="D213" s="85"/>
      <c r="E213" s="86"/>
      <c r="F213" s="16">
        <f>IF(E213="","",DATEDIF(E213,$I$7,"Y"))</f>
      </c>
      <c r="G213" s="85"/>
      <c r="H213" s="85"/>
      <c r="I213" s="87"/>
      <c r="J213" s="85"/>
      <c r="K213" s="85"/>
      <c r="L213" s="10"/>
      <c r="M213" s="10"/>
      <c r="N213" s="10"/>
      <c r="O213" s="10"/>
      <c r="P213" s="85"/>
      <c r="Q213" s="88"/>
      <c r="R213" s="3">
        <f>IFERROR(VLOOKUP(TablaNoviembre[[#This Row],[BARRIO]],SECTOR!$A:$B,2,0),"")</f>
      </c>
      <c r="S213" s="89"/>
      <c r="T213" s="90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6"/>
      <c r="AZ213" s="120">
        <f>COUNTIF(U213:AY213,"A")</f>
      </c>
      <c r="BA213" s="121">
        <f>COUNTIF(U213:AY213,"F")</f>
      </c>
      <c r="BB213" s="119">
        <f>COUNTIF(U213:AY213,"E")</f>
      </c>
    </row>
    <row r="214" spans="1:54" x14ac:dyDescent="0.2">
      <c r="A214" s="84"/>
      <c r="B214" s="85"/>
      <c r="C214" s="85"/>
      <c r="D214" s="85"/>
      <c r="E214" s="86"/>
      <c r="F214" s="16">
        <f>IF(E214="","",DATEDIF(E214,$I$7,"Y"))</f>
      </c>
      <c r="G214" s="85"/>
      <c r="H214" s="85"/>
      <c r="I214" s="87"/>
      <c r="J214" s="85"/>
      <c r="K214" s="85"/>
      <c r="L214" s="10"/>
      <c r="M214" s="10"/>
      <c r="N214" s="10"/>
      <c r="O214" s="10"/>
      <c r="P214" s="85"/>
      <c r="Q214" s="88"/>
      <c r="R214" s="3">
        <f>IFERROR(VLOOKUP(TablaNoviembre[[#This Row],[BARRIO]],SECTOR!$A:$B,2,0),"")</f>
      </c>
      <c r="S214" s="89"/>
      <c r="T214" s="90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6"/>
      <c r="AZ214" s="120">
        <f>COUNTIF(U214:AY214,"A")</f>
      </c>
      <c r="BA214" s="121">
        <f>COUNTIF(U214:AY214,"F")</f>
      </c>
      <c r="BB214" s="119">
        <f>COUNTIF(U214:AY214,"E")</f>
      </c>
    </row>
    <row r="215" spans="1:54" x14ac:dyDescent="0.2">
      <c r="A215" s="84"/>
      <c r="B215" s="85"/>
      <c r="C215" s="85"/>
      <c r="D215" s="85"/>
      <c r="E215" s="86"/>
      <c r="F215" s="16">
        <f>IF(E215="","",DATEDIF(E215,$I$7,"Y"))</f>
      </c>
      <c r="G215" s="85"/>
      <c r="H215" s="85"/>
      <c r="I215" s="87"/>
      <c r="J215" s="85"/>
      <c r="K215" s="85"/>
      <c r="L215" s="10"/>
      <c r="M215" s="10"/>
      <c r="N215" s="10"/>
      <c r="O215" s="10"/>
      <c r="P215" s="85"/>
      <c r="Q215" s="88"/>
      <c r="R215" s="3">
        <f>IFERROR(VLOOKUP(TablaNoviembre[[#This Row],[BARRIO]],SECTOR!$A:$B,2,0),"")</f>
      </c>
      <c r="S215" s="89"/>
      <c r="T215" s="90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6"/>
      <c r="AZ215" s="120">
        <f>COUNTIF(U215:AY215,"A")</f>
      </c>
      <c r="BA215" s="121">
        <f>COUNTIF(U215:AY215,"F")</f>
      </c>
      <c r="BB215" s="119">
        <f>COUNTIF(U215:AY215,"E")</f>
      </c>
    </row>
    <row r="216" spans="1:54" x14ac:dyDescent="0.2">
      <c r="A216" s="84"/>
      <c r="B216" s="85"/>
      <c r="C216" s="85"/>
      <c r="D216" s="85"/>
      <c r="E216" s="86"/>
      <c r="F216" s="16">
        <f>IF(E216="","",DATEDIF(E216,$I$7,"Y"))</f>
      </c>
      <c r="G216" s="85"/>
      <c r="H216" s="85"/>
      <c r="I216" s="87"/>
      <c r="J216" s="85"/>
      <c r="K216" s="85"/>
      <c r="L216" s="10"/>
      <c r="M216" s="10"/>
      <c r="N216" s="10"/>
      <c r="O216" s="10"/>
      <c r="P216" s="85"/>
      <c r="Q216" s="88"/>
      <c r="R216" s="3">
        <f>IFERROR(VLOOKUP(TablaNoviembre[[#This Row],[BARRIO]],SECTOR!$A:$B,2,0),"")</f>
      </c>
      <c r="S216" s="89"/>
      <c r="T216" s="90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6"/>
      <c r="AZ216" s="120">
        <f>COUNTIF(U216:AY216,"A")</f>
      </c>
      <c r="BA216" s="121">
        <f>COUNTIF(U216:AY216,"F")</f>
      </c>
      <c r="BB216" s="119">
        <f>COUNTIF(U216:AY216,"E")</f>
      </c>
    </row>
    <row r="217" spans="1:54" x14ac:dyDescent="0.2">
      <c r="A217" s="84"/>
      <c r="B217" s="85"/>
      <c r="C217" s="85"/>
      <c r="D217" s="85"/>
      <c r="E217" s="86"/>
      <c r="F217" s="16">
        <f>IF(E217="","",DATEDIF(E217,$I$7,"Y"))</f>
      </c>
      <c r="G217" s="85"/>
      <c r="H217" s="85"/>
      <c r="I217" s="87"/>
      <c r="J217" s="85"/>
      <c r="K217" s="85"/>
      <c r="L217" s="10"/>
      <c r="M217" s="10"/>
      <c r="N217" s="10"/>
      <c r="O217" s="10"/>
      <c r="P217" s="85"/>
      <c r="Q217" s="88"/>
      <c r="R217" s="3">
        <f>IFERROR(VLOOKUP(TablaNoviembre[[#This Row],[BARRIO]],SECTOR!$A:$B,2,0),"")</f>
      </c>
      <c r="S217" s="89"/>
      <c r="T217" s="90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6"/>
      <c r="AZ217" s="120">
        <f>COUNTIF(U217:AY217,"A")</f>
      </c>
      <c r="BA217" s="121">
        <f>COUNTIF(U217:AY217,"F")</f>
      </c>
      <c r="BB217" s="119">
        <f>COUNTIF(U217:AY217,"E")</f>
      </c>
    </row>
    <row r="218" spans="1:54" x14ac:dyDescent="0.2">
      <c r="A218" s="84"/>
      <c r="B218" s="85"/>
      <c r="C218" s="85"/>
      <c r="D218" s="85"/>
      <c r="E218" s="86"/>
      <c r="F218" s="16">
        <f>IF(E218="","",DATEDIF(E218,$I$7,"Y"))</f>
      </c>
      <c r="G218" s="85"/>
      <c r="H218" s="85"/>
      <c r="I218" s="87"/>
      <c r="J218" s="85"/>
      <c r="K218" s="85"/>
      <c r="L218" s="10"/>
      <c r="M218" s="10"/>
      <c r="N218" s="10"/>
      <c r="O218" s="10"/>
      <c r="P218" s="85"/>
      <c r="Q218" s="88"/>
      <c r="R218" s="3">
        <f>IFERROR(VLOOKUP(TablaNoviembre[[#This Row],[BARRIO]],SECTOR!$A:$B,2,0),"")</f>
      </c>
      <c r="S218" s="89"/>
      <c r="T218" s="90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6"/>
      <c r="AZ218" s="120">
        <f>COUNTIF(U218:AY218,"A")</f>
      </c>
      <c r="BA218" s="121">
        <f>COUNTIF(U218:AY218,"F")</f>
      </c>
      <c r="BB218" s="119">
        <f>COUNTIF(U218:AY218,"E")</f>
      </c>
    </row>
    <row r="219" spans="1:54" x14ac:dyDescent="0.2">
      <c r="A219" s="84"/>
      <c r="B219" s="85"/>
      <c r="C219" s="85"/>
      <c r="D219" s="85"/>
      <c r="E219" s="86"/>
      <c r="F219" s="16">
        <f>IF(E219="","",DATEDIF(E219,$I$7,"Y"))</f>
      </c>
      <c r="G219" s="85"/>
      <c r="H219" s="85"/>
      <c r="I219" s="87"/>
      <c r="J219" s="85"/>
      <c r="K219" s="85"/>
      <c r="L219" s="10"/>
      <c r="M219" s="10"/>
      <c r="N219" s="10"/>
      <c r="O219" s="10"/>
      <c r="P219" s="85"/>
      <c r="Q219" s="88"/>
      <c r="R219" s="3">
        <f>IFERROR(VLOOKUP(TablaNoviembre[[#This Row],[BARRIO]],SECTOR!$A:$B,2,0),"")</f>
      </c>
      <c r="S219" s="89"/>
      <c r="T219" s="90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6"/>
      <c r="AZ219" s="120">
        <f>COUNTIF(U219:AY219,"A")</f>
      </c>
      <c r="BA219" s="121">
        <f>COUNTIF(U219:AY219,"F")</f>
      </c>
      <c r="BB219" s="119">
        <f>COUNTIF(U219:AY219,"E")</f>
      </c>
    </row>
    <row r="220" spans="1:54" x14ac:dyDescent="0.2">
      <c r="A220" s="84"/>
      <c r="B220" s="85"/>
      <c r="C220" s="85"/>
      <c r="D220" s="85"/>
      <c r="E220" s="86"/>
      <c r="F220" s="16">
        <f>IF(E220="","",DATEDIF(E220,$I$7,"Y"))</f>
      </c>
      <c r="G220" s="85"/>
      <c r="H220" s="85"/>
      <c r="I220" s="87"/>
      <c r="J220" s="85"/>
      <c r="K220" s="85"/>
      <c r="L220" s="10"/>
      <c r="M220" s="10"/>
      <c r="N220" s="10"/>
      <c r="O220" s="10"/>
      <c r="P220" s="85"/>
      <c r="Q220" s="88"/>
      <c r="R220" s="3">
        <f>IFERROR(VLOOKUP(TablaNoviembre[[#This Row],[BARRIO]],SECTOR!$A:$B,2,0),"")</f>
      </c>
      <c r="S220" s="89"/>
      <c r="T220" s="90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6"/>
      <c r="AZ220" s="120">
        <f>COUNTIF(U220:AY220,"A")</f>
      </c>
      <c r="BA220" s="121">
        <f>COUNTIF(U220:AY220,"F")</f>
      </c>
      <c r="BB220" s="119">
        <f>COUNTIF(U220:AY220,"E")</f>
      </c>
    </row>
    <row r="221" spans="1:54" x14ac:dyDescent="0.2">
      <c r="A221" s="84"/>
      <c r="B221" s="85"/>
      <c r="C221" s="85"/>
      <c r="D221" s="85"/>
      <c r="E221" s="86"/>
      <c r="F221" s="16">
        <f>IF(E221="","",DATEDIF(E221,$I$7,"Y"))</f>
      </c>
      <c r="G221" s="85"/>
      <c r="H221" s="85"/>
      <c r="I221" s="87"/>
      <c r="J221" s="85"/>
      <c r="K221" s="85"/>
      <c r="L221" s="10"/>
      <c r="M221" s="10"/>
      <c r="N221" s="10"/>
      <c r="O221" s="10"/>
      <c r="P221" s="85"/>
      <c r="Q221" s="88"/>
      <c r="R221" s="3">
        <f>IFERROR(VLOOKUP(TablaNoviembre[[#This Row],[BARRIO]],SECTOR!$A:$B,2,0),"")</f>
      </c>
      <c r="S221" s="89"/>
      <c r="T221" s="90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6"/>
      <c r="AZ221" s="120">
        <f>COUNTIF(U221:AY221,"A")</f>
      </c>
      <c r="BA221" s="121">
        <f>COUNTIF(U221:AY221,"F")</f>
      </c>
      <c r="BB221" s="119">
        <f>COUNTIF(U221:AY221,"E")</f>
      </c>
    </row>
    <row r="222" spans="1:54" x14ac:dyDescent="0.2">
      <c r="A222" s="84"/>
      <c r="B222" s="85"/>
      <c r="C222" s="85"/>
      <c r="D222" s="85"/>
      <c r="E222" s="86"/>
      <c r="F222" s="16">
        <f>IF(E222="","",DATEDIF(E222,$I$7,"Y"))</f>
      </c>
      <c r="G222" s="85"/>
      <c r="H222" s="85"/>
      <c r="I222" s="87"/>
      <c r="J222" s="85"/>
      <c r="K222" s="85"/>
      <c r="L222" s="10"/>
      <c r="M222" s="10"/>
      <c r="N222" s="10"/>
      <c r="O222" s="10"/>
      <c r="P222" s="85"/>
      <c r="Q222" s="88"/>
      <c r="R222" s="3">
        <f>IFERROR(VLOOKUP(TablaNoviembre[[#This Row],[BARRIO]],SECTOR!$A:$B,2,0),"")</f>
      </c>
      <c r="S222" s="89"/>
      <c r="T222" s="90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6"/>
      <c r="AZ222" s="120">
        <f>COUNTIF(U222:AY222,"A")</f>
      </c>
      <c r="BA222" s="121">
        <f>COUNTIF(U222:AY222,"F")</f>
      </c>
      <c r="BB222" s="119">
        <f>COUNTIF(U222:AY222,"E")</f>
      </c>
    </row>
    <row r="223" spans="1:54" x14ac:dyDescent="0.2">
      <c r="A223" s="84"/>
      <c r="B223" s="85"/>
      <c r="C223" s="85"/>
      <c r="D223" s="85"/>
      <c r="E223" s="86"/>
      <c r="F223" s="16">
        <f>IF(E223="","",DATEDIF(E223,$I$7,"Y"))</f>
      </c>
      <c r="G223" s="85"/>
      <c r="H223" s="85"/>
      <c r="I223" s="87"/>
      <c r="J223" s="85"/>
      <c r="K223" s="85"/>
      <c r="L223" s="10"/>
      <c r="M223" s="10"/>
      <c r="N223" s="10"/>
      <c r="O223" s="10"/>
      <c r="P223" s="85"/>
      <c r="Q223" s="88"/>
      <c r="R223" s="3">
        <f>IFERROR(VLOOKUP(TablaNoviembre[[#This Row],[BARRIO]],SECTOR!$A:$B,2,0),"")</f>
      </c>
      <c r="S223" s="89"/>
      <c r="T223" s="90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6"/>
      <c r="AZ223" s="120">
        <f>COUNTIF(U223:AY223,"A")</f>
      </c>
      <c r="BA223" s="121">
        <f>COUNTIF(U223:AY223,"F")</f>
      </c>
      <c r="BB223" s="119">
        <f>COUNTIF(U223:AY223,"E")</f>
      </c>
    </row>
    <row r="224" spans="1:54" x14ac:dyDescent="0.2">
      <c r="A224" s="84"/>
      <c r="B224" s="85"/>
      <c r="C224" s="85"/>
      <c r="D224" s="85"/>
      <c r="E224" s="86"/>
      <c r="F224" s="16">
        <f>IF(E224="","",DATEDIF(E224,$I$7,"Y"))</f>
      </c>
      <c r="G224" s="85"/>
      <c r="H224" s="85"/>
      <c r="I224" s="87"/>
      <c r="J224" s="85"/>
      <c r="K224" s="85"/>
      <c r="L224" s="10"/>
      <c r="M224" s="10"/>
      <c r="N224" s="10"/>
      <c r="O224" s="10"/>
      <c r="P224" s="85"/>
      <c r="Q224" s="88"/>
      <c r="R224" s="3">
        <f>IFERROR(VLOOKUP(TablaNoviembre[[#This Row],[BARRIO]],SECTOR!$A:$B,2,0),"")</f>
      </c>
      <c r="S224" s="89"/>
      <c r="T224" s="90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6"/>
      <c r="AZ224" s="120">
        <f>COUNTIF(U224:AY224,"A")</f>
      </c>
      <c r="BA224" s="121">
        <f>COUNTIF(U224:AY224,"F")</f>
      </c>
      <c r="BB224" s="119">
        <f>COUNTIF(U224:AY224,"E")</f>
      </c>
    </row>
    <row r="225" spans="1:54" x14ac:dyDescent="0.2">
      <c r="A225" s="84"/>
      <c r="B225" s="85"/>
      <c r="C225" s="85"/>
      <c r="D225" s="85"/>
      <c r="E225" s="86"/>
      <c r="F225" s="16">
        <f>IF(E225="","",DATEDIF(E225,$I$7,"Y"))</f>
      </c>
      <c r="G225" s="85"/>
      <c r="H225" s="85"/>
      <c r="I225" s="87"/>
      <c r="J225" s="85"/>
      <c r="K225" s="85"/>
      <c r="L225" s="10"/>
      <c r="M225" s="10"/>
      <c r="N225" s="10"/>
      <c r="O225" s="10"/>
      <c r="P225" s="85"/>
      <c r="Q225" s="88"/>
      <c r="R225" s="3">
        <f>IFERROR(VLOOKUP(TablaNoviembre[[#This Row],[BARRIO]],SECTOR!$A:$B,2,0),"")</f>
      </c>
      <c r="S225" s="89"/>
      <c r="T225" s="90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6"/>
      <c r="AZ225" s="120">
        <f>COUNTIF(U225:AY225,"A")</f>
      </c>
      <c r="BA225" s="121">
        <f>COUNTIF(U225:AY225,"F")</f>
      </c>
      <c r="BB225" s="119">
        <f>COUNTIF(U225:AY225,"E")</f>
      </c>
    </row>
    <row r="226" spans="1:54" x14ac:dyDescent="0.2">
      <c r="A226" s="84"/>
      <c r="B226" s="85"/>
      <c r="C226" s="85"/>
      <c r="D226" s="85"/>
      <c r="E226" s="86"/>
      <c r="F226" s="16">
        <f>IF(E226="","",DATEDIF(E226,$I$7,"Y"))</f>
      </c>
      <c r="G226" s="85"/>
      <c r="H226" s="85"/>
      <c r="I226" s="87"/>
      <c r="J226" s="85"/>
      <c r="K226" s="85"/>
      <c r="L226" s="10"/>
      <c r="M226" s="10"/>
      <c r="N226" s="10"/>
      <c r="O226" s="10"/>
      <c r="P226" s="85"/>
      <c r="Q226" s="88"/>
      <c r="R226" s="3">
        <f>IFERROR(VLOOKUP(TablaNoviembre[[#This Row],[BARRIO]],SECTOR!$A:$B,2,0),"")</f>
      </c>
      <c r="S226" s="89"/>
      <c r="T226" s="90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6"/>
      <c r="AZ226" s="120">
        <f>COUNTIF(U226:AY226,"A")</f>
      </c>
      <c r="BA226" s="121">
        <f>COUNTIF(U226:AY226,"F")</f>
      </c>
      <c r="BB226" s="119">
        <f>COUNTIF(U226:AY226,"E")</f>
      </c>
    </row>
    <row r="227" spans="1:54" x14ac:dyDescent="0.2">
      <c r="A227" s="84"/>
      <c r="B227" s="85"/>
      <c r="C227" s="85"/>
      <c r="D227" s="85"/>
      <c r="E227" s="86"/>
      <c r="F227" s="16">
        <f>IF(E227="","",DATEDIF(E227,$I$7,"Y"))</f>
      </c>
      <c r="G227" s="85"/>
      <c r="H227" s="85"/>
      <c r="I227" s="87"/>
      <c r="J227" s="85"/>
      <c r="K227" s="85"/>
      <c r="L227" s="10"/>
      <c r="M227" s="10"/>
      <c r="N227" s="10"/>
      <c r="O227" s="10"/>
      <c r="P227" s="85"/>
      <c r="Q227" s="88"/>
      <c r="R227" s="3">
        <f>IFERROR(VLOOKUP(TablaNoviembre[[#This Row],[BARRIO]],SECTOR!$A:$B,2,0),"")</f>
      </c>
      <c r="S227" s="89"/>
      <c r="T227" s="90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6"/>
      <c r="AZ227" s="120">
        <f>COUNTIF(U227:AY227,"A")</f>
      </c>
      <c r="BA227" s="121">
        <f>COUNTIF(U227:AY227,"F")</f>
      </c>
      <c r="BB227" s="119">
        <f>COUNTIF(U227:AY227,"E")</f>
      </c>
    </row>
    <row r="228" spans="1:54" x14ac:dyDescent="0.2">
      <c r="A228" s="84"/>
      <c r="B228" s="85"/>
      <c r="C228" s="85"/>
      <c r="D228" s="85"/>
      <c r="E228" s="86"/>
      <c r="F228" s="16">
        <f>IF(E228="","",DATEDIF(E228,$I$7,"Y"))</f>
      </c>
      <c r="G228" s="85"/>
      <c r="H228" s="85"/>
      <c r="I228" s="87"/>
      <c r="J228" s="85"/>
      <c r="K228" s="85"/>
      <c r="L228" s="10"/>
      <c r="M228" s="10"/>
      <c r="N228" s="10"/>
      <c r="O228" s="10"/>
      <c r="P228" s="85"/>
      <c r="Q228" s="88"/>
      <c r="R228" s="3">
        <f>IFERROR(VLOOKUP(TablaNoviembre[[#This Row],[BARRIO]],SECTOR!$A:$B,2,0),"")</f>
      </c>
      <c r="S228" s="89"/>
      <c r="T228" s="90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6"/>
      <c r="AZ228" s="120">
        <f>COUNTIF(U228:AY228,"A")</f>
      </c>
      <c r="BA228" s="121">
        <f>COUNTIF(U228:AY228,"F")</f>
      </c>
      <c r="BB228" s="119">
        <f>COUNTIF(U228:AY228,"E")</f>
      </c>
    </row>
    <row r="229" spans="1:54" x14ac:dyDescent="0.2">
      <c r="A229" s="84"/>
      <c r="B229" s="85"/>
      <c r="C229" s="85"/>
      <c r="D229" s="85"/>
      <c r="E229" s="86"/>
      <c r="F229" s="16">
        <f>IF(E229="","",DATEDIF(E229,$I$7,"Y"))</f>
      </c>
      <c r="G229" s="85"/>
      <c r="H229" s="85"/>
      <c r="I229" s="87"/>
      <c r="J229" s="85"/>
      <c r="K229" s="85"/>
      <c r="L229" s="10"/>
      <c r="M229" s="10"/>
      <c r="N229" s="10"/>
      <c r="O229" s="10"/>
      <c r="P229" s="85"/>
      <c r="Q229" s="88"/>
      <c r="R229" s="3">
        <f>IFERROR(VLOOKUP(TablaNoviembre[[#This Row],[BARRIO]],SECTOR!$A:$B,2,0),"")</f>
      </c>
      <c r="S229" s="89"/>
      <c r="T229" s="90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6"/>
      <c r="AZ229" s="120">
        <f>COUNTIF(U229:AY229,"A")</f>
      </c>
      <c r="BA229" s="121">
        <f>COUNTIF(U229:AY229,"F")</f>
      </c>
      <c r="BB229" s="119">
        <f>COUNTIF(U229:AY229,"E")</f>
      </c>
    </row>
    <row r="230" spans="1:54" x14ac:dyDescent="0.2">
      <c r="A230" s="84"/>
      <c r="B230" s="85"/>
      <c r="C230" s="85"/>
      <c r="D230" s="85"/>
      <c r="E230" s="86"/>
      <c r="F230" s="16">
        <f>IF(E230="","",DATEDIF(E230,$I$7,"Y"))</f>
      </c>
      <c r="G230" s="85"/>
      <c r="H230" s="85"/>
      <c r="I230" s="87"/>
      <c r="J230" s="85"/>
      <c r="K230" s="85"/>
      <c r="L230" s="10"/>
      <c r="M230" s="10"/>
      <c r="N230" s="10"/>
      <c r="O230" s="10"/>
      <c r="P230" s="85"/>
      <c r="Q230" s="88"/>
      <c r="R230" s="3">
        <f>IFERROR(VLOOKUP(TablaNoviembre[[#This Row],[BARRIO]],SECTOR!$A:$B,2,0),"")</f>
      </c>
      <c r="S230" s="89"/>
      <c r="T230" s="90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6"/>
      <c r="AZ230" s="120">
        <f>COUNTIF(U230:AY230,"A")</f>
      </c>
      <c r="BA230" s="121">
        <f>COUNTIF(U230:AY230,"F")</f>
      </c>
      <c r="BB230" s="119">
        <f>COUNTIF(U230:AY230,"E")</f>
      </c>
    </row>
    <row r="231" spans="1:54" x14ac:dyDescent="0.2">
      <c r="A231" s="84"/>
      <c r="B231" s="85"/>
      <c r="C231" s="85"/>
      <c r="D231" s="85"/>
      <c r="E231" s="86"/>
      <c r="F231" s="16">
        <f>IF(E231="","",DATEDIF(E231,$I$7,"Y"))</f>
      </c>
      <c r="G231" s="85"/>
      <c r="H231" s="85"/>
      <c r="I231" s="87"/>
      <c r="J231" s="85"/>
      <c r="K231" s="85"/>
      <c r="L231" s="10"/>
      <c r="M231" s="10"/>
      <c r="N231" s="10"/>
      <c r="O231" s="10"/>
      <c r="P231" s="85"/>
      <c r="Q231" s="88"/>
      <c r="R231" s="3">
        <f>IFERROR(VLOOKUP(TablaNoviembre[[#This Row],[BARRIO]],SECTOR!$A:$B,2,0),"")</f>
      </c>
      <c r="S231" s="89"/>
      <c r="T231" s="90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6"/>
      <c r="AZ231" s="120">
        <f>COUNTIF(U231:AY231,"A")</f>
      </c>
      <c r="BA231" s="121">
        <f>COUNTIF(U231:AY231,"F")</f>
      </c>
      <c r="BB231" s="119">
        <f>COUNTIF(U231:AY231,"E")</f>
      </c>
    </row>
    <row r="232" spans="1:54" x14ac:dyDescent="0.2">
      <c r="A232" s="84"/>
      <c r="B232" s="85"/>
      <c r="C232" s="85"/>
      <c r="D232" s="85"/>
      <c r="E232" s="86"/>
      <c r="F232" s="16">
        <f>IF(E232="","",DATEDIF(E232,$I$7,"Y"))</f>
      </c>
      <c r="G232" s="85"/>
      <c r="H232" s="85"/>
      <c r="I232" s="87"/>
      <c r="J232" s="85"/>
      <c r="K232" s="85"/>
      <c r="L232" s="10"/>
      <c r="M232" s="10"/>
      <c r="N232" s="10"/>
      <c r="O232" s="10"/>
      <c r="P232" s="85"/>
      <c r="Q232" s="88"/>
      <c r="R232" s="3">
        <f>IFERROR(VLOOKUP(TablaNoviembre[[#This Row],[BARRIO]],SECTOR!$A:$B,2,0),"")</f>
      </c>
      <c r="S232" s="89"/>
      <c r="T232" s="90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6"/>
      <c r="AZ232" s="120">
        <f>COUNTIF(U232:AY232,"A")</f>
      </c>
      <c r="BA232" s="121">
        <f>COUNTIF(U232:AY232,"F")</f>
      </c>
      <c r="BB232" s="119">
        <f>COUNTIF(U232:AY232,"E")</f>
      </c>
    </row>
    <row r="233" spans="1:54" x14ac:dyDescent="0.2">
      <c r="A233" s="84"/>
      <c r="B233" s="85"/>
      <c r="C233" s="85"/>
      <c r="D233" s="85"/>
      <c r="E233" s="86"/>
      <c r="F233" s="16">
        <f>IF(E233="","",DATEDIF(E233,$I$7,"Y"))</f>
      </c>
      <c r="G233" s="85"/>
      <c r="H233" s="85"/>
      <c r="I233" s="87"/>
      <c r="J233" s="85"/>
      <c r="K233" s="85"/>
      <c r="L233" s="10"/>
      <c r="M233" s="10"/>
      <c r="N233" s="10"/>
      <c r="O233" s="10"/>
      <c r="P233" s="85"/>
      <c r="Q233" s="88"/>
      <c r="R233" s="3">
        <f>IFERROR(VLOOKUP(TablaNoviembre[[#This Row],[BARRIO]],SECTOR!$A:$B,2,0),"")</f>
      </c>
      <c r="S233" s="89"/>
      <c r="T233" s="90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6"/>
      <c r="AZ233" s="120">
        <f>COUNTIF(U233:AY233,"A")</f>
      </c>
      <c r="BA233" s="121">
        <f>COUNTIF(U233:AY233,"F")</f>
      </c>
      <c r="BB233" s="119">
        <f>COUNTIF(U233:AY233,"E")</f>
      </c>
    </row>
    <row r="234" spans="1:54" x14ac:dyDescent="0.2">
      <c r="A234" s="84"/>
      <c r="B234" s="85"/>
      <c r="C234" s="85"/>
      <c r="D234" s="85"/>
      <c r="E234" s="86"/>
      <c r="F234" s="16">
        <f>IF(E234="","",DATEDIF(E234,$I$7,"Y"))</f>
      </c>
      <c r="G234" s="85"/>
      <c r="H234" s="85"/>
      <c r="I234" s="87"/>
      <c r="J234" s="85"/>
      <c r="K234" s="85"/>
      <c r="L234" s="10"/>
      <c r="M234" s="10"/>
      <c r="N234" s="10"/>
      <c r="O234" s="10"/>
      <c r="P234" s="85"/>
      <c r="Q234" s="88"/>
      <c r="R234" s="3">
        <f>IFERROR(VLOOKUP(TablaNoviembre[[#This Row],[BARRIO]],SECTOR!$A:$B,2,0),"")</f>
      </c>
      <c r="S234" s="89"/>
      <c r="T234" s="90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6"/>
      <c r="AZ234" s="120">
        <f>COUNTIF(U234:AY234,"A")</f>
      </c>
      <c r="BA234" s="121">
        <f>COUNTIF(U234:AY234,"F")</f>
      </c>
      <c r="BB234" s="119">
        <f>COUNTIF(U234:AY234,"E")</f>
      </c>
    </row>
    <row r="235" spans="1:54" x14ac:dyDescent="0.2">
      <c r="A235" s="84"/>
      <c r="B235" s="85"/>
      <c r="C235" s="85"/>
      <c r="D235" s="85"/>
      <c r="E235" s="86"/>
      <c r="F235" s="16">
        <f>IF(E235="","",DATEDIF(E235,$I$7,"Y"))</f>
      </c>
      <c r="G235" s="85"/>
      <c r="H235" s="85"/>
      <c r="I235" s="87"/>
      <c r="J235" s="85"/>
      <c r="K235" s="85"/>
      <c r="L235" s="10"/>
      <c r="M235" s="10"/>
      <c r="N235" s="10"/>
      <c r="O235" s="10"/>
      <c r="P235" s="85"/>
      <c r="Q235" s="88"/>
      <c r="R235" s="3">
        <f>IFERROR(VLOOKUP(TablaNoviembre[[#This Row],[BARRIO]],SECTOR!$A:$B,2,0),"")</f>
      </c>
      <c r="S235" s="89"/>
      <c r="T235" s="90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6"/>
      <c r="AZ235" s="120">
        <f>COUNTIF(U235:AY235,"A")</f>
      </c>
      <c r="BA235" s="121">
        <f>COUNTIF(U235:AY235,"F")</f>
      </c>
      <c r="BB235" s="119">
        <f>COUNTIF(U235:AY235,"E")</f>
      </c>
    </row>
    <row r="236" spans="1:54" x14ac:dyDescent="0.2">
      <c r="A236" s="84"/>
      <c r="B236" s="85"/>
      <c r="C236" s="85"/>
      <c r="D236" s="85"/>
      <c r="E236" s="86"/>
      <c r="F236" s="16">
        <f>IF(E236="","",DATEDIF(E236,$I$7,"Y"))</f>
      </c>
      <c r="G236" s="85"/>
      <c r="H236" s="85"/>
      <c r="I236" s="87"/>
      <c r="J236" s="85"/>
      <c r="K236" s="85"/>
      <c r="L236" s="10"/>
      <c r="M236" s="10"/>
      <c r="N236" s="10"/>
      <c r="O236" s="10"/>
      <c r="P236" s="85"/>
      <c r="Q236" s="88"/>
      <c r="R236" s="3">
        <f>IFERROR(VLOOKUP(TablaNoviembre[[#This Row],[BARRIO]],SECTOR!$A:$B,2,0),"")</f>
      </c>
      <c r="S236" s="89"/>
      <c r="T236" s="90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6"/>
      <c r="AZ236" s="120">
        <f>COUNTIF(U236:AY236,"A")</f>
      </c>
      <c r="BA236" s="121">
        <f>COUNTIF(U236:AY236,"F")</f>
      </c>
      <c r="BB236" s="119">
        <f>COUNTIF(U236:AY236,"E")</f>
      </c>
    </row>
    <row r="237" spans="1:54" x14ac:dyDescent="0.2">
      <c r="A237" s="84"/>
      <c r="B237" s="85"/>
      <c r="C237" s="85"/>
      <c r="D237" s="85"/>
      <c r="E237" s="86"/>
      <c r="F237" s="16">
        <f>IF(E237="","",DATEDIF(E237,$I$7,"Y"))</f>
      </c>
      <c r="G237" s="85"/>
      <c r="H237" s="85"/>
      <c r="I237" s="87"/>
      <c r="J237" s="85"/>
      <c r="K237" s="85"/>
      <c r="L237" s="10"/>
      <c r="M237" s="10"/>
      <c r="N237" s="10"/>
      <c r="O237" s="10"/>
      <c r="P237" s="85"/>
      <c r="Q237" s="88"/>
      <c r="R237" s="3">
        <f>IFERROR(VLOOKUP(TablaNoviembre[[#This Row],[BARRIO]],SECTOR!$A:$B,2,0),"")</f>
      </c>
      <c r="S237" s="89"/>
      <c r="T237" s="90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6"/>
      <c r="AZ237" s="120">
        <f>COUNTIF(U237:AY237,"A")</f>
      </c>
      <c r="BA237" s="121">
        <f>COUNTIF(U237:AY237,"F")</f>
      </c>
      <c r="BB237" s="119">
        <f>COUNTIF(U237:AY237,"E")</f>
      </c>
    </row>
    <row r="238" spans="1:54" x14ac:dyDescent="0.2">
      <c r="A238" s="84"/>
      <c r="B238" s="85"/>
      <c r="C238" s="85"/>
      <c r="D238" s="85"/>
      <c r="E238" s="86"/>
      <c r="F238" s="16">
        <f>IF(E238="","",DATEDIF(E238,$I$7,"Y"))</f>
      </c>
      <c r="G238" s="85"/>
      <c r="H238" s="85"/>
      <c r="I238" s="87"/>
      <c r="J238" s="85"/>
      <c r="K238" s="85"/>
      <c r="L238" s="10"/>
      <c r="M238" s="10"/>
      <c r="N238" s="10"/>
      <c r="O238" s="10"/>
      <c r="P238" s="85"/>
      <c r="Q238" s="88"/>
      <c r="R238" s="3">
        <f>IFERROR(VLOOKUP(TablaNoviembre[[#This Row],[BARRIO]],SECTOR!$A:$B,2,0),"")</f>
      </c>
      <c r="S238" s="89"/>
      <c r="T238" s="90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6"/>
      <c r="AZ238" s="120">
        <f>COUNTIF(U238:AY238,"A")</f>
      </c>
      <c r="BA238" s="121">
        <f>COUNTIF(U238:AY238,"F")</f>
      </c>
      <c r="BB238" s="119">
        <f>COUNTIF(U238:AY238,"E")</f>
      </c>
    </row>
    <row r="239" spans="1:54" x14ac:dyDescent="0.2">
      <c r="A239" s="84"/>
      <c r="B239" s="85"/>
      <c r="C239" s="85"/>
      <c r="D239" s="85"/>
      <c r="E239" s="86"/>
      <c r="F239" s="16">
        <f>IF(E239="","",DATEDIF(E239,$I$7,"Y"))</f>
      </c>
      <c r="G239" s="85"/>
      <c r="H239" s="85"/>
      <c r="I239" s="87"/>
      <c r="J239" s="85"/>
      <c r="K239" s="85"/>
      <c r="L239" s="10"/>
      <c r="M239" s="10"/>
      <c r="N239" s="10"/>
      <c r="O239" s="10"/>
      <c r="P239" s="85"/>
      <c r="Q239" s="88"/>
      <c r="R239" s="3">
        <f>IFERROR(VLOOKUP(TablaNoviembre[[#This Row],[BARRIO]],SECTOR!$A:$B,2,0),"")</f>
      </c>
      <c r="S239" s="89"/>
      <c r="T239" s="90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6"/>
      <c r="AZ239" s="120">
        <f>COUNTIF(U239:AY239,"A")</f>
      </c>
      <c r="BA239" s="121">
        <f>COUNTIF(U239:AY239,"F")</f>
      </c>
      <c r="BB239" s="119">
        <f>COUNTIF(U239:AY239,"E")</f>
      </c>
    </row>
    <row r="240" spans="1:54" x14ac:dyDescent="0.2">
      <c r="A240" s="84"/>
      <c r="B240" s="85"/>
      <c r="C240" s="85"/>
      <c r="D240" s="85"/>
      <c r="E240" s="86"/>
      <c r="F240" s="16">
        <f>IF(E240="","",DATEDIF(E240,$I$7,"Y"))</f>
      </c>
      <c r="G240" s="85"/>
      <c r="H240" s="85"/>
      <c r="I240" s="87"/>
      <c r="J240" s="85"/>
      <c r="K240" s="85"/>
      <c r="L240" s="10"/>
      <c r="M240" s="10"/>
      <c r="N240" s="10"/>
      <c r="O240" s="10"/>
      <c r="P240" s="85"/>
      <c r="Q240" s="88"/>
      <c r="R240" s="3">
        <f>IFERROR(VLOOKUP(TablaNoviembre[[#This Row],[BARRIO]],SECTOR!$A:$B,2,0),"")</f>
      </c>
      <c r="S240" s="89"/>
      <c r="T240" s="90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6"/>
      <c r="AZ240" s="120">
        <f>COUNTIF(U240:AY240,"A")</f>
      </c>
      <c r="BA240" s="121">
        <f>COUNTIF(U240:AY240,"F")</f>
      </c>
      <c r="BB240" s="119">
        <f>COUNTIF(U240:AY240,"E")</f>
      </c>
    </row>
    <row r="241" spans="1:54" x14ac:dyDescent="0.2">
      <c r="A241" s="84"/>
      <c r="B241" s="85"/>
      <c r="C241" s="85"/>
      <c r="D241" s="85"/>
      <c r="E241" s="86"/>
      <c r="F241" s="16">
        <f>IF(E241="","",DATEDIF(E241,$I$7,"Y"))</f>
      </c>
      <c r="G241" s="85"/>
      <c r="H241" s="85"/>
      <c r="I241" s="87"/>
      <c r="J241" s="85"/>
      <c r="K241" s="85"/>
      <c r="L241" s="10"/>
      <c r="M241" s="10"/>
      <c r="N241" s="10"/>
      <c r="O241" s="10"/>
      <c r="P241" s="85"/>
      <c r="Q241" s="88"/>
      <c r="R241" s="3">
        <f>IFERROR(VLOOKUP(TablaNoviembre[[#This Row],[BARRIO]],SECTOR!$A:$B,2,0),"")</f>
      </c>
      <c r="S241" s="89"/>
      <c r="T241" s="90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6"/>
      <c r="AZ241" s="120">
        <f>COUNTIF(U241:AY241,"A")</f>
      </c>
      <c r="BA241" s="121">
        <f>COUNTIF(U241:AY241,"F")</f>
      </c>
      <c r="BB241" s="119">
        <f>COUNTIF(U241:AY241,"E")</f>
      </c>
    </row>
    <row r="242" spans="1:54" x14ac:dyDescent="0.2">
      <c r="A242" s="84"/>
      <c r="B242" s="85"/>
      <c r="C242" s="85"/>
      <c r="D242" s="85"/>
      <c r="E242" s="86"/>
      <c r="F242" s="16">
        <f>IF(E242="","",DATEDIF(E242,$I$7,"Y"))</f>
      </c>
      <c r="G242" s="85"/>
      <c r="H242" s="85"/>
      <c r="I242" s="87"/>
      <c r="J242" s="85"/>
      <c r="K242" s="85"/>
      <c r="L242" s="10"/>
      <c r="M242" s="10"/>
      <c r="N242" s="10"/>
      <c r="O242" s="10"/>
      <c r="P242" s="85"/>
      <c r="Q242" s="88"/>
      <c r="R242" s="3">
        <f>IFERROR(VLOOKUP(TablaNoviembre[[#This Row],[BARRIO]],SECTOR!$A:$B,2,0),"")</f>
      </c>
      <c r="S242" s="89"/>
      <c r="T242" s="90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6"/>
      <c r="AZ242" s="120">
        <f>COUNTIF(U242:AY242,"A")</f>
      </c>
      <c r="BA242" s="121">
        <f>COUNTIF(U242:AY242,"F")</f>
      </c>
      <c r="BB242" s="119">
        <f>COUNTIF(U242:AY242,"E")</f>
      </c>
    </row>
    <row r="243" spans="1:54" x14ac:dyDescent="0.2">
      <c r="A243" s="84"/>
      <c r="B243" s="85"/>
      <c r="C243" s="85"/>
      <c r="D243" s="85"/>
      <c r="E243" s="86"/>
      <c r="F243" s="16">
        <f>IF(E243="","",DATEDIF(E243,$I$7,"Y"))</f>
      </c>
      <c r="G243" s="85"/>
      <c r="H243" s="85"/>
      <c r="I243" s="87"/>
      <c r="J243" s="85"/>
      <c r="K243" s="85"/>
      <c r="L243" s="10"/>
      <c r="M243" s="10"/>
      <c r="N243" s="10"/>
      <c r="O243" s="10"/>
      <c r="P243" s="85"/>
      <c r="Q243" s="88"/>
      <c r="R243" s="3">
        <f>IFERROR(VLOOKUP(TablaNoviembre[[#This Row],[BARRIO]],SECTOR!$A:$B,2,0),"")</f>
      </c>
      <c r="S243" s="89"/>
      <c r="T243" s="90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6"/>
      <c r="AZ243" s="120">
        <f>COUNTIF(U243:AY243,"A")</f>
      </c>
      <c r="BA243" s="121">
        <f>COUNTIF(U243:AY243,"F")</f>
      </c>
      <c r="BB243" s="119">
        <f>COUNTIF(U243:AY243,"E")</f>
      </c>
    </row>
    <row r="244" spans="1:54" x14ac:dyDescent="0.2">
      <c r="A244" s="84"/>
      <c r="B244" s="85"/>
      <c r="C244" s="85"/>
      <c r="D244" s="85"/>
      <c r="E244" s="86"/>
      <c r="F244" s="16">
        <f>IF(E244="","",DATEDIF(E244,$I$7,"Y"))</f>
      </c>
      <c r="G244" s="85"/>
      <c r="H244" s="85"/>
      <c r="I244" s="87"/>
      <c r="J244" s="85"/>
      <c r="K244" s="85"/>
      <c r="L244" s="10"/>
      <c r="M244" s="10"/>
      <c r="N244" s="10"/>
      <c r="O244" s="10"/>
      <c r="P244" s="85"/>
      <c r="Q244" s="88"/>
      <c r="R244" s="3">
        <f>IFERROR(VLOOKUP(TablaNoviembre[[#This Row],[BARRIO]],SECTOR!$A:$B,2,0),"")</f>
      </c>
      <c r="S244" s="89"/>
      <c r="T244" s="90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6"/>
      <c r="AZ244" s="120">
        <f>COUNTIF(U244:AY244,"A")</f>
      </c>
      <c r="BA244" s="121">
        <f>COUNTIF(U244:AY244,"F")</f>
      </c>
      <c r="BB244" s="119">
        <f>COUNTIF(U244:AY244,"E")</f>
      </c>
    </row>
    <row r="245" spans="1:54" x14ac:dyDescent="0.2">
      <c r="A245" s="84"/>
      <c r="B245" s="85"/>
      <c r="C245" s="85"/>
      <c r="D245" s="85"/>
      <c r="E245" s="86"/>
      <c r="F245" s="16">
        <f>IF(E245="","",DATEDIF(E245,$I$7,"Y"))</f>
      </c>
      <c r="G245" s="85"/>
      <c r="H245" s="85"/>
      <c r="I245" s="87"/>
      <c r="J245" s="85"/>
      <c r="K245" s="85"/>
      <c r="L245" s="10"/>
      <c r="M245" s="10"/>
      <c r="N245" s="10"/>
      <c r="O245" s="10"/>
      <c r="P245" s="85"/>
      <c r="Q245" s="88"/>
      <c r="R245" s="3">
        <f>IFERROR(VLOOKUP(TablaNoviembre[[#This Row],[BARRIO]],SECTOR!$A:$B,2,0),"")</f>
      </c>
      <c r="S245" s="89"/>
      <c r="T245" s="90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6"/>
      <c r="AZ245" s="120">
        <f>COUNTIF(U245:AY245,"A")</f>
      </c>
      <c r="BA245" s="121">
        <f>COUNTIF(U245:AY245,"F")</f>
      </c>
      <c r="BB245" s="119">
        <f>COUNTIF(U245:AY245,"E")</f>
      </c>
    </row>
    <row r="246" spans="1:54" x14ac:dyDescent="0.2">
      <c r="A246" s="84"/>
      <c r="B246" s="85"/>
      <c r="C246" s="85"/>
      <c r="D246" s="85"/>
      <c r="E246" s="86"/>
      <c r="F246" s="16">
        <f>IF(E246="","",DATEDIF(E246,$I$7,"Y"))</f>
      </c>
      <c r="G246" s="85"/>
      <c r="H246" s="85"/>
      <c r="I246" s="87"/>
      <c r="J246" s="85"/>
      <c r="K246" s="85"/>
      <c r="L246" s="10"/>
      <c r="M246" s="10"/>
      <c r="N246" s="10"/>
      <c r="O246" s="10"/>
      <c r="P246" s="85"/>
      <c r="Q246" s="88"/>
      <c r="R246" s="3">
        <f>IFERROR(VLOOKUP(TablaNoviembre[[#This Row],[BARRIO]],SECTOR!$A:$B,2,0),"")</f>
      </c>
      <c r="S246" s="89"/>
      <c r="T246" s="90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6"/>
      <c r="AZ246" s="120">
        <f>COUNTIF(U246:AY246,"A")</f>
      </c>
      <c r="BA246" s="121">
        <f>COUNTIF(U246:AY246,"F")</f>
      </c>
      <c r="BB246" s="119">
        <f>COUNTIF(U246:AY246,"E")</f>
      </c>
    </row>
    <row r="247" spans="1:54" x14ac:dyDescent="0.2">
      <c r="A247" s="84"/>
      <c r="B247" s="85"/>
      <c r="C247" s="85"/>
      <c r="D247" s="85"/>
      <c r="E247" s="86"/>
      <c r="F247" s="16">
        <f>IF(E247="","",DATEDIF(E247,$I$7,"Y"))</f>
      </c>
      <c r="G247" s="85"/>
      <c r="H247" s="85"/>
      <c r="I247" s="87"/>
      <c r="J247" s="85"/>
      <c r="K247" s="85"/>
      <c r="L247" s="10"/>
      <c r="M247" s="10"/>
      <c r="N247" s="10"/>
      <c r="O247" s="10"/>
      <c r="P247" s="85"/>
      <c r="Q247" s="88"/>
      <c r="R247" s="3">
        <f>IFERROR(VLOOKUP(TablaNoviembre[[#This Row],[BARRIO]],SECTOR!$A:$B,2,0),"")</f>
      </c>
      <c r="S247" s="89"/>
      <c r="T247" s="90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6"/>
      <c r="AZ247" s="120">
        <f>COUNTIF(U247:AY247,"A")</f>
      </c>
      <c r="BA247" s="121">
        <f>COUNTIF(U247:AY247,"F")</f>
      </c>
      <c r="BB247" s="119">
        <f>COUNTIF(U247:AY247,"E")</f>
      </c>
    </row>
    <row r="248" spans="1:54" x14ac:dyDescent="0.2">
      <c r="A248" s="84"/>
      <c r="B248" s="85"/>
      <c r="C248" s="85"/>
      <c r="D248" s="85"/>
      <c r="E248" s="86"/>
      <c r="F248" s="16">
        <f>IF(E248="","",DATEDIF(E248,$I$7,"Y"))</f>
      </c>
      <c r="G248" s="85"/>
      <c r="H248" s="85"/>
      <c r="I248" s="87"/>
      <c r="J248" s="85"/>
      <c r="K248" s="85"/>
      <c r="L248" s="10"/>
      <c r="M248" s="10"/>
      <c r="N248" s="10"/>
      <c r="O248" s="10"/>
      <c r="P248" s="85"/>
      <c r="Q248" s="88"/>
      <c r="R248" s="3">
        <f>IFERROR(VLOOKUP(TablaNoviembre[[#This Row],[BARRIO]],SECTOR!$A:$B,2,0),"")</f>
      </c>
      <c r="S248" s="89"/>
      <c r="T248" s="90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6"/>
      <c r="AZ248" s="120">
        <f>COUNTIF(U248:AY248,"A")</f>
      </c>
      <c r="BA248" s="121">
        <f>COUNTIF(U248:AY248,"F")</f>
      </c>
      <c r="BB248" s="119">
        <f>COUNTIF(U248:AY248,"E")</f>
      </c>
    </row>
    <row r="249" spans="1:54" x14ac:dyDescent="0.2">
      <c r="A249" s="84"/>
      <c r="B249" s="85"/>
      <c r="C249" s="85"/>
      <c r="D249" s="85"/>
      <c r="E249" s="86"/>
      <c r="F249" s="16">
        <f>IF(E249="","",DATEDIF(E249,$I$7,"Y"))</f>
      </c>
      <c r="G249" s="85"/>
      <c r="H249" s="85"/>
      <c r="I249" s="87"/>
      <c r="J249" s="85"/>
      <c r="K249" s="85"/>
      <c r="L249" s="10"/>
      <c r="M249" s="10"/>
      <c r="N249" s="10"/>
      <c r="O249" s="10"/>
      <c r="P249" s="85"/>
      <c r="Q249" s="88"/>
      <c r="R249" s="3">
        <f>IFERROR(VLOOKUP(TablaNoviembre[[#This Row],[BARRIO]],SECTOR!$A:$B,2,0),"")</f>
      </c>
      <c r="S249" s="89"/>
      <c r="T249" s="90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6"/>
      <c r="AZ249" s="120">
        <f>COUNTIF(U249:AY249,"A")</f>
      </c>
      <c r="BA249" s="121">
        <f>COUNTIF(U249:AY249,"F")</f>
      </c>
      <c r="BB249" s="119">
        <f>COUNTIF(U249:AY249,"E")</f>
      </c>
    </row>
    <row r="250" spans="1:54" x14ac:dyDescent="0.2">
      <c r="A250" s="84"/>
      <c r="B250" s="85"/>
      <c r="C250" s="85"/>
      <c r="D250" s="85"/>
      <c r="E250" s="86"/>
      <c r="F250" s="16">
        <f>IF(E250="","",DATEDIF(E250,$I$7,"Y"))</f>
      </c>
      <c r="G250" s="85"/>
      <c r="H250" s="85"/>
      <c r="I250" s="87"/>
      <c r="J250" s="85"/>
      <c r="K250" s="85"/>
      <c r="L250" s="10"/>
      <c r="M250" s="10"/>
      <c r="N250" s="10"/>
      <c r="O250" s="10"/>
      <c r="P250" s="85"/>
      <c r="Q250" s="88"/>
      <c r="R250" s="3">
        <f>IFERROR(VLOOKUP(TablaNoviembre[[#This Row],[BARRIO]],SECTOR!$A:$B,2,0),"")</f>
      </c>
      <c r="S250" s="89"/>
      <c r="T250" s="90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6"/>
      <c r="AZ250" s="120">
        <f>COUNTIF(U250:AY250,"A")</f>
      </c>
      <c r="BA250" s="121">
        <f>COUNTIF(U250:AY250,"F")</f>
      </c>
      <c r="BB250" s="119">
        <f>COUNTIF(U250:AY250,"E")</f>
      </c>
    </row>
    <row r="251" spans="1:54" x14ac:dyDescent="0.2">
      <c r="A251" s="84"/>
      <c r="B251" s="85"/>
      <c r="C251" s="85"/>
      <c r="D251" s="85"/>
      <c r="E251" s="86"/>
      <c r="F251" s="16">
        <f>IF(E251="","",DATEDIF(E251,$I$7,"Y"))</f>
      </c>
      <c r="G251" s="85"/>
      <c r="H251" s="85"/>
      <c r="I251" s="87"/>
      <c r="J251" s="85"/>
      <c r="K251" s="85"/>
      <c r="L251" s="10"/>
      <c r="M251" s="10"/>
      <c r="N251" s="10"/>
      <c r="O251" s="10"/>
      <c r="P251" s="85"/>
      <c r="Q251" s="88"/>
      <c r="R251" s="3">
        <f>IFERROR(VLOOKUP(TablaNoviembre[[#This Row],[BARRIO]],SECTOR!$A:$B,2,0),"")</f>
      </c>
      <c r="S251" s="89"/>
      <c r="T251" s="90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6"/>
      <c r="AZ251" s="120">
        <f>COUNTIF(U251:AY251,"A")</f>
      </c>
      <c r="BA251" s="121">
        <f>COUNTIF(U251:AY251,"F")</f>
      </c>
      <c r="BB251" s="119">
        <f>COUNTIF(U251:AY251,"E")</f>
      </c>
    </row>
    <row r="252" spans="1:54" x14ac:dyDescent="0.2">
      <c r="A252" s="84"/>
      <c r="B252" s="85"/>
      <c r="C252" s="85"/>
      <c r="D252" s="85"/>
      <c r="E252" s="86"/>
      <c r="F252" s="16">
        <f>IF(E252="","",DATEDIF(E252,$I$7,"Y"))</f>
      </c>
      <c r="G252" s="85"/>
      <c r="H252" s="85"/>
      <c r="I252" s="87"/>
      <c r="J252" s="85"/>
      <c r="K252" s="85"/>
      <c r="L252" s="10"/>
      <c r="M252" s="10"/>
      <c r="N252" s="10"/>
      <c r="O252" s="10"/>
      <c r="P252" s="85"/>
      <c r="Q252" s="88"/>
      <c r="R252" s="3">
        <f>IFERROR(VLOOKUP(TablaNoviembre[[#This Row],[BARRIO]],SECTOR!$A:$B,2,0),"")</f>
      </c>
      <c r="S252" s="89"/>
      <c r="T252" s="90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6"/>
      <c r="AZ252" s="120">
        <f>COUNTIF(U252:AY252,"A")</f>
      </c>
      <c r="BA252" s="121">
        <f>COUNTIF(U252:AY252,"F")</f>
      </c>
      <c r="BB252" s="119">
        <f>COUNTIF(U252:AY252,"E")</f>
      </c>
    </row>
    <row r="253" spans="1:54" x14ac:dyDescent="0.2">
      <c r="A253" s="84"/>
      <c r="B253" s="85"/>
      <c r="C253" s="85"/>
      <c r="D253" s="85"/>
      <c r="E253" s="86"/>
      <c r="F253" s="16">
        <f>IF(E253="","",DATEDIF(E253,$I$7,"Y"))</f>
      </c>
      <c r="G253" s="85"/>
      <c r="H253" s="85"/>
      <c r="I253" s="87"/>
      <c r="J253" s="85"/>
      <c r="K253" s="85"/>
      <c r="L253" s="10"/>
      <c r="M253" s="10"/>
      <c r="N253" s="10"/>
      <c r="O253" s="10"/>
      <c r="P253" s="85"/>
      <c r="Q253" s="88"/>
      <c r="R253" s="3">
        <f>IFERROR(VLOOKUP(TablaNoviembre[[#This Row],[BARRIO]],SECTOR!$A:$B,2,0),"")</f>
      </c>
      <c r="S253" s="89"/>
      <c r="T253" s="90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6"/>
      <c r="AZ253" s="120">
        <f>COUNTIF(U253:AY253,"A")</f>
      </c>
      <c r="BA253" s="121">
        <f>COUNTIF(U253:AY253,"F")</f>
      </c>
      <c r="BB253" s="119">
        <f>COUNTIF(U253:AY253,"E")</f>
      </c>
    </row>
    <row r="254" spans="1:54" x14ac:dyDescent="0.2">
      <c r="A254" s="84"/>
      <c r="B254" s="85"/>
      <c r="C254" s="85"/>
      <c r="D254" s="85"/>
      <c r="E254" s="86"/>
      <c r="F254" s="16">
        <f>IF(E254="","",DATEDIF(E254,$I$7,"Y"))</f>
      </c>
      <c r="G254" s="85"/>
      <c r="H254" s="85"/>
      <c r="I254" s="87"/>
      <c r="J254" s="85"/>
      <c r="K254" s="85"/>
      <c r="L254" s="10"/>
      <c r="M254" s="10"/>
      <c r="N254" s="10"/>
      <c r="O254" s="10"/>
      <c r="P254" s="85"/>
      <c r="Q254" s="88"/>
      <c r="R254" s="3">
        <f>IFERROR(VLOOKUP(TablaNoviembre[[#This Row],[BARRIO]],SECTOR!$A:$B,2,0),"")</f>
      </c>
      <c r="S254" s="89"/>
      <c r="T254" s="90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6"/>
      <c r="AZ254" s="120">
        <f>COUNTIF(U254:AY254,"A")</f>
      </c>
      <c r="BA254" s="121">
        <f>COUNTIF(U254:AY254,"F")</f>
      </c>
      <c r="BB254" s="119">
        <f>COUNTIF(U254:AY254,"E")</f>
      </c>
    </row>
    <row r="255" spans="1:54" x14ac:dyDescent="0.2">
      <c r="A255" s="84"/>
      <c r="B255" s="85"/>
      <c r="C255" s="85"/>
      <c r="D255" s="85"/>
      <c r="E255" s="86"/>
      <c r="F255" s="16">
        <f>IF(E255="","",DATEDIF(E255,$I$7,"Y"))</f>
      </c>
      <c r="G255" s="85"/>
      <c r="H255" s="85"/>
      <c r="I255" s="87"/>
      <c r="J255" s="85"/>
      <c r="K255" s="85"/>
      <c r="L255" s="10"/>
      <c r="M255" s="10"/>
      <c r="N255" s="10"/>
      <c r="O255" s="10"/>
      <c r="P255" s="85"/>
      <c r="Q255" s="88"/>
      <c r="R255" s="3">
        <f>IFERROR(VLOOKUP(TablaNoviembre[[#This Row],[BARRIO]],SECTOR!$A:$B,2,0),"")</f>
      </c>
      <c r="S255" s="89"/>
      <c r="T255" s="90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6"/>
      <c r="AZ255" s="120">
        <f>COUNTIF(U255:AY255,"A")</f>
      </c>
      <c r="BA255" s="121">
        <f>COUNTIF(U255:AY255,"F")</f>
      </c>
      <c r="BB255" s="119">
        <f>COUNTIF(U255:AY255,"E")</f>
      </c>
    </row>
    <row r="256" spans="1:54" x14ac:dyDescent="0.2">
      <c r="A256" s="84"/>
      <c r="B256" s="85"/>
      <c r="C256" s="85"/>
      <c r="D256" s="85"/>
      <c r="E256" s="86"/>
      <c r="F256" s="16">
        <f>IF(E256="","",DATEDIF(E256,$I$7,"Y"))</f>
      </c>
      <c r="G256" s="85"/>
      <c r="H256" s="85"/>
      <c r="I256" s="87"/>
      <c r="J256" s="85"/>
      <c r="K256" s="85"/>
      <c r="L256" s="10"/>
      <c r="M256" s="10"/>
      <c r="N256" s="10"/>
      <c r="O256" s="10"/>
      <c r="P256" s="85"/>
      <c r="Q256" s="88"/>
      <c r="R256" s="3">
        <f>IFERROR(VLOOKUP(TablaNoviembre[[#This Row],[BARRIO]],SECTOR!$A:$B,2,0),"")</f>
      </c>
      <c r="S256" s="89"/>
      <c r="T256" s="90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6"/>
      <c r="AZ256" s="120">
        <f>COUNTIF(U256:AY256,"A")</f>
      </c>
      <c r="BA256" s="121">
        <f>COUNTIF(U256:AY256,"F")</f>
      </c>
      <c r="BB256" s="119">
        <f>COUNTIF(U256:AY256,"E")</f>
      </c>
    </row>
    <row r="257" spans="1:54" x14ac:dyDescent="0.2">
      <c r="A257" s="84"/>
      <c r="B257" s="85"/>
      <c r="C257" s="85"/>
      <c r="D257" s="85"/>
      <c r="E257" s="86"/>
      <c r="F257" s="16">
        <f>IF(E257="","",DATEDIF(E257,$I$7,"Y"))</f>
      </c>
      <c r="G257" s="85"/>
      <c r="H257" s="85"/>
      <c r="I257" s="87"/>
      <c r="J257" s="85"/>
      <c r="K257" s="85"/>
      <c r="L257" s="10"/>
      <c r="M257" s="10"/>
      <c r="N257" s="10"/>
      <c r="O257" s="10"/>
      <c r="P257" s="85"/>
      <c r="Q257" s="88"/>
      <c r="R257" s="3">
        <f>IFERROR(VLOOKUP(TablaNoviembre[[#This Row],[BARRIO]],SECTOR!$A:$B,2,0),"")</f>
      </c>
      <c r="S257" s="89"/>
      <c r="T257" s="90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6"/>
      <c r="AZ257" s="120">
        <f>COUNTIF(U257:AY257,"A")</f>
      </c>
      <c r="BA257" s="121">
        <f>COUNTIF(U257:AY257,"F")</f>
      </c>
      <c r="BB257" s="119">
        <f>COUNTIF(U257:AY257,"E")</f>
      </c>
    </row>
    <row r="258" spans="1:54" x14ac:dyDescent="0.2">
      <c r="A258" s="84"/>
      <c r="B258" s="85"/>
      <c r="C258" s="85"/>
      <c r="D258" s="85"/>
      <c r="E258" s="86"/>
      <c r="F258" s="16">
        <f>IF(E258="","",DATEDIF(E258,$I$7,"Y"))</f>
      </c>
      <c r="G258" s="85"/>
      <c r="H258" s="85"/>
      <c r="I258" s="87"/>
      <c r="J258" s="85"/>
      <c r="K258" s="85"/>
      <c r="L258" s="10"/>
      <c r="M258" s="10"/>
      <c r="N258" s="10"/>
      <c r="O258" s="10"/>
      <c r="P258" s="85"/>
      <c r="Q258" s="88"/>
      <c r="R258" s="3">
        <f>IFERROR(VLOOKUP(TablaNoviembre[[#This Row],[BARRIO]],SECTOR!$A:$B,2,0),"")</f>
      </c>
      <c r="S258" s="89"/>
      <c r="T258" s="90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6"/>
      <c r="AZ258" s="120">
        <f>COUNTIF(U258:AY258,"A")</f>
      </c>
      <c r="BA258" s="121">
        <f>COUNTIF(U258:AY258,"F")</f>
      </c>
      <c r="BB258" s="119">
        <f>COUNTIF(U258:AY258,"E")</f>
      </c>
    </row>
    <row r="259" spans="1:54" x14ac:dyDescent="0.2">
      <c r="A259" s="84"/>
      <c r="B259" s="85"/>
      <c r="C259" s="85"/>
      <c r="D259" s="85"/>
      <c r="E259" s="86"/>
      <c r="F259" s="16">
        <f>IF(E259="","",DATEDIF(E259,$I$7,"Y"))</f>
      </c>
      <c r="G259" s="85"/>
      <c r="H259" s="85"/>
      <c r="I259" s="87"/>
      <c r="J259" s="85"/>
      <c r="K259" s="85"/>
      <c r="L259" s="10"/>
      <c r="M259" s="10"/>
      <c r="N259" s="10"/>
      <c r="O259" s="10"/>
      <c r="P259" s="85"/>
      <c r="Q259" s="88"/>
      <c r="R259" s="3">
        <f>IFERROR(VLOOKUP(TablaNoviembre[[#This Row],[BARRIO]],SECTOR!$A:$B,2,0),"")</f>
      </c>
      <c r="S259" s="89"/>
      <c r="T259" s="90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6"/>
      <c r="AZ259" s="120">
        <f>COUNTIF(U259:AY259,"A")</f>
      </c>
      <c r="BA259" s="121">
        <f>COUNTIF(U259:AY259,"F")</f>
      </c>
      <c r="BB259" s="119">
        <f>COUNTIF(U259:AY259,"E")</f>
      </c>
    </row>
    <row r="260" spans="1:54" x14ac:dyDescent="0.2">
      <c r="A260" s="84"/>
      <c r="B260" s="85"/>
      <c r="C260" s="85"/>
      <c r="D260" s="85"/>
      <c r="E260" s="86"/>
      <c r="F260" s="16">
        <f>IF(E260="","",DATEDIF(E260,$I$7,"Y"))</f>
      </c>
      <c r="G260" s="85"/>
      <c r="H260" s="85"/>
      <c r="I260" s="87"/>
      <c r="J260" s="85"/>
      <c r="K260" s="85"/>
      <c r="L260" s="10"/>
      <c r="M260" s="10"/>
      <c r="N260" s="10"/>
      <c r="O260" s="10"/>
      <c r="P260" s="85"/>
      <c r="Q260" s="88"/>
      <c r="R260" s="3">
        <f>IFERROR(VLOOKUP(TablaNoviembre[[#This Row],[BARRIO]],SECTOR!$A:$B,2,0),"")</f>
      </c>
      <c r="S260" s="89"/>
      <c r="T260" s="90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6"/>
      <c r="AZ260" s="120">
        <f>COUNTIF(U260:AY260,"A")</f>
      </c>
      <c r="BA260" s="121">
        <f>COUNTIF(U260:AY260,"F")</f>
      </c>
      <c r="BB260" s="119">
        <f>COUNTIF(U260:AY260,"E")</f>
      </c>
    </row>
    <row r="261" spans="1:54" x14ac:dyDescent="0.2">
      <c r="A261" s="84"/>
      <c r="B261" s="85"/>
      <c r="C261" s="85"/>
      <c r="D261" s="85"/>
      <c r="E261" s="86"/>
      <c r="F261" s="16">
        <f>IF(E261="","",DATEDIF(E261,$I$7,"Y"))</f>
      </c>
      <c r="G261" s="85"/>
      <c r="H261" s="85"/>
      <c r="I261" s="87"/>
      <c r="J261" s="85"/>
      <c r="K261" s="85"/>
      <c r="L261" s="10"/>
      <c r="M261" s="10"/>
      <c r="N261" s="10"/>
      <c r="O261" s="10"/>
      <c r="P261" s="85"/>
      <c r="Q261" s="88"/>
      <c r="R261" s="3">
        <f>IFERROR(VLOOKUP(TablaNoviembre[[#This Row],[BARRIO]],SECTOR!$A:$B,2,0),"")</f>
      </c>
      <c r="S261" s="89"/>
      <c r="T261" s="90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6"/>
      <c r="AZ261" s="120">
        <f>COUNTIF(U261:AY261,"A")</f>
      </c>
      <c r="BA261" s="121">
        <f>COUNTIF(U261:AY261,"F")</f>
      </c>
      <c r="BB261" s="119">
        <f>COUNTIF(U261:AY261,"E")</f>
      </c>
    </row>
    <row r="262" spans="1:54" x14ac:dyDescent="0.2">
      <c r="A262" s="84"/>
      <c r="B262" s="85"/>
      <c r="C262" s="85"/>
      <c r="D262" s="85"/>
      <c r="E262" s="86"/>
      <c r="F262" s="16">
        <f>IF(E262="","",DATEDIF(E262,$I$7,"Y"))</f>
      </c>
      <c r="G262" s="85"/>
      <c r="H262" s="85"/>
      <c r="I262" s="87"/>
      <c r="J262" s="85"/>
      <c r="K262" s="85"/>
      <c r="L262" s="10"/>
      <c r="M262" s="10"/>
      <c r="N262" s="10"/>
      <c r="O262" s="10"/>
      <c r="P262" s="85"/>
      <c r="Q262" s="88"/>
      <c r="R262" s="3">
        <f>IFERROR(VLOOKUP(TablaNoviembre[[#This Row],[BARRIO]],SECTOR!$A:$B,2,0),"")</f>
      </c>
      <c r="S262" s="89"/>
      <c r="T262" s="90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6"/>
      <c r="AZ262" s="120">
        <f>COUNTIF(U262:AY262,"A")</f>
      </c>
      <c r="BA262" s="121">
        <f>COUNTIF(U262:AY262,"F")</f>
      </c>
      <c r="BB262" s="119">
        <f>COUNTIF(U262:AY262,"E")</f>
      </c>
    </row>
    <row r="263" spans="1:54" x14ac:dyDescent="0.2">
      <c r="A263" s="84"/>
      <c r="B263" s="85"/>
      <c r="C263" s="85"/>
      <c r="D263" s="85"/>
      <c r="E263" s="86"/>
      <c r="F263" s="16">
        <f>IF(E263="","",DATEDIF(E263,$I$7,"Y"))</f>
      </c>
      <c r="G263" s="85"/>
      <c r="H263" s="85"/>
      <c r="I263" s="87"/>
      <c r="J263" s="85"/>
      <c r="K263" s="85"/>
      <c r="L263" s="10"/>
      <c r="M263" s="10"/>
      <c r="N263" s="10"/>
      <c r="O263" s="10"/>
      <c r="P263" s="85"/>
      <c r="Q263" s="88"/>
      <c r="R263" s="3">
        <f>IFERROR(VLOOKUP(TablaNoviembre[[#This Row],[BARRIO]],SECTOR!$A:$B,2,0),"")</f>
      </c>
      <c r="S263" s="89"/>
      <c r="T263" s="90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6"/>
      <c r="AZ263" s="120">
        <f>COUNTIF(U263:AY263,"A")</f>
      </c>
      <c r="BA263" s="121">
        <f>COUNTIF(U263:AY263,"F")</f>
      </c>
      <c r="BB263" s="119">
        <f>COUNTIF(U263:AY263,"E")</f>
      </c>
    </row>
    <row r="264" spans="1:54" x14ac:dyDescent="0.2">
      <c r="A264" s="84"/>
      <c r="B264" s="85"/>
      <c r="C264" s="85"/>
      <c r="D264" s="85"/>
      <c r="E264" s="86"/>
      <c r="F264" s="16">
        <f>IF(E264="","",DATEDIF(E264,$I$7,"Y"))</f>
      </c>
      <c r="G264" s="85"/>
      <c r="H264" s="85"/>
      <c r="I264" s="87"/>
      <c r="J264" s="85"/>
      <c r="K264" s="85"/>
      <c r="L264" s="10"/>
      <c r="M264" s="10"/>
      <c r="N264" s="10"/>
      <c r="O264" s="10"/>
      <c r="P264" s="85"/>
      <c r="Q264" s="88"/>
      <c r="R264" s="3">
        <f>IFERROR(VLOOKUP(TablaNoviembre[[#This Row],[BARRIO]],SECTOR!$A:$B,2,0),"")</f>
      </c>
      <c r="S264" s="89"/>
      <c r="T264" s="90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6"/>
      <c r="AZ264" s="120">
        <f>COUNTIF(U264:AY264,"A")</f>
      </c>
      <c r="BA264" s="121">
        <f>COUNTIF(U264:AY264,"F")</f>
      </c>
      <c r="BB264" s="119">
        <f>COUNTIF(U264:AY264,"E")</f>
      </c>
    </row>
    <row r="265" spans="1:54" x14ac:dyDescent="0.2">
      <c r="A265" s="84"/>
      <c r="B265" s="85"/>
      <c r="C265" s="85"/>
      <c r="D265" s="85"/>
      <c r="E265" s="86"/>
      <c r="F265" s="16">
        <f>IF(E265="","",DATEDIF(E265,$I$7,"Y"))</f>
      </c>
      <c r="G265" s="85"/>
      <c r="H265" s="85"/>
      <c r="I265" s="87"/>
      <c r="J265" s="85"/>
      <c r="K265" s="85"/>
      <c r="L265" s="10"/>
      <c r="M265" s="10"/>
      <c r="N265" s="10"/>
      <c r="O265" s="10"/>
      <c r="P265" s="85"/>
      <c r="Q265" s="88"/>
      <c r="R265" s="3">
        <f>IFERROR(VLOOKUP(TablaNoviembre[[#This Row],[BARRIO]],SECTOR!$A:$B,2,0),"")</f>
      </c>
      <c r="S265" s="89"/>
      <c r="T265" s="90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6"/>
      <c r="AZ265" s="120">
        <f>COUNTIF(U265:AY265,"A")</f>
      </c>
      <c r="BA265" s="121">
        <f>COUNTIF(U265:AY265,"F")</f>
      </c>
      <c r="BB265" s="119">
        <f>COUNTIF(U265:AY265,"E")</f>
      </c>
    </row>
    <row r="266" spans="1:54" x14ac:dyDescent="0.2">
      <c r="A266" s="84"/>
      <c r="B266" s="85"/>
      <c r="C266" s="85"/>
      <c r="D266" s="85"/>
      <c r="E266" s="86"/>
      <c r="F266" s="16">
        <f>IF(E266="","",DATEDIF(E266,$I$7,"Y"))</f>
      </c>
      <c r="G266" s="85"/>
      <c r="H266" s="85"/>
      <c r="I266" s="87"/>
      <c r="J266" s="85"/>
      <c r="K266" s="85"/>
      <c r="L266" s="10"/>
      <c r="M266" s="10"/>
      <c r="N266" s="10"/>
      <c r="O266" s="10"/>
      <c r="P266" s="85"/>
      <c r="Q266" s="88"/>
      <c r="R266" s="3">
        <f>IFERROR(VLOOKUP(TablaNoviembre[[#This Row],[BARRIO]],SECTOR!$A:$B,2,0),"")</f>
      </c>
      <c r="S266" s="89"/>
      <c r="T266" s="90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6"/>
      <c r="AZ266" s="120">
        <f>COUNTIF(U266:AY266,"A")</f>
      </c>
      <c r="BA266" s="121">
        <f>COUNTIF(U266:AY266,"F")</f>
      </c>
      <c r="BB266" s="119">
        <f>COUNTIF(U266:AY266,"E")</f>
      </c>
    </row>
    <row r="267" spans="1:54" x14ac:dyDescent="0.2">
      <c r="A267" s="84"/>
      <c r="B267" s="85"/>
      <c r="C267" s="85"/>
      <c r="D267" s="85"/>
      <c r="E267" s="86"/>
      <c r="F267" s="16">
        <f>IF(E267="","",DATEDIF(E267,$I$7,"Y"))</f>
      </c>
      <c r="G267" s="85"/>
      <c r="H267" s="85"/>
      <c r="I267" s="87"/>
      <c r="J267" s="85"/>
      <c r="K267" s="85"/>
      <c r="L267" s="10"/>
      <c r="M267" s="10"/>
      <c r="N267" s="10"/>
      <c r="O267" s="10"/>
      <c r="P267" s="85"/>
      <c r="Q267" s="88"/>
      <c r="R267" s="3">
        <f>IFERROR(VLOOKUP(TablaNoviembre[[#This Row],[BARRIO]],SECTOR!$A:$B,2,0),"")</f>
      </c>
      <c r="S267" s="89"/>
      <c r="T267" s="90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6"/>
      <c r="AZ267" s="120">
        <f>COUNTIF(U267:AY267,"A")</f>
      </c>
      <c r="BA267" s="121">
        <f>COUNTIF(U267:AY267,"F")</f>
      </c>
      <c r="BB267" s="119">
        <f>COUNTIF(U267:AY267,"E")</f>
      </c>
    </row>
    <row r="268" spans="1:54" x14ac:dyDescent="0.2">
      <c r="A268" s="84"/>
      <c r="B268" s="85"/>
      <c r="C268" s="85"/>
      <c r="D268" s="85"/>
      <c r="E268" s="86"/>
      <c r="F268" s="16">
        <f>IF(E268="","",DATEDIF(E268,$I$7,"Y"))</f>
      </c>
      <c r="G268" s="85"/>
      <c r="H268" s="85"/>
      <c r="I268" s="87"/>
      <c r="J268" s="85"/>
      <c r="K268" s="85"/>
      <c r="L268" s="10"/>
      <c r="M268" s="10"/>
      <c r="N268" s="10"/>
      <c r="O268" s="10"/>
      <c r="P268" s="85"/>
      <c r="Q268" s="88"/>
      <c r="R268" s="3">
        <f>IFERROR(VLOOKUP(TablaNoviembre[[#This Row],[BARRIO]],SECTOR!$A:$B,2,0),"")</f>
      </c>
      <c r="S268" s="89"/>
      <c r="T268" s="90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6"/>
      <c r="AZ268" s="120">
        <f>COUNTIF(U268:AY268,"A")</f>
      </c>
      <c r="BA268" s="121">
        <f>COUNTIF(U268:AY268,"F")</f>
      </c>
      <c r="BB268" s="119">
        <f>COUNTIF(U268:AY268,"E")</f>
      </c>
    </row>
    <row r="269" spans="1:54" x14ac:dyDescent="0.2">
      <c r="A269" s="84"/>
      <c r="B269" s="85"/>
      <c r="C269" s="85"/>
      <c r="D269" s="85"/>
      <c r="E269" s="86"/>
      <c r="F269" s="16">
        <f>IF(E269="","",DATEDIF(E269,$I$7,"Y"))</f>
      </c>
      <c r="G269" s="85"/>
      <c r="H269" s="85"/>
      <c r="I269" s="87"/>
      <c r="J269" s="85"/>
      <c r="K269" s="85"/>
      <c r="L269" s="10"/>
      <c r="M269" s="10"/>
      <c r="N269" s="10"/>
      <c r="O269" s="10"/>
      <c r="P269" s="85"/>
      <c r="Q269" s="88"/>
      <c r="R269" s="3">
        <f>IFERROR(VLOOKUP(TablaNoviembre[[#This Row],[BARRIO]],SECTOR!$A:$B,2,0),"")</f>
      </c>
      <c r="S269" s="89"/>
      <c r="T269" s="90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6"/>
      <c r="AZ269" s="120">
        <f>COUNTIF(U269:AY269,"A")</f>
      </c>
      <c r="BA269" s="121">
        <f>COUNTIF(U269:AY269,"F")</f>
      </c>
      <c r="BB269" s="119">
        <f>COUNTIF(U269:AY269,"E")</f>
      </c>
    </row>
    <row r="270" spans="1:54" x14ac:dyDescent="0.2">
      <c r="A270" s="84"/>
      <c r="B270" s="85"/>
      <c r="C270" s="85"/>
      <c r="D270" s="85"/>
      <c r="E270" s="86"/>
      <c r="F270" s="16">
        <f>IF(E270="","",DATEDIF(E270,$I$7,"Y"))</f>
      </c>
      <c r="G270" s="85"/>
      <c r="H270" s="85"/>
      <c r="I270" s="87"/>
      <c r="J270" s="85"/>
      <c r="K270" s="85"/>
      <c r="L270" s="10"/>
      <c r="M270" s="10"/>
      <c r="N270" s="10"/>
      <c r="O270" s="10"/>
      <c r="P270" s="85"/>
      <c r="Q270" s="88"/>
      <c r="R270" s="3">
        <f>IFERROR(VLOOKUP(TablaNoviembre[[#This Row],[BARRIO]],SECTOR!$A:$B,2,0),"")</f>
      </c>
      <c r="S270" s="89"/>
      <c r="T270" s="90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6"/>
      <c r="AZ270" s="120">
        <f>COUNTIF(U270:AY270,"A")</f>
      </c>
      <c r="BA270" s="121">
        <f>COUNTIF(U270:AY270,"F")</f>
      </c>
      <c r="BB270" s="119">
        <f>COUNTIF(U270:AY270,"E")</f>
      </c>
    </row>
    <row r="271" spans="1:54" x14ac:dyDescent="0.2">
      <c r="A271" s="84"/>
      <c r="B271" s="85"/>
      <c r="C271" s="85"/>
      <c r="D271" s="85"/>
      <c r="E271" s="86"/>
      <c r="F271" s="16">
        <f>IF(E271="","",DATEDIF(E271,$I$7,"Y"))</f>
      </c>
      <c r="G271" s="85"/>
      <c r="H271" s="85"/>
      <c r="I271" s="87"/>
      <c r="J271" s="85"/>
      <c r="K271" s="85"/>
      <c r="L271" s="10"/>
      <c r="M271" s="10"/>
      <c r="N271" s="10"/>
      <c r="O271" s="10"/>
      <c r="P271" s="85"/>
      <c r="Q271" s="88"/>
      <c r="R271" s="3">
        <f>IFERROR(VLOOKUP(TablaNoviembre[[#This Row],[BARRIO]],SECTOR!$A:$B,2,0),"")</f>
      </c>
      <c r="S271" s="89"/>
      <c r="T271" s="90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6"/>
      <c r="AZ271" s="120">
        <f>COUNTIF(U271:AY271,"A")</f>
      </c>
      <c r="BA271" s="121">
        <f>COUNTIF(U271:AY271,"F")</f>
      </c>
      <c r="BB271" s="119">
        <f>COUNTIF(U271:AY271,"E")</f>
      </c>
    </row>
    <row r="272" spans="1:54" x14ac:dyDescent="0.2">
      <c r="A272" s="84"/>
      <c r="B272" s="85"/>
      <c r="C272" s="85"/>
      <c r="D272" s="85"/>
      <c r="E272" s="86"/>
      <c r="F272" s="16">
        <f>IF(E272="","",DATEDIF(E272,$I$7,"Y"))</f>
      </c>
      <c r="G272" s="85"/>
      <c r="H272" s="85"/>
      <c r="I272" s="87"/>
      <c r="J272" s="85"/>
      <c r="K272" s="85"/>
      <c r="L272" s="10"/>
      <c r="M272" s="10"/>
      <c r="N272" s="10"/>
      <c r="O272" s="10"/>
      <c r="P272" s="85"/>
      <c r="Q272" s="88"/>
      <c r="R272" s="3">
        <f>IFERROR(VLOOKUP(TablaNoviembre[[#This Row],[BARRIO]],SECTOR!$A:$B,2,0),"")</f>
      </c>
      <c r="S272" s="89"/>
      <c r="T272" s="90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6"/>
      <c r="AZ272" s="120">
        <f>COUNTIF(U272:AY272,"A")</f>
      </c>
      <c r="BA272" s="121">
        <f>COUNTIF(U272:AY272,"F")</f>
      </c>
      <c r="BB272" s="119">
        <f>COUNTIF(U272:AY272,"E")</f>
      </c>
    </row>
    <row r="273" spans="1:54" x14ac:dyDescent="0.2">
      <c r="A273" s="84"/>
      <c r="B273" s="85"/>
      <c r="C273" s="85"/>
      <c r="D273" s="85"/>
      <c r="E273" s="86"/>
      <c r="F273" s="16">
        <f>IF(E273="","",DATEDIF(E273,$I$7,"Y"))</f>
      </c>
      <c r="G273" s="85"/>
      <c r="H273" s="85"/>
      <c r="I273" s="87"/>
      <c r="J273" s="85"/>
      <c r="K273" s="85"/>
      <c r="L273" s="10"/>
      <c r="M273" s="10"/>
      <c r="N273" s="10"/>
      <c r="O273" s="10"/>
      <c r="P273" s="85"/>
      <c r="Q273" s="88"/>
      <c r="R273" s="3">
        <f>IFERROR(VLOOKUP(TablaNoviembre[[#This Row],[BARRIO]],SECTOR!$A:$B,2,0),"")</f>
      </c>
      <c r="S273" s="89"/>
      <c r="T273" s="90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6"/>
      <c r="AZ273" s="120">
        <f>COUNTIF(U273:AY273,"A")</f>
      </c>
      <c r="BA273" s="121">
        <f>COUNTIF(U273:AY273,"F")</f>
      </c>
      <c r="BB273" s="119">
        <f>COUNTIF(U273:AY273,"E")</f>
      </c>
    </row>
    <row r="274" spans="1:54" x14ac:dyDescent="0.2">
      <c r="A274" s="84"/>
      <c r="B274" s="85"/>
      <c r="C274" s="85"/>
      <c r="D274" s="85"/>
      <c r="E274" s="86"/>
      <c r="F274" s="16">
        <f>IF(E274="","",DATEDIF(E274,$I$7,"Y"))</f>
      </c>
      <c r="G274" s="85"/>
      <c r="H274" s="85"/>
      <c r="I274" s="87"/>
      <c r="J274" s="85"/>
      <c r="K274" s="85"/>
      <c r="L274" s="10"/>
      <c r="M274" s="10"/>
      <c r="N274" s="10"/>
      <c r="O274" s="10"/>
      <c r="P274" s="85"/>
      <c r="Q274" s="88"/>
      <c r="R274" s="3">
        <f>IFERROR(VLOOKUP(TablaNoviembre[[#This Row],[BARRIO]],SECTOR!$A:$B,2,0),"")</f>
      </c>
      <c r="S274" s="89"/>
      <c r="T274" s="90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6"/>
      <c r="AZ274" s="120">
        <f>COUNTIF(U274:AY274,"A")</f>
      </c>
      <c r="BA274" s="121">
        <f>COUNTIF(U274:AY274,"F")</f>
      </c>
      <c r="BB274" s="119">
        <f>COUNTIF(U274:AY274,"E")</f>
      </c>
    </row>
    <row r="275" spans="1:54" x14ac:dyDescent="0.2">
      <c r="A275" s="84"/>
      <c r="B275" s="85"/>
      <c r="C275" s="85"/>
      <c r="D275" s="85"/>
      <c r="E275" s="86"/>
      <c r="F275" s="16">
        <f>IF(E275="","",DATEDIF(E275,$I$7,"Y"))</f>
      </c>
      <c r="G275" s="85"/>
      <c r="H275" s="85"/>
      <c r="I275" s="87"/>
      <c r="J275" s="85"/>
      <c r="K275" s="85"/>
      <c r="L275" s="10"/>
      <c r="M275" s="10"/>
      <c r="N275" s="10"/>
      <c r="O275" s="10"/>
      <c r="P275" s="85"/>
      <c r="Q275" s="88"/>
      <c r="R275" s="3">
        <f>IFERROR(VLOOKUP(TablaNoviembre[[#This Row],[BARRIO]],SECTOR!$A:$B,2,0),"")</f>
      </c>
      <c r="S275" s="89"/>
      <c r="T275" s="90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6"/>
      <c r="AZ275" s="120">
        <f>COUNTIF(U275:AY275,"A")</f>
      </c>
      <c r="BA275" s="121">
        <f>COUNTIF(U275:AY275,"F")</f>
      </c>
      <c r="BB275" s="119">
        <f>COUNTIF(U275:AY275,"E")</f>
      </c>
    </row>
    <row r="276" spans="1:54" x14ac:dyDescent="0.2">
      <c r="A276" s="84"/>
      <c r="B276" s="85"/>
      <c r="C276" s="85"/>
      <c r="D276" s="85"/>
      <c r="E276" s="86"/>
      <c r="F276" s="16">
        <f>IF(E276="","",DATEDIF(E276,$I$7,"Y"))</f>
      </c>
      <c r="G276" s="85"/>
      <c r="H276" s="85"/>
      <c r="I276" s="87"/>
      <c r="J276" s="85"/>
      <c r="K276" s="85"/>
      <c r="L276" s="10"/>
      <c r="M276" s="10"/>
      <c r="N276" s="10"/>
      <c r="O276" s="10"/>
      <c r="P276" s="85"/>
      <c r="Q276" s="88"/>
      <c r="R276" s="3">
        <f>IFERROR(VLOOKUP(TablaNoviembre[[#This Row],[BARRIO]],SECTOR!$A:$B,2,0),"")</f>
      </c>
      <c r="S276" s="89"/>
      <c r="T276" s="90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6"/>
      <c r="AZ276" s="120">
        <f>COUNTIF(U276:AY276,"A")</f>
      </c>
      <c r="BA276" s="121">
        <f>COUNTIF(U276:AY276,"F")</f>
      </c>
      <c r="BB276" s="119">
        <f>COUNTIF(U276:AY276,"E")</f>
      </c>
    </row>
    <row r="277" spans="1:54" x14ac:dyDescent="0.2">
      <c r="A277" s="84"/>
      <c r="B277" s="85"/>
      <c r="C277" s="85"/>
      <c r="D277" s="85"/>
      <c r="E277" s="86"/>
      <c r="F277" s="16">
        <f>IF(E277="","",DATEDIF(E277,$I$7,"Y"))</f>
      </c>
      <c r="G277" s="85"/>
      <c r="H277" s="85"/>
      <c r="I277" s="87"/>
      <c r="J277" s="85"/>
      <c r="K277" s="85"/>
      <c r="L277" s="10"/>
      <c r="M277" s="10"/>
      <c r="N277" s="10"/>
      <c r="O277" s="10"/>
      <c r="P277" s="85"/>
      <c r="Q277" s="88"/>
      <c r="R277" s="3">
        <f>IFERROR(VLOOKUP(TablaNoviembre[[#This Row],[BARRIO]],SECTOR!$A:$B,2,0),"")</f>
      </c>
      <c r="S277" s="89"/>
      <c r="T277" s="90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6"/>
      <c r="AZ277" s="120">
        <f>COUNTIF(U277:AY277,"A")</f>
      </c>
      <c r="BA277" s="121">
        <f>COUNTIF(U277:AY277,"F")</f>
      </c>
      <c r="BB277" s="119">
        <f>COUNTIF(U277:AY277,"E")</f>
      </c>
    </row>
    <row r="278" spans="1:54" x14ac:dyDescent="0.2">
      <c r="A278" s="84"/>
      <c r="B278" s="85"/>
      <c r="C278" s="85"/>
      <c r="D278" s="85"/>
      <c r="E278" s="86"/>
      <c r="F278" s="16">
        <f>IF(E278="","",DATEDIF(E278,$I$7,"Y"))</f>
      </c>
      <c r="G278" s="85"/>
      <c r="H278" s="85"/>
      <c r="I278" s="87"/>
      <c r="J278" s="85"/>
      <c r="K278" s="85"/>
      <c r="L278" s="10"/>
      <c r="M278" s="10"/>
      <c r="N278" s="10"/>
      <c r="O278" s="10"/>
      <c r="P278" s="85"/>
      <c r="Q278" s="88"/>
      <c r="R278" s="3">
        <f>IFERROR(VLOOKUP(TablaNoviembre[[#This Row],[BARRIO]],SECTOR!$A:$B,2,0),"")</f>
      </c>
      <c r="S278" s="89"/>
      <c r="T278" s="90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6"/>
      <c r="AZ278" s="120">
        <f>COUNTIF(U278:AY278,"A")</f>
      </c>
      <c r="BA278" s="121">
        <f>COUNTIF(U278:AY278,"F")</f>
      </c>
      <c r="BB278" s="119">
        <f>COUNTIF(U278:AY278,"E")</f>
      </c>
    </row>
    <row r="279" spans="1:54" x14ac:dyDescent="0.2">
      <c r="A279" s="84"/>
      <c r="B279" s="85"/>
      <c r="C279" s="85"/>
      <c r="D279" s="85"/>
      <c r="E279" s="86"/>
      <c r="F279" s="16">
        <f>IF(E279="","",DATEDIF(E279,$I$7,"Y"))</f>
      </c>
      <c r="G279" s="85"/>
      <c r="H279" s="85"/>
      <c r="I279" s="87"/>
      <c r="J279" s="85"/>
      <c r="K279" s="85"/>
      <c r="L279" s="10"/>
      <c r="M279" s="10"/>
      <c r="N279" s="10"/>
      <c r="O279" s="10"/>
      <c r="P279" s="85"/>
      <c r="Q279" s="88"/>
      <c r="R279" s="3">
        <f>IFERROR(VLOOKUP(TablaNoviembre[[#This Row],[BARRIO]],SECTOR!$A:$B,2,0),"")</f>
      </c>
      <c r="S279" s="89"/>
      <c r="T279" s="90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6"/>
      <c r="AZ279" s="120">
        <f>COUNTIF(U279:AY279,"A")</f>
      </c>
      <c r="BA279" s="121">
        <f>COUNTIF(U279:AY279,"F")</f>
      </c>
      <c r="BB279" s="119">
        <f>COUNTIF(U279:AY279,"E")</f>
      </c>
    </row>
    <row r="280" spans="1:54" x14ac:dyDescent="0.2">
      <c r="A280" s="84"/>
      <c r="B280" s="85"/>
      <c r="C280" s="85"/>
      <c r="D280" s="85"/>
      <c r="E280" s="86"/>
      <c r="F280" s="16">
        <f>IF(E280="","",DATEDIF(E280,$I$7,"Y"))</f>
      </c>
      <c r="G280" s="85"/>
      <c r="H280" s="85"/>
      <c r="I280" s="87"/>
      <c r="J280" s="85"/>
      <c r="K280" s="85"/>
      <c r="L280" s="10"/>
      <c r="M280" s="10"/>
      <c r="N280" s="10"/>
      <c r="O280" s="10"/>
      <c r="P280" s="85"/>
      <c r="Q280" s="88"/>
      <c r="R280" s="3">
        <f>IFERROR(VLOOKUP(TablaNoviembre[[#This Row],[BARRIO]],SECTOR!$A:$B,2,0),"")</f>
      </c>
      <c r="S280" s="89"/>
      <c r="T280" s="90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6"/>
      <c r="AZ280" s="120">
        <f>COUNTIF(U280:AY280,"A")</f>
      </c>
      <c r="BA280" s="121">
        <f>COUNTIF(U280:AY280,"F")</f>
      </c>
      <c r="BB280" s="119">
        <f>COUNTIF(U280:AY280,"E")</f>
      </c>
    </row>
    <row r="281" spans="1:54" x14ac:dyDescent="0.2">
      <c r="A281" s="84"/>
      <c r="B281" s="85"/>
      <c r="C281" s="85"/>
      <c r="D281" s="85"/>
      <c r="E281" s="86"/>
      <c r="F281" s="16">
        <f>IF(E281="","",DATEDIF(E281,$I$7,"Y"))</f>
      </c>
      <c r="G281" s="85"/>
      <c r="H281" s="85"/>
      <c r="I281" s="87"/>
      <c r="J281" s="85"/>
      <c r="K281" s="85"/>
      <c r="L281" s="10"/>
      <c r="M281" s="10"/>
      <c r="N281" s="10"/>
      <c r="O281" s="10"/>
      <c r="P281" s="85"/>
      <c r="Q281" s="88"/>
      <c r="R281" s="3">
        <f>IFERROR(VLOOKUP(TablaNoviembre[[#This Row],[BARRIO]],SECTOR!$A:$B,2,0),"")</f>
      </c>
      <c r="S281" s="89"/>
      <c r="T281" s="90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6"/>
      <c r="AZ281" s="120">
        <f>COUNTIF(U281:AY281,"A")</f>
      </c>
      <c r="BA281" s="121">
        <f>COUNTIF(U281:AY281,"F")</f>
      </c>
      <c r="BB281" s="119">
        <f>COUNTIF(U281:AY281,"E")</f>
      </c>
    </row>
    <row r="282" spans="1:54" x14ac:dyDescent="0.2">
      <c r="A282" s="84"/>
      <c r="B282" s="85"/>
      <c r="C282" s="85"/>
      <c r="D282" s="85"/>
      <c r="E282" s="86"/>
      <c r="F282" s="16">
        <f>IF(E282="","",DATEDIF(E282,$I$7,"Y"))</f>
      </c>
      <c r="G282" s="85"/>
      <c r="H282" s="85"/>
      <c r="I282" s="87"/>
      <c r="J282" s="85"/>
      <c r="K282" s="85"/>
      <c r="L282" s="10"/>
      <c r="M282" s="10"/>
      <c r="N282" s="10"/>
      <c r="O282" s="10"/>
      <c r="P282" s="85"/>
      <c r="Q282" s="88"/>
      <c r="R282" s="3">
        <f>IFERROR(VLOOKUP(TablaNoviembre[[#This Row],[BARRIO]],SECTOR!$A:$B,2,0),"")</f>
      </c>
      <c r="S282" s="89"/>
      <c r="T282" s="90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6"/>
      <c r="AZ282" s="120">
        <f>COUNTIF(U282:AY282,"A")</f>
      </c>
      <c r="BA282" s="121">
        <f>COUNTIF(U282:AY282,"F")</f>
      </c>
      <c r="BB282" s="119">
        <f>COUNTIF(U282:AY282,"E")</f>
      </c>
    </row>
    <row r="283" spans="1:54" x14ac:dyDescent="0.2">
      <c r="A283" s="84"/>
      <c r="B283" s="85"/>
      <c r="C283" s="85"/>
      <c r="D283" s="85"/>
      <c r="E283" s="86"/>
      <c r="F283" s="16">
        <f>IF(E283="","",DATEDIF(E283,$I$7,"Y"))</f>
      </c>
      <c r="G283" s="85"/>
      <c r="H283" s="85"/>
      <c r="I283" s="87"/>
      <c r="J283" s="85"/>
      <c r="K283" s="85"/>
      <c r="L283" s="10"/>
      <c r="M283" s="10"/>
      <c r="N283" s="10"/>
      <c r="O283" s="10"/>
      <c r="P283" s="85"/>
      <c r="Q283" s="88"/>
      <c r="R283" s="3">
        <f>IFERROR(VLOOKUP(TablaNoviembre[[#This Row],[BARRIO]],SECTOR!$A:$B,2,0),"")</f>
      </c>
      <c r="S283" s="89"/>
      <c r="T283" s="90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6"/>
      <c r="AZ283" s="120">
        <f>COUNTIF(U283:AY283,"A")</f>
      </c>
      <c r="BA283" s="121">
        <f>COUNTIF(U283:AY283,"F")</f>
      </c>
      <c r="BB283" s="119">
        <f>COUNTIF(U283:AY283,"E")</f>
      </c>
    </row>
    <row r="284" spans="1:54" x14ac:dyDescent="0.2">
      <c r="A284" s="84"/>
      <c r="B284" s="85"/>
      <c r="C284" s="85"/>
      <c r="D284" s="85"/>
      <c r="E284" s="86"/>
      <c r="F284" s="16">
        <f>IF(E284="","",DATEDIF(E284,$I$7,"Y"))</f>
      </c>
      <c r="G284" s="85"/>
      <c r="H284" s="85"/>
      <c r="I284" s="87"/>
      <c r="J284" s="85"/>
      <c r="K284" s="85"/>
      <c r="L284" s="10"/>
      <c r="M284" s="10"/>
      <c r="N284" s="10"/>
      <c r="O284" s="10"/>
      <c r="P284" s="85"/>
      <c r="Q284" s="88"/>
      <c r="R284" s="3">
        <f>IFERROR(VLOOKUP(TablaNoviembre[[#This Row],[BARRIO]],SECTOR!$A:$B,2,0),"")</f>
      </c>
      <c r="S284" s="89"/>
      <c r="T284" s="90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6"/>
      <c r="AZ284" s="120">
        <f>COUNTIF(U284:AY284,"A")</f>
      </c>
      <c r="BA284" s="121">
        <f>COUNTIF(U284:AY284,"F")</f>
      </c>
      <c r="BB284" s="119">
        <f>COUNTIF(U284:AY284,"E")</f>
      </c>
    </row>
    <row r="285" spans="1:54" x14ac:dyDescent="0.2">
      <c r="A285" s="84"/>
      <c r="B285" s="85"/>
      <c r="C285" s="85"/>
      <c r="D285" s="85"/>
      <c r="E285" s="86"/>
      <c r="F285" s="16">
        <f>IF(E285="","",DATEDIF(E285,$I$7,"Y"))</f>
      </c>
      <c r="G285" s="85"/>
      <c r="H285" s="85"/>
      <c r="I285" s="87"/>
      <c r="J285" s="85"/>
      <c r="K285" s="85"/>
      <c r="L285" s="10"/>
      <c r="M285" s="10"/>
      <c r="N285" s="10"/>
      <c r="O285" s="10"/>
      <c r="P285" s="85"/>
      <c r="Q285" s="88"/>
      <c r="R285" s="3">
        <f>IFERROR(VLOOKUP(TablaNoviembre[[#This Row],[BARRIO]],SECTOR!$A:$B,2,0),"")</f>
      </c>
      <c r="S285" s="89"/>
      <c r="T285" s="90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6"/>
      <c r="AZ285" s="120">
        <f>COUNTIF(U285:AY285,"A")</f>
      </c>
      <c r="BA285" s="121">
        <f>COUNTIF(U285:AY285,"F")</f>
      </c>
      <c r="BB285" s="119">
        <f>COUNTIF(U285:AY285,"E")</f>
      </c>
    </row>
    <row r="286" spans="1:54" x14ac:dyDescent="0.2">
      <c r="A286" s="84"/>
      <c r="B286" s="85"/>
      <c r="C286" s="85"/>
      <c r="D286" s="85"/>
      <c r="E286" s="86"/>
      <c r="F286" s="16">
        <f>IF(E286="","",DATEDIF(E286,$I$7,"Y"))</f>
      </c>
      <c r="G286" s="85"/>
      <c r="H286" s="85"/>
      <c r="I286" s="87"/>
      <c r="J286" s="85"/>
      <c r="K286" s="85"/>
      <c r="L286" s="10"/>
      <c r="M286" s="10"/>
      <c r="N286" s="10"/>
      <c r="O286" s="10"/>
      <c r="P286" s="85"/>
      <c r="Q286" s="88"/>
      <c r="R286" s="3">
        <f>IFERROR(VLOOKUP(TablaNoviembre[[#This Row],[BARRIO]],SECTOR!$A:$B,2,0),"")</f>
      </c>
      <c r="S286" s="89"/>
      <c r="T286" s="90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6"/>
      <c r="AZ286" s="120">
        <f>COUNTIF(U286:AY286,"A")</f>
      </c>
      <c r="BA286" s="121">
        <f>COUNTIF(U286:AY286,"F")</f>
      </c>
      <c r="BB286" s="119">
        <f>COUNTIF(U286:AY286,"E")</f>
      </c>
    </row>
    <row r="287" spans="1:54" x14ac:dyDescent="0.2">
      <c r="A287" s="84"/>
      <c r="B287" s="85"/>
      <c r="C287" s="85"/>
      <c r="D287" s="85"/>
      <c r="E287" s="86"/>
      <c r="F287" s="16">
        <f>IF(E287="","",DATEDIF(E287,$I$7,"Y"))</f>
      </c>
      <c r="G287" s="85"/>
      <c r="H287" s="85"/>
      <c r="I287" s="87"/>
      <c r="J287" s="85"/>
      <c r="K287" s="85"/>
      <c r="L287" s="10"/>
      <c r="M287" s="10"/>
      <c r="N287" s="10"/>
      <c r="O287" s="10"/>
      <c r="P287" s="85"/>
      <c r="Q287" s="88"/>
      <c r="R287" s="3">
        <f>IFERROR(VLOOKUP(TablaNoviembre[[#This Row],[BARRIO]],SECTOR!$A:$B,2,0),"")</f>
      </c>
      <c r="S287" s="89"/>
      <c r="T287" s="90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6"/>
      <c r="AZ287" s="120">
        <f>COUNTIF(U287:AY287,"A")</f>
      </c>
      <c r="BA287" s="121">
        <f>COUNTIF(U287:AY287,"F")</f>
      </c>
      <c r="BB287" s="119">
        <f>COUNTIF(U287:AY287,"E")</f>
      </c>
    </row>
    <row r="288" spans="1:54" x14ac:dyDescent="0.2">
      <c r="A288" s="84"/>
      <c r="B288" s="85"/>
      <c r="C288" s="85"/>
      <c r="D288" s="85"/>
      <c r="E288" s="86"/>
      <c r="F288" s="16">
        <f>IF(E288="","",DATEDIF(E288,$I$7,"Y"))</f>
      </c>
      <c r="G288" s="85"/>
      <c r="H288" s="85"/>
      <c r="I288" s="87"/>
      <c r="J288" s="85"/>
      <c r="K288" s="85"/>
      <c r="L288" s="10"/>
      <c r="M288" s="10"/>
      <c r="N288" s="10"/>
      <c r="O288" s="10"/>
      <c r="P288" s="85"/>
      <c r="Q288" s="88"/>
      <c r="R288" s="3">
        <f>IFERROR(VLOOKUP(TablaNoviembre[[#This Row],[BARRIO]],SECTOR!$A:$B,2,0),"")</f>
      </c>
      <c r="S288" s="89"/>
      <c r="T288" s="90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6"/>
      <c r="AZ288" s="120">
        <f>COUNTIF(U288:AY288,"A")</f>
      </c>
      <c r="BA288" s="121">
        <f>COUNTIF(U288:AY288,"F")</f>
      </c>
      <c r="BB288" s="119">
        <f>COUNTIF(U288:AY288,"E")</f>
      </c>
    </row>
    <row r="289" spans="1:54" x14ac:dyDescent="0.2">
      <c r="A289" s="84"/>
      <c r="B289" s="85"/>
      <c r="C289" s="85"/>
      <c r="D289" s="85"/>
      <c r="E289" s="86"/>
      <c r="F289" s="16">
        <f>IF(E289="","",DATEDIF(E289,$I$7,"Y"))</f>
      </c>
      <c r="G289" s="85"/>
      <c r="H289" s="85"/>
      <c r="I289" s="87"/>
      <c r="J289" s="85"/>
      <c r="K289" s="85"/>
      <c r="L289" s="10"/>
      <c r="M289" s="10"/>
      <c r="N289" s="10"/>
      <c r="O289" s="10"/>
      <c r="P289" s="85"/>
      <c r="Q289" s="88"/>
      <c r="R289" s="3">
        <f>IFERROR(VLOOKUP(TablaNoviembre[[#This Row],[BARRIO]],SECTOR!$A:$B,2,0),"")</f>
      </c>
      <c r="S289" s="89"/>
      <c r="T289" s="90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6"/>
      <c r="AZ289" s="120">
        <f>COUNTIF(U289:AY289,"A")</f>
      </c>
      <c r="BA289" s="121">
        <f>COUNTIF(U289:AY289,"F")</f>
      </c>
      <c r="BB289" s="119">
        <f>COUNTIF(U289:AY289,"E")</f>
      </c>
    </row>
    <row r="290" spans="1:54" x14ac:dyDescent="0.2">
      <c r="A290" s="84"/>
      <c r="B290" s="85"/>
      <c r="C290" s="85"/>
      <c r="D290" s="85"/>
      <c r="E290" s="86"/>
      <c r="F290" s="16">
        <f>IF(E290="","",DATEDIF(E290,$I$7,"Y"))</f>
      </c>
      <c r="G290" s="85"/>
      <c r="H290" s="85"/>
      <c r="I290" s="87"/>
      <c r="J290" s="85"/>
      <c r="K290" s="85"/>
      <c r="L290" s="10"/>
      <c r="M290" s="10"/>
      <c r="N290" s="10"/>
      <c r="O290" s="10"/>
      <c r="P290" s="85"/>
      <c r="Q290" s="88"/>
      <c r="R290" s="3">
        <f>IFERROR(VLOOKUP(TablaNoviembre[[#This Row],[BARRIO]],SECTOR!$A:$B,2,0),"")</f>
      </c>
      <c r="S290" s="89"/>
      <c r="T290" s="90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6"/>
      <c r="AZ290" s="120">
        <f>COUNTIF(U290:AY290,"A")</f>
      </c>
      <c r="BA290" s="121">
        <f>COUNTIF(U290:AY290,"F")</f>
      </c>
      <c r="BB290" s="119">
        <f>COUNTIF(U290:AY290,"E")</f>
      </c>
    </row>
    <row r="291" spans="1:54" x14ac:dyDescent="0.2">
      <c r="A291" s="84"/>
      <c r="B291" s="85"/>
      <c r="C291" s="85"/>
      <c r="D291" s="85"/>
      <c r="E291" s="86"/>
      <c r="F291" s="16">
        <f>IF(E291="","",DATEDIF(E291,$I$7,"Y"))</f>
      </c>
      <c r="G291" s="85"/>
      <c r="H291" s="85"/>
      <c r="I291" s="87"/>
      <c r="J291" s="85"/>
      <c r="K291" s="85"/>
      <c r="L291" s="10"/>
      <c r="M291" s="10"/>
      <c r="N291" s="10"/>
      <c r="O291" s="10"/>
      <c r="P291" s="85"/>
      <c r="Q291" s="88"/>
      <c r="R291" s="3">
        <f>IFERROR(VLOOKUP(TablaNoviembre[[#This Row],[BARRIO]],SECTOR!$A:$B,2,0),"")</f>
      </c>
      <c r="S291" s="89"/>
      <c r="T291" s="90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6"/>
      <c r="AZ291" s="120">
        <f>COUNTIF(U291:AY291,"A")</f>
      </c>
      <c r="BA291" s="121">
        <f>COUNTIF(U291:AY291,"F")</f>
      </c>
      <c r="BB291" s="119">
        <f>COUNTIF(U291:AY291,"E")</f>
      </c>
    </row>
    <row r="292" spans="1:54" x14ac:dyDescent="0.2">
      <c r="A292" s="84"/>
      <c r="B292" s="85"/>
      <c r="C292" s="85"/>
      <c r="D292" s="85"/>
      <c r="E292" s="86"/>
      <c r="F292" s="16">
        <f>IF(E292="","",DATEDIF(E292,$I$7,"Y"))</f>
      </c>
      <c r="G292" s="85"/>
      <c r="H292" s="85"/>
      <c r="I292" s="87"/>
      <c r="J292" s="85"/>
      <c r="K292" s="85"/>
      <c r="L292" s="10"/>
      <c r="M292" s="10"/>
      <c r="N292" s="10"/>
      <c r="O292" s="10"/>
      <c r="P292" s="85"/>
      <c r="Q292" s="88"/>
      <c r="R292" s="3">
        <f>IFERROR(VLOOKUP(TablaNoviembre[[#This Row],[BARRIO]],SECTOR!$A:$B,2,0),"")</f>
      </c>
      <c r="S292" s="89"/>
      <c r="T292" s="90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6"/>
      <c r="AZ292" s="120">
        <f>COUNTIF(U292:AY292,"A")</f>
      </c>
      <c r="BA292" s="121">
        <f>COUNTIF(U292:AY292,"F")</f>
      </c>
      <c r="BB292" s="119">
        <f>COUNTIF(U292:AY292,"E")</f>
      </c>
    </row>
    <row r="293" spans="1:54" x14ac:dyDescent="0.2">
      <c r="A293" s="84"/>
      <c r="B293" s="85"/>
      <c r="C293" s="85"/>
      <c r="D293" s="85"/>
      <c r="E293" s="86"/>
      <c r="F293" s="16">
        <f>IF(E293="","",DATEDIF(E293,$I$7,"Y"))</f>
      </c>
      <c r="G293" s="85"/>
      <c r="H293" s="85"/>
      <c r="I293" s="87"/>
      <c r="J293" s="85"/>
      <c r="K293" s="85"/>
      <c r="L293" s="10"/>
      <c r="M293" s="10"/>
      <c r="N293" s="10"/>
      <c r="O293" s="10"/>
      <c r="P293" s="85"/>
      <c r="Q293" s="88"/>
      <c r="R293" s="3">
        <f>IFERROR(VLOOKUP(TablaNoviembre[[#This Row],[BARRIO]],SECTOR!$A:$B,2,0),"")</f>
      </c>
      <c r="S293" s="89"/>
      <c r="T293" s="90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6"/>
      <c r="AZ293" s="120">
        <f>COUNTIF(U293:AY293,"A")</f>
      </c>
      <c r="BA293" s="121">
        <f>COUNTIF(U293:AY293,"F")</f>
      </c>
      <c r="BB293" s="119">
        <f>COUNTIF(U293:AY293,"E")</f>
      </c>
    </row>
    <row r="294" spans="1:54" x14ac:dyDescent="0.2">
      <c r="A294" s="84"/>
      <c r="B294" s="85"/>
      <c r="C294" s="85"/>
      <c r="D294" s="85"/>
      <c r="E294" s="86"/>
      <c r="F294" s="16">
        <f>IF(E294="","",DATEDIF(E294,$I$7,"Y"))</f>
      </c>
      <c r="G294" s="85"/>
      <c r="H294" s="85"/>
      <c r="I294" s="87"/>
      <c r="J294" s="85"/>
      <c r="K294" s="85"/>
      <c r="L294" s="10"/>
      <c r="M294" s="10"/>
      <c r="N294" s="10"/>
      <c r="O294" s="10"/>
      <c r="P294" s="85"/>
      <c r="Q294" s="88"/>
      <c r="R294" s="3">
        <f>IFERROR(VLOOKUP(TablaNoviembre[[#This Row],[BARRIO]],SECTOR!$A:$B,2,0),"")</f>
      </c>
      <c r="S294" s="89"/>
      <c r="T294" s="90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6"/>
      <c r="AZ294" s="120">
        <f>COUNTIF(U294:AY294,"A")</f>
      </c>
      <c r="BA294" s="121">
        <f>COUNTIF(U294:AY294,"F")</f>
      </c>
      <c r="BB294" s="119">
        <f>COUNTIF(U294:AY294,"E")</f>
      </c>
    </row>
    <row r="295" spans="1:54" x14ac:dyDescent="0.2">
      <c r="A295" s="84"/>
      <c r="B295" s="85"/>
      <c r="C295" s="85"/>
      <c r="D295" s="85"/>
      <c r="E295" s="86"/>
      <c r="F295" s="16">
        <f>IF(E295="","",DATEDIF(E295,$I$7,"Y"))</f>
      </c>
      <c r="G295" s="85"/>
      <c r="H295" s="85"/>
      <c r="I295" s="87"/>
      <c r="J295" s="85"/>
      <c r="K295" s="85"/>
      <c r="L295" s="10"/>
      <c r="M295" s="10"/>
      <c r="N295" s="10"/>
      <c r="O295" s="10"/>
      <c r="P295" s="85"/>
      <c r="Q295" s="88"/>
      <c r="R295" s="3">
        <f>IFERROR(VLOOKUP(TablaNoviembre[[#This Row],[BARRIO]],SECTOR!$A:$B,2,0),"")</f>
      </c>
      <c r="S295" s="89"/>
      <c r="T295" s="90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6"/>
      <c r="AZ295" s="120">
        <f>COUNTIF(U295:AY295,"A")</f>
      </c>
      <c r="BA295" s="121">
        <f>COUNTIF(U295:AY295,"F")</f>
      </c>
      <c r="BB295" s="119">
        <f>COUNTIF(U295:AY295,"E")</f>
      </c>
    </row>
    <row r="296" spans="1:54" x14ac:dyDescent="0.2">
      <c r="A296" s="84"/>
      <c r="B296" s="85"/>
      <c r="C296" s="85"/>
      <c r="D296" s="85"/>
      <c r="E296" s="86"/>
      <c r="F296" s="16">
        <f>IF(E296="","",DATEDIF(E296,$I$7,"Y"))</f>
      </c>
      <c r="G296" s="85"/>
      <c r="H296" s="85"/>
      <c r="I296" s="87"/>
      <c r="J296" s="85"/>
      <c r="K296" s="85"/>
      <c r="L296" s="10"/>
      <c r="M296" s="10"/>
      <c r="N296" s="10"/>
      <c r="O296" s="10"/>
      <c r="P296" s="85"/>
      <c r="Q296" s="88"/>
      <c r="R296" s="3">
        <f>IFERROR(VLOOKUP(TablaNoviembre[[#This Row],[BARRIO]],SECTOR!$A:$B,2,0),"")</f>
      </c>
      <c r="S296" s="89"/>
      <c r="T296" s="90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6"/>
      <c r="AZ296" s="120">
        <f>COUNTIF(U296:AY296,"A")</f>
      </c>
      <c r="BA296" s="121">
        <f>COUNTIF(U296:AY296,"F")</f>
      </c>
      <c r="BB296" s="119">
        <f>COUNTIF(U296:AY296,"E")</f>
      </c>
    </row>
    <row r="297" spans="1:54" x14ac:dyDescent="0.2">
      <c r="A297" s="84"/>
      <c r="B297" s="85"/>
      <c r="C297" s="85"/>
      <c r="D297" s="85"/>
      <c r="E297" s="86"/>
      <c r="F297" s="16">
        <f>IF(E297="","",DATEDIF(E297,$I$7,"Y"))</f>
      </c>
      <c r="G297" s="85"/>
      <c r="H297" s="85"/>
      <c r="I297" s="87"/>
      <c r="J297" s="85"/>
      <c r="K297" s="85"/>
      <c r="L297" s="10"/>
      <c r="M297" s="10"/>
      <c r="N297" s="10"/>
      <c r="O297" s="10"/>
      <c r="P297" s="85"/>
      <c r="Q297" s="88"/>
      <c r="R297" s="3">
        <f>IFERROR(VLOOKUP(TablaNoviembre[[#This Row],[BARRIO]],SECTOR!$A:$B,2,0),"")</f>
      </c>
      <c r="S297" s="89"/>
      <c r="T297" s="90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6"/>
      <c r="AZ297" s="120">
        <f>COUNTIF(U297:AY297,"A")</f>
      </c>
      <c r="BA297" s="121">
        <f>COUNTIF(U297:AY297,"F")</f>
      </c>
      <c r="BB297" s="119">
        <f>COUNTIF(U297:AY297,"E")</f>
      </c>
    </row>
    <row r="298" spans="1:54" x14ac:dyDescent="0.2">
      <c r="A298" s="84"/>
      <c r="B298" s="85"/>
      <c r="C298" s="85"/>
      <c r="D298" s="85"/>
      <c r="E298" s="86"/>
      <c r="F298" s="16">
        <f>IF(E298="","",DATEDIF(E298,$I$7,"Y"))</f>
      </c>
      <c r="G298" s="85"/>
      <c r="H298" s="85"/>
      <c r="I298" s="87"/>
      <c r="J298" s="85"/>
      <c r="K298" s="85"/>
      <c r="L298" s="10"/>
      <c r="M298" s="10"/>
      <c r="N298" s="10"/>
      <c r="O298" s="10"/>
      <c r="P298" s="85"/>
      <c r="Q298" s="88"/>
      <c r="R298" s="3">
        <f>IFERROR(VLOOKUP(TablaNoviembre[[#This Row],[BARRIO]],SECTOR!$A:$B,2,0),"")</f>
      </c>
      <c r="S298" s="89"/>
      <c r="T298" s="90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6"/>
      <c r="AZ298" s="120">
        <f>COUNTIF(U298:AY298,"A")</f>
      </c>
      <c r="BA298" s="121">
        <f>COUNTIF(U298:AY298,"F")</f>
      </c>
      <c r="BB298" s="119">
        <f>COUNTIF(U298:AY298,"E")</f>
      </c>
    </row>
    <row r="299" spans="1:54" x14ac:dyDescent="0.2">
      <c r="A299" s="84"/>
      <c r="B299" s="85"/>
      <c r="C299" s="85"/>
      <c r="D299" s="85"/>
      <c r="E299" s="86"/>
      <c r="F299" s="16">
        <f>IF(E299="","",DATEDIF(E299,$I$7,"Y"))</f>
      </c>
      <c r="G299" s="85"/>
      <c r="H299" s="85"/>
      <c r="I299" s="87"/>
      <c r="J299" s="85"/>
      <c r="K299" s="85"/>
      <c r="L299" s="10"/>
      <c r="M299" s="10"/>
      <c r="N299" s="10"/>
      <c r="O299" s="10"/>
      <c r="P299" s="85"/>
      <c r="Q299" s="88"/>
      <c r="R299" s="3">
        <f>IFERROR(VLOOKUP(TablaNoviembre[[#This Row],[BARRIO]],SECTOR!$A:$B,2,0),"")</f>
      </c>
      <c r="S299" s="89"/>
      <c r="T299" s="90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6"/>
      <c r="AZ299" s="120">
        <f>COUNTIF(U299:AY299,"A")</f>
      </c>
      <c r="BA299" s="121">
        <f>COUNTIF(U299:AY299,"F")</f>
      </c>
      <c r="BB299" s="119">
        <f>COUNTIF(U299:AY299,"E")</f>
      </c>
    </row>
    <row r="300" spans="1:54" x14ac:dyDescent="0.2">
      <c r="A300" s="84"/>
      <c r="B300" s="85"/>
      <c r="C300" s="85"/>
      <c r="D300" s="85"/>
      <c r="E300" s="86"/>
      <c r="F300" s="16">
        <f>IF(E300="","",DATEDIF(E300,$I$7,"Y"))</f>
      </c>
      <c r="G300" s="85"/>
      <c r="H300" s="85"/>
      <c r="I300" s="87"/>
      <c r="J300" s="85"/>
      <c r="K300" s="85"/>
      <c r="L300" s="10"/>
      <c r="M300" s="10"/>
      <c r="N300" s="10"/>
      <c r="O300" s="10"/>
      <c r="P300" s="85"/>
      <c r="Q300" s="88"/>
      <c r="R300" s="3">
        <f>IFERROR(VLOOKUP(TablaNoviembre[[#This Row],[BARRIO]],SECTOR!$A:$B,2,0),"")</f>
      </c>
      <c r="S300" s="89"/>
      <c r="T300" s="90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6"/>
      <c r="AZ300" s="120">
        <f>COUNTIF(U300:AY300,"A")</f>
      </c>
      <c r="BA300" s="121">
        <f>COUNTIF(U300:AY300,"F")</f>
      </c>
      <c r="BB300" s="119">
        <f>COUNTIF(U300:AY300,"E")</f>
      </c>
    </row>
    <row r="301" spans="1:54" x14ac:dyDescent="0.2">
      <c r="A301" s="84"/>
      <c r="B301" s="85"/>
      <c r="C301" s="85"/>
      <c r="D301" s="85"/>
      <c r="E301" s="86"/>
      <c r="F301" s="16">
        <f>IF(E301="","",DATEDIF(E301,$I$7,"Y"))</f>
      </c>
      <c r="G301" s="85"/>
      <c r="H301" s="85"/>
      <c r="I301" s="87"/>
      <c r="J301" s="85"/>
      <c r="K301" s="85"/>
      <c r="L301" s="10"/>
      <c r="M301" s="10"/>
      <c r="N301" s="10"/>
      <c r="O301" s="10"/>
      <c r="P301" s="85"/>
      <c r="Q301" s="88"/>
      <c r="R301" s="3">
        <f>IFERROR(VLOOKUP(TablaNoviembre[[#This Row],[BARRIO]],SECTOR!$A:$B,2,0),"")</f>
      </c>
      <c r="S301" s="89"/>
      <c r="T301" s="90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6"/>
      <c r="AZ301" s="120">
        <f>COUNTIF(U301:AY301,"A")</f>
      </c>
      <c r="BA301" s="121">
        <f>COUNTIF(U301:AY301,"F")</f>
      </c>
      <c r="BB301" s="119">
        <f>COUNTIF(U301:AY301,"E")</f>
      </c>
    </row>
    <row r="302" spans="1:54" x14ac:dyDescent="0.2">
      <c r="A302" s="84"/>
      <c r="B302" s="85"/>
      <c r="C302" s="85"/>
      <c r="D302" s="85"/>
      <c r="E302" s="86"/>
      <c r="F302" s="16">
        <f>IF(E302="","",DATEDIF(E302,$I$7,"Y"))</f>
      </c>
      <c r="G302" s="85"/>
      <c r="H302" s="85"/>
      <c r="I302" s="87"/>
      <c r="J302" s="85"/>
      <c r="K302" s="85"/>
      <c r="L302" s="10"/>
      <c r="M302" s="10"/>
      <c r="N302" s="10"/>
      <c r="O302" s="10"/>
      <c r="P302" s="85"/>
      <c r="Q302" s="88"/>
      <c r="R302" s="3">
        <f>IFERROR(VLOOKUP(TablaNoviembre[[#This Row],[BARRIO]],SECTOR!$A:$B,2,0),"")</f>
      </c>
      <c r="S302" s="89"/>
      <c r="T302" s="90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6"/>
      <c r="AZ302" s="120">
        <f>COUNTIF(U302:AY302,"A")</f>
      </c>
      <c r="BA302" s="121">
        <f>COUNTIF(U302:AY302,"F")</f>
      </c>
      <c r="BB302" s="119">
        <f>COUNTIF(U302:AY302,"E")</f>
      </c>
    </row>
    <row r="303" spans="1:54" x14ac:dyDescent="0.2">
      <c r="A303" s="84"/>
      <c r="B303" s="85"/>
      <c r="C303" s="85"/>
      <c r="D303" s="85"/>
      <c r="E303" s="86"/>
      <c r="F303" s="16">
        <f>IF(E303="","",DATEDIF(E303,$I$7,"Y"))</f>
      </c>
      <c r="G303" s="85"/>
      <c r="H303" s="85"/>
      <c r="I303" s="87"/>
      <c r="J303" s="85"/>
      <c r="K303" s="85"/>
      <c r="L303" s="10"/>
      <c r="M303" s="10"/>
      <c r="N303" s="10"/>
      <c r="O303" s="10"/>
      <c r="P303" s="85"/>
      <c r="Q303" s="88"/>
      <c r="R303" s="3">
        <f>IFERROR(VLOOKUP(TablaNoviembre[[#This Row],[BARRIO]],SECTOR!$A:$B,2,0),"")</f>
      </c>
      <c r="S303" s="89"/>
      <c r="T303" s="90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6"/>
      <c r="AZ303" s="120">
        <f>COUNTIF(U303:AY303,"A")</f>
      </c>
      <c r="BA303" s="121">
        <f>COUNTIF(U303:AY303,"F")</f>
      </c>
      <c r="BB303" s="119">
        <f>COUNTIF(U303:AY303,"E")</f>
      </c>
    </row>
    <row r="304" spans="1:54" x14ac:dyDescent="0.2">
      <c r="A304" s="84"/>
      <c r="B304" s="85"/>
      <c r="C304" s="85"/>
      <c r="D304" s="85"/>
      <c r="E304" s="86"/>
      <c r="F304" s="16">
        <f>IF(E304="","",DATEDIF(E304,$I$7,"Y"))</f>
      </c>
      <c r="G304" s="85"/>
      <c r="H304" s="85"/>
      <c r="I304" s="87"/>
      <c r="J304" s="85"/>
      <c r="K304" s="85"/>
      <c r="L304" s="10"/>
      <c r="M304" s="10"/>
      <c r="N304" s="10"/>
      <c r="O304" s="10"/>
      <c r="P304" s="85"/>
      <c r="Q304" s="88"/>
      <c r="R304" s="3">
        <f>IFERROR(VLOOKUP(TablaNoviembre[[#This Row],[BARRIO]],SECTOR!$A:$B,2,0),"")</f>
      </c>
      <c r="S304" s="89"/>
      <c r="T304" s="90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6"/>
      <c r="AZ304" s="120">
        <f>COUNTIF(U304:AY304,"A")</f>
      </c>
      <c r="BA304" s="121">
        <f>COUNTIF(U304:AY304,"F")</f>
      </c>
      <c r="BB304" s="119">
        <f>COUNTIF(U304:AY304,"E")</f>
      </c>
    </row>
    <row r="305" spans="1:54" x14ac:dyDescent="0.2">
      <c r="A305" s="84"/>
      <c r="B305" s="85"/>
      <c r="C305" s="85"/>
      <c r="D305" s="85"/>
      <c r="E305" s="86"/>
      <c r="F305" s="16">
        <f>IF(E305="","",DATEDIF(E305,$I$7,"Y"))</f>
      </c>
      <c r="G305" s="85"/>
      <c r="H305" s="85"/>
      <c r="I305" s="87"/>
      <c r="J305" s="85"/>
      <c r="K305" s="85"/>
      <c r="L305" s="10"/>
      <c r="M305" s="10"/>
      <c r="N305" s="10"/>
      <c r="O305" s="10"/>
      <c r="P305" s="85"/>
      <c r="Q305" s="88"/>
      <c r="R305" s="3">
        <f>IFERROR(VLOOKUP(TablaNoviembre[[#This Row],[BARRIO]],SECTOR!$A:$B,2,0),"")</f>
      </c>
      <c r="S305" s="89"/>
      <c r="T305" s="90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6"/>
      <c r="AZ305" s="120">
        <f>COUNTIF(U305:AY305,"A")</f>
      </c>
      <c r="BA305" s="121">
        <f>COUNTIF(U305:AY305,"F")</f>
      </c>
      <c r="BB305" s="119">
        <f>COUNTIF(U305:AY305,"E")</f>
      </c>
    </row>
    <row r="306" spans="1:54" x14ac:dyDescent="0.2">
      <c r="A306" s="84"/>
      <c r="B306" s="85"/>
      <c r="C306" s="85"/>
      <c r="D306" s="85"/>
      <c r="E306" s="86"/>
      <c r="F306" s="16">
        <f>IF(E306="","",DATEDIF(E306,$I$7,"Y"))</f>
      </c>
      <c r="G306" s="85"/>
      <c r="H306" s="85"/>
      <c r="I306" s="87"/>
      <c r="J306" s="85"/>
      <c r="K306" s="85"/>
      <c r="L306" s="10"/>
      <c r="M306" s="10"/>
      <c r="N306" s="10"/>
      <c r="O306" s="10"/>
      <c r="P306" s="85"/>
      <c r="Q306" s="88"/>
      <c r="R306" s="3">
        <f>IFERROR(VLOOKUP(TablaNoviembre[[#This Row],[BARRIO]],SECTOR!$A:$B,2,0),"")</f>
      </c>
      <c r="S306" s="89"/>
      <c r="T306" s="90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6"/>
      <c r="AZ306" s="120">
        <f>COUNTIF(U306:AY306,"A")</f>
      </c>
      <c r="BA306" s="121">
        <f>COUNTIF(U306:AY306,"F")</f>
      </c>
      <c r="BB306" s="119">
        <f>COUNTIF(U306:AY306,"E")</f>
      </c>
    </row>
    <row r="307" spans="1:54" x14ac:dyDescent="0.2">
      <c r="A307" s="84"/>
      <c r="B307" s="85"/>
      <c r="C307" s="85"/>
      <c r="D307" s="85"/>
      <c r="E307" s="86"/>
      <c r="F307" s="16">
        <f>IF(E307="","",DATEDIF(E307,$I$7,"Y"))</f>
      </c>
      <c r="G307" s="85"/>
      <c r="H307" s="85"/>
      <c r="I307" s="87"/>
      <c r="J307" s="85"/>
      <c r="K307" s="85"/>
      <c r="L307" s="10"/>
      <c r="M307" s="10"/>
      <c r="N307" s="10"/>
      <c r="O307" s="10"/>
      <c r="P307" s="85"/>
      <c r="Q307" s="88"/>
      <c r="R307" s="3">
        <f>IFERROR(VLOOKUP(TablaNoviembre[[#This Row],[BARRIO]],SECTOR!$A:$B,2,0),"")</f>
      </c>
      <c r="S307" s="89"/>
      <c r="T307" s="90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6"/>
      <c r="AZ307" s="120">
        <f>COUNTIF(U307:AY307,"A")</f>
      </c>
      <c r="BA307" s="121">
        <f>COUNTIF(U307:AY307,"F")</f>
      </c>
      <c r="BB307" s="119">
        <f>COUNTIF(U307:AY307,"E")</f>
      </c>
    </row>
    <row r="308" spans="1:54" x14ac:dyDescent="0.2">
      <c r="A308" s="84"/>
      <c r="B308" s="85"/>
      <c r="C308" s="85"/>
      <c r="D308" s="85"/>
      <c r="E308" s="86"/>
      <c r="F308" s="16">
        <f>IF(E308="","",DATEDIF(E308,$I$7,"Y"))</f>
      </c>
      <c r="G308" s="85"/>
      <c r="H308" s="85"/>
      <c r="I308" s="87"/>
      <c r="J308" s="85"/>
      <c r="K308" s="85"/>
      <c r="L308" s="10"/>
      <c r="M308" s="10"/>
      <c r="N308" s="10"/>
      <c r="O308" s="10"/>
      <c r="P308" s="85"/>
      <c r="Q308" s="88"/>
      <c r="R308" s="3">
        <f>IFERROR(VLOOKUP(TablaNoviembre[[#This Row],[BARRIO]],SECTOR!$A:$B,2,0),"")</f>
      </c>
      <c r="S308" s="89"/>
      <c r="T308" s="90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6"/>
      <c r="AZ308" s="120">
        <f>COUNTIF(U308:AY308,"A")</f>
      </c>
      <c r="BA308" s="121">
        <f>COUNTIF(U308:AY308,"F")</f>
      </c>
      <c r="BB308" s="119">
        <f>COUNTIF(U308:AY308,"E")</f>
      </c>
    </row>
    <row r="309" spans="1:54" x14ac:dyDescent="0.2">
      <c r="A309" s="84"/>
      <c r="B309" s="85"/>
      <c r="C309" s="85"/>
      <c r="D309" s="85"/>
      <c r="E309" s="86"/>
      <c r="F309" s="16">
        <f>IF(E309="","",DATEDIF(E309,$I$7,"Y"))</f>
      </c>
      <c r="G309" s="85"/>
      <c r="H309" s="85"/>
      <c r="I309" s="87"/>
      <c r="J309" s="85"/>
      <c r="K309" s="85"/>
      <c r="L309" s="10"/>
      <c r="M309" s="10"/>
      <c r="N309" s="10"/>
      <c r="O309" s="10"/>
      <c r="P309" s="85"/>
      <c r="Q309" s="88"/>
      <c r="R309" s="3">
        <f>IFERROR(VLOOKUP(TablaNoviembre[[#This Row],[BARRIO]],SECTOR!$A:$B,2,0),"")</f>
      </c>
      <c r="S309" s="89"/>
      <c r="T309" s="90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6"/>
      <c r="AZ309" s="120">
        <f>COUNTIF(U309:AY309,"A")</f>
      </c>
      <c r="BA309" s="121">
        <f>COUNTIF(U309:AY309,"F")</f>
      </c>
      <c r="BB309" s="119">
        <f>COUNTIF(U309:AY309,"E")</f>
      </c>
    </row>
    <row r="310" spans="1:54" x14ac:dyDescent="0.2">
      <c r="A310" s="84"/>
      <c r="B310" s="85"/>
      <c r="C310" s="85"/>
      <c r="D310" s="85"/>
      <c r="E310" s="86"/>
      <c r="F310" s="16">
        <f>IF(E310="","",DATEDIF(E310,$I$7,"Y"))</f>
      </c>
      <c r="G310" s="85"/>
      <c r="H310" s="85"/>
      <c r="I310" s="87"/>
      <c r="J310" s="85"/>
      <c r="K310" s="85"/>
      <c r="L310" s="10"/>
      <c r="M310" s="10"/>
      <c r="N310" s="10"/>
      <c r="O310" s="10"/>
      <c r="P310" s="85"/>
      <c r="Q310" s="88"/>
      <c r="R310" s="3">
        <f>IFERROR(VLOOKUP(TablaNoviembre[[#This Row],[BARRIO]],SECTOR!$A:$B,2,0),"")</f>
      </c>
      <c r="S310" s="89"/>
      <c r="T310" s="90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6"/>
      <c r="AZ310" s="120">
        <f>COUNTIF(U310:AY310,"A")</f>
      </c>
      <c r="BA310" s="121">
        <f>COUNTIF(U310:AY310,"F")</f>
      </c>
      <c r="BB310" s="119">
        <f>COUNTIF(U310:AY310,"E")</f>
      </c>
    </row>
    <row r="311" spans="1:54" x14ac:dyDescent="0.2">
      <c r="A311" s="84"/>
      <c r="B311" s="85"/>
      <c r="C311" s="85"/>
      <c r="D311" s="85"/>
      <c r="E311" s="86"/>
      <c r="F311" s="16">
        <f>IF(E311="","",DATEDIF(E311,$I$7,"Y"))</f>
      </c>
      <c r="G311" s="85"/>
      <c r="H311" s="85"/>
      <c r="I311" s="87"/>
      <c r="J311" s="85"/>
      <c r="K311" s="85"/>
      <c r="L311" s="10"/>
      <c r="M311" s="10"/>
      <c r="N311" s="10"/>
      <c r="O311" s="10"/>
      <c r="P311" s="85"/>
      <c r="Q311" s="88"/>
      <c r="R311" s="3">
        <f>IFERROR(VLOOKUP(TablaNoviembre[[#This Row],[BARRIO]],SECTOR!$A:$B,2,0),"")</f>
      </c>
      <c r="S311" s="89"/>
      <c r="T311" s="90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6"/>
      <c r="AZ311" s="120">
        <f>COUNTIF(U311:AY311,"A")</f>
      </c>
      <c r="BA311" s="121">
        <f>COUNTIF(U311:AY311,"F")</f>
      </c>
      <c r="BB311" s="119">
        <f>COUNTIF(U311:AY311,"E")</f>
      </c>
    </row>
    <row r="312" spans="1:54" x14ac:dyDescent="0.2">
      <c r="A312" s="84"/>
      <c r="B312" s="85"/>
      <c r="C312" s="85"/>
      <c r="D312" s="85"/>
      <c r="E312" s="86"/>
      <c r="F312" s="16">
        <f>IF(E312="","",DATEDIF(E312,$I$7,"Y"))</f>
      </c>
      <c r="G312" s="85"/>
      <c r="H312" s="85"/>
      <c r="I312" s="87"/>
      <c r="J312" s="85"/>
      <c r="K312" s="85"/>
      <c r="L312" s="10"/>
      <c r="M312" s="10"/>
      <c r="N312" s="10"/>
      <c r="O312" s="10"/>
      <c r="P312" s="85"/>
      <c r="Q312" s="88"/>
      <c r="R312" s="3">
        <f>IFERROR(VLOOKUP(TablaNoviembre[[#This Row],[BARRIO]],SECTOR!$A:$B,2,0),"")</f>
      </c>
      <c r="S312" s="89"/>
      <c r="T312" s="90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6"/>
      <c r="AZ312" s="120">
        <f>COUNTIF(U312:AY312,"A")</f>
      </c>
      <c r="BA312" s="121">
        <f>COUNTIF(U312:AY312,"F")</f>
      </c>
      <c r="BB312" s="119">
        <f>COUNTIF(U312:AY312,"E")</f>
      </c>
    </row>
    <row r="313" spans="1:54" x14ac:dyDescent="0.2">
      <c r="A313" s="84"/>
      <c r="B313" s="85"/>
      <c r="C313" s="85"/>
      <c r="D313" s="85"/>
      <c r="E313" s="86"/>
      <c r="F313" s="16">
        <f>IF(E313="","",DATEDIF(E313,$I$7,"Y"))</f>
      </c>
      <c r="G313" s="85"/>
      <c r="H313" s="85"/>
      <c r="I313" s="87"/>
      <c r="J313" s="85"/>
      <c r="K313" s="85"/>
      <c r="L313" s="10"/>
      <c r="M313" s="10"/>
      <c r="N313" s="10"/>
      <c r="O313" s="10"/>
      <c r="P313" s="85"/>
      <c r="Q313" s="88"/>
      <c r="R313" s="3">
        <f>IFERROR(VLOOKUP(TablaNoviembre[[#This Row],[BARRIO]],SECTOR!$A:$B,2,0),"")</f>
      </c>
      <c r="S313" s="89"/>
      <c r="T313" s="90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6"/>
      <c r="AZ313" s="120">
        <f>COUNTIF(U313:AY313,"A")</f>
      </c>
      <c r="BA313" s="121">
        <f>COUNTIF(U313:AY313,"F")</f>
      </c>
      <c r="BB313" s="119">
        <f>COUNTIF(U313:AY313,"E")</f>
      </c>
    </row>
    <row r="314" spans="1:54" x14ac:dyDescent="0.2">
      <c r="A314" s="84"/>
      <c r="B314" s="85"/>
      <c r="C314" s="85"/>
      <c r="D314" s="85"/>
      <c r="E314" s="86"/>
      <c r="F314" s="16">
        <f>IF(E314="","",DATEDIF(E314,$I$7,"Y"))</f>
      </c>
      <c r="G314" s="85"/>
      <c r="H314" s="85"/>
      <c r="I314" s="87"/>
      <c r="J314" s="85"/>
      <c r="K314" s="85"/>
      <c r="L314" s="10"/>
      <c r="M314" s="10"/>
      <c r="N314" s="10"/>
      <c r="O314" s="10"/>
      <c r="P314" s="85"/>
      <c r="Q314" s="88"/>
      <c r="R314" s="3">
        <f>IFERROR(VLOOKUP(TablaNoviembre[[#This Row],[BARRIO]],SECTOR!$A:$B,2,0),"")</f>
      </c>
      <c r="S314" s="89"/>
      <c r="T314" s="90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6"/>
      <c r="AZ314" s="120">
        <f>COUNTIF(U314:AY314,"A")</f>
      </c>
      <c r="BA314" s="121">
        <f>COUNTIF(U314:AY314,"F")</f>
      </c>
      <c r="BB314" s="119">
        <f>COUNTIF(U314:AY314,"E")</f>
      </c>
    </row>
    <row r="315" spans="1:54" x14ac:dyDescent="0.2">
      <c r="A315" s="84"/>
      <c r="B315" s="85"/>
      <c r="C315" s="85"/>
      <c r="D315" s="85"/>
      <c r="E315" s="86"/>
      <c r="F315" s="16">
        <f>IF(E315="","",DATEDIF(E315,$I$7,"Y"))</f>
      </c>
      <c r="G315" s="85"/>
      <c r="H315" s="85"/>
      <c r="I315" s="87"/>
      <c r="J315" s="85"/>
      <c r="K315" s="85"/>
      <c r="L315" s="10"/>
      <c r="M315" s="10"/>
      <c r="N315" s="10"/>
      <c r="O315" s="10"/>
      <c r="P315" s="85"/>
      <c r="Q315" s="88"/>
      <c r="R315" s="3">
        <f>IFERROR(VLOOKUP(TablaNoviembre[[#This Row],[BARRIO]],SECTOR!$A:$B,2,0),"")</f>
      </c>
      <c r="S315" s="89"/>
      <c r="T315" s="90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6"/>
      <c r="AZ315" s="120">
        <f>COUNTIF(U315:AY315,"A")</f>
      </c>
      <c r="BA315" s="121">
        <f>COUNTIF(U315:AY315,"F")</f>
      </c>
      <c r="BB315" s="119">
        <f>COUNTIF(U315:AY315,"E")</f>
      </c>
    </row>
    <row r="316" spans="1:54" x14ac:dyDescent="0.2">
      <c r="A316" s="84"/>
      <c r="B316" s="85"/>
      <c r="C316" s="85"/>
      <c r="D316" s="85"/>
      <c r="E316" s="86"/>
      <c r="F316" s="16">
        <f>IF(E316="","",DATEDIF(E316,$I$7,"Y"))</f>
      </c>
      <c r="G316" s="85"/>
      <c r="H316" s="85"/>
      <c r="I316" s="87"/>
      <c r="J316" s="85"/>
      <c r="K316" s="85"/>
      <c r="L316" s="10"/>
      <c r="M316" s="10"/>
      <c r="N316" s="10"/>
      <c r="O316" s="10"/>
      <c r="P316" s="85"/>
      <c r="Q316" s="88"/>
      <c r="R316" s="3">
        <f>IFERROR(VLOOKUP(TablaNoviembre[[#This Row],[BARRIO]],SECTOR!$A:$B,2,0),"")</f>
      </c>
      <c r="S316" s="89"/>
      <c r="T316" s="90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6"/>
      <c r="AZ316" s="120">
        <f>COUNTIF(U316:AY316,"A")</f>
      </c>
      <c r="BA316" s="121">
        <f>COUNTIF(U316:AY316,"F")</f>
      </c>
      <c r="BB316" s="119">
        <f>COUNTIF(U316:AY316,"E")</f>
      </c>
    </row>
    <row r="317" spans="1:54" x14ac:dyDescent="0.2">
      <c r="A317" s="84"/>
      <c r="B317" s="85"/>
      <c r="C317" s="85"/>
      <c r="D317" s="85"/>
      <c r="E317" s="86"/>
      <c r="F317" s="16">
        <f>IF(E317="","",DATEDIF(E317,$I$7,"Y"))</f>
      </c>
      <c r="G317" s="85"/>
      <c r="H317" s="85"/>
      <c r="I317" s="87"/>
      <c r="J317" s="85"/>
      <c r="K317" s="85"/>
      <c r="L317" s="10"/>
      <c r="M317" s="10"/>
      <c r="N317" s="10"/>
      <c r="O317" s="10"/>
      <c r="P317" s="85"/>
      <c r="Q317" s="88"/>
      <c r="R317" s="3">
        <f>IFERROR(VLOOKUP(TablaNoviembre[[#This Row],[BARRIO]],SECTOR!$A:$B,2,0),"")</f>
      </c>
      <c r="S317" s="89"/>
      <c r="T317" s="90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6"/>
      <c r="AZ317" s="120">
        <f>COUNTIF(U317:AY317,"A")</f>
      </c>
      <c r="BA317" s="121">
        <f>COUNTIF(U317:AY317,"F")</f>
      </c>
      <c r="BB317" s="119">
        <f>COUNTIF(U317:AY317,"E")</f>
      </c>
    </row>
    <row r="318" spans="1:54" x14ac:dyDescent="0.2">
      <c r="A318" s="84"/>
      <c r="B318" s="85"/>
      <c r="C318" s="85"/>
      <c r="D318" s="85"/>
      <c r="E318" s="86"/>
      <c r="F318" s="16">
        <f>IF(E318="","",DATEDIF(E318,$I$7,"Y"))</f>
      </c>
      <c r="G318" s="85"/>
      <c r="H318" s="85"/>
      <c r="I318" s="87"/>
      <c r="J318" s="85"/>
      <c r="K318" s="85"/>
      <c r="L318" s="10"/>
      <c r="M318" s="10"/>
      <c r="N318" s="10"/>
      <c r="O318" s="10"/>
      <c r="P318" s="85"/>
      <c r="Q318" s="88"/>
      <c r="R318" s="3">
        <f>IFERROR(VLOOKUP(TablaNoviembre[[#This Row],[BARRIO]],SECTOR!$A:$B,2,0),"")</f>
      </c>
      <c r="S318" s="89"/>
      <c r="T318" s="90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6"/>
      <c r="AZ318" s="120">
        <f>COUNTIF(U318:AY318,"A")</f>
      </c>
      <c r="BA318" s="121">
        <f>COUNTIF(U318:AY318,"F")</f>
      </c>
      <c r="BB318" s="119">
        <f>COUNTIF(U318:AY318,"E")</f>
      </c>
    </row>
    <row r="319" spans="1:54" x14ac:dyDescent="0.2">
      <c r="A319" s="84"/>
      <c r="B319" s="85"/>
      <c r="C319" s="85"/>
      <c r="D319" s="85"/>
      <c r="E319" s="86"/>
      <c r="F319" s="16">
        <f>IF(E319="","",DATEDIF(E319,$I$7,"Y"))</f>
      </c>
      <c r="G319" s="85"/>
      <c r="H319" s="85"/>
      <c r="I319" s="87"/>
      <c r="J319" s="85"/>
      <c r="K319" s="85"/>
      <c r="L319" s="10"/>
      <c r="M319" s="10"/>
      <c r="N319" s="10"/>
      <c r="O319" s="10"/>
      <c r="P319" s="85"/>
      <c r="Q319" s="88"/>
      <c r="R319" s="3">
        <f>IFERROR(VLOOKUP(TablaNoviembre[[#This Row],[BARRIO]],SECTOR!$A:$B,2,0),"")</f>
      </c>
      <c r="S319" s="89"/>
      <c r="T319" s="90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6"/>
      <c r="AZ319" s="120">
        <f>COUNTIF(U319:AY319,"A")</f>
      </c>
      <c r="BA319" s="121">
        <f>COUNTIF(U319:AY319,"F")</f>
      </c>
      <c r="BB319" s="119">
        <f>COUNTIF(U319:AY319,"E")</f>
      </c>
    </row>
    <row r="320" spans="1:54" x14ac:dyDescent="0.2">
      <c r="A320" s="84"/>
      <c r="B320" s="85"/>
      <c r="C320" s="85"/>
      <c r="D320" s="85"/>
      <c r="E320" s="86"/>
      <c r="F320" s="16">
        <f>IF(E320="","",DATEDIF(E320,$I$7,"Y"))</f>
      </c>
      <c r="G320" s="85"/>
      <c r="H320" s="85"/>
      <c r="I320" s="87"/>
      <c r="J320" s="85"/>
      <c r="K320" s="85"/>
      <c r="L320" s="10"/>
      <c r="M320" s="10"/>
      <c r="N320" s="10"/>
      <c r="O320" s="10"/>
      <c r="P320" s="85"/>
      <c r="Q320" s="88"/>
      <c r="R320" s="3">
        <f>IFERROR(VLOOKUP(TablaNoviembre[[#This Row],[BARRIO]],SECTOR!$A:$B,2,0),"")</f>
      </c>
      <c r="S320" s="89"/>
      <c r="T320" s="90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6"/>
      <c r="AZ320" s="120">
        <f>COUNTIF(U320:AY320,"A")</f>
      </c>
      <c r="BA320" s="121">
        <f>COUNTIF(U320:AY320,"F")</f>
      </c>
      <c r="BB320" s="119">
        <f>COUNTIF(U320:AY320,"E")</f>
      </c>
    </row>
    <row r="321" spans="1:54" x14ac:dyDescent="0.2">
      <c r="A321" s="84"/>
      <c r="B321" s="85"/>
      <c r="C321" s="85"/>
      <c r="D321" s="85"/>
      <c r="E321" s="86"/>
      <c r="F321" s="16">
        <f>IF(E321="","",DATEDIF(E321,$I$7,"Y"))</f>
      </c>
      <c r="G321" s="85"/>
      <c r="H321" s="85"/>
      <c r="I321" s="87"/>
      <c r="J321" s="85"/>
      <c r="K321" s="85"/>
      <c r="L321" s="10"/>
      <c r="M321" s="10"/>
      <c r="N321" s="10"/>
      <c r="O321" s="10"/>
      <c r="P321" s="85"/>
      <c r="Q321" s="88"/>
      <c r="R321" s="3">
        <f>IFERROR(VLOOKUP(TablaNoviembre[[#This Row],[BARRIO]],SECTOR!$A:$B,2,0),"")</f>
      </c>
      <c r="S321" s="89"/>
      <c r="T321" s="90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6"/>
      <c r="AZ321" s="120">
        <f>COUNTIF(U321:AY321,"A")</f>
      </c>
      <c r="BA321" s="121">
        <f>COUNTIF(U321:AY321,"F")</f>
      </c>
      <c r="BB321" s="119">
        <f>COUNTIF(U321:AY321,"E")</f>
      </c>
    </row>
    <row r="322" spans="1:54" x14ac:dyDescent="0.2">
      <c r="A322" s="84"/>
      <c r="B322" s="85"/>
      <c r="C322" s="85"/>
      <c r="D322" s="85"/>
      <c r="E322" s="86"/>
      <c r="F322" s="16">
        <f>IF(E322="","",DATEDIF(E322,$I$7,"Y"))</f>
      </c>
      <c r="G322" s="85"/>
      <c r="H322" s="85"/>
      <c r="I322" s="87"/>
      <c r="J322" s="85"/>
      <c r="K322" s="85"/>
      <c r="L322" s="10"/>
      <c r="M322" s="10"/>
      <c r="N322" s="10"/>
      <c r="O322" s="10"/>
      <c r="P322" s="85"/>
      <c r="Q322" s="88"/>
      <c r="R322" s="3">
        <f>IFERROR(VLOOKUP(TablaNoviembre[[#This Row],[BARRIO]],SECTOR!$A:$B,2,0),"")</f>
      </c>
      <c r="S322" s="89"/>
      <c r="T322" s="90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6"/>
      <c r="AZ322" s="120">
        <f>COUNTIF(U322:AY322,"A")</f>
      </c>
      <c r="BA322" s="121">
        <f>COUNTIF(U322:AY322,"F")</f>
      </c>
      <c r="BB322" s="119">
        <f>COUNTIF(U322:AY322,"E")</f>
      </c>
    </row>
    <row r="323" spans="1:54" x14ac:dyDescent="0.2">
      <c r="A323" s="84"/>
      <c r="B323" s="85"/>
      <c r="C323" s="85"/>
      <c r="D323" s="85"/>
      <c r="E323" s="86"/>
      <c r="F323" s="16">
        <f>IF(E323="","",DATEDIF(E323,$I$7,"Y"))</f>
      </c>
      <c r="G323" s="85"/>
      <c r="H323" s="85"/>
      <c r="I323" s="87"/>
      <c r="J323" s="85"/>
      <c r="K323" s="85"/>
      <c r="L323" s="10"/>
      <c r="M323" s="10"/>
      <c r="N323" s="10"/>
      <c r="O323" s="10"/>
      <c r="P323" s="85"/>
      <c r="Q323" s="88"/>
      <c r="R323" s="3">
        <f>IFERROR(VLOOKUP(TablaNoviembre[[#This Row],[BARRIO]],SECTOR!$A:$B,2,0),"")</f>
      </c>
      <c r="S323" s="89"/>
      <c r="T323" s="90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6"/>
      <c r="AZ323" s="120">
        <f>COUNTIF(U323:AY323,"A")</f>
      </c>
      <c r="BA323" s="121">
        <f>COUNTIF(U323:AY323,"F")</f>
      </c>
      <c r="BB323" s="119">
        <f>COUNTIF(U323:AY323,"E")</f>
      </c>
    </row>
    <row r="324" spans="1:54" x14ac:dyDescent="0.2">
      <c r="A324" s="84"/>
      <c r="B324" s="85"/>
      <c r="C324" s="85"/>
      <c r="D324" s="85"/>
      <c r="E324" s="86"/>
      <c r="F324" s="16">
        <f>IF(E324="","",DATEDIF(E324,$I$7,"Y"))</f>
      </c>
      <c r="G324" s="85"/>
      <c r="H324" s="85"/>
      <c r="I324" s="87"/>
      <c r="J324" s="85"/>
      <c r="K324" s="85"/>
      <c r="L324" s="10"/>
      <c r="M324" s="10"/>
      <c r="N324" s="10"/>
      <c r="O324" s="10"/>
      <c r="P324" s="85"/>
      <c r="Q324" s="88"/>
      <c r="R324" s="3">
        <f>IFERROR(VLOOKUP(TablaNoviembre[[#This Row],[BARRIO]],SECTOR!$A:$B,2,0),"")</f>
      </c>
      <c r="S324" s="89"/>
      <c r="T324" s="90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6"/>
      <c r="AZ324" s="120">
        <f>COUNTIF(U324:AY324,"A")</f>
      </c>
      <c r="BA324" s="121">
        <f>COUNTIF(U324:AY324,"F")</f>
      </c>
      <c r="BB324" s="119">
        <f>COUNTIF(U324:AY324,"E")</f>
      </c>
    </row>
    <row r="325" spans="1:54" x14ac:dyDescent="0.2">
      <c r="A325" s="84"/>
      <c r="B325" s="85"/>
      <c r="C325" s="85"/>
      <c r="D325" s="85"/>
      <c r="E325" s="86"/>
      <c r="F325" s="16">
        <f>IF(E325="","",DATEDIF(E325,$I$7,"Y"))</f>
      </c>
      <c r="G325" s="85"/>
      <c r="H325" s="85"/>
      <c r="I325" s="87"/>
      <c r="J325" s="85"/>
      <c r="K325" s="85"/>
      <c r="L325" s="10"/>
      <c r="M325" s="10"/>
      <c r="N325" s="10"/>
      <c r="O325" s="10"/>
      <c r="P325" s="85"/>
      <c r="Q325" s="88"/>
      <c r="R325" s="3">
        <f>IFERROR(VLOOKUP(TablaNoviembre[[#This Row],[BARRIO]],SECTOR!$A:$B,2,0),"")</f>
      </c>
      <c r="S325" s="89"/>
      <c r="T325" s="90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6"/>
      <c r="AZ325" s="120">
        <f>COUNTIF(U325:AY325,"A")</f>
      </c>
      <c r="BA325" s="121">
        <f>COUNTIF(U325:AY325,"F")</f>
      </c>
      <c r="BB325" s="119">
        <f>COUNTIF(U325:AY325,"E")</f>
      </c>
    </row>
    <row r="326" spans="1:54" x14ac:dyDescent="0.2">
      <c r="A326" s="84"/>
      <c r="B326" s="85"/>
      <c r="C326" s="85"/>
      <c r="D326" s="85"/>
      <c r="E326" s="86"/>
      <c r="F326" s="16">
        <f>IF(E326="","",DATEDIF(E326,$I$7,"Y"))</f>
      </c>
      <c r="G326" s="85"/>
      <c r="H326" s="85"/>
      <c r="I326" s="87"/>
      <c r="J326" s="85"/>
      <c r="K326" s="85"/>
      <c r="L326" s="10"/>
      <c r="M326" s="10"/>
      <c r="N326" s="10"/>
      <c r="O326" s="10"/>
      <c r="P326" s="85"/>
      <c r="Q326" s="88"/>
      <c r="R326" s="3">
        <f>IFERROR(VLOOKUP(TablaNoviembre[[#This Row],[BARRIO]],SECTOR!$A:$B,2,0),"")</f>
      </c>
      <c r="S326" s="89"/>
      <c r="T326" s="90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6"/>
      <c r="AZ326" s="120">
        <f>COUNTIF(U326:AY326,"A")</f>
      </c>
      <c r="BA326" s="121">
        <f>COUNTIF(U326:AY326,"F")</f>
      </c>
      <c r="BB326" s="119">
        <f>COUNTIF(U326:AY326,"E")</f>
      </c>
    </row>
    <row r="327" spans="1:54" x14ac:dyDescent="0.2">
      <c r="A327" s="84"/>
      <c r="B327" s="85"/>
      <c r="C327" s="85"/>
      <c r="D327" s="85"/>
      <c r="E327" s="86"/>
      <c r="F327" s="16">
        <f>IF(E327="","",DATEDIF(E327,$I$7,"Y"))</f>
      </c>
      <c r="G327" s="85"/>
      <c r="H327" s="85"/>
      <c r="I327" s="87"/>
      <c r="J327" s="85"/>
      <c r="K327" s="85"/>
      <c r="L327" s="10"/>
      <c r="M327" s="10"/>
      <c r="N327" s="10"/>
      <c r="O327" s="10"/>
      <c r="P327" s="85"/>
      <c r="Q327" s="88"/>
      <c r="R327" s="3">
        <f>IFERROR(VLOOKUP(TablaNoviembre[[#This Row],[BARRIO]],SECTOR!$A:$B,2,0),"")</f>
      </c>
      <c r="S327" s="89"/>
      <c r="T327" s="90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6"/>
      <c r="AZ327" s="120">
        <f>COUNTIF(U327:AY327,"A")</f>
      </c>
      <c r="BA327" s="121">
        <f>COUNTIF(U327:AY327,"F")</f>
      </c>
      <c r="BB327" s="119">
        <f>COUNTIF(U327:AY327,"E")</f>
      </c>
    </row>
    <row r="328" spans="1:54" x14ac:dyDescent="0.2">
      <c r="A328" s="84"/>
      <c r="B328" s="85"/>
      <c r="C328" s="85"/>
      <c r="D328" s="85"/>
      <c r="E328" s="86"/>
      <c r="F328" s="16">
        <f>IF(E328="","",DATEDIF(E328,$I$7,"Y"))</f>
      </c>
      <c r="G328" s="85"/>
      <c r="H328" s="85"/>
      <c r="I328" s="87"/>
      <c r="J328" s="85"/>
      <c r="K328" s="85"/>
      <c r="L328" s="10"/>
      <c r="M328" s="10"/>
      <c r="N328" s="10"/>
      <c r="O328" s="10"/>
      <c r="P328" s="85"/>
      <c r="Q328" s="88"/>
      <c r="R328" s="3">
        <f>IFERROR(VLOOKUP(TablaNoviembre[[#This Row],[BARRIO]],SECTOR!$A:$B,2,0),"")</f>
      </c>
      <c r="S328" s="89"/>
      <c r="T328" s="90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6"/>
      <c r="AZ328" s="120">
        <f>COUNTIF(U328:AY328,"A")</f>
      </c>
      <c r="BA328" s="121">
        <f>COUNTIF(U328:AY328,"F")</f>
      </c>
      <c r="BB328" s="119">
        <f>COUNTIF(U328:AY328,"E")</f>
      </c>
    </row>
    <row r="329" spans="1:54" x14ac:dyDescent="0.2">
      <c r="A329" s="84"/>
      <c r="B329" s="85"/>
      <c r="C329" s="85"/>
      <c r="D329" s="85"/>
      <c r="E329" s="86"/>
      <c r="F329" s="16">
        <f>IF(E329="","",DATEDIF(E329,$I$7,"Y"))</f>
      </c>
      <c r="G329" s="85"/>
      <c r="H329" s="85"/>
      <c r="I329" s="87"/>
      <c r="J329" s="85"/>
      <c r="K329" s="85"/>
      <c r="L329" s="10"/>
      <c r="M329" s="10"/>
      <c r="N329" s="10"/>
      <c r="O329" s="10"/>
      <c r="P329" s="85"/>
      <c r="Q329" s="88"/>
      <c r="R329" s="3">
        <f>IFERROR(VLOOKUP(TablaNoviembre[[#This Row],[BARRIO]],SECTOR!$A:$B,2,0),"")</f>
      </c>
      <c r="S329" s="89"/>
      <c r="T329" s="90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6"/>
      <c r="AZ329" s="120">
        <f>COUNTIF(U329:AY329,"A")</f>
      </c>
      <c r="BA329" s="121">
        <f>COUNTIF(U329:AY329,"F")</f>
      </c>
      <c r="BB329" s="119">
        <f>COUNTIF(U329:AY329,"E")</f>
      </c>
    </row>
    <row r="330" spans="1:54" x14ac:dyDescent="0.2">
      <c r="A330" s="84"/>
      <c r="B330" s="85"/>
      <c r="C330" s="85"/>
      <c r="D330" s="85"/>
      <c r="E330" s="86"/>
      <c r="F330" s="16">
        <f>IF(E330="","",DATEDIF(E330,$I$7,"Y"))</f>
      </c>
      <c r="G330" s="85"/>
      <c r="H330" s="85"/>
      <c r="I330" s="87"/>
      <c r="J330" s="85"/>
      <c r="K330" s="85"/>
      <c r="L330" s="10"/>
      <c r="M330" s="10"/>
      <c r="N330" s="10"/>
      <c r="O330" s="10"/>
      <c r="P330" s="85"/>
      <c r="Q330" s="88"/>
      <c r="R330" s="3">
        <f>IFERROR(VLOOKUP(TablaNoviembre[[#This Row],[BARRIO]],SECTOR!$A:$B,2,0),"")</f>
      </c>
      <c r="S330" s="89"/>
      <c r="T330" s="90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6"/>
      <c r="AZ330" s="120">
        <f>COUNTIF(U330:AY330,"A")</f>
      </c>
      <c r="BA330" s="121">
        <f>COUNTIF(U330:AY330,"F")</f>
      </c>
      <c r="BB330" s="119">
        <f>COUNTIF(U330:AY330,"E")</f>
      </c>
    </row>
    <row r="331" spans="1:54" x14ac:dyDescent="0.2">
      <c r="A331" s="84"/>
      <c r="B331" s="85"/>
      <c r="C331" s="85"/>
      <c r="D331" s="85"/>
      <c r="E331" s="86"/>
      <c r="F331" s="16">
        <f>IF(E331="","",DATEDIF(E331,$I$7,"Y"))</f>
      </c>
      <c r="G331" s="85"/>
      <c r="H331" s="85"/>
      <c r="I331" s="87"/>
      <c r="J331" s="85"/>
      <c r="K331" s="85"/>
      <c r="L331" s="10"/>
      <c r="M331" s="10"/>
      <c r="N331" s="10"/>
      <c r="O331" s="10"/>
      <c r="P331" s="85"/>
      <c r="Q331" s="88"/>
      <c r="R331" s="3">
        <f>IFERROR(VLOOKUP(TablaNoviembre[[#This Row],[BARRIO]],SECTOR!$A:$B,2,0),"")</f>
      </c>
      <c r="S331" s="89"/>
      <c r="T331" s="90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6"/>
      <c r="AZ331" s="120">
        <f>COUNTIF(U331:AY331,"A")</f>
      </c>
      <c r="BA331" s="121">
        <f>COUNTIF(U331:AY331,"F")</f>
      </c>
      <c r="BB331" s="119">
        <f>COUNTIF(U331:AY331,"E")</f>
      </c>
    </row>
    <row r="332" spans="1:54" x14ac:dyDescent="0.2">
      <c r="A332" s="84"/>
      <c r="B332" s="85"/>
      <c r="C332" s="85"/>
      <c r="D332" s="85"/>
      <c r="E332" s="86"/>
      <c r="F332" s="16">
        <f>IF(E332="","",DATEDIF(E332,$I$7,"Y"))</f>
      </c>
      <c r="G332" s="85"/>
      <c r="H332" s="85"/>
      <c r="I332" s="87"/>
      <c r="J332" s="85"/>
      <c r="K332" s="85"/>
      <c r="L332" s="10"/>
      <c r="M332" s="10"/>
      <c r="N332" s="10"/>
      <c r="O332" s="10"/>
      <c r="P332" s="85"/>
      <c r="Q332" s="88"/>
      <c r="R332" s="3">
        <f>IFERROR(VLOOKUP(TablaNoviembre[[#This Row],[BARRIO]],SECTOR!$A:$B,2,0),"")</f>
      </c>
      <c r="S332" s="89"/>
      <c r="T332" s="90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6"/>
      <c r="AZ332" s="120">
        <f>COUNTIF(U332:AY332,"A")</f>
      </c>
      <c r="BA332" s="121">
        <f>COUNTIF(U332:AY332,"F")</f>
      </c>
      <c r="BB332" s="119">
        <f>COUNTIF(U332:AY332,"E")</f>
      </c>
    </row>
    <row r="333" spans="1:54" x14ac:dyDescent="0.2">
      <c r="A333" s="84"/>
      <c r="B333" s="85"/>
      <c r="C333" s="85"/>
      <c r="D333" s="85"/>
      <c r="E333" s="86"/>
      <c r="F333" s="16">
        <f>IF(E333="","",DATEDIF(E333,$I$7,"Y"))</f>
      </c>
      <c r="G333" s="85"/>
      <c r="H333" s="85"/>
      <c r="I333" s="87"/>
      <c r="J333" s="85"/>
      <c r="K333" s="85"/>
      <c r="L333" s="10"/>
      <c r="M333" s="10"/>
      <c r="N333" s="10"/>
      <c r="O333" s="10"/>
      <c r="P333" s="85"/>
      <c r="Q333" s="88"/>
      <c r="R333" s="3">
        <f>IFERROR(VLOOKUP(TablaNoviembre[[#This Row],[BARRIO]],SECTOR!$A:$B,2,0),"")</f>
      </c>
      <c r="S333" s="89"/>
      <c r="T333" s="90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6"/>
      <c r="AZ333" s="120">
        <f>COUNTIF(U333:AY333,"A")</f>
      </c>
      <c r="BA333" s="121">
        <f>COUNTIF(U333:AY333,"F")</f>
      </c>
      <c r="BB333" s="119">
        <f>COUNTIF(U333:AY333,"E")</f>
      </c>
    </row>
    <row r="334" spans="1:54" x14ac:dyDescent="0.2">
      <c r="A334" s="84"/>
      <c r="B334" s="85"/>
      <c r="C334" s="85"/>
      <c r="D334" s="85"/>
      <c r="E334" s="86"/>
      <c r="F334" s="16">
        <f>IF(E334="","",DATEDIF(E334,$I$7,"Y"))</f>
      </c>
      <c r="G334" s="85"/>
      <c r="H334" s="85"/>
      <c r="I334" s="87"/>
      <c r="J334" s="85"/>
      <c r="K334" s="85"/>
      <c r="L334" s="10"/>
      <c r="M334" s="10"/>
      <c r="N334" s="10"/>
      <c r="O334" s="10"/>
      <c r="P334" s="85"/>
      <c r="Q334" s="88"/>
      <c r="R334" s="3">
        <f>IFERROR(VLOOKUP(TablaNoviembre[[#This Row],[BARRIO]],SECTOR!$A:$B,2,0),"")</f>
      </c>
      <c r="S334" s="89"/>
      <c r="T334" s="90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6"/>
      <c r="AZ334" s="120">
        <f>COUNTIF(U334:AY334,"A")</f>
      </c>
      <c r="BA334" s="121">
        <f>COUNTIF(U334:AY334,"F")</f>
      </c>
      <c r="BB334" s="119">
        <f>COUNTIF(U334:AY334,"E")</f>
      </c>
    </row>
    <row r="335" spans="1:54" x14ac:dyDescent="0.2">
      <c r="A335" s="84"/>
      <c r="B335" s="85"/>
      <c r="C335" s="85"/>
      <c r="D335" s="85"/>
      <c r="E335" s="86"/>
      <c r="F335" s="16">
        <f>IF(E335="","",DATEDIF(E335,$I$7,"Y"))</f>
      </c>
      <c r="G335" s="85"/>
      <c r="H335" s="85"/>
      <c r="I335" s="87"/>
      <c r="J335" s="85"/>
      <c r="K335" s="85"/>
      <c r="L335" s="10"/>
      <c r="M335" s="10"/>
      <c r="N335" s="10"/>
      <c r="O335" s="10"/>
      <c r="P335" s="85"/>
      <c r="Q335" s="88"/>
      <c r="R335" s="3">
        <f>IFERROR(VLOOKUP(TablaNoviembre[[#This Row],[BARRIO]],SECTOR!$A:$B,2,0),"")</f>
      </c>
      <c r="S335" s="89"/>
      <c r="T335" s="90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6"/>
      <c r="AZ335" s="120">
        <f>COUNTIF(U335:AY335,"A")</f>
      </c>
      <c r="BA335" s="121">
        <f>COUNTIF(U335:AY335,"F")</f>
      </c>
      <c r="BB335" s="119">
        <f>COUNTIF(U335:AY335,"E")</f>
      </c>
    </row>
    <row r="336" spans="1:54" x14ac:dyDescent="0.2">
      <c r="A336" s="84"/>
      <c r="B336" s="85"/>
      <c r="C336" s="85"/>
      <c r="D336" s="85"/>
      <c r="E336" s="86"/>
      <c r="F336" s="16">
        <f>IF(E336="","",DATEDIF(E336,$I$7,"Y"))</f>
      </c>
      <c r="G336" s="85"/>
      <c r="H336" s="85"/>
      <c r="I336" s="87"/>
      <c r="J336" s="85"/>
      <c r="K336" s="85"/>
      <c r="L336" s="10"/>
      <c r="M336" s="10"/>
      <c r="N336" s="10"/>
      <c r="O336" s="10"/>
      <c r="P336" s="85"/>
      <c r="Q336" s="88"/>
      <c r="R336" s="3">
        <f>IFERROR(VLOOKUP(TablaNoviembre[[#This Row],[BARRIO]],SECTOR!$A:$B,2,0),"")</f>
      </c>
      <c r="S336" s="89"/>
      <c r="T336" s="90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6"/>
      <c r="AZ336" s="120">
        <f>COUNTIF(U336:AY336,"A")</f>
      </c>
      <c r="BA336" s="121">
        <f>COUNTIF(U336:AY336,"F")</f>
      </c>
      <c r="BB336" s="119">
        <f>COUNTIF(U336:AY336,"E")</f>
      </c>
    </row>
    <row r="337" spans="1:54" x14ac:dyDescent="0.2">
      <c r="A337" s="84"/>
      <c r="B337" s="85"/>
      <c r="C337" s="85"/>
      <c r="D337" s="85"/>
      <c r="E337" s="86"/>
      <c r="F337" s="16">
        <f>IF(E337="","",DATEDIF(E337,$I$7,"Y"))</f>
      </c>
      <c r="G337" s="85"/>
      <c r="H337" s="85"/>
      <c r="I337" s="87"/>
      <c r="J337" s="85"/>
      <c r="K337" s="85"/>
      <c r="L337" s="10"/>
      <c r="M337" s="10"/>
      <c r="N337" s="10"/>
      <c r="O337" s="10"/>
      <c r="P337" s="85"/>
      <c r="Q337" s="88"/>
      <c r="R337" s="3">
        <f>IFERROR(VLOOKUP(TablaNoviembre[[#This Row],[BARRIO]],SECTOR!$A:$B,2,0),"")</f>
      </c>
      <c r="S337" s="89"/>
      <c r="T337" s="90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6"/>
      <c r="AZ337" s="120">
        <f>COUNTIF(U337:AY337,"A")</f>
      </c>
      <c r="BA337" s="121">
        <f>COUNTIF(U337:AY337,"F")</f>
      </c>
      <c r="BB337" s="119">
        <f>COUNTIF(U337:AY337,"E")</f>
      </c>
    </row>
    <row r="338" spans="1:54" x14ac:dyDescent="0.2">
      <c r="A338" s="84"/>
      <c r="B338" s="85"/>
      <c r="C338" s="85"/>
      <c r="D338" s="85"/>
      <c r="E338" s="86"/>
      <c r="F338" s="16">
        <f>IF(E338="","",DATEDIF(E338,$I$7,"Y"))</f>
      </c>
      <c r="G338" s="85"/>
      <c r="H338" s="85"/>
      <c r="I338" s="87"/>
      <c r="J338" s="85"/>
      <c r="K338" s="85"/>
      <c r="L338" s="10"/>
      <c r="M338" s="10"/>
      <c r="N338" s="10"/>
      <c r="O338" s="10"/>
      <c r="P338" s="85"/>
      <c r="Q338" s="88"/>
      <c r="R338" s="3">
        <f>IFERROR(VLOOKUP(TablaNoviembre[[#This Row],[BARRIO]],SECTOR!$A:$B,2,0),"")</f>
      </c>
      <c r="S338" s="89"/>
      <c r="T338" s="90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6"/>
      <c r="AZ338" s="120">
        <f>COUNTIF(U338:AY338,"A")</f>
      </c>
      <c r="BA338" s="121">
        <f>COUNTIF(U338:AY338,"F")</f>
      </c>
      <c r="BB338" s="119">
        <f>COUNTIF(U338:AY338,"E")</f>
      </c>
    </row>
    <row r="339" spans="1:54" x14ac:dyDescent="0.2">
      <c r="A339" s="84"/>
      <c r="B339" s="85"/>
      <c r="C339" s="85"/>
      <c r="D339" s="85"/>
      <c r="E339" s="86"/>
      <c r="F339" s="16">
        <f>IF(E339="","",DATEDIF(E339,$I$7,"Y"))</f>
      </c>
      <c r="G339" s="85"/>
      <c r="H339" s="85"/>
      <c r="I339" s="87"/>
      <c r="J339" s="85"/>
      <c r="K339" s="85"/>
      <c r="L339" s="10"/>
      <c r="M339" s="10"/>
      <c r="N339" s="10"/>
      <c r="O339" s="10"/>
      <c r="P339" s="85"/>
      <c r="Q339" s="88"/>
      <c r="R339" s="3">
        <f>IFERROR(VLOOKUP(TablaNoviembre[[#This Row],[BARRIO]],SECTOR!$A:$B,2,0),"")</f>
      </c>
      <c r="S339" s="89"/>
      <c r="T339" s="90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6"/>
      <c r="AZ339" s="120">
        <f>COUNTIF(U339:AY339,"A")</f>
      </c>
      <c r="BA339" s="121">
        <f>COUNTIF(U339:AY339,"F")</f>
      </c>
      <c r="BB339" s="119">
        <f>COUNTIF(U339:AY339,"E")</f>
      </c>
    </row>
    <row r="340" spans="1:54" x14ac:dyDescent="0.2">
      <c r="A340" s="84"/>
      <c r="B340" s="85"/>
      <c r="C340" s="85"/>
      <c r="D340" s="85"/>
      <c r="E340" s="86"/>
      <c r="F340" s="16">
        <f>IF(E340="","",DATEDIF(E340,$I$7,"Y"))</f>
      </c>
      <c r="G340" s="85"/>
      <c r="H340" s="85"/>
      <c r="I340" s="87"/>
      <c r="J340" s="85"/>
      <c r="K340" s="85"/>
      <c r="L340" s="10"/>
      <c r="M340" s="10"/>
      <c r="N340" s="10"/>
      <c r="O340" s="10"/>
      <c r="P340" s="85"/>
      <c r="Q340" s="88"/>
      <c r="R340" s="3">
        <f>IFERROR(VLOOKUP(TablaNoviembre[[#This Row],[BARRIO]],SECTOR!$A:$B,2,0),"")</f>
      </c>
      <c r="S340" s="89"/>
      <c r="T340" s="90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6"/>
      <c r="AZ340" s="120">
        <f>COUNTIF(U340:AY340,"A")</f>
      </c>
      <c r="BA340" s="121">
        <f>COUNTIF(U340:AY340,"F")</f>
      </c>
      <c r="BB340" s="119">
        <f>COUNTIF(U340:AY340,"E")</f>
      </c>
    </row>
    <row r="341" spans="1:54" x14ac:dyDescent="0.2">
      <c r="A341" s="84"/>
      <c r="B341" s="85"/>
      <c r="C341" s="85"/>
      <c r="D341" s="85"/>
      <c r="E341" s="86"/>
      <c r="F341" s="16">
        <f>IF(E341="","",DATEDIF(E341,$I$7,"Y"))</f>
      </c>
      <c r="G341" s="85"/>
      <c r="H341" s="85"/>
      <c r="I341" s="87"/>
      <c r="J341" s="85"/>
      <c r="K341" s="85"/>
      <c r="L341" s="10"/>
      <c r="M341" s="10"/>
      <c r="N341" s="10"/>
      <c r="O341" s="10"/>
      <c r="P341" s="85"/>
      <c r="Q341" s="88"/>
      <c r="R341" s="3">
        <f>IFERROR(VLOOKUP(TablaNoviembre[[#This Row],[BARRIO]],SECTOR!$A:$B,2,0),"")</f>
      </c>
      <c r="S341" s="89"/>
      <c r="T341" s="90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6"/>
      <c r="AZ341" s="120">
        <f>COUNTIF(U341:AY341,"A")</f>
      </c>
      <c r="BA341" s="121">
        <f>COUNTIF(U341:AY341,"F")</f>
      </c>
      <c r="BB341" s="119">
        <f>COUNTIF(U341:AY341,"E")</f>
      </c>
    </row>
    <row r="342" spans="1:54" x14ac:dyDescent="0.2">
      <c r="A342" s="84"/>
      <c r="B342" s="85"/>
      <c r="C342" s="85"/>
      <c r="D342" s="85"/>
      <c r="E342" s="86"/>
      <c r="F342" s="16">
        <f>IF(E342="","",DATEDIF(E342,$I$7,"Y"))</f>
      </c>
      <c r="G342" s="85"/>
      <c r="H342" s="85"/>
      <c r="I342" s="87"/>
      <c r="J342" s="85"/>
      <c r="K342" s="85"/>
      <c r="L342" s="10"/>
      <c r="M342" s="10"/>
      <c r="N342" s="10"/>
      <c r="O342" s="10"/>
      <c r="P342" s="85"/>
      <c r="Q342" s="88"/>
      <c r="R342" s="3">
        <f>IFERROR(VLOOKUP(TablaNoviembre[[#This Row],[BARRIO]],SECTOR!$A:$B,2,0),"")</f>
      </c>
      <c r="S342" s="89"/>
      <c r="T342" s="90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6"/>
      <c r="AZ342" s="120">
        <f>COUNTIF(U342:AY342,"A")</f>
      </c>
      <c r="BA342" s="121">
        <f>COUNTIF(U342:AY342,"F")</f>
      </c>
      <c r="BB342" s="119">
        <f>COUNTIF(U342:AY342,"E")</f>
      </c>
    </row>
    <row r="343" spans="1:54" x14ac:dyDescent="0.2">
      <c r="A343" s="84"/>
      <c r="B343" s="85"/>
      <c r="C343" s="85"/>
      <c r="D343" s="85"/>
      <c r="E343" s="86"/>
      <c r="F343" s="16">
        <f>IF(E343="","",DATEDIF(E343,$I$7,"Y"))</f>
      </c>
      <c r="G343" s="85"/>
      <c r="H343" s="85"/>
      <c r="I343" s="87"/>
      <c r="J343" s="85"/>
      <c r="K343" s="85"/>
      <c r="L343" s="10"/>
      <c r="M343" s="10"/>
      <c r="N343" s="10"/>
      <c r="O343" s="10"/>
      <c r="P343" s="85"/>
      <c r="Q343" s="88"/>
      <c r="R343" s="3">
        <f>IFERROR(VLOOKUP(TablaNoviembre[[#This Row],[BARRIO]],SECTOR!$A:$B,2,0),"")</f>
      </c>
      <c r="S343" s="89"/>
      <c r="T343" s="90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6"/>
      <c r="AZ343" s="120">
        <f>COUNTIF(U343:AY343,"A")</f>
      </c>
      <c r="BA343" s="121">
        <f>COUNTIF(U343:AY343,"F")</f>
      </c>
      <c r="BB343" s="119">
        <f>COUNTIF(U343:AY343,"E")</f>
      </c>
    </row>
    <row r="344" spans="1:54" x14ac:dyDescent="0.2">
      <c r="A344" s="84"/>
      <c r="B344" s="85"/>
      <c r="C344" s="85"/>
      <c r="D344" s="85"/>
      <c r="E344" s="86"/>
      <c r="F344" s="16">
        <f>IF(E344="","",DATEDIF(E344,$I$7,"Y"))</f>
      </c>
      <c r="G344" s="85"/>
      <c r="H344" s="85"/>
      <c r="I344" s="87"/>
      <c r="J344" s="85"/>
      <c r="K344" s="85"/>
      <c r="L344" s="10"/>
      <c r="M344" s="10"/>
      <c r="N344" s="10"/>
      <c r="O344" s="10"/>
      <c r="P344" s="85"/>
      <c r="Q344" s="88"/>
      <c r="R344" s="3">
        <f>IFERROR(VLOOKUP(TablaNoviembre[[#This Row],[BARRIO]],SECTOR!$A:$B,2,0),"")</f>
      </c>
      <c r="S344" s="89"/>
      <c r="T344" s="90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6"/>
      <c r="AZ344" s="120">
        <f>COUNTIF(U344:AY344,"A")</f>
      </c>
      <c r="BA344" s="121">
        <f>COUNTIF(U344:AY344,"F")</f>
      </c>
      <c r="BB344" s="119">
        <f>COUNTIF(U344:AY344,"E")</f>
      </c>
    </row>
    <row r="345" spans="1:54" x14ac:dyDescent="0.2">
      <c r="A345" s="84"/>
      <c r="B345" s="85"/>
      <c r="C345" s="85"/>
      <c r="D345" s="85"/>
      <c r="E345" s="86"/>
      <c r="F345" s="16">
        <f>IF(E345="","",DATEDIF(E345,$I$7,"Y"))</f>
      </c>
      <c r="G345" s="85"/>
      <c r="H345" s="85"/>
      <c r="I345" s="87"/>
      <c r="J345" s="85"/>
      <c r="K345" s="85"/>
      <c r="L345" s="10"/>
      <c r="M345" s="10"/>
      <c r="N345" s="10"/>
      <c r="O345" s="10"/>
      <c r="P345" s="85"/>
      <c r="Q345" s="88"/>
      <c r="R345" s="3">
        <f>IFERROR(VLOOKUP(TablaNoviembre[[#This Row],[BARRIO]],SECTOR!$A:$B,2,0),"")</f>
      </c>
      <c r="S345" s="89"/>
      <c r="T345" s="90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6"/>
      <c r="AZ345" s="120">
        <f>COUNTIF(U345:AY345,"A")</f>
      </c>
      <c r="BA345" s="121">
        <f>COUNTIF(U345:AY345,"F")</f>
      </c>
      <c r="BB345" s="119">
        <f>COUNTIF(U345:AY345,"E")</f>
      </c>
    </row>
    <row r="346" spans="1:54" x14ac:dyDescent="0.2">
      <c r="A346" s="84"/>
      <c r="B346" s="85"/>
      <c r="C346" s="85"/>
      <c r="D346" s="85"/>
      <c r="E346" s="86"/>
      <c r="F346" s="16">
        <f>IF(E346="","",DATEDIF(E346,$I$7,"Y"))</f>
      </c>
      <c r="G346" s="85"/>
      <c r="H346" s="85"/>
      <c r="I346" s="87"/>
      <c r="J346" s="85"/>
      <c r="K346" s="85"/>
      <c r="L346" s="10"/>
      <c r="M346" s="10"/>
      <c r="N346" s="10"/>
      <c r="O346" s="10"/>
      <c r="P346" s="85"/>
      <c r="Q346" s="88"/>
      <c r="R346" s="3">
        <f>IFERROR(VLOOKUP(TablaNoviembre[[#This Row],[BARRIO]],SECTOR!$A:$B,2,0),"")</f>
      </c>
      <c r="S346" s="89"/>
      <c r="T346" s="90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6"/>
      <c r="AZ346" s="120">
        <f>COUNTIF(U346:AY346,"A")</f>
      </c>
      <c r="BA346" s="121">
        <f>COUNTIF(U346:AY346,"F")</f>
      </c>
      <c r="BB346" s="119">
        <f>COUNTIF(U346:AY346,"E")</f>
      </c>
    </row>
    <row r="347" spans="1:54" x14ac:dyDescent="0.2">
      <c r="A347" s="84"/>
      <c r="B347" s="85"/>
      <c r="C347" s="85"/>
      <c r="D347" s="85"/>
      <c r="E347" s="86"/>
      <c r="F347" s="16">
        <f>IF(E347="","",DATEDIF(E347,$I$7,"Y"))</f>
      </c>
      <c r="G347" s="85"/>
      <c r="H347" s="85"/>
      <c r="I347" s="87"/>
      <c r="J347" s="85"/>
      <c r="K347" s="85"/>
      <c r="L347" s="10"/>
      <c r="M347" s="10"/>
      <c r="N347" s="10"/>
      <c r="O347" s="10"/>
      <c r="P347" s="85"/>
      <c r="Q347" s="88"/>
      <c r="R347" s="3">
        <f>IFERROR(VLOOKUP(TablaNoviembre[[#This Row],[BARRIO]],SECTOR!$A:$B,2,0),"")</f>
      </c>
      <c r="S347" s="89"/>
      <c r="T347" s="90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6"/>
      <c r="AZ347" s="120">
        <f>COUNTIF(U347:AY347,"A")</f>
      </c>
      <c r="BA347" s="121">
        <f>COUNTIF(U347:AY347,"F")</f>
      </c>
      <c r="BB347" s="119">
        <f>COUNTIF(U347:AY347,"E")</f>
      </c>
    </row>
    <row r="348" spans="1:54" x14ac:dyDescent="0.2">
      <c r="A348" s="84"/>
      <c r="B348" s="85"/>
      <c r="C348" s="85"/>
      <c r="D348" s="85"/>
      <c r="E348" s="86"/>
      <c r="F348" s="16">
        <f>IF(E348="","",DATEDIF(E348,$I$7,"Y"))</f>
      </c>
      <c r="G348" s="85"/>
      <c r="H348" s="85"/>
      <c r="I348" s="87"/>
      <c r="J348" s="85"/>
      <c r="K348" s="85"/>
      <c r="L348" s="10"/>
      <c r="M348" s="10"/>
      <c r="N348" s="10"/>
      <c r="O348" s="10"/>
      <c r="P348" s="85"/>
      <c r="Q348" s="88"/>
      <c r="R348" s="3">
        <f>IFERROR(VLOOKUP(TablaNoviembre[[#This Row],[BARRIO]],SECTOR!$A:$B,2,0),"")</f>
      </c>
      <c r="S348" s="89"/>
      <c r="T348" s="90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6"/>
      <c r="AZ348" s="120">
        <f>COUNTIF(U348:AY348,"A")</f>
      </c>
      <c r="BA348" s="121">
        <f>COUNTIF(U348:AY348,"F")</f>
      </c>
      <c r="BB348" s="119">
        <f>COUNTIF(U348:AY348,"E")</f>
      </c>
    </row>
    <row r="349" spans="1:54" x14ac:dyDescent="0.2">
      <c r="A349" s="84"/>
      <c r="B349" s="85"/>
      <c r="C349" s="85"/>
      <c r="D349" s="85"/>
      <c r="E349" s="86"/>
      <c r="F349" s="16">
        <f>IF(E349="","",DATEDIF(E349,$I$7,"Y"))</f>
      </c>
      <c r="G349" s="85"/>
      <c r="H349" s="85"/>
      <c r="I349" s="87"/>
      <c r="J349" s="85"/>
      <c r="K349" s="85"/>
      <c r="L349" s="10"/>
      <c r="M349" s="10"/>
      <c r="N349" s="10"/>
      <c r="O349" s="10"/>
      <c r="P349" s="85"/>
      <c r="Q349" s="88"/>
      <c r="R349" s="3">
        <f>IFERROR(VLOOKUP(TablaNoviembre[[#This Row],[BARRIO]],SECTOR!$A:$B,2,0),"")</f>
      </c>
      <c r="S349" s="89"/>
      <c r="T349" s="90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6"/>
      <c r="AZ349" s="120">
        <f>COUNTIF(U349:AY349,"A")</f>
      </c>
      <c r="BA349" s="121">
        <f>COUNTIF(U349:AY349,"F")</f>
      </c>
      <c r="BB349" s="119">
        <f>COUNTIF(U349:AY349,"E")</f>
      </c>
    </row>
    <row r="350" spans="1:54" x14ac:dyDescent="0.2">
      <c r="A350" s="84"/>
      <c r="B350" s="85"/>
      <c r="C350" s="85"/>
      <c r="D350" s="85"/>
      <c r="E350" s="86"/>
      <c r="F350" s="16">
        <f>IF(E350="","",DATEDIF(E350,$I$7,"Y"))</f>
      </c>
      <c r="G350" s="85"/>
      <c r="H350" s="85"/>
      <c r="I350" s="87"/>
      <c r="J350" s="85"/>
      <c r="K350" s="85"/>
      <c r="L350" s="10"/>
      <c r="M350" s="10"/>
      <c r="N350" s="10"/>
      <c r="O350" s="10"/>
      <c r="P350" s="85"/>
      <c r="Q350" s="88"/>
      <c r="R350" s="3">
        <f>IFERROR(VLOOKUP(TablaNoviembre[[#This Row],[BARRIO]],SECTOR!$A:$B,2,0),"")</f>
      </c>
      <c r="S350" s="89"/>
      <c r="T350" s="90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6"/>
      <c r="AZ350" s="120">
        <f>COUNTIF(U350:AY350,"A")</f>
      </c>
      <c r="BA350" s="121">
        <f>COUNTIF(U350:AY350,"F")</f>
      </c>
      <c r="BB350" s="119">
        <f>COUNTIF(U350:AY350,"E")</f>
      </c>
    </row>
    <row r="351" spans="1:54" x14ac:dyDescent="0.2">
      <c r="A351" s="84"/>
      <c r="B351" s="85"/>
      <c r="C351" s="85"/>
      <c r="D351" s="85"/>
      <c r="E351" s="86"/>
      <c r="F351" s="16">
        <f>IF(E351="","",DATEDIF(E351,$I$7,"Y"))</f>
      </c>
      <c r="G351" s="85"/>
      <c r="H351" s="85"/>
      <c r="I351" s="87"/>
      <c r="J351" s="85"/>
      <c r="K351" s="85"/>
      <c r="L351" s="10"/>
      <c r="M351" s="10"/>
      <c r="N351" s="10"/>
      <c r="O351" s="10"/>
      <c r="P351" s="85"/>
      <c r="Q351" s="88"/>
      <c r="R351" s="3">
        <f>IFERROR(VLOOKUP(TablaNoviembre[[#This Row],[BARRIO]],SECTOR!$A:$B,2,0),"")</f>
      </c>
      <c r="S351" s="89"/>
      <c r="T351" s="90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6"/>
      <c r="AZ351" s="120">
        <f>COUNTIF(U351:AY351,"A")</f>
      </c>
      <c r="BA351" s="121">
        <f>COUNTIF(U351:AY351,"F")</f>
      </c>
      <c r="BB351" s="119">
        <f>COUNTIF(U351:AY351,"E")</f>
      </c>
    </row>
    <row r="352" spans="1:54" x14ac:dyDescent="0.2">
      <c r="A352" s="84"/>
      <c r="B352" s="85"/>
      <c r="C352" s="85"/>
      <c r="D352" s="85"/>
      <c r="E352" s="86"/>
      <c r="F352" s="16">
        <f>IF(E352="","",DATEDIF(E352,$I$7,"Y"))</f>
      </c>
      <c r="G352" s="85"/>
      <c r="H352" s="85"/>
      <c r="I352" s="87"/>
      <c r="J352" s="85"/>
      <c r="K352" s="85"/>
      <c r="L352" s="10"/>
      <c r="M352" s="10"/>
      <c r="N352" s="10"/>
      <c r="O352" s="10"/>
      <c r="P352" s="85"/>
      <c r="Q352" s="88"/>
      <c r="R352" s="3">
        <f>IFERROR(VLOOKUP(TablaNoviembre[[#This Row],[BARRIO]],SECTOR!$A:$B,2,0),"")</f>
      </c>
      <c r="S352" s="89"/>
      <c r="T352" s="90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6"/>
      <c r="AZ352" s="120">
        <f>COUNTIF(U352:AY352,"A")</f>
      </c>
      <c r="BA352" s="121">
        <f>COUNTIF(U352:AY352,"F")</f>
      </c>
      <c r="BB352" s="119">
        <f>COUNTIF(U352:AY352,"E")</f>
      </c>
    </row>
    <row r="353" spans="1:54" x14ac:dyDescent="0.2">
      <c r="A353" s="84"/>
      <c r="B353" s="85"/>
      <c r="C353" s="85"/>
      <c r="D353" s="85"/>
      <c r="E353" s="86"/>
      <c r="F353" s="16">
        <f>IF(E353="","",DATEDIF(E353,$I$7,"Y"))</f>
      </c>
      <c r="G353" s="85"/>
      <c r="H353" s="85"/>
      <c r="I353" s="87"/>
      <c r="J353" s="85"/>
      <c r="K353" s="85"/>
      <c r="L353" s="10"/>
      <c r="M353" s="10"/>
      <c r="N353" s="10"/>
      <c r="O353" s="10"/>
      <c r="P353" s="85"/>
      <c r="Q353" s="88"/>
      <c r="R353" s="3">
        <f>IFERROR(VLOOKUP(TablaNoviembre[[#This Row],[BARRIO]],SECTOR!$A:$B,2,0),"")</f>
      </c>
      <c r="S353" s="89"/>
      <c r="T353" s="90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6"/>
      <c r="AZ353" s="120">
        <f>COUNTIF(U353:AY353,"A")</f>
      </c>
      <c r="BA353" s="121">
        <f>COUNTIF(U353:AY353,"F")</f>
      </c>
      <c r="BB353" s="119">
        <f>COUNTIF(U353:AY353,"E")</f>
      </c>
    </row>
    <row r="354" spans="1:54" x14ac:dyDescent="0.2">
      <c r="A354" s="84"/>
      <c r="B354" s="85"/>
      <c r="C354" s="85"/>
      <c r="D354" s="85"/>
      <c r="E354" s="86"/>
      <c r="F354" s="16">
        <f>IF(E354="","",DATEDIF(E354,$I$7,"Y"))</f>
      </c>
      <c r="G354" s="85"/>
      <c r="H354" s="85"/>
      <c r="I354" s="87"/>
      <c r="J354" s="85"/>
      <c r="K354" s="85"/>
      <c r="L354" s="10"/>
      <c r="M354" s="10"/>
      <c r="N354" s="10"/>
      <c r="O354" s="10"/>
      <c r="P354" s="85"/>
      <c r="Q354" s="88"/>
      <c r="R354" s="3">
        <f>IFERROR(VLOOKUP(TablaNoviembre[[#This Row],[BARRIO]],SECTOR!$A:$B,2,0),"")</f>
      </c>
      <c r="S354" s="89"/>
      <c r="T354" s="90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6"/>
      <c r="AZ354" s="120">
        <f>COUNTIF(U354:AY354,"A")</f>
      </c>
      <c r="BA354" s="121">
        <f>COUNTIF(U354:AY354,"F")</f>
      </c>
      <c r="BB354" s="119">
        <f>COUNTIF(U354:AY354,"E")</f>
      </c>
    </row>
    <row r="355" spans="1:54" x14ac:dyDescent="0.2">
      <c r="A355" s="84"/>
      <c r="B355" s="85"/>
      <c r="C355" s="85"/>
      <c r="D355" s="85"/>
      <c r="E355" s="86"/>
      <c r="F355" s="16">
        <f>IF(E355="","",DATEDIF(E355,$I$7,"Y"))</f>
      </c>
      <c r="G355" s="85"/>
      <c r="H355" s="85"/>
      <c r="I355" s="87"/>
      <c r="J355" s="85"/>
      <c r="K355" s="85"/>
      <c r="L355" s="10"/>
      <c r="M355" s="10"/>
      <c r="N355" s="10"/>
      <c r="O355" s="10"/>
      <c r="P355" s="85"/>
      <c r="Q355" s="88"/>
      <c r="R355" s="3">
        <f>IFERROR(VLOOKUP(TablaNoviembre[[#This Row],[BARRIO]],SECTOR!$A:$B,2,0),"")</f>
      </c>
      <c r="S355" s="89"/>
      <c r="T355" s="90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6"/>
      <c r="AZ355" s="120">
        <f>COUNTIF(U355:AY355,"A")</f>
      </c>
      <c r="BA355" s="121">
        <f>COUNTIF(U355:AY355,"F")</f>
      </c>
      <c r="BB355" s="119">
        <f>COUNTIF(U355:AY355,"E")</f>
      </c>
    </row>
    <row r="356" spans="1:54" x14ac:dyDescent="0.2">
      <c r="A356" s="84"/>
      <c r="B356" s="85"/>
      <c r="C356" s="85"/>
      <c r="D356" s="85"/>
      <c r="E356" s="86"/>
      <c r="F356" s="16">
        <f>IF(E356="","",DATEDIF(E356,$I$7,"Y"))</f>
      </c>
      <c r="G356" s="85"/>
      <c r="H356" s="85"/>
      <c r="I356" s="87"/>
      <c r="J356" s="85"/>
      <c r="K356" s="85"/>
      <c r="L356" s="10"/>
      <c r="M356" s="10"/>
      <c r="N356" s="10"/>
      <c r="O356" s="10"/>
      <c r="P356" s="85"/>
      <c r="Q356" s="88"/>
      <c r="R356" s="3">
        <f>IFERROR(VLOOKUP(TablaNoviembre[[#This Row],[BARRIO]],SECTOR!$A:$B,2,0),"")</f>
      </c>
      <c r="S356" s="89"/>
      <c r="T356" s="90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6"/>
      <c r="AZ356" s="120">
        <f>COUNTIF(U356:AY356,"A")</f>
      </c>
      <c r="BA356" s="121">
        <f>COUNTIF(U356:AY356,"F")</f>
      </c>
      <c r="BB356" s="119">
        <f>COUNTIF(U356:AY356,"E")</f>
      </c>
    </row>
    <row r="357" spans="1:54" x14ac:dyDescent="0.2">
      <c r="A357" s="84"/>
      <c r="B357" s="85"/>
      <c r="C357" s="85"/>
      <c r="D357" s="85"/>
      <c r="E357" s="86"/>
      <c r="F357" s="16">
        <f>IF(E357="","",DATEDIF(E357,$I$7,"Y"))</f>
      </c>
      <c r="G357" s="85"/>
      <c r="H357" s="85"/>
      <c r="I357" s="87"/>
      <c r="J357" s="85"/>
      <c r="K357" s="85"/>
      <c r="L357" s="10"/>
      <c r="M357" s="10"/>
      <c r="N357" s="10"/>
      <c r="O357" s="10"/>
      <c r="P357" s="85"/>
      <c r="Q357" s="88"/>
      <c r="R357" s="3">
        <f>IFERROR(VLOOKUP(TablaNoviembre[[#This Row],[BARRIO]],SECTOR!$A:$B,2,0),"")</f>
      </c>
      <c r="S357" s="89"/>
      <c r="T357" s="90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6"/>
      <c r="AZ357" s="120">
        <f>COUNTIF(U357:AY357,"A")</f>
      </c>
      <c r="BA357" s="121">
        <f>COUNTIF(U357:AY357,"F")</f>
      </c>
      <c r="BB357" s="119">
        <f>COUNTIF(U357:AY357,"E")</f>
      </c>
    </row>
    <row r="358" spans="1:54" x14ac:dyDescent="0.2">
      <c r="A358" s="84"/>
      <c r="B358" s="85"/>
      <c r="C358" s="85"/>
      <c r="D358" s="85"/>
      <c r="E358" s="86"/>
      <c r="F358" s="16">
        <f>IF(E358="","",DATEDIF(E358,$I$7,"Y"))</f>
      </c>
      <c r="G358" s="85"/>
      <c r="H358" s="85"/>
      <c r="I358" s="87"/>
      <c r="J358" s="85"/>
      <c r="K358" s="85"/>
      <c r="L358" s="10"/>
      <c r="M358" s="10"/>
      <c r="N358" s="10"/>
      <c r="O358" s="10"/>
      <c r="P358" s="85"/>
      <c r="Q358" s="88"/>
      <c r="R358" s="3">
        <f>IFERROR(VLOOKUP(TablaNoviembre[[#This Row],[BARRIO]],SECTOR!$A:$B,2,0),"")</f>
      </c>
      <c r="S358" s="89"/>
      <c r="T358" s="90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6"/>
      <c r="AZ358" s="120">
        <f>COUNTIF(U358:AY358,"A")</f>
      </c>
      <c r="BA358" s="121">
        <f>COUNTIF(U358:AY358,"F")</f>
      </c>
      <c r="BB358" s="119">
        <f>COUNTIF(U358:AY358,"E")</f>
      </c>
    </row>
    <row r="359" spans="1:54" x14ac:dyDescent="0.2">
      <c r="A359" s="84"/>
      <c r="B359" s="85"/>
      <c r="C359" s="85"/>
      <c r="D359" s="85"/>
      <c r="E359" s="86"/>
      <c r="F359" s="16">
        <f>IF(E359="","",DATEDIF(E359,$I$7,"Y"))</f>
      </c>
      <c r="G359" s="85"/>
      <c r="H359" s="85"/>
      <c r="I359" s="87"/>
      <c r="J359" s="85"/>
      <c r="K359" s="85"/>
      <c r="L359" s="10"/>
      <c r="M359" s="10"/>
      <c r="N359" s="10"/>
      <c r="O359" s="10"/>
      <c r="P359" s="85"/>
      <c r="Q359" s="88"/>
      <c r="R359" s="3">
        <f>IFERROR(VLOOKUP(TablaNoviembre[[#This Row],[BARRIO]],SECTOR!$A:$B,2,0),"")</f>
      </c>
      <c r="S359" s="89"/>
      <c r="T359" s="90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6"/>
      <c r="AZ359" s="120">
        <f>COUNTIF(U359:AY359,"A")</f>
      </c>
      <c r="BA359" s="121">
        <f>COUNTIF(U359:AY359,"F")</f>
      </c>
      <c r="BB359" s="119">
        <f>COUNTIF(U359:AY359,"E")</f>
      </c>
    </row>
    <row r="360" spans="1:54" x14ac:dyDescent="0.2">
      <c r="A360" s="84"/>
      <c r="B360" s="85"/>
      <c r="C360" s="85"/>
      <c r="D360" s="85"/>
      <c r="E360" s="86"/>
      <c r="F360" s="16">
        <f>IF(E360="","",DATEDIF(E360,$I$7,"Y"))</f>
      </c>
      <c r="G360" s="85"/>
      <c r="H360" s="85"/>
      <c r="I360" s="87"/>
      <c r="J360" s="85"/>
      <c r="K360" s="85"/>
      <c r="L360" s="10"/>
      <c r="M360" s="10"/>
      <c r="N360" s="10"/>
      <c r="O360" s="10"/>
      <c r="P360" s="85"/>
      <c r="Q360" s="88"/>
      <c r="R360" s="3">
        <f>IFERROR(VLOOKUP(TablaNoviembre[[#This Row],[BARRIO]],SECTOR!$A:$B,2,0),"")</f>
      </c>
      <c r="S360" s="89"/>
      <c r="T360" s="90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6"/>
      <c r="AZ360" s="120">
        <f>COUNTIF(U360:AY360,"A")</f>
      </c>
      <c r="BA360" s="121">
        <f>COUNTIF(U360:AY360,"F")</f>
      </c>
      <c r="BB360" s="119">
        <f>COUNTIF(U360:AY360,"E")</f>
      </c>
    </row>
    <row r="361" spans="1:54" x14ac:dyDescent="0.2">
      <c r="A361" s="84"/>
      <c r="B361" s="85"/>
      <c r="C361" s="85"/>
      <c r="D361" s="85"/>
      <c r="E361" s="86"/>
      <c r="F361" s="16">
        <f>IF(E361="","",DATEDIF(E361,$I$7,"Y"))</f>
      </c>
      <c r="G361" s="85"/>
      <c r="H361" s="85"/>
      <c r="I361" s="87"/>
      <c r="J361" s="85"/>
      <c r="K361" s="85"/>
      <c r="L361" s="10"/>
      <c r="M361" s="10"/>
      <c r="N361" s="10"/>
      <c r="O361" s="10"/>
      <c r="P361" s="85"/>
      <c r="Q361" s="88"/>
      <c r="R361" s="3">
        <f>IFERROR(VLOOKUP(TablaNoviembre[[#This Row],[BARRIO]],SECTOR!$A:$B,2,0),"")</f>
      </c>
      <c r="S361" s="89"/>
      <c r="T361" s="90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6"/>
      <c r="AZ361" s="120">
        <f>COUNTIF(U361:AY361,"A")</f>
      </c>
      <c r="BA361" s="121">
        <f>COUNTIF(U361:AY361,"F")</f>
      </c>
      <c r="BB361" s="119">
        <f>COUNTIF(U361:AY361,"E")</f>
      </c>
    </row>
    <row r="362" spans="1:54" x14ac:dyDescent="0.2">
      <c r="A362" s="84"/>
      <c r="B362" s="85"/>
      <c r="C362" s="85"/>
      <c r="D362" s="85"/>
      <c r="E362" s="86"/>
      <c r="F362" s="16">
        <f>IF(E362="","",DATEDIF(E362,$I$7,"Y"))</f>
      </c>
      <c r="G362" s="85"/>
      <c r="H362" s="85"/>
      <c r="I362" s="87"/>
      <c r="J362" s="85"/>
      <c r="K362" s="85"/>
      <c r="L362" s="10"/>
      <c r="M362" s="10"/>
      <c r="N362" s="10"/>
      <c r="O362" s="10"/>
      <c r="P362" s="85"/>
      <c r="Q362" s="88"/>
      <c r="R362" s="3">
        <f>IFERROR(VLOOKUP(TablaNoviembre[[#This Row],[BARRIO]],SECTOR!$A:$B,2,0),"")</f>
      </c>
      <c r="S362" s="89"/>
      <c r="T362" s="90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6"/>
      <c r="AZ362" s="120">
        <f>COUNTIF(U362:AY362,"A")</f>
      </c>
      <c r="BA362" s="121">
        <f>COUNTIF(U362:AY362,"F")</f>
      </c>
      <c r="BB362" s="119">
        <f>COUNTIF(U362:AY362,"E")</f>
      </c>
    </row>
    <row r="363" spans="1:54" x14ac:dyDescent="0.2">
      <c r="A363" s="84"/>
      <c r="B363" s="85"/>
      <c r="C363" s="85"/>
      <c r="D363" s="85"/>
      <c r="E363" s="86"/>
      <c r="F363" s="16">
        <f>IF(E363="","",DATEDIF(E363,$I$7,"Y"))</f>
      </c>
      <c r="G363" s="85"/>
      <c r="H363" s="85"/>
      <c r="I363" s="87"/>
      <c r="J363" s="85"/>
      <c r="K363" s="85"/>
      <c r="L363" s="10"/>
      <c r="M363" s="10"/>
      <c r="N363" s="10"/>
      <c r="O363" s="10"/>
      <c r="P363" s="85"/>
      <c r="Q363" s="88"/>
      <c r="R363" s="3">
        <f>IFERROR(VLOOKUP(TablaNoviembre[[#This Row],[BARRIO]],SECTOR!$A:$B,2,0),"")</f>
      </c>
      <c r="S363" s="89"/>
      <c r="T363" s="90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6"/>
      <c r="AZ363" s="120">
        <f>COUNTIF(U363:AY363,"A")</f>
      </c>
      <c r="BA363" s="121">
        <f>COUNTIF(U363:AY363,"F")</f>
      </c>
      <c r="BB363" s="119">
        <f>COUNTIF(U363:AY363,"E")</f>
      </c>
    </row>
    <row r="364" spans="1:54" x14ac:dyDescent="0.2">
      <c r="A364" s="84"/>
      <c r="B364" s="85"/>
      <c r="C364" s="85"/>
      <c r="D364" s="85"/>
      <c r="E364" s="86"/>
      <c r="F364" s="16">
        <f>IF(E364="","",DATEDIF(E364,$I$7,"Y"))</f>
      </c>
      <c r="G364" s="85"/>
      <c r="H364" s="85"/>
      <c r="I364" s="87"/>
      <c r="J364" s="85"/>
      <c r="K364" s="85"/>
      <c r="L364" s="10"/>
      <c r="M364" s="10"/>
      <c r="N364" s="10"/>
      <c r="O364" s="10"/>
      <c r="P364" s="85"/>
      <c r="Q364" s="88"/>
      <c r="R364" s="3">
        <f>IFERROR(VLOOKUP(TablaNoviembre[[#This Row],[BARRIO]],SECTOR!$A:$B,2,0),"")</f>
      </c>
      <c r="S364" s="89"/>
      <c r="T364" s="90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6"/>
      <c r="AZ364" s="120">
        <f>COUNTIF(U364:AY364,"A")</f>
      </c>
      <c r="BA364" s="121">
        <f>COUNTIF(U364:AY364,"F")</f>
      </c>
      <c r="BB364" s="119">
        <f>COUNTIF(U364:AY364,"E")</f>
      </c>
    </row>
    <row r="365" spans="1:54" x14ac:dyDescent="0.2">
      <c r="A365" s="84"/>
      <c r="B365" s="85"/>
      <c r="C365" s="85"/>
      <c r="D365" s="85"/>
      <c r="E365" s="86"/>
      <c r="F365" s="16">
        <f>IF(E365="","",DATEDIF(E365,$I$7,"Y"))</f>
      </c>
      <c r="G365" s="85"/>
      <c r="H365" s="85"/>
      <c r="I365" s="87"/>
      <c r="J365" s="85"/>
      <c r="K365" s="85"/>
      <c r="L365" s="10"/>
      <c r="M365" s="10"/>
      <c r="N365" s="10"/>
      <c r="O365" s="10"/>
      <c r="P365" s="85"/>
      <c r="Q365" s="88"/>
      <c r="R365" s="3">
        <f>IFERROR(VLOOKUP(TablaNoviembre[[#This Row],[BARRIO]],SECTOR!$A:$B,2,0),"")</f>
      </c>
      <c r="S365" s="89"/>
      <c r="T365" s="90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6"/>
      <c r="AZ365" s="120">
        <f>COUNTIF(U365:AY365,"A")</f>
      </c>
      <c r="BA365" s="121">
        <f>COUNTIF(U365:AY365,"F")</f>
      </c>
      <c r="BB365" s="119">
        <f>COUNTIF(U365:AY365,"E")</f>
      </c>
    </row>
    <row r="366" spans="1:54" x14ac:dyDescent="0.2">
      <c r="A366" s="84"/>
      <c r="B366" s="85"/>
      <c r="C366" s="85"/>
      <c r="D366" s="85"/>
      <c r="E366" s="86"/>
      <c r="F366" s="16">
        <f>IF(E366="","",DATEDIF(E366,$I$7,"Y"))</f>
      </c>
      <c r="G366" s="85"/>
      <c r="H366" s="85"/>
      <c r="I366" s="87"/>
      <c r="J366" s="85"/>
      <c r="K366" s="85"/>
      <c r="L366" s="10"/>
      <c r="M366" s="10"/>
      <c r="N366" s="10"/>
      <c r="O366" s="10"/>
      <c r="P366" s="85"/>
      <c r="Q366" s="88"/>
      <c r="R366" s="3">
        <f>IFERROR(VLOOKUP(TablaNoviembre[[#This Row],[BARRIO]],SECTOR!$A:$B,2,0),"")</f>
      </c>
      <c r="S366" s="89"/>
      <c r="T366" s="90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6"/>
      <c r="AZ366" s="120">
        <f>COUNTIF(U366:AY366,"A")</f>
      </c>
      <c r="BA366" s="121">
        <f>COUNTIF(U366:AY366,"F")</f>
      </c>
      <c r="BB366" s="119">
        <f>COUNTIF(U366:AY366,"E")</f>
      </c>
    </row>
    <row r="367" spans="1:54" x14ac:dyDescent="0.2">
      <c r="A367" s="84"/>
      <c r="B367" s="85"/>
      <c r="C367" s="85"/>
      <c r="D367" s="85"/>
      <c r="E367" s="86"/>
      <c r="F367" s="16">
        <f>IF(E367="","",DATEDIF(E367,$I$7,"Y"))</f>
      </c>
      <c r="G367" s="85"/>
      <c r="H367" s="85"/>
      <c r="I367" s="87"/>
      <c r="J367" s="85"/>
      <c r="K367" s="85"/>
      <c r="L367" s="10"/>
      <c r="M367" s="10"/>
      <c r="N367" s="10"/>
      <c r="O367" s="10"/>
      <c r="P367" s="85"/>
      <c r="Q367" s="88"/>
      <c r="R367" s="3">
        <f>IFERROR(VLOOKUP(TablaNoviembre[[#This Row],[BARRIO]],SECTOR!$A:$B,2,0),"")</f>
      </c>
      <c r="S367" s="89"/>
      <c r="T367" s="90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6"/>
      <c r="AZ367" s="120">
        <f>COUNTIF(U367:AY367,"A")</f>
      </c>
      <c r="BA367" s="121">
        <f>COUNTIF(U367:AY367,"F")</f>
      </c>
      <c r="BB367" s="119">
        <f>COUNTIF(U367:AY367,"E")</f>
      </c>
    </row>
    <row r="368" spans="1:54" x14ac:dyDescent="0.2">
      <c r="A368" s="84"/>
      <c r="B368" s="85"/>
      <c r="C368" s="85"/>
      <c r="D368" s="85"/>
      <c r="E368" s="86"/>
      <c r="F368" s="16">
        <f>IF(E368="","",DATEDIF(E368,$I$7,"Y"))</f>
      </c>
      <c r="G368" s="85"/>
      <c r="H368" s="85"/>
      <c r="I368" s="87"/>
      <c r="J368" s="85"/>
      <c r="K368" s="85"/>
      <c r="L368" s="10"/>
      <c r="M368" s="10"/>
      <c r="N368" s="10"/>
      <c r="O368" s="10"/>
      <c r="P368" s="85"/>
      <c r="Q368" s="88"/>
      <c r="R368" s="3">
        <f>IFERROR(VLOOKUP(TablaNoviembre[[#This Row],[BARRIO]],SECTOR!$A:$B,2,0),"")</f>
      </c>
      <c r="S368" s="89"/>
      <c r="T368" s="90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6"/>
      <c r="AZ368" s="120">
        <f>COUNTIF(U368:AY368,"A")</f>
      </c>
      <c r="BA368" s="121">
        <f>COUNTIF(U368:AY368,"F")</f>
      </c>
      <c r="BB368" s="119">
        <f>COUNTIF(U368:AY368,"E")</f>
      </c>
    </row>
    <row r="369" spans="1:54" x14ac:dyDescent="0.2">
      <c r="A369" s="84"/>
      <c r="B369" s="85"/>
      <c r="C369" s="85"/>
      <c r="D369" s="85"/>
      <c r="E369" s="86"/>
      <c r="F369" s="16">
        <f>IF(E369="","",DATEDIF(E369,$I$7,"Y"))</f>
      </c>
      <c r="G369" s="85"/>
      <c r="H369" s="85"/>
      <c r="I369" s="87"/>
      <c r="J369" s="85"/>
      <c r="K369" s="85"/>
      <c r="L369" s="10"/>
      <c r="M369" s="10"/>
      <c r="N369" s="10"/>
      <c r="O369" s="10"/>
      <c r="P369" s="85"/>
      <c r="Q369" s="88"/>
      <c r="R369" s="3">
        <f>IFERROR(VLOOKUP(TablaNoviembre[[#This Row],[BARRIO]],SECTOR!$A:$B,2,0),"")</f>
      </c>
      <c r="S369" s="89"/>
      <c r="T369" s="90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6"/>
      <c r="AZ369" s="120">
        <f>COUNTIF(U369:AY369,"A")</f>
      </c>
      <c r="BA369" s="121">
        <f>COUNTIF(U369:AY369,"F")</f>
      </c>
      <c r="BB369" s="119">
        <f>COUNTIF(U369:AY369,"E")</f>
      </c>
    </row>
    <row r="370" spans="1:54" x14ac:dyDescent="0.2">
      <c r="A370" s="84"/>
      <c r="B370" s="85"/>
      <c r="C370" s="85"/>
      <c r="D370" s="85"/>
      <c r="E370" s="86"/>
      <c r="F370" s="16">
        <f>IF(E370="","",DATEDIF(E370,$I$7,"Y"))</f>
      </c>
      <c r="G370" s="85"/>
      <c r="H370" s="85"/>
      <c r="I370" s="87"/>
      <c r="J370" s="85"/>
      <c r="K370" s="85"/>
      <c r="L370" s="10"/>
      <c r="M370" s="10"/>
      <c r="N370" s="10"/>
      <c r="O370" s="10"/>
      <c r="P370" s="85"/>
      <c r="Q370" s="88"/>
      <c r="R370" s="3">
        <f>IFERROR(VLOOKUP(TablaNoviembre[[#This Row],[BARRIO]],SECTOR!$A:$B,2,0),"")</f>
      </c>
      <c r="S370" s="89"/>
      <c r="T370" s="90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6"/>
      <c r="AZ370" s="120">
        <f>COUNTIF(U370:AY370,"A")</f>
      </c>
      <c r="BA370" s="121">
        <f>COUNTIF(U370:AY370,"F")</f>
      </c>
      <c r="BB370" s="119">
        <f>COUNTIF(U370:AY370,"E")</f>
      </c>
    </row>
    <row r="371" spans="1:54" x14ac:dyDescent="0.2">
      <c r="A371" s="84"/>
      <c r="B371" s="85"/>
      <c r="C371" s="85"/>
      <c r="D371" s="85"/>
      <c r="E371" s="86"/>
      <c r="F371" s="16">
        <f>IF(E371="","",DATEDIF(E371,$I$7,"Y"))</f>
      </c>
      <c r="G371" s="85"/>
      <c r="H371" s="85"/>
      <c r="I371" s="87"/>
      <c r="J371" s="85"/>
      <c r="K371" s="85"/>
      <c r="L371" s="10"/>
      <c r="M371" s="10"/>
      <c r="N371" s="10"/>
      <c r="O371" s="10"/>
      <c r="P371" s="85"/>
      <c r="Q371" s="88"/>
      <c r="R371" s="3">
        <f>IFERROR(VLOOKUP(TablaNoviembre[[#This Row],[BARRIO]],SECTOR!$A:$B,2,0),"")</f>
      </c>
      <c r="S371" s="89"/>
      <c r="T371" s="90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6"/>
      <c r="AZ371" s="120">
        <f>COUNTIF(U371:AY371,"A")</f>
      </c>
      <c r="BA371" s="121">
        <f>COUNTIF(U371:AY371,"F")</f>
      </c>
      <c r="BB371" s="119">
        <f>COUNTIF(U371:AY371,"E")</f>
      </c>
    </row>
    <row r="372" spans="1:54" x14ac:dyDescent="0.2">
      <c r="A372" s="84"/>
      <c r="B372" s="85"/>
      <c r="C372" s="85"/>
      <c r="D372" s="85"/>
      <c r="E372" s="86"/>
      <c r="F372" s="16">
        <f>IF(E372="","",DATEDIF(E372,$I$7,"Y"))</f>
      </c>
      <c r="G372" s="85"/>
      <c r="H372" s="85"/>
      <c r="I372" s="87"/>
      <c r="J372" s="85"/>
      <c r="K372" s="85"/>
      <c r="L372" s="10"/>
      <c r="M372" s="10"/>
      <c r="N372" s="10"/>
      <c r="O372" s="10"/>
      <c r="P372" s="85"/>
      <c r="Q372" s="88"/>
      <c r="R372" s="3">
        <f>IFERROR(VLOOKUP(TablaNoviembre[[#This Row],[BARRIO]],SECTOR!$A:$B,2,0),"")</f>
      </c>
      <c r="S372" s="89"/>
      <c r="T372" s="90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6"/>
      <c r="AZ372" s="120">
        <f>COUNTIF(U372:AY372,"A")</f>
      </c>
      <c r="BA372" s="121">
        <f>COUNTIF(U372:AY372,"F")</f>
      </c>
      <c r="BB372" s="119">
        <f>COUNTIF(U372:AY372,"E")</f>
      </c>
    </row>
    <row r="373" spans="1:54" x14ac:dyDescent="0.2">
      <c r="A373" s="84"/>
      <c r="B373" s="85"/>
      <c r="C373" s="85"/>
      <c r="D373" s="85"/>
      <c r="E373" s="86"/>
      <c r="F373" s="16">
        <f>IF(E373="","",DATEDIF(E373,$I$7,"Y"))</f>
      </c>
      <c r="G373" s="85"/>
      <c r="H373" s="85"/>
      <c r="I373" s="87"/>
      <c r="J373" s="85"/>
      <c r="K373" s="85"/>
      <c r="L373" s="10"/>
      <c r="M373" s="10"/>
      <c r="N373" s="10"/>
      <c r="O373" s="10"/>
      <c r="P373" s="85"/>
      <c r="Q373" s="88"/>
      <c r="R373" s="3">
        <f>IFERROR(VLOOKUP(TablaNoviembre[[#This Row],[BARRIO]],SECTOR!$A:$B,2,0),"")</f>
      </c>
      <c r="S373" s="89"/>
      <c r="T373" s="90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6"/>
      <c r="AZ373" s="120">
        <f>COUNTIF(U373:AY373,"A")</f>
      </c>
      <c r="BA373" s="121">
        <f>COUNTIF(U373:AY373,"F")</f>
      </c>
      <c r="BB373" s="119">
        <f>COUNTIF(U373:AY373,"E")</f>
      </c>
    </row>
    <row r="374" spans="1:54" x14ac:dyDescent="0.2">
      <c r="A374" s="84"/>
      <c r="B374" s="85"/>
      <c r="C374" s="85"/>
      <c r="D374" s="85"/>
      <c r="E374" s="86"/>
      <c r="F374" s="16">
        <f>IF(E374="","",DATEDIF(E374,$I$7,"Y"))</f>
      </c>
      <c r="G374" s="85"/>
      <c r="H374" s="85"/>
      <c r="I374" s="87"/>
      <c r="J374" s="85"/>
      <c r="K374" s="85"/>
      <c r="L374" s="10"/>
      <c r="M374" s="10"/>
      <c r="N374" s="10"/>
      <c r="O374" s="10"/>
      <c r="P374" s="85"/>
      <c r="Q374" s="88"/>
      <c r="R374" s="3">
        <f>IFERROR(VLOOKUP(TablaNoviembre[[#This Row],[BARRIO]],SECTOR!$A:$B,2,0),"")</f>
      </c>
      <c r="S374" s="89"/>
      <c r="T374" s="90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6"/>
      <c r="AZ374" s="120">
        <f>COUNTIF(U374:AY374,"A")</f>
      </c>
      <c r="BA374" s="121">
        <f>COUNTIF(U374:AY374,"F")</f>
      </c>
      <c r="BB374" s="119">
        <f>COUNTIF(U374:AY374,"E")</f>
      </c>
    </row>
    <row r="375" spans="1:54" x14ac:dyDescent="0.2">
      <c r="A375" s="84"/>
      <c r="B375" s="85"/>
      <c r="C375" s="85"/>
      <c r="D375" s="85"/>
      <c r="E375" s="86"/>
      <c r="F375" s="16">
        <f>IF(E375="","",DATEDIF(E375,$I$7,"Y"))</f>
      </c>
      <c r="G375" s="85"/>
      <c r="H375" s="85"/>
      <c r="I375" s="87"/>
      <c r="J375" s="85"/>
      <c r="K375" s="85"/>
      <c r="L375" s="10"/>
      <c r="M375" s="10"/>
      <c r="N375" s="10"/>
      <c r="O375" s="10"/>
      <c r="P375" s="85"/>
      <c r="Q375" s="88"/>
      <c r="R375" s="3">
        <f>IFERROR(VLOOKUP(TablaNoviembre[[#This Row],[BARRIO]],SECTOR!$A:$B,2,0),"")</f>
      </c>
      <c r="S375" s="89"/>
      <c r="T375" s="90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6"/>
      <c r="AZ375" s="120">
        <f>COUNTIF(U375:AY375,"A")</f>
      </c>
      <c r="BA375" s="121">
        <f>COUNTIF(U375:AY375,"F")</f>
      </c>
      <c r="BB375" s="119">
        <f>COUNTIF(U375:AY375,"E")</f>
      </c>
    </row>
    <row r="376" spans="1:54" x14ac:dyDescent="0.2">
      <c r="A376" s="84"/>
      <c r="B376" s="85"/>
      <c r="C376" s="85"/>
      <c r="D376" s="85"/>
      <c r="E376" s="86"/>
      <c r="F376" s="16">
        <f>IF(E376="","",DATEDIF(E376,$I$7,"Y"))</f>
      </c>
      <c r="G376" s="85"/>
      <c r="H376" s="85"/>
      <c r="I376" s="87"/>
      <c r="J376" s="85"/>
      <c r="K376" s="85"/>
      <c r="L376" s="10"/>
      <c r="M376" s="10"/>
      <c r="N376" s="10"/>
      <c r="O376" s="10"/>
      <c r="P376" s="85"/>
      <c r="Q376" s="88"/>
      <c r="R376" s="3">
        <f>IFERROR(VLOOKUP(TablaNoviembre[[#This Row],[BARRIO]],SECTOR!$A:$B,2,0),"")</f>
      </c>
      <c r="S376" s="89"/>
      <c r="T376" s="90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6"/>
      <c r="AZ376" s="120">
        <f>COUNTIF(U376:AY376,"A")</f>
      </c>
      <c r="BA376" s="121">
        <f>COUNTIF(U376:AY376,"F")</f>
      </c>
      <c r="BB376" s="119">
        <f>COUNTIF(U376:AY376,"E")</f>
      </c>
    </row>
    <row r="377" spans="1:54" x14ac:dyDescent="0.2">
      <c r="A377" s="84"/>
      <c r="B377" s="85"/>
      <c r="C377" s="85"/>
      <c r="D377" s="85"/>
      <c r="E377" s="86"/>
      <c r="F377" s="16">
        <f>IF(E377="","",DATEDIF(E377,$I$7,"Y"))</f>
      </c>
      <c r="G377" s="85"/>
      <c r="H377" s="85"/>
      <c r="I377" s="87"/>
      <c r="J377" s="85"/>
      <c r="K377" s="85"/>
      <c r="L377" s="10"/>
      <c r="M377" s="10"/>
      <c r="N377" s="10"/>
      <c r="O377" s="10"/>
      <c r="P377" s="85"/>
      <c r="Q377" s="88"/>
      <c r="R377" s="3">
        <f>IFERROR(VLOOKUP(TablaNoviembre[[#This Row],[BARRIO]],SECTOR!$A:$B,2,0),"")</f>
      </c>
      <c r="S377" s="89"/>
      <c r="T377" s="90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6"/>
      <c r="AZ377" s="120">
        <f>COUNTIF(U377:AY377,"A")</f>
      </c>
      <c r="BA377" s="121">
        <f>COUNTIF(U377:AY377,"F")</f>
      </c>
      <c r="BB377" s="119">
        <f>COUNTIF(U377:AY377,"E")</f>
      </c>
    </row>
    <row r="378" spans="1:54" x14ac:dyDescent="0.2">
      <c r="A378" s="84"/>
      <c r="B378" s="85"/>
      <c r="C378" s="85"/>
      <c r="D378" s="85"/>
      <c r="E378" s="86"/>
      <c r="F378" s="16">
        <f>IF(E378="","",DATEDIF(E378,$I$7,"Y"))</f>
      </c>
      <c r="G378" s="85"/>
      <c r="H378" s="85"/>
      <c r="I378" s="87"/>
      <c r="J378" s="85"/>
      <c r="K378" s="85"/>
      <c r="L378" s="10"/>
      <c r="M378" s="10"/>
      <c r="N378" s="10"/>
      <c r="O378" s="10"/>
      <c r="P378" s="85"/>
      <c r="Q378" s="88"/>
      <c r="R378" s="3">
        <f>IFERROR(VLOOKUP(TablaNoviembre[[#This Row],[BARRIO]],SECTOR!$A:$B,2,0),"")</f>
      </c>
      <c r="S378" s="89"/>
      <c r="T378" s="90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6"/>
      <c r="AZ378" s="120">
        <f>COUNTIF(U378:AY378,"A")</f>
      </c>
      <c r="BA378" s="121">
        <f>COUNTIF(U378:AY378,"F")</f>
      </c>
      <c r="BB378" s="119">
        <f>COUNTIF(U378:AY378,"E")</f>
      </c>
    </row>
    <row r="379" spans="1:54" x14ac:dyDescent="0.2">
      <c r="A379" s="84"/>
      <c r="B379" s="85"/>
      <c r="C379" s="85"/>
      <c r="D379" s="85"/>
      <c r="E379" s="86"/>
      <c r="F379" s="16">
        <f>IF(E379="","",DATEDIF(E379,$I$7,"Y"))</f>
      </c>
      <c r="G379" s="85"/>
      <c r="H379" s="85"/>
      <c r="I379" s="87"/>
      <c r="J379" s="85"/>
      <c r="K379" s="85"/>
      <c r="L379" s="10"/>
      <c r="M379" s="10"/>
      <c r="N379" s="10"/>
      <c r="O379" s="10"/>
      <c r="P379" s="85"/>
      <c r="Q379" s="88"/>
      <c r="R379" s="3">
        <f>IFERROR(VLOOKUP(TablaNoviembre[[#This Row],[BARRIO]],SECTOR!$A:$B,2,0),"")</f>
      </c>
      <c r="S379" s="89"/>
      <c r="T379" s="90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6"/>
      <c r="AZ379" s="120">
        <f>COUNTIF(U379:AY379,"A")</f>
      </c>
      <c r="BA379" s="121">
        <f>COUNTIF(U379:AY379,"F")</f>
      </c>
      <c r="BB379" s="119">
        <f>COUNTIF(U379:AY379,"E")</f>
      </c>
    </row>
    <row r="380" spans="1:54" x14ac:dyDescent="0.2">
      <c r="A380" s="84"/>
      <c r="B380" s="85"/>
      <c r="C380" s="85"/>
      <c r="D380" s="85"/>
      <c r="E380" s="86"/>
      <c r="F380" s="16">
        <f>IF(E380="","",DATEDIF(E380,$I$7,"Y"))</f>
      </c>
      <c r="G380" s="85"/>
      <c r="H380" s="85"/>
      <c r="I380" s="87"/>
      <c r="J380" s="85"/>
      <c r="K380" s="85"/>
      <c r="L380" s="10"/>
      <c r="M380" s="10"/>
      <c r="N380" s="10"/>
      <c r="O380" s="10"/>
      <c r="P380" s="85"/>
      <c r="Q380" s="88"/>
      <c r="R380" s="3">
        <f>IFERROR(VLOOKUP(TablaNoviembre[[#This Row],[BARRIO]],SECTOR!$A:$B,2,0),"")</f>
      </c>
      <c r="S380" s="89"/>
      <c r="T380" s="90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6"/>
      <c r="AZ380" s="120">
        <f>COUNTIF(U380:AY380,"A")</f>
      </c>
      <c r="BA380" s="121">
        <f>COUNTIF(U380:AY380,"F")</f>
      </c>
      <c r="BB380" s="119">
        <f>COUNTIF(U380:AY380,"E")</f>
      </c>
    </row>
    <row r="381" spans="1:54" x14ac:dyDescent="0.2">
      <c r="A381" s="84"/>
      <c r="B381" s="85"/>
      <c r="C381" s="85"/>
      <c r="D381" s="85"/>
      <c r="E381" s="86"/>
      <c r="F381" s="16">
        <f>IF(E381="","",DATEDIF(E381,$I$7,"Y"))</f>
      </c>
      <c r="G381" s="85"/>
      <c r="H381" s="85"/>
      <c r="I381" s="87"/>
      <c r="J381" s="85"/>
      <c r="K381" s="85"/>
      <c r="L381" s="10"/>
      <c r="M381" s="10"/>
      <c r="N381" s="10"/>
      <c r="O381" s="10"/>
      <c r="P381" s="85"/>
      <c r="Q381" s="88"/>
      <c r="R381" s="3">
        <f>IFERROR(VLOOKUP(TablaNoviembre[[#This Row],[BARRIO]],SECTOR!$A:$B,2,0),"")</f>
      </c>
      <c r="S381" s="89"/>
      <c r="T381" s="90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6"/>
      <c r="AZ381" s="120">
        <f>COUNTIF(U381:AY381,"A")</f>
      </c>
      <c r="BA381" s="121">
        <f>COUNTIF(U381:AY381,"F")</f>
      </c>
      <c r="BB381" s="119">
        <f>COUNTIF(U381:AY381,"E")</f>
      </c>
    </row>
    <row r="382" spans="1:54" x14ac:dyDescent="0.2">
      <c r="A382" s="84"/>
      <c r="B382" s="85"/>
      <c r="C382" s="85"/>
      <c r="D382" s="85"/>
      <c r="E382" s="86"/>
      <c r="F382" s="16">
        <f>IF(E382="","",DATEDIF(E382,$I$7,"Y"))</f>
      </c>
      <c r="G382" s="85"/>
      <c r="H382" s="85"/>
      <c r="I382" s="87"/>
      <c r="J382" s="85"/>
      <c r="K382" s="85"/>
      <c r="L382" s="10"/>
      <c r="M382" s="10"/>
      <c r="N382" s="10"/>
      <c r="O382" s="10"/>
      <c r="P382" s="85"/>
      <c r="Q382" s="88"/>
      <c r="R382" s="3">
        <f>IFERROR(VLOOKUP(TablaNoviembre[[#This Row],[BARRIO]],SECTOR!$A:$B,2,0),"")</f>
      </c>
      <c r="S382" s="89"/>
      <c r="T382" s="90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6"/>
      <c r="AZ382" s="120">
        <f>COUNTIF(U382:AY382,"A")</f>
      </c>
      <c r="BA382" s="121">
        <f>COUNTIF(U382:AY382,"F")</f>
      </c>
      <c r="BB382" s="119">
        <f>COUNTIF(U382:AY382,"E")</f>
      </c>
    </row>
    <row r="383" spans="1:54" x14ac:dyDescent="0.2">
      <c r="A383" s="84"/>
      <c r="B383" s="85"/>
      <c r="C383" s="85"/>
      <c r="D383" s="85"/>
      <c r="E383" s="86"/>
      <c r="F383" s="16">
        <f>IF(E383="","",DATEDIF(E383,$I$7,"Y"))</f>
      </c>
      <c r="G383" s="85"/>
      <c r="H383" s="85"/>
      <c r="I383" s="87"/>
      <c r="J383" s="85"/>
      <c r="K383" s="85"/>
      <c r="L383" s="10"/>
      <c r="M383" s="10"/>
      <c r="N383" s="10"/>
      <c r="O383" s="10"/>
      <c r="P383" s="85"/>
      <c r="Q383" s="88"/>
      <c r="R383" s="3">
        <f>IFERROR(VLOOKUP(TablaNoviembre[[#This Row],[BARRIO]],SECTOR!$A:$B,2,0),"")</f>
      </c>
      <c r="S383" s="89"/>
      <c r="T383" s="90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6"/>
      <c r="AZ383" s="120">
        <f>COUNTIF(U383:AY383,"A")</f>
      </c>
      <c r="BA383" s="121">
        <f>COUNTIF(U383:AY383,"F")</f>
      </c>
      <c r="BB383" s="119">
        <f>COUNTIF(U383:AY383,"E")</f>
      </c>
    </row>
    <row r="384" spans="1:54" x14ac:dyDescent="0.2">
      <c r="A384" s="84"/>
      <c r="B384" s="85"/>
      <c r="C384" s="85"/>
      <c r="D384" s="85"/>
      <c r="E384" s="86"/>
      <c r="F384" s="16">
        <f>IF(E384="","",DATEDIF(E384,$I$7,"Y"))</f>
      </c>
      <c r="G384" s="85"/>
      <c r="H384" s="85"/>
      <c r="I384" s="87"/>
      <c r="J384" s="85"/>
      <c r="K384" s="85"/>
      <c r="L384" s="10"/>
      <c r="M384" s="10"/>
      <c r="N384" s="10"/>
      <c r="O384" s="10"/>
      <c r="P384" s="85"/>
      <c r="Q384" s="88"/>
      <c r="R384" s="3">
        <f>IFERROR(VLOOKUP(TablaNoviembre[[#This Row],[BARRIO]],SECTOR!$A:$B,2,0),"")</f>
      </c>
      <c r="S384" s="89"/>
      <c r="T384" s="90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6"/>
      <c r="AZ384" s="120">
        <f>COUNTIF(U384:AY384,"A")</f>
      </c>
      <c r="BA384" s="121">
        <f>COUNTIF(U384:AY384,"F")</f>
      </c>
      <c r="BB384" s="119">
        <f>COUNTIF(U384:AY384,"E")</f>
      </c>
    </row>
    <row r="385" spans="1:54" x14ac:dyDescent="0.2">
      <c r="A385" s="84"/>
      <c r="B385" s="85"/>
      <c r="C385" s="85"/>
      <c r="D385" s="85"/>
      <c r="E385" s="86"/>
      <c r="F385" s="16">
        <f>IF(E385="","",DATEDIF(E385,$I$7,"Y"))</f>
      </c>
      <c r="G385" s="85"/>
      <c r="H385" s="85"/>
      <c r="I385" s="87"/>
      <c r="J385" s="85"/>
      <c r="K385" s="85"/>
      <c r="L385" s="10"/>
      <c r="M385" s="10"/>
      <c r="N385" s="10"/>
      <c r="O385" s="10"/>
      <c r="P385" s="85"/>
      <c r="Q385" s="88"/>
      <c r="R385" s="3">
        <f>IFERROR(VLOOKUP(TablaNoviembre[[#This Row],[BARRIO]],SECTOR!$A:$B,2,0),"")</f>
      </c>
      <c r="S385" s="89"/>
      <c r="T385" s="90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6"/>
      <c r="AZ385" s="120">
        <f>COUNTIF(U385:AY385,"A")</f>
      </c>
      <c r="BA385" s="121">
        <f>COUNTIF(U385:AY385,"F")</f>
      </c>
      <c r="BB385" s="119">
        <f>COUNTIF(U385:AY385,"E")</f>
      </c>
    </row>
    <row r="386" spans="1:54" x14ac:dyDescent="0.2">
      <c r="A386" s="84"/>
      <c r="B386" s="85"/>
      <c r="C386" s="85"/>
      <c r="D386" s="85"/>
      <c r="E386" s="86"/>
      <c r="F386" s="16">
        <f>IF(E386="","",DATEDIF(E386,$I$7,"Y"))</f>
      </c>
      <c r="G386" s="85"/>
      <c r="H386" s="85"/>
      <c r="I386" s="87"/>
      <c r="J386" s="85"/>
      <c r="K386" s="85"/>
      <c r="L386" s="10"/>
      <c r="M386" s="10"/>
      <c r="N386" s="10"/>
      <c r="O386" s="10"/>
      <c r="P386" s="85"/>
      <c r="Q386" s="88"/>
      <c r="R386" s="3">
        <f>IFERROR(VLOOKUP(TablaNoviembre[[#This Row],[BARRIO]],SECTOR!$A:$B,2,0),"")</f>
      </c>
      <c r="S386" s="89"/>
      <c r="T386" s="90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6"/>
      <c r="AZ386" s="120">
        <f>COUNTIF(U386:AY386,"A")</f>
      </c>
      <c r="BA386" s="121">
        <f>COUNTIF(U386:AY386,"F")</f>
      </c>
      <c r="BB386" s="119">
        <f>COUNTIF(U386:AY386,"E")</f>
      </c>
    </row>
    <row r="387" spans="1:54" x14ac:dyDescent="0.2">
      <c r="A387" s="84"/>
      <c r="B387" s="85"/>
      <c r="C387" s="85"/>
      <c r="D387" s="85"/>
      <c r="E387" s="86"/>
      <c r="F387" s="16">
        <f>IF(E387="","",DATEDIF(E387,$I$7,"Y"))</f>
      </c>
      <c r="G387" s="85"/>
      <c r="H387" s="85"/>
      <c r="I387" s="87"/>
      <c r="J387" s="85"/>
      <c r="K387" s="85"/>
      <c r="L387" s="10"/>
      <c r="M387" s="10"/>
      <c r="N387" s="10"/>
      <c r="O387" s="10"/>
      <c r="P387" s="85"/>
      <c r="Q387" s="88"/>
      <c r="R387" s="3">
        <f>IFERROR(VLOOKUP(TablaNoviembre[[#This Row],[BARRIO]],SECTOR!$A:$B,2,0),"")</f>
      </c>
      <c r="S387" s="89"/>
      <c r="T387" s="90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6"/>
      <c r="AZ387" s="120">
        <f>COUNTIF(U387:AY387,"A")</f>
      </c>
      <c r="BA387" s="121">
        <f>COUNTIF(U387:AY387,"F")</f>
      </c>
      <c r="BB387" s="119">
        <f>COUNTIF(U387:AY387,"E")</f>
      </c>
    </row>
    <row r="388" spans="1:54" x14ac:dyDescent="0.2">
      <c r="A388" s="84"/>
      <c r="B388" s="85"/>
      <c r="C388" s="85"/>
      <c r="D388" s="85"/>
      <c r="E388" s="86"/>
      <c r="F388" s="16">
        <f>IF(E388="","",DATEDIF(E388,$I$7,"Y"))</f>
      </c>
      <c r="G388" s="85"/>
      <c r="H388" s="85"/>
      <c r="I388" s="87"/>
      <c r="J388" s="85"/>
      <c r="K388" s="85"/>
      <c r="L388" s="10"/>
      <c r="M388" s="10"/>
      <c r="N388" s="10"/>
      <c r="O388" s="10"/>
      <c r="P388" s="85"/>
      <c r="Q388" s="88"/>
      <c r="R388" s="3">
        <f>IFERROR(VLOOKUP(TablaNoviembre[[#This Row],[BARRIO]],SECTOR!$A:$B,2,0),"")</f>
      </c>
      <c r="S388" s="89"/>
      <c r="T388" s="90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6"/>
      <c r="AZ388" s="120">
        <f>COUNTIF(U388:AY388,"A")</f>
      </c>
      <c r="BA388" s="121">
        <f>COUNTIF(U388:AY388,"F")</f>
      </c>
      <c r="BB388" s="119">
        <f>COUNTIF(U388:AY388,"E")</f>
      </c>
    </row>
    <row r="389" spans="1:54" x14ac:dyDescent="0.2">
      <c r="A389" s="84"/>
      <c r="B389" s="85"/>
      <c r="C389" s="85"/>
      <c r="D389" s="85"/>
      <c r="E389" s="86"/>
      <c r="F389" s="16">
        <f>IF(E389="","",DATEDIF(E389,$I$7,"Y"))</f>
      </c>
      <c r="G389" s="85"/>
      <c r="H389" s="85"/>
      <c r="I389" s="87"/>
      <c r="J389" s="85"/>
      <c r="K389" s="85"/>
      <c r="L389" s="10"/>
      <c r="M389" s="10"/>
      <c r="N389" s="10"/>
      <c r="O389" s="10"/>
      <c r="P389" s="85"/>
      <c r="Q389" s="88"/>
      <c r="R389" s="3">
        <f>IFERROR(VLOOKUP(TablaNoviembre[[#This Row],[BARRIO]],SECTOR!$A:$B,2,0),"")</f>
      </c>
      <c r="S389" s="89"/>
      <c r="T389" s="90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6"/>
      <c r="AZ389" s="120">
        <f>COUNTIF(U389:AY389,"A")</f>
      </c>
      <c r="BA389" s="121">
        <f>COUNTIF(U389:AY389,"F")</f>
      </c>
      <c r="BB389" s="119">
        <f>COUNTIF(U389:AY389,"E")</f>
      </c>
    </row>
    <row r="390" spans="1:54" x14ac:dyDescent="0.2">
      <c r="A390" s="84"/>
      <c r="B390" s="85"/>
      <c r="C390" s="85"/>
      <c r="D390" s="85"/>
      <c r="E390" s="86"/>
      <c r="F390" s="16">
        <f>IF(E390="","",DATEDIF(E390,$I$7,"Y"))</f>
      </c>
      <c r="G390" s="85"/>
      <c r="H390" s="85"/>
      <c r="I390" s="87"/>
      <c r="J390" s="85"/>
      <c r="K390" s="85"/>
      <c r="L390" s="10"/>
      <c r="M390" s="10"/>
      <c r="N390" s="10"/>
      <c r="O390" s="10"/>
      <c r="P390" s="85"/>
      <c r="Q390" s="88"/>
      <c r="R390" s="3">
        <f>IFERROR(VLOOKUP(TablaNoviembre[[#This Row],[BARRIO]],SECTOR!$A:$B,2,0),"")</f>
      </c>
      <c r="S390" s="89"/>
      <c r="T390" s="90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6"/>
      <c r="AZ390" s="120">
        <f>COUNTIF(U390:AY390,"A")</f>
      </c>
      <c r="BA390" s="121">
        <f>COUNTIF(U390:AY390,"F")</f>
      </c>
      <c r="BB390" s="119">
        <f>COUNTIF(U390:AY390,"E")</f>
      </c>
    </row>
    <row r="391" spans="1:54" x14ac:dyDescent="0.2">
      <c r="A391" s="84"/>
      <c r="B391" s="85"/>
      <c r="C391" s="85"/>
      <c r="D391" s="85"/>
      <c r="E391" s="86"/>
      <c r="F391" s="16">
        <f>IF(E391="","",DATEDIF(E391,$I$7,"Y"))</f>
      </c>
      <c r="G391" s="85"/>
      <c r="H391" s="85"/>
      <c r="I391" s="87"/>
      <c r="J391" s="85"/>
      <c r="K391" s="85"/>
      <c r="L391" s="10"/>
      <c r="M391" s="10"/>
      <c r="N391" s="10"/>
      <c r="O391" s="10"/>
      <c r="P391" s="85"/>
      <c r="Q391" s="88"/>
      <c r="R391" s="3">
        <f>IFERROR(VLOOKUP(TablaNoviembre[[#This Row],[BARRIO]],SECTOR!$A:$B,2,0),"")</f>
      </c>
      <c r="S391" s="89"/>
      <c r="T391" s="90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6"/>
      <c r="AZ391" s="120">
        <f>COUNTIF(U391:AY391,"A")</f>
      </c>
      <c r="BA391" s="121">
        <f>COUNTIF(U391:AY391,"F")</f>
      </c>
      <c r="BB391" s="119">
        <f>COUNTIF(U391:AY391,"E")</f>
      </c>
    </row>
    <row r="392" spans="1:54" x14ac:dyDescent="0.2">
      <c r="A392" s="84"/>
      <c r="B392" s="85"/>
      <c r="C392" s="85"/>
      <c r="D392" s="85"/>
      <c r="E392" s="86"/>
      <c r="F392" s="16">
        <f>IF(E392="","",DATEDIF(E392,$I$7,"Y"))</f>
      </c>
      <c r="G392" s="85"/>
      <c r="H392" s="85"/>
      <c r="I392" s="87"/>
      <c r="J392" s="85"/>
      <c r="K392" s="85"/>
      <c r="L392" s="10"/>
      <c r="M392" s="10"/>
      <c r="N392" s="10"/>
      <c r="O392" s="10"/>
      <c r="P392" s="85"/>
      <c r="Q392" s="88"/>
      <c r="R392" s="3">
        <f>IFERROR(VLOOKUP(TablaNoviembre[[#This Row],[BARRIO]],SECTOR!$A:$B,2,0),"")</f>
      </c>
      <c r="S392" s="89"/>
      <c r="T392" s="90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6"/>
      <c r="AZ392" s="120">
        <f>COUNTIF(U392:AY392,"A")</f>
      </c>
      <c r="BA392" s="121">
        <f>COUNTIF(U392:AY392,"F")</f>
      </c>
      <c r="BB392" s="119">
        <f>COUNTIF(U392:AY392,"E")</f>
      </c>
    </row>
    <row r="393" spans="1:54" x14ac:dyDescent="0.2">
      <c r="A393" s="84"/>
      <c r="B393" s="85"/>
      <c r="C393" s="85"/>
      <c r="D393" s="85"/>
      <c r="E393" s="86"/>
      <c r="F393" s="16">
        <f>IF(E393="","",DATEDIF(E393,$I$7,"Y"))</f>
      </c>
      <c r="G393" s="85"/>
      <c r="H393" s="85"/>
      <c r="I393" s="87"/>
      <c r="J393" s="85"/>
      <c r="K393" s="85"/>
      <c r="L393" s="10"/>
      <c r="M393" s="10"/>
      <c r="N393" s="10"/>
      <c r="O393" s="10"/>
      <c r="P393" s="85"/>
      <c r="Q393" s="88"/>
      <c r="R393" s="3">
        <f>IFERROR(VLOOKUP(TablaNoviembre[[#This Row],[BARRIO]],SECTOR!$A:$B,2,0),"")</f>
      </c>
      <c r="S393" s="89"/>
      <c r="T393" s="90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6"/>
      <c r="AZ393" s="120">
        <f>COUNTIF(U393:AY393,"A")</f>
      </c>
      <c r="BA393" s="121">
        <f>COUNTIF(U393:AY393,"F")</f>
      </c>
      <c r="BB393" s="119">
        <f>COUNTIF(U393:AY393,"E")</f>
      </c>
    </row>
    <row r="394" spans="1:54" x14ac:dyDescent="0.2">
      <c r="A394" s="84"/>
      <c r="B394" s="85"/>
      <c r="C394" s="85"/>
      <c r="D394" s="85"/>
      <c r="E394" s="86"/>
      <c r="F394" s="16">
        <f>IF(E394="","",DATEDIF(E394,$I$7,"Y"))</f>
      </c>
      <c r="G394" s="85"/>
      <c r="H394" s="85"/>
      <c r="I394" s="87"/>
      <c r="J394" s="85"/>
      <c r="K394" s="85"/>
      <c r="L394" s="10"/>
      <c r="M394" s="10"/>
      <c r="N394" s="10"/>
      <c r="O394" s="10"/>
      <c r="P394" s="85"/>
      <c r="Q394" s="88"/>
      <c r="R394" s="3">
        <f>IFERROR(VLOOKUP(TablaNoviembre[[#This Row],[BARRIO]],SECTOR!$A:$B,2,0),"")</f>
      </c>
      <c r="S394" s="89"/>
      <c r="T394" s="90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6"/>
      <c r="AZ394" s="120">
        <f>COUNTIF(U394:AY394,"A")</f>
      </c>
      <c r="BA394" s="121">
        <f>COUNTIF(U394:AY394,"F")</f>
      </c>
      <c r="BB394" s="119">
        <f>COUNTIF(U394:AY394,"E")</f>
      </c>
    </row>
    <row r="395" spans="1:54" x14ac:dyDescent="0.2">
      <c r="A395" s="84"/>
      <c r="B395" s="85"/>
      <c r="C395" s="85"/>
      <c r="D395" s="85"/>
      <c r="E395" s="86"/>
      <c r="F395" s="16">
        <f>IF(E395="","",DATEDIF(E395,$I$7,"Y"))</f>
      </c>
      <c r="G395" s="85"/>
      <c r="H395" s="85"/>
      <c r="I395" s="87"/>
      <c r="J395" s="85"/>
      <c r="K395" s="85"/>
      <c r="L395" s="10"/>
      <c r="M395" s="10"/>
      <c r="N395" s="10"/>
      <c r="O395" s="10"/>
      <c r="P395" s="85"/>
      <c r="Q395" s="88"/>
      <c r="R395" s="3">
        <f>IFERROR(VLOOKUP(TablaNoviembre[[#This Row],[BARRIO]],SECTOR!$A:$B,2,0),"")</f>
      </c>
      <c r="S395" s="89"/>
      <c r="T395" s="90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6"/>
      <c r="AZ395" s="120">
        <f>COUNTIF(U395:AY395,"A")</f>
      </c>
      <c r="BA395" s="121">
        <f>COUNTIF(U395:AY395,"F")</f>
      </c>
      <c r="BB395" s="119">
        <f>COUNTIF(U395:AY395,"E")</f>
      </c>
    </row>
    <row r="396" spans="1:54" x14ac:dyDescent="0.2">
      <c r="A396" s="84"/>
      <c r="B396" s="85"/>
      <c r="C396" s="85"/>
      <c r="D396" s="85"/>
      <c r="E396" s="86"/>
      <c r="F396" s="16">
        <f>IF(E396="","",DATEDIF(E396,$I$7,"Y"))</f>
      </c>
      <c r="G396" s="85"/>
      <c r="H396" s="85"/>
      <c r="I396" s="87"/>
      <c r="J396" s="85"/>
      <c r="K396" s="85"/>
      <c r="L396" s="10"/>
      <c r="M396" s="10"/>
      <c r="N396" s="10"/>
      <c r="O396" s="10"/>
      <c r="P396" s="85"/>
      <c r="Q396" s="88"/>
      <c r="R396" s="3">
        <f>IFERROR(VLOOKUP(TablaNoviembre[[#This Row],[BARRIO]],SECTOR!$A:$B,2,0),"")</f>
      </c>
      <c r="S396" s="89"/>
      <c r="T396" s="90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6"/>
      <c r="AZ396" s="120">
        <f>COUNTIF(U396:AY396,"A")</f>
      </c>
      <c r="BA396" s="121">
        <f>COUNTIF(U396:AY396,"F")</f>
      </c>
      <c r="BB396" s="119">
        <f>COUNTIF(U396:AY396,"E")</f>
      </c>
    </row>
    <row r="397" spans="1:54" x14ac:dyDescent="0.2">
      <c r="A397" s="84"/>
      <c r="B397" s="85"/>
      <c r="C397" s="85"/>
      <c r="D397" s="85"/>
      <c r="E397" s="86"/>
      <c r="F397" s="16">
        <f>IF(E397="","",DATEDIF(E397,$I$7,"Y"))</f>
      </c>
      <c r="G397" s="85"/>
      <c r="H397" s="85"/>
      <c r="I397" s="87"/>
      <c r="J397" s="85"/>
      <c r="K397" s="85"/>
      <c r="L397" s="10"/>
      <c r="M397" s="10"/>
      <c r="N397" s="10"/>
      <c r="O397" s="10"/>
      <c r="P397" s="85"/>
      <c r="Q397" s="88"/>
      <c r="R397" s="3">
        <f>IFERROR(VLOOKUP(TablaNoviembre[[#This Row],[BARRIO]],SECTOR!$A:$B,2,0),"")</f>
      </c>
      <c r="S397" s="89"/>
      <c r="T397" s="90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6"/>
      <c r="AZ397" s="120">
        <f>COUNTIF(U397:AY397,"A")</f>
      </c>
      <c r="BA397" s="121">
        <f>COUNTIF(U397:AY397,"F")</f>
      </c>
      <c r="BB397" s="119">
        <f>COUNTIF(U397:AY397,"E")</f>
      </c>
    </row>
    <row r="398" spans="1:54" x14ac:dyDescent="0.2">
      <c r="A398" s="84"/>
      <c r="B398" s="85"/>
      <c r="C398" s="85"/>
      <c r="D398" s="85"/>
      <c r="E398" s="86"/>
      <c r="F398" s="16">
        <f>IF(E398="","",DATEDIF(E398,$I$7,"Y"))</f>
      </c>
      <c r="G398" s="85"/>
      <c r="H398" s="85"/>
      <c r="I398" s="87"/>
      <c r="J398" s="85"/>
      <c r="K398" s="85"/>
      <c r="L398" s="10"/>
      <c r="M398" s="10"/>
      <c r="N398" s="10"/>
      <c r="O398" s="10"/>
      <c r="P398" s="85"/>
      <c r="Q398" s="88"/>
      <c r="R398" s="3">
        <f>IFERROR(VLOOKUP(TablaNoviembre[[#This Row],[BARRIO]],SECTOR!$A:$B,2,0),"")</f>
      </c>
      <c r="S398" s="89"/>
      <c r="T398" s="90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6"/>
      <c r="AZ398" s="120">
        <f>COUNTIF(U398:AY398,"A")</f>
      </c>
      <c r="BA398" s="121">
        <f>COUNTIF(U398:AY398,"F")</f>
      </c>
      <c r="BB398" s="119">
        <f>COUNTIF(U398:AY398,"E")</f>
      </c>
    </row>
    <row r="399" spans="1:54" x14ac:dyDescent="0.2">
      <c r="A399" s="84"/>
      <c r="B399" s="85"/>
      <c r="C399" s="85"/>
      <c r="D399" s="85"/>
      <c r="E399" s="86"/>
      <c r="F399" s="16">
        <f>IF(E399="","",DATEDIF(E399,$I$7,"Y"))</f>
      </c>
      <c r="G399" s="85"/>
      <c r="H399" s="85"/>
      <c r="I399" s="87"/>
      <c r="J399" s="85"/>
      <c r="K399" s="85"/>
      <c r="L399" s="10"/>
      <c r="M399" s="10"/>
      <c r="N399" s="10"/>
      <c r="O399" s="10"/>
      <c r="P399" s="85"/>
      <c r="Q399" s="88"/>
      <c r="R399" s="3">
        <f>IFERROR(VLOOKUP(TablaNoviembre[[#This Row],[BARRIO]],SECTOR!$A:$B,2,0),"")</f>
      </c>
      <c r="S399" s="89"/>
      <c r="T399" s="90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6"/>
      <c r="AZ399" s="120">
        <f>COUNTIF(U399:AY399,"A")</f>
      </c>
      <c r="BA399" s="121">
        <f>COUNTIF(U399:AY399,"F")</f>
      </c>
      <c r="BB399" s="119">
        <f>COUNTIF(U399:AY399,"E")</f>
      </c>
    </row>
    <row r="400" spans="1:54" x14ac:dyDescent="0.2">
      <c r="A400" s="84"/>
      <c r="B400" s="85"/>
      <c r="C400" s="85"/>
      <c r="D400" s="85"/>
      <c r="E400" s="86"/>
      <c r="F400" s="16">
        <f>IF(E400="","",DATEDIF(E400,$I$7,"Y"))</f>
      </c>
      <c r="G400" s="85"/>
      <c r="H400" s="85"/>
      <c r="I400" s="87"/>
      <c r="J400" s="85"/>
      <c r="K400" s="85"/>
      <c r="L400" s="10"/>
      <c r="M400" s="10"/>
      <c r="N400" s="10"/>
      <c r="O400" s="10"/>
      <c r="P400" s="85"/>
      <c r="Q400" s="88"/>
      <c r="R400" s="3">
        <f>IFERROR(VLOOKUP(TablaNoviembre[[#This Row],[BARRIO]],SECTOR!$A:$B,2,0),"")</f>
      </c>
      <c r="S400" s="89"/>
      <c r="T400" s="90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6"/>
      <c r="AZ400" s="120">
        <f>COUNTIF(U400:AY400,"A")</f>
      </c>
      <c r="BA400" s="121">
        <f>COUNTIF(U400:AY400,"F")</f>
      </c>
      <c r="BB400" s="119">
        <f>COUNTIF(U400:AY400,"E")</f>
      </c>
    </row>
    <row r="401" spans="1:54" x14ac:dyDescent="0.2">
      <c r="A401" s="84"/>
      <c r="B401" s="85"/>
      <c r="C401" s="85"/>
      <c r="D401" s="85"/>
      <c r="E401" s="86"/>
      <c r="F401" s="16">
        <f>IF(E401="","",DATEDIF(E401,$I$7,"Y"))</f>
      </c>
      <c r="G401" s="85"/>
      <c r="H401" s="85"/>
      <c r="I401" s="87"/>
      <c r="J401" s="85"/>
      <c r="K401" s="85"/>
      <c r="L401" s="10"/>
      <c r="M401" s="10"/>
      <c r="N401" s="10"/>
      <c r="O401" s="10"/>
      <c r="P401" s="85"/>
      <c r="Q401" s="88"/>
      <c r="R401" s="3">
        <f>IFERROR(VLOOKUP(TablaNoviembre[[#This Row],[BARRIO]],SECTOR!$A:$B,2,0),"")</f>
      </c>
      <c r="S401" s="89"/>
      <c r="T401" s="90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6"/>
      <c r="AZ401" s="120">
        <f>COUNTIF(U401:AY401,"A")</f>
      </c>
      <c r="BA401" s="121">
        <f>COUNTIF(U401:AY401,"F")</f>
      </c>
      <c r="BB401" s="119">
        <f>COUNTIF(U401:AY401,"E")</f>
      </c>
    </row>
    <row r="402" spans="1:54" x14ac:dyDescent="0.2">
      <c r="A402" s="84"/>
      <c r="B402" s="85"/>
      <c r="C402" s="85"/>
      <c r="D402" s="85"/>
      <c r="E402" s="86"/>
      <c r="F402" s="16">
        <f>IF(E402="","",DATEDIF(E402,$I$7,"Y"))</f>
      </c>
      <c r="G402" s="85"/>
      <c r="H402" s="85"/>
      <c r="I402" s="87"/>
      <c r="J402" s="85"/>
      <c r="K402" s="85"/>
      <c r="L402" s="10"/>
      <c r="M402" s="10"/>
      <c r="N402" s="10"/>
      <c r="O402" s="10"/>
      <c r="P402" s="85"/>
      <c r="Q402" s="88"/>
      <c r="R402" s="3">
        <f>IFERROR(VLOOKUP(TablaNoviembre[[#This Row],[BARRIO]],SECTOR!$A:$B,2,0),"")</f>
      </c>
      <c r="S402" s="89"/>
      <c r="T402" s="90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6"/>
      <c r="AZ402" s="120">
        <f>COUNTIF(U402:AY402,"A")</f>
      </c>
      <c r="BA402" s="121">
        <f>COUNTIF(U402:AY402,"F")</f>
      </c>
      <c r="BB402" s="119">
        <f>COUNTIF(U402:AY402,"E")</f>
      </c>
    </row>
    <row r="403" spans="1:54" x14ac:dyDescent="0.2">
      <c r="A403" s="84"/>
      <c r="B403" s="85"/>
      <c r="C403" s="85"/>
      <c r="D403" s="85"/>
      <c r="E403" s="86"/>
      <c r="F403" s="16">
        <f>IF(E403="","",DATEDIF(E403,$I$7,"Y"))</f>
      </c>
      <c r="G403" s="85"/>
      <c r="H403" s="85"/>
      <c r="I403" s="87"/>
      <c r="J403" s="85"/>
      <c r="K403" s="85"/>
      <c r="L403" s="10"/>
      <c r="M403" s="10"/>
      <c r="N403" s="10"/>
      <c r="O403" s="10"/>
      <c r="P403" s="85"/>
      <c r="Q403" s="88"/>
      <c r="R403" s="3">
        <f>IFERROR(VLOOKUP(TablaNoviembre[[#This Row],[BARRIO]],SECTOR!$A:$B,2,0),"")</f>
      </c>
      <c r="S403" s="89"/>
      <c r="T403" s="90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6"/>
      <c r="AZ403" s="120">
        <f>COUNTIF(U403:AY403,"A")</f>
      </c>
      <c r="BA403" s="121">
        <f>COUNTIF(U403:AY403,"F")</f>
      </c>
      <c r="BB403" s="119">
        <f>COUNTIF(U403:AY403,"E")</f>
      </c>
    </row>
    <row r="404" spans="1:54" x14ac:dyDescent="0.2">
      <c r="A404" s="84"/>
      <c r="B404" s="85"/>
      <c r="C404" s="85"/>
      <c r="D404" s="85"/>
      <c r="E404" s="86"/>
      <c r="F404" s="16">
        <f>IF(E404="","",DATEDIF(E404,$I$7,"Y"))</f>
      </c>
      <c r="G404" s="85"/>
      <c r="H404" s="85"/>
      <c r="I404" s="87"/>
      <c r="J404" s="85"/>
      <c r="K404" s="85"/>
      <c r="L404" s="10"/>
      <c r="M404" s="10"/>
      <c r="N404" s="10"/>
      <c r="O404" s="10"/>
      <c r="P404" s="85"/>
      <c r="Q404" s="88"/>
      <c r="R404" s="3">
        <f>IFERROR(VLOOKUP(TablaNoviembre[[#This Row],[BARRIO]],SECTOR!$A:$B,2,0),"")</f>
      </c>
      <c r="S404" s="89"/>
      <c r="T404" s="90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6"/>
      <c r="AZ404" s="120">
        <f>COUNTIF(U404:AY404,"A")</f>
      </c>
      <c r="BA404" s="121">
        <f>COUNTIF(U404:AY404,"F")</f>
      </c>
      <c r="BB404" s="119">
        <f>COUNTIF(U404:AY404,"E")</f>
      </c>
    </row>
    <row r="405" spans="1:54" x14ac:dyDescent="0.2">
      <c r="A405" s="84"/>
      <c r="B405" s="85"/>
      <c r="C405" s="85"/>
      <c r="D405" s="85"/>
      <c r="E405" s="86"/>
      <c r="F405" s="16">
        <f>IF(E405="","",DATEDIF(E405,$I$7,"Y"))</f>
      </c>
      <c r="G405" s="85"/>
      <c r="H405" s="85"/>
      <c r="I405" s="87"/>
      <c r="J405" s="85"/>
      <c r="K405" s="85"/>
      <c r="L405" s="10"/>
      <c r="M405" s="10"/>
      <c r="N405" s="10"/>
      <c r="O405" s="10"/>
      <c r="P405" s="85"/>
      <c r="Q405" s="88"/>
      <c r="R405" s="3">
        <f>IFERROR(VLOOKUP(TablaNoviembre[[#This Row],[BARRIO]],SECTOR!$A:$B,2,0),"")</f>
      </c>
      <c r="S405" s="89"/>
      <c r="T405" s="90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6"/>
      <c r="AZ405" s="120">
        <f>COUNTIF(U405:AY405,"A")</f>
      </c>
      <c r="BA405" s="121">
        <f>COUNTIF(U405:AY405,"F")</f>
      </c>
      <c r="BB405" s="119">
        <f>COUNTIF(U405:AY405,"E")</f>
      </c>
    </row>
    <row r="406" spans="1:54" x14ac:dyDescent="0.2">
      <c r="A406" s="84"/>
      <c r="B406" s="85"/>
      <c r="C406" s="85"/>
      <c r="D406" s="85"/>
      <c r="E406" s="86"/>
      <c r="F406" s="16">
        <f>IF(E406="","",DATEDIF(E406,$I$7,"Y"))</f>
      </c>
      <c r="G406" s="85"/>
      <c r="H406" s="85"/>
      <c r="I406" s="87"/>
      <c r="J406" s="85"/>
      <c r="K406" s="85"/>
      <c r="L406" s="10"/>
      <c r="M406" s="10"/>
      <c r="N406" s="10"/>
      <c r="O406" s="10"/>
      <c r="P406" s="85"/>
      <c r="Q406" s="88"/>
      <c r="R406" s="3">
        <f>IFERROR(VLOOKUP(TablaNoviembre[[#This Row],[BARRIO]],SECTOR!$A:$B,2,0),"")</f>
      </c>
      <c r="S406" s="89"/>
      <c r="T406" s="90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6"/>
      <c r="AZ406" s="120">
        <f>COUNTIF(U406:AY406,"A")</f>
      </c>
      <c r="BA406" s="121">
        <f>COUNTIF(U406:AY406,"F")</f>
      </c>
      <c r="BB406" s="119">
        <f>COUNTIF(U406:AY406,"E")</f>
      </c>
    </row>
    <row r="407" spans="1:54" x14ac:dyDescent="0.2">
      <c r="A407" s="84"/>
      <c r="B407" s="85"/>
      <c r="C407" s="85"/>
      <c r="D407" s="85"/>
      <c r="E407" s="86"/>
      <c r="F407" s="16">
        <f>IF(E407="","",DATEDIF(E407,$I$7,"Y"))</f>
      </c>
      <c r="G407" s="85"/>
      <c r="H407" s="85"/>
      <c r="I407" s="87"/>
      <c r="J407" s="85"/>
      <c r="K407" s="85"/>
      <c r="L407" s="10"/>
      <c r="M407" s="10"/>
      <c r="N407" s="10"/>
      <c r="O407" s="10"/>
      <c r="P407" s="85"/>
      <c r="Q407" s="88"/>
      <c r="R407" s="3">
        <f>IFERROR(VLOOKUP(TablaNoviembre[[#This Row],[BARRIO]],SECTOR!$A:$B,2,0),"")</f>
      </c>
      <c r="S407" s="89"/>
      <c r="T407" s="90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6"/>
      <c r="AZ407" s="120">
        <f>COUNTIF(U407:AY407,"A")</f>
      </c>
      <c r="BA407" s="121">
        <f>COUNTIF(U407:AY407,"F")</f>
      </c>
      <c r="BB407" s="119">
        <f>COUNTIF(U407:AY407,"E")</f>
      </c>
    </row>
    <row r="408" spans="1:54" x14ac:dyDescent="0.2">
      <c r="A408" s="84"/>
      <c r="B408" s="85"/>
      <c r="C408" s="85"/>
      <c r="D408" s="85"/>
      <c r="E408" s="86"/>
      <c r="F408" s="16">
        <f>IF(E408="","",DATEDIF(E408,$I$7,"Y"))</f>
      </c>
      <c r="G408" s="85"/>
      <c r="H408" s="85"/>
      <c r="I408" s="87"/>
      <c r="J408" s="85"/>
      <c r="K408" s="85"/>
      <c r="L408" s="10"/>
      <c r="M408" s="10"/>
      <c r="N408" s="10"/>
      <c r="O408" s="10"/>
      <c r="P408" s="85"/>
      <c r="Q408" s="88"/>
      <c r="R408" s="3">
        <f>IFERROR(VLOOKUP(TablaNoviembre[[#This Row],[BARRIO]],SECTOR!$A:$B,2,0),"")</f>
      </c>
      <c r="S408" s="89"/>
      <c r="T408" s="90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6"/>
      <c r="AZ408" s="120">
        <f>COUNTIF(U408:AY408,"A")</f>
      </c>
      <c r="BA408" s="121">
        <f>COUNTIF(U408:AY408,"F")</f>
      </c>
      <c r="BB408" s="119">
        <f>COUNTIF(U408:AY408,"E")</f>
      </c>
    </row>
    <row r="409" spans="1:54" x14ac:dyDescent="0.2">
      <c r="A409" s="84"/>
      <c r="B409" s="85"/>
      <c r="C409" s="85"/>
      <c r="D409" s="85"/>
      <c r="E409" s="86"/>
      <c r="F409" s="16">
        <f>IF(E409="","",DATEDIF(E409,$I$7,"Y"))</f>
      </c>
      <c r="G409" s="85"/>
      <c r="H409" s="85"/>
      <c r="I409" s="87"/>
      <c r="J409" s="85"/>
      <c r="K409" s="85"/>
      <c r="L409" s="10"/>
      <c r="M409" s="10"/>
      <c r="N409" s="10"/>
      <c r="O409" s="10"/>
      <c r="P409" s="85"/>
      <c r="Q409" s="88"/>
      <c r="R409" s="3">
        <f>IFERROR(VLOOKUP(TablaNoviembre[[#This Row],[BARRIO]],SECTOR!$A:$B,2,0),"")</f>
      </c>
      <c r="S409" s="89"/>
      <c r="T409" s="90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6"/>
      <c r="AZ409" s="120">
        <f>COUNTIF(U409:AY409,"A")</f>
      </c>
      <c r="BA409" s="121">
        <f>COUNTIF(U409:AY409,"F")</f>
      </c>
      <c r="BB409" s="119">
        <f>COUNTIF(U409:AY409,"E")</f>
      </c>
    </row>
    <row r="410" spans="1:54" x14ac:dyDescent="0.2">
      <c r="A410" s="84"/>
      <c r="B410" s="85"/>
      <c r="C410" s="85"/>
      <c r="D410" s="85"/>
      <c r="E410" s="86"/>
      <c r="F410" s="16">
        <f>IF(E410="","",DATEDIF(E410,$I$7,"Y"))</f>
      </c>
      <c r="G410" s="85"/>
      <c r="H410" s="85"/>
      <c r="I410" s="87"/>
      <c r="J410" s="85"/>
      <c r="K410" s="85"/>
      <c r="L410" s="10"/>
      <c r="M410" s="10"/>
      <c r="N410" s="10"/>
      <c r="O410" s="10"/>
      <c r="P410" s="85"/>
      <c r="Q410" s="88"/>
      <c r="R410" s="3">
        <f>IFERROR(VLOOKUP(TablaNoviembre[[#This Row],[BARRIO]],SECTOR!$A:$B,2,0),"")</f>
      </c>
      <c r="S410" s="89"/>
      <c r="T410" s="90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6"/>
      <c r="AZ410" s="120">
        <f>COUNTIF(U410:AY410,"A")</f>
      </c>
      <c r="BA410" s="121">
        <f>COUNTIF(U410:AY410,"F")</f>
      </c>
      <c r="BB410" s="119">
        <f>COUNTIF(U410:AY410,"E")</f>
      </c>
    </row>
    <row r="411" spans="1:54" x14ac:dyDescent="0.2">
      <c r="A411" s="84"/>
      <c r="B411" s="85"/>
      <c r="C411" s="85"/>
      <c r="D411" s="85"/>
      <c r="E411" s="86"/>
      <c r="F411" s="16">
        <f>IF(E411="","",DATEDIF(E411,$I$7,"Y"))</f>
      </c>
      <c r="G411" s="85"/>
      <c r="H411" s="85"/>
      <c r="I411" s="87"/>
      <c r="J411" s="85"/>
      <c r="K411" s="85"/>
      <c r="L411" s="10"/>
      <c r="M411" s="10"/>
      <c r="N411" s="10"/>
      <c r="O411" s="10"/>
      <c r="P411" s="85"/>
      <c r="Q411" s="88"/>
      <c r="R411" s="3">
        <f>IFERROR(VLOOKUP(TablaNoviembre[[#This Row],[BARRIO]],SECTOR!$A:$B,2,0),"")</f>
      </c>
      <c r="S411" s="89"/>
      <c r="T411" s="90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6"/>
      <c r="AZ411" s="120">
        <f>COUNTIF(U411:AY411,"A")</f>
      </c>
      <c r="BA411" s="121">
        <f>COUNTIF(U411:AY411,"F")</f>
      </c>
      <c r="BB411" s="119">
        <f>COUNTIF(U411:AY411,"E")</f>
      </c>
    </row>
    <row r="412" spans="1:54" x14ac:dyDescent="0.2">
      <c r="A412" s="84"/>
      <c r="B412" s="85"/>
      <c r="C412" s="85"/>
      <c r="D412" s="85"/>
      <c r="E412" s="86"/>
      <c r="F412" s="16">
        <f>IF(E412="","",DATEDIF(E412,$I$7,"Y"))</f>
      </c>
      <c r="G412" s="85"/>
      <c r="H412" s="85"/>
      <c r="I412" s="87"/>
      <c r="J412" s="85"/>
      <c r="K412" s="85"/>
      <c r="L412" s="10"/>
      <c r="M412" s="10"/>
      <c r="N412" s="10"/>
      <c r="O412" s="10"/>
      <c r="P412" s="85"/>
      <c r="Q412" s="88"/>
      <c r="R412" s="3">
        <f>IFERROR(VLOOKUP(TablaNoviembre[[#This Row],[BARRIO]],SECTOR!$A:$B,2,0),"")</f>
      </c>
      <c r="S412" s="89"/>
      <c r="T412" s="90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6"/>
      <c r="AZ412" s="120">
        <f>COUNTIF(U412:AY412,"A")</f>
      </c>
      <c r="BA412" s="121">
        <f>COUNTIF(U412:AY412,"F")</f>
      </c>
      <c r="BB412" s="119">
        <f>COUNTIF(U412:AY412,"E")</f>
      </c>
    </row>
    <row r="413" spans="1:54" x14ac:dyDescent="0.2">
      <c r="A413" s="84"/>
      <c r="B413" s="85"/>
      <c r="C413" s="85"/>
      <c r="D413" s="85"/>
      <c r="E413" s="86"/>
      <c r="F413" s="16">
        <f>IF(E413="","",DATEDIF(E413,$I$7,"Y"))</f>
      </c>
      <c r="G413" s="85"/>
      <c r="H413" s="85"/>
      <c r="I413" s="87"/>
      <c r="J413" s="85"/>
      <c r="K413" s="85"/>
      <c r="L413" s="10"/>
      <c r="M413" s="10"/>
      <c r="N413" s="10"/>
      <c r="O413" s="10"/>
      <c r="P413" s="85"/>
      <c r="Q413" s="88"/>
      <c r="R413" s="3">
        <f>IFERROR(VLOOKUP(TablaNoviembre[[#This Row],[BARRIO]],SECTOR!$A:$B,2,0),"")</f>
      </c>
      <c r="S413" s="89"/>
      <c r="T413" s="90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6"/>
      <c r="AZ413" s="120">
        <f>COUNTIF(U413:AY413,"A")</f>
      </c>
      <c r="BA413" s="121">
        <f>COUNTIF(U413:AY413,"F")</f>
      </c>
      <c r="BB413" s="119">
        <f>COUNTIF(U413:AY413,"E")</f>
      </c>
    </row>
    <row r="414" spans="1:54" x14ac:dyDescent="0.2">
      <c r="A414" s="84"/>
      <c r="B414" s="85"/>
      <c r="C414" s="85"/>
      <c r="D414" s="85"/>
      <c r="E414" s="86"/>
      <c r="F414" s="16">
        <f>IF(E414="","",DATEDIF(E414,$I$7,"Y"))</f>
      </c>
      <c r="G414" s="85"/>
      <c r="H414" s="85"/>
      <c r="I414" s="87"/>
      <c r="J414" s="85"/>
      <c r="K414" s="85"/>
      <c r="L414" s="10"/>
      <c r="M414" s="10"/>
      <c r="N414" s="10"/>
      <c r="O414" s="10"/>
      <c r="P414" s="85"/>
      <c r="Q414" s="88"/>
      <c r="R414" s="3">
        <f>IFERROR(VLOOKUP(TablaNoviembre[[#This Row],[BARRIO]],SECTOR!$A:$B,2,0),"")</f>
      </c>
      <c r="S414" s="89"/>
      <c r="T414" s="90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6"/>
      <c r="AZ414" s="120">
        <f>COUNTIF(U414:AY414,"A")</f>
      </c>
      <c r="BA414" s="121">
        <f>COUNTIF(U414:AY414,"F")</f>
      </c>
      <c r="BB414" s="119">
        <f>COUNTIF(U414:AY414,"E")</f>
      </c>
    </row>
    <row r="415" spans="1:54" x14ac:dyDescent="0.2">
      <c r="A415" s="84"/>
      <c r="B415" s="85"/>
      <c r="C415" s="85"/>
      <c r="D415" s="85"/>
      <c r="E415" s="86"/>
      <c r="F415" s="16">
        <f>IF(E415="","",DATEDIF(E415,$I$7,"Y"))</f>
      </c>
      <c r="G415" s="85"/>
      <c r="H415" s="85"/>
      <c r="I415" s="87"/>
      <c r="J415" s="85"/>
      <c r="K415" s="85"/>
      <c r="L415" s="10"/>
      <c r="M415" s="10"/>
      <c r="N415" s="10"/>
      <c r="O415" s="10"/>
      <c r="P415" s="85"/>
      <c r="Q415" s="88"/>
      <c r="R415" s="3">
        <f>IFERROR(VLOOKUP(TablaNoviembre[[#This Row],[BARRIO]],SECTOR!$A:$B,2,0),"")</f>
      </c>
      <c r="S415" s="89"/>
      <c r="T415" s="90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6"/>
      <c r="AZ415" s="120">
        <f>COUNTIF(U415:AY415,"A")</f>
      </c>
      <c r="BA415" s="121">
        <f>COUNTIF(U415:AY415,"F")</f>
      </c>
      <c r="BB415" s="119">
        <f>COUNTIF(U415:AY415,"E")</f>
      </c>
    </row>
    <row r="416" spans="1:54" x14ac:dyDescent="0.2">
      <c r="A416" s="84"/>
      <c r="B416" s="85"/>
      <c r="C416" s="85"/>
      <c r="D416" s="85"/>
      <c r="E416" s="86"/>
      <c r="F416" s="16">
        <f>IF(E416="","",DATEDIF(E416,$I$7,"Y"))</f>
      </c>
      <c r="G416" s="85"/>
      <c r="H416" s="85"/>
      <c r="I416" s="87"/>
      <c r="J416" s="85"/>
      <c r="K416" s="85"/>
      <c r="L416" s="10"/>
      <c r="M416" s="10"/>
      <c r="N416" s="10"/>
      <c r="O416" s="10"/>
      <c r="P416" s="85"/>
      <c r="Q416" s="88"/>
      <c r="R416" s="3">
        <f>IFERROR(VLOOKUP(TablaNoviembre[[#This Row],[BARRIO]],SECTOR!$A:$B,2,0),"")</f>
      </c>
      <c r="S416" s="89"/>
      <c r="T416" s="90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6"/>
      <c r="AZ416" s="120">
        <f>COUNTIF(U416:AY416,"A")</f>
      </c>
      <c r="BA416" s="121">
        <f>COUNTIF(U416:AY416,"F")</f>
      </c>
      <c r="BB416" s="119">
        <f>COUNTIF(U416:AY416,"E")</f>
      </c>
    </row>
    <row r="417" spans="1:54" x14ac:dyDescent="0.2">
      <c r="A417" s="84"/>
      <c r="B417" s="85"/>
      <c r="C417" s="85"/>
      <c r="D417" s="85"/>
      <c r="E417" s="86"/>
      <c r="F417" s="16">
        <f>IF(E417="","",DATEDIF(E417,$I$7,"Y"))</f>
      </c>
      <c r="G417" s="85"/>
      <c r="H417" s="85"/>
      <c r="I417" s="87"/>
      <c r="J417" s="85"/>
      <c r="K417" s="85"/>
      <c r="L417" s="10"/>
      <c r="M417" s="10"/>
      <c r="N417" s="10"/>
      <c r="O417" s="10"/>
      <c r="P417" s="85"/>
      <c r="Q417" s="88"/>
      <c r="R417" s="3">
        <f>IFERROR(VLOOKUP(TablaNoviembre[[#This Row],[BARRIO]],SECTOR!$A:$B,2,0),"")</f>
      </c>
      <c r="S417" s="89"/>
      <c r="T417" s="90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6"/>
      <c r="AZ417" s="120">
        <f>COUNTIF(U417:AY417,"A")</f>
      </c>
      <c r="BA417" s="121">
        <f>COUNTIF(U417:AY417,"F")</f>
      </c>
      <c r="BB417" s="119">
        <f>COUNTIF(U417:AY417,"E")</f>
      </c>
    </row>
    <row r="418" spans="1:54" x14ac:dyDescent="0.2">
      <c r="A418" s="84"/>
      <c r="B418" s="85"/>
      <c r="C418" s="85"/>
      <c r="D418" s="85"/>
      <c r="E418" s="86"/>
      <c r="F418" s="16">
        <f>IF(E418="","",DATEDIF(E418,$I$7,"Y"))</f>
      </c>
      <c r="G418" s="85"/>
      <c r="H418" s="85"/>
      <c r="I418" s="87"/>
      <c r="J418" s="85"/>
      <c r="K418" s="85"/>
      <c r="L418" s="10"/>
      <c r="M418" s="10"/>
      <c r="N418" s="10"/>
      <c r="O418" s="10"/>
      <c r="P418" s="85"/>
      <c r="Q418" s="88"/>
      <c r="R418" s="3">
        <f>IFERROR(VLOOKUP(TablaNoviembre[[#This Row],[BARRIO]],SECTOR!$A:$B,2,0),"")</f>
      </c>
      <c r="S418" s="89"/>
      <c r="T418" s="90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6"/>
      <c r="AZ418" s="120">
        <f>COUNTIF(U418:AY418,"A")</f>
      </c>
      <c r="BA418" s="121">
        <f>COUNTIF(U418:AY418,"F")</f>
      </c>
      <c r="BB418" s="119">
        <f>COUNTIF(U418:AY418,"E")</f>
      </c>
    </row>
    <row r="419" spans="1:54" x14ac:dyDescent="0.2">
      <c r="A419" s="84"/>
      <c r="B419" s="85"/>
      <c r="C419" s="85"/>
      <c r="D419" s="85"/>
      <c r="E419" s="86"/>
      <c r="F419" s="16">
        <f>IF(E419="","",DATEDIF(E419,$I$7,"Y"))</f>
      </c>
      <c r="G419" s="85"/>
      <c r="H419" s="85"/>
      <c r="I419" s="87"/>
      <c r="J419" s="85"/>
      <c r="K419" s="85"/>
      <c r="L419" s="10"/>
      <c r="M419" s="10"/>
      <c r="N419" s="10"/>
      <c r="O419" s="10"/>
      <c r="P419" s="85"/>
      <c r="Q419" s="88"/>
      <c r="R419" s="3">
        <f>IFERROR(VLOOKUP(TablaNoviembre[[#This Row],[BARRIO]],SECTOR!$A:$B,2,0),"")</f>
      </c>
      <c r="S419" s="89"/>
      <c r="T419" s="90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6"/>
      <c r="AZ419" s="120">
        <f>COUNTIF(U419:AY419,"A")</f>
      </c>
      <c r="BA419" s="121">
        <f>COUNTIF(U419:AY419,"F")</f>
      </c>
      <c r="BB419" s="119">
        <f>COUNTIF(U419:AY419,"E")</f>
      </c>
    </row>
    <row r="420" spans="1:54" x14ac:dyDescent="0.2">
      <c r="A420" s="84"/>
      <c r="B420" s="85"/>
      <c r="C420" s="85"/>
      <c r="D420" s="85"/>
      <c r="E420" s="86"/>
      <c r="F420" s="16">
        <f>IF(E420="","",DATEDIF(E420,$I$7,"Y"))</f>
      </c>
      <c r="G420" s="85"/>
      <c r="H420" s="85"/>
      <c r="I420" s="87"/>
      <c r="J420" s="85"/>
      <c r="K420" s="85"/>
      <c r="L420" s="10"/>
      <c r="M420" s="10"/>
      <c r="N420" s="10"/>
      <c r="O420" s="10"/>
      <c r="P420" s="85"/>
      <c r="Q420" s="88"/>
      <c r="R420" s="3">
        <f>IFERROR(VLOOKUP(TablaNoviembre[[#This Row],[BARRIO]],SECTOR!$A:$B,2,0),"")</f>
      </c>
      <c r="S420" s="89"/>
      <c r="T420" s="90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6"/>
      <c r="AZ420" s="120">
        <f>COUNTIF(U420:AY420,"A")</f>
      </c>
      <c r="BA420" s="121">
        <f>COUNTIF(U420:AY420,"F")</f>
      </c>
      <c r="BB420" s="119">
        <f>COUNTIF(U420:AY420,"E")</f>
      </c>
    </row>
    <row r="421" spans="1:54" x14ac:dyDescent="0.2">
      <c r="A421" s="84"/>
      <c r="B421" s="85"/>
      <c r="C421" s="85"/>
      <c r="D421" s="85"/>
      <c r="E421" s="86"/>
      <c r="F421" s="16">
        <f>IF(E421="","",DATEDIF(E421,$I$7,"Y"))</f>
      </c>
      <c r="G421" s="85"/>
      <c r="H421" s="85"/>
      <c r="I421" s="87"/>
      <c r="J421" s="85"/>
      <c r="K421" s="85"/>
      <c r="L421" s="10"/>
      <c r="M421" s="10"/>
      <c r="N421" s="10"/>
      <c r="O421" s="10"/>
      <c r="P421" s="85"/>
      <c r="Q421" s="88"/>
      <c r="R421" s="3">
        <f>IFERROR(VLOOKUP(TablaNoviembre[[#This Row],[BARRIO]],SECTOR!$A:$B,2,0),"")</f>
      </c>
      <c r="S421" s="89"/>
      <c r="T421" s="90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6"/>
      <c r="AZ421" s="120">
        <f>COUNTIF(U421:AY421,"A")</f>
      </c>
      <c r="BA421" s="121">
        <f>COUNTIF(U421:AY421,"F")</f>
      </c>
      <c r="BB421" s="119">
        <f>COUNTIF(U421:AY421,"E")</f>
      </c>
    </row>
    <row r="422" spans="1:54" x14ac:dyDescent="0.2">
      <c r="A422" s="84"/>
      <c r="B422" s="85"/>
      <c r="C422" s="85"/>
      <c r="D422" s="85"/>
      <c r="E422" s="86"/>
      <c r="F422" s="16">
        <f>IF(E422="","",DATEDIF(E422,$I$7,"Y"))</f>
      </c>
      <c r="G422" s="85"/>
      <c r="H422" s="85"/>
      <c r="I422" s="87"/>
      <c r="J422" s="85"/>
      <c r="K422" s="85"/>
      <c r="L422" s="10"/>
      <c r="M422" s="10"/>
      <c r="N422" s="10"/>
      <c r="O422" s="10"/>
      <c r="P422" s="85"/>
      <c r="Q422" s="88"/>
      <c r="R422" s="3">
        <f>IFERROR(VLOOKUP(TablaNoviembre[[#This Row],[BARRIO]],SECTOR!$A:$B,2,0),"")</f>
      </c>
      <c r="S422" s="89"/>
      <c r="T422" s="90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6"/>
      <c r="AZ422" s="120">
        <f>COUNTIF(U422:AY422,"A")</f>
      </c>
      <c r="BA422" s="121">
        <f>COUNTIF(U422:AY422,"F")</f>
      </c>
      <c r="BB422" s="119">
        <f>COUNTIF(U422:AY422,"E")</f>
      </c>
    </row>
    <row r="423" spans="1:54" x14ac:dyDescent="0.2">
      <c r="A423" s="84"/>
      <c r="B423" s="85"/>
      <c r="C423" s="85"/>
      <c r="D423" s="85"/>
      <c r="E423" s="86"/>
      <c r="F423" s="16">
        <f>IF(E423="","",DATEDIF(E423,$I$7,"Y"))</f>
      </c>
      <c r="G423" s="85"/>
      <c r="H423" s="85"/>
      <c r="I423" s="87"/>
      <c r="J423" s="85"/>
      <c r="K423" s="85"/>
      <c r="L423" s="10"/>
      <c r="M423" s="10"/>
      <c r="N423" s="10"/>
      <c r="O423" s="10"/>
      <c r="P423" s="85"/>
      <c r="Q423" s="88"/>
      <c r="R423" s="3">
        <f>IFERROR(VLOOKUP(TablaNoviembre[[#This Row],[BARRIO]],SECTOR!$A:$B,2,0),"")</f>
      </c>
      <c r="S423" s="89"/>
      <c r="T423" s="90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6"/>
      <c r="AZ423" s="120">
        <f>COUNTIF(U423:AY423,"A")</f>
      </c>
      <c r="BA423" s="121">
        <f>COUNTIF(U423:AY423,"F")</f>
      </c>
      <c r="BB423" s="119">
        <f>COUNTIF(U423:AY423,"E")</f>
      </c>
    </row>
    <row r="424" spans="1:54" x14ac:dyDescent="0.2">
      <c r="A424" s="84"/>
      <c r="B424" s="85"/>
      <c r="C424" s="85"/>
      <c r="D424" s="85"/>
      <c r="E424" s="86"/>
      <c r="F424" s="16">
        <f>IF(E424="","",DATEDIF(E424,$I$7,"Y"))</f>
      </c>
      <c r="G424" s="85"/>
      <c r="H424" s="85"/>
      <c r="I424" s="87"/>
      <c r="J424" s="85"/>
      <c r="K424" s="85"/>
      <c r="L424" s="10"/>
      <c r="M424" s="10"/>
      <c r="N424" s="10"/>
      <c r="O424" s="10"/>
      <c r="P424" s="85"/>
      <c r="Q424" s="88"/>
      <c r="R424" s="3">
        <f>IFERROR(VLOOKUP(TablaNoviembre[[#This Row],[BARRIO]],SECTOR!$A:$B,2,0),"")</f>
      </c>
      <c r="S424" s="89"/>
      <c r="T424" s="90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6"/>
      <c r="AZ424" s="120">
        <f>COUNTIF(U424:AY424,"A")</f>
      </c>
      <c r="BA424" s="121">
        <f>COUNTIF(U424:AY424,"F")</f>
      </c>
      <c r="BB424" s="119">
        <f>COUNTIF(U424:AY424,"E")</f>
      </c>
    </row>
    <row r="425" spans="1:54" x14ac:dyDescent="0.2">
      <c r="A425" s="84"/>
      <c r="B425" s="85"/>
      <c r="C425" s="85"/>
      <c r="D425" s="85"/>
      <c r="E425" s="86"/>
      <c r="F425" s="16">
        <f>IF(E425="","",DATEDIF(E425,$I$7,"Y"))</f>
      </c>
      <c r="G425" s="85"/>
      <c r="H425" s="85"/>
      <c r="I425" s="87"/>
      <c r="J425" s="85"/>
      <c r="K425" s="85"/>
      <c r="L425" s="10"/>
      <c r="M425" s="10"/>
      <c r="N425" s="10"/>
      <c r="O425" s="10"/>
      <c r="P425" s="85"/>
      <c r="Q425" s="88"/>
      <c r="R425" s="3">
        <f>IFERROR(VLOOKUP(TablaNoviembre[[#This Row],[BARRIO]],SECTOR!$A:$B,2,0),"")</f>
      </c>
      <c r="S425" s="89"/>
      <c r="T425" s="90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6"/>
      <c r="AZ425" s="120">
        <f>COUNTIF(U425:AY425,"A")</f>
      </c>
      <c r="BA425" s="121">
        <f>COUNTIF(U425:AY425,"F")</f>
      </c>
      <c r="BB425" s="119">
        <f>COUNTIF(U425:AY425,"E")</f>
      </c>
    </row>
    <row r="426" spans="1:54" x14ac:dyDescent="0.2">
      <c r="A426" s="84"/>
      <c r="B426" s="85"/>
      <c r="C426" s="85"/>
      <c r="D426" s="85"/>
      <c r="E426" s="86"/>
      <c r="F426" s="16">
        <f>IF(E426="","",DATEDIF(E426,$I$7,"Y"))</f>
      </c>
      <c r="G426" s="85"/>
      <c r="H426" s="85"/>
      <c r="I426" s="87"/>
      <c r="J426" s="85"/>
      <c r="K426" s="85"/>
      <c r="L426" s="10"/>
      <c r="M426" s="10"/>
      <c r="N426" s="10"/>
      <c r="O426" s="10"/>
      <c r="P426" s="85"/>
      <c r="Q426" s="88"/>
      <c r="R426" s="3">
        <f>IFERROR(VLOOKUP(TablaNoviembre[[#This Row],[BARRIO]],SECTOR!$A:$B,2,0),"")</f>
      </c>
      <c r="S426" s="89"/>
      <c r="T426" s="90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6"/>
      <c r="AZ426" s="120">
        <f>COUNTIF(U426:AY426,"A")</f>
      </c>
      <c r="BA426" s="121">
        <f>COUNTIF(U426:AY426,"F")</f>
      </c>
      <c r="BB426" s="119">
        <f>COUNTIF(U426:AY426,"E")</f>
      </c>
    </row>
    <row r="427" spans="1:54" x14ac:dyDescent="0.2">
      <c r="A427" s="84"/>
      <c r="B427" s="85"/>
      <c r="C427" s="85"/>
      <c r="D427" s="85"/>
      <c r="E427" s="86"/>
      <c r="F427" s="16">
        <f>IF(E427="","",DATEDIF(E427,$I$7,"Y"))</f>
      </c>
      <c r="G427" s="85"/>
      <c r="H427" s="85"/>
      <c r="I427" s="87"/>
      <c r="J427" s="85"/>
      <c r="K427" s="85"/>
      <c r="L427" s="10"/>
      <c r="M427" s="10"/>
      <c r="N427" s="10"/>
      <c r="O427" s="10"/>
      <c r="P427" s="85"/>
      <c r="Q427" s="88"/>
      <c r="R427" s="3">
        <f>IFERROR(VLOOKUP(TablaNoviembre[[#This Row],[BARRIO]],SECTOR!$A:$B,2,0),"")</f>
      </c>
      <c r="S427" s="89"/>
      <c r="T427" s="90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6"/>
      <c r="AZ427" s="120">
        <f>COUNTIF(U427:AY427,"A")</f>
      </c>
      <c r="BA427" s="121">
        <f>COUNTIF(U427:AY427,"F")</f>
      </c>
      <c r="BB427" s="119">
        <f>COUNTIF(U427:AY427,"E")</f>
      </c>
    </row>
    <row r="428" spans="1:54" x14ac:dyDescent="0.2">
      <c r="A428" s="84"/>
      <c r="B428" s="85"/>
      <c r="C428" s="85"/>
      <c r="D428" s="85"/>
      <c r="E428" s="86"/>
      <c r="F428" s="16">
        <f>IF(E428="","",DATEDIF(E428,$I$7,"Y"))</f>
      </c>
      <c r="G428" s="85"/>
      <c r="H428" s="85"/>
      <c r="I428" s="87"/>
      <c r="J428" s="85"/>
      <c r="K428" s="85"/>
      <c r="L428" s="10"/>
      <c r="M428" s="10"/>
      <c r="N428" s="10"/>
      <c r="O428" s="10"/>
      <c r="P428" s="85"/>
      <c r="Q428" s="88"/>
      <c r="R428" s="3">
        <f>IFERROR(VLOOKUP(TablaNoviembre[[#This Row],[BARRIO]],SECTOR!$A:$B,2,0),"")</f>
      </c>
      <c r="S428" s="89"/>
      <c r="T428" s="90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6"/>
      <c r="AZ428" s="120">
        <f>COUNTIF(U428:AY428,"A")</f>
      </c>
      <c r="BA428" s="121">
        <f>COUNTIF(U428:AY428,"F")</f>
      </c>
      <c r="BB428" s="119">
        <f>COUNTIF(U428:AY428,"E")</f>
      </c>
    </row>
    <row r="429" spans="1:54" x14ac:dyDescent="0.2">
      <c r="A429" s="84"/>
      <c r="B429" s="85"/>
      <c r="C429" s="85"/>
      <c r="D429" s="85"/>
      <c r="E429" s="86"/>
      <c r="F429" s="16">
        <f>IF(E429="","",DATEDIF(E429,$I$7,"Y"))</f>
      </c>
      <c r="G429" s="85"/>
      <c r="H429" s="85"/>
      <c r="I429" s="87"/>
      <c r="J429" s="85"/>
      <c r="K429" s="85"/>
      <c r="L429" s="10"/>
      <c r="M429" s="10"/>
      <c r="N429" s="10"/>
      <c r="O429" s="10"/>
      <c r="P429" s="85"/>
      <c r="Q429" s="88"/>
      <c r="R429" s="3">
        <f>IFERROR(VLOOKUP(TablaNoviembre[[#This Row],[BARRIO]],SECTOR!$A:$B,2,0),"")</f>
      </c>
      <c r="S429" s="89"/>
      <c r="T429" s="90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6"/>
      <c r="AZ429" s="120">
        <f>COUNTIF(U429:AY429,"A")</f>
      </c>
      <c r="BA429" s="121">
        <f>COUNTIF(U429:AY429,"F")</f>
      </c>
      <c r="BB429" s="119">
        <f>COUNTIF(U429:AY429,"E")</f>
      </c>
    </row>
    <row r="430" spans="1:54" x14ac:dyDescent="0.2">
      <c r="A430" s="84"/>
      <c r="B430" s="85"/>
      <c r="C430" s="85"/>
      <c r="D430" s="85"/>
      <c r="E430" s="86"/>
      <c r="F430" s="16">
        <f>IF(E430="","",DATEDIF(E430,$I$7,"Y"))</f>
      </c>
      <c r="G430" s="85"/>
      <c r="H430" s="85"/>
      <c r="I430" s="87"/>
      <c r="J430" s="85"/>
      <c r="K430" s="85"/>
      <c r="L430" s="10"/>
      <c r="M430" s="10"/>
      <c r="N430" s="10"/>
      <c r="O430" s="10"/>
      <c r="P430" s="85"/>
      <c r="Q430" s="88"/>
      <c r="R430" s="3">
        <f>IFERROR(VLOOKUP(TablaNoviembre[[#This Row],[BARRIO]],SECTOR!$A:$B,2,0),"")</f>
      </c>
      <c r="S430" s="89"/>
      <c r="T430" s="90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6"/>
      <c r="AZ430" s="120">
        <f>COUNTIF(U430:AY430,"A")</f>
      </c>
      <c r="BA430" s="121">
        <f>COUNTIF(U430:AY430,"F")</f>
      </c>
      <c r="BB430" s="119">
        <f>COUNTIF(U430:AY430,"E")</f>
      </c>
    </row>
    <row r="431" spans="1:54" x14ac:dyDescent="0.2">
      <c r="A431" s="84"/>
      <c r="B431" s="85"/>
      <c r="C431" s="85"/>
      <c r="D431" s="85"/>
      <c r="E431" s="86"/>
      <c r="F431" s="16">
        <f>IF(E431="","",DATEDIF(E431,$I$7,"Y"))</f>
      </c>
      <c r="G431" s="85"/>
      <c r="H431" s="85"/>
      <c r="I431" s="87"/>
      <c r="J431" s="85"/>
      <c r="K431" s="85"/>
      <c r="L431" s="10"/>
      <c r="M431" s="10"/>
      <c r="N431" s="10"/>
      <c r="O431" s="10"/>
      <c r="P431" s="85"/>
      <c r="Q431" s="88"/>
      <c r="R431" s="3">
        <f>IFERROR(VLOOKUP(TablaNoviembre[[#This Row],[BARRIO]],SECTOR!$A:$B,2,0),"")</f>
      </c>
      <c r="S431" s="89"/>
      <c r="T431" s="90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6"/>
      <c r="AZ431" s="120">
        <f>COUNTIF(U431:AY431,"A")</f>
      </c>
      <c r="BA431" s="121">
        <f>COUNTIF(U431:AY431,"F")</f>
      </c>
      <c r="BB431" s="119">
        <f>COUNTIF(U431:AY431,"E")</f>
      </c>
    </row>
    <row r="432" spans="1:54" x14ac:dyDescent="0.2">
      <c r="A432" s="84"/>
      <c r="B432" s="85"/>
      <c r="C432" s="85"/>
      <c r="D432" s="85"/>
      <c r="E432" s="86"/>
      <c r="F432" s="16">
        <f>IF(E432="","",DATEDIF(E432,$I$7,"Y"))</f>
      </c>
      <c r="G432" s="85"/>
      <c r="H432" s="85"/>
      <c r="I432" s="87"/>
      <c r="J432" s="85"/>
      <c r="K432" s="85"/>
      <c r="L432" s="10"/>
      <c r="M432" s="10"/>
      <c r="N432" s="10"/>
      <c r="O432" s="10"/>
      <c r="P432" s="85"/>
      <c r="Q432" s="88"/>
      <c r="R432" s="3">
        <f>IFERROR(VLOOKUP(TablaNoviembre[[#This Row],[BARRIO]],SECTOR!$A:$B,2,0),"")</f>
      </c>
      <c r="S432" s="89"/>
      <c r="T432" s="90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6"/>
      <c r="AZ432" s="120">
        <f>COUNTIF(U432:AY432,"A")</f>
      </c>
      <c r="BA432" s="121">
        <f>COUNTIF(U432:AY432,"F")</f>
      </c>
      <c r="BB432" s="119">
        <f>COUNTIF(U432:AY432,"E")</f>
      </c>
    </row>
    <row r="433" spans="1:54" x14ac:dyDescent="0.2">
      <c r="A433" s="84"/>
      <c r="B433" s="85"/>
      <c r="C433" s="85"/>
      <c r="D433" s="85"/>
      <c r="E433" s="86"/>
      <c r="F433" s="16">
        <f>IF(E433="","",DATEDIF(E433,$I$7,"Y"))</f>
      </c>
      <c r="G433" s="85"/>
      <c r="H433" s="85"/>
      <c r="I433" s="87"/>
      <c r="J433" s="85"/>
      <c r="K433" s="85"/>
      <c r="L433" s="10"/>
      <c r="M433" s="10"/>
      <c r="N433" s="10"/>
      <c r="O433" s="10"/>
      <c r="P433" s="85"/>
      <c r="Q433" s="88"/>
      <c r="R433" s="3">
        <f>IFERROR(VLOOKUP(TablaNoviembre[[#This Row],[BARRIO]],SECTOR!$A:$B,2,0),"")</f>
      </c>
      <c r="S433" s="89"/>
      <c r="T433" s="90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6"/>
      <c r="AZ433" s="120">
        <f>COUNTIF(U433:AY433,"A")</f>
      </c>
      <c r="BA433" s="121">
        <f>COUNTIF(U433:AY433,"F")</f>
      </c>
      <c r="BB433" s="119">
        <f>COUNTIF(U433:AY433,"E")</f>
      </c>
    </row>
    <row r="434" spans="1:54" x14ac:dyDescent="0.2">
      <c r="A434" s="84"/>
      <c r="B434" s="85"/>
      <c r="C434" s="85"/>
      <c r="D434" s="85"/>
      <c r="E434" s="86"/>
      <c r="F434" s="16">
        <f>IF(E434="","",DATEDIF(E434,$I$7,"Y"))</f>
      </c>
      <c r="G434" s="85"/>
      <c r="H434" s="85"/>
      <c r="I434" s="87"/>
      <c r="J434" s="85"/>
      <c r="K434" s="85"/>
      <c r="L434" s="10"/>
      <c r="M434" s="10"/>
      <c r="N434" s="10"/>
      <c r="O434" s="10"/>
      <c r="P434" s="85"/>
      <c r="Q434" s="88"/>
      <c r="R434" s="3">
        <f>IFERROR(VLOOKUP(TablaNoviembre[[#This Row],[BARRIO]],SECTOR!$A:$B,2,0),"")</f>
      </c>
      <c r="S434" s="89"/>
      <c r="T434" s="90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6"/>
      <c r="AZ434" s="120">
        <f>COUNTIF(U434:AY434,"A")</f>
      </c>
      <c r="BA434" s="121">
        <f>COUNTIF(U434:AY434,"F")</f>
      </c>
      <c r="BB434" s="119">
        <f>COUNTIF(U434:AY434,"E")</f>
      </c>
    </row>
    <row r="435" spans="1:54" x14ac:dyDescent="0.2">
      <c r="A435" s="84"/>
      <c r="B435" s="85"/>
      <c r="C435" s="85"/>
      <c r="D435" s="85"/>
      <c r="E435" s="86"/>
      <c r="F435" s="16">
        <f>IF(E435="","",DATEDIF(E435,$I$7,"Y"))</f>
      </c>
      <c r="G435" s="85"/>
      <c r="H435" s="85"/>
      <c r="I435" s="87"/>
      <c r="J435" s="85"/>
      <c r="K435" s="85"/>
      <c r="L435" s="10"/>
      <c r="M435" s="10"/>
      <c r="N435" s="10"/>
      <c r="O435" s="10"/>
      <c r="P435" s="85"/>
      <c r="Q435" s="88"/>
      <c r="R435" s="3">
        <f>IFERROR(VLOOKUP(TablaNoviembre[[#This Row],[BARRIO]],SECTOR!$A:$B,2,0),"")</f>
      </c>
      <c r="S435" s="89"/>
      <c r="T435" s="90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6"/>
      <c r="AZ435" s="120">
        <f>COUNTIF(U435:AY435,"A")</f>
      </c>
      <c r="BA435" s="121">
        <f>COUNTIF(U435:AY435,"F")</f>
      </c>
      <c r="BB435" s="119">
        <f>COUNTIF(U435:AY435,"E")</f>
      </c>
    </row>
    <row r="436" spans="1:54" x14ac:dyDescent="0.2">
      <c r="A436" s="84"/>
      <c r="B436" s="85"/>
      <c r="C436" s="85"/>
      <c r="D436" s="85"/>
      <c r="E436" s="86"/>
      <c r="F436" s="16">
        <f>IF(E436="","",DATEDIF(E436,$I$7,"Y"))</f>
      </c>
      <c r="G436" s="85"/>
      <c r="H436" s="85"/>
      <c r="I436" s="87"/>
      <c r="J436" s="85"/>
      <c r="K436" s="85"/>
      <c r="L436" s="10"/>
      <c r="M436" s="10"/>
      <c r="N436" s="10"/>
      <c r="O436" s="10"/>
      <c r="P436" s="85"/>
      <c r="Q436" s="88"/>
      <c r="R436" s="3">
        <f>IFERROR(VLOOKUP(TablaNoviembre[[#This Row],[BARRIO]],SECTOR!$A:$B,2,0),"")</f>
      </c>
      <c r="S436" s="89"/>
      <c r="T436" s="90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6"/>
      <c r="AZ436" s="120">
        <f>COUNTIF(U436:AY436,"A")</f>
      </c>
      <c r="BA436" s="121">
        <f>COUNTIF(U436:AY436,"F")</f>
      </c>
      <c r="BB436" s="119">
        <f>COUNTIF(U436:AY436,"E")</f>
      </c>
    </row>
    <row r="437" spans="1:54" x14ac:dyDescent="0.2">
      <c r="A437" s="84"/>
      <c r="B437" s="85"/>
      <c r="C437" s="85"/>
      <c r="D437" s="85"/>
      <c r="E437" s="86"/>
      <c r="F437" s="16">
        <f>IF(E437="","",DATEDIF(E437,$I$7,"Y"))</f>
      </c>
      <c r="G437" s="85"/>
      <c r="H437" s="85"/>
      <c r="I437" s="87"/>
      <c r="J437" s="85"/>
      <c r="K437" s="85"/>
      <c r="L437" s="10"/>
      <c r="M437" s="10"/>
      <c r="N437" s="10"/>
      <c r="O437" s="10"/>
      <c r="P437" s="85"/>
      <c r="Q437" s="88"/>
      <c r="R437" s="3">
        <f>IFERROR(VLOOKUP(TablaNoviembre[[#This Row],[BARRIO]],SECTOR!$A:$B,2,0),"")</f>
      </c>
      <c r="S437" s="89"/>
      <c r="T437" s="90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6"/>
      <c r="AZ437" s="120">
        <f>COUNTIF(U437:AY437,"A")</f>
      </c>
      <c r="BA437" s="121">
        <f>COUNTIF(U437:AY437,"F")</f>
      </c>
      <c r="BB437" s="119">
        <f>COUNTIF(U437:AY437,"E")</f>
      </c>
    </row>
    <row r="438" spans="1:54" x14ac:dyDescent="0.2">
      <c r="A438" s="84"/>
      <c r="B438" s="85"/>
      <c r="C438" s="85"/>
      <c r="D438" s="85"/>
      <c r="E438" s="86"/>
      <c r="F438" s="16">
        <f>IF(E438="","",DATEDIF(E438,$I$7,"Y"))</f>
      </c>
      <c r="G438" s="85"/>
      <c r="H438" s="85"/>
      <c r="I438" s="87"/>
      <c r="J438" s="85"/>
      <c r="K438" s="85"/>
      <c r="L438" s="10"/>
      <c r="M438" s="10"/>
      <c r="N438" s="10"/>
      <c r="O438" s="10"/>
      <c r="P438" s="85"/>
      <c r="Q438" s="88"/>
      <c r="R438" s="3">
        <f>IFERROR(VLOOKUP(TablaNoviembre[[#This Row],[BARRIO]],SECTOR!$A:$B,2,0),"")</f>
      </c>
      <c r="S438" s="89"/>
      <c r="T438" s="90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6"/>
      <c r="AZ438" s="120">
        <f>COUNTIF(U438:AY438,"A")</f>
      </c>
      <c r="BA438" s="121">
        <f>COUNTIF(U438:AY438,"F")</f>
      </c>
      <c r="BB438" s="119">
        <f>COUNTIF(U438:AY438,"E")</f>
      </c>
    </row>
    <row r="439" spans="1:54" x14ac:dyDescent="0.2">
      <c r="A439" s="84"/>
      <c r="B439" s="85"/>
      <c r="C439" s="85"/>
      <c r="D439" s="85"/>
      <c r="E439" s="86"/>
      <c r="F439" s="16">
        <f>IF(E439="","",DATEDIF(E439,$I$7,"Y"))</f>
      </c>
      <c r="G439" s="85"/>
      <c r="H439" s="85"/>
      <c r="I439" s="87"/>
      <c r="J439" s="85"/>
      <c r="K439" s="85"/>
      <c r="L439" s="10"/>
      <c r="M439" s="10"/>
      <c r="N439" s="10"/>
      <c r="O439" s="10"/>
      <c r="P439" s="85"/>
      <c r="Q439" s="88"/>
      <c r="R439" s="3">
        <f>IFERROR(VLOOKUP(TablaNoviembre[[#This Row],[BARRIO]],SECTOR!$A:$B,2,0),"")</f>
      </c>
      <c r="S439" s="89"/>
      <c r="T439" s="90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6"/>
      <c r="AZ439" s="120">
        <f>COUNTIF(U439:AY439,"A")</f>
      </c>
      <c r="BA439" s="121">
        <f>COUNTIF(U439:AY439,"F")</f>
      </c>
      <c r="BB439" s="119">
        <f>COUNTIF(U439:AY439,"E")</f>
      </c>
    </row>
    <row r="440" spans="1:54" x14ac:dyDescent="0.2">
      <c r="A440" s="84"/>
      <c r="B440" s="85"/>
      <c r="C440" s="85"/>
      <c r="D440" s="85"/>
      <c r="E440" s="86"/>
      <c r="F440" s="16">
        <f>IF(E440="","",DATEDIF(E440,$I$7,"Y"))</f>
      </c>
      <c r="G440" s="85"/>
      <c r="H440" s="85"/>
      <c r="I440" s="87"/>
      <c r="J440" s="85"/>
      <c r="K440" s="85"/>
      <c r="L440" s="10"/>
      <c r="M440" s="10"/>
      <c r="N440" s="10"/>
      <c r="O440" s="10"/>
      <c r="P440" s="85"/>
      <c r="Q440" s="88"/>
      <c r="R440" s="3">
        <f>IFERROR(VLOOKUP(TablaNoviembre[[#This Row],[BARRIO]],SECTOR!$A:$B,2,0),"")</f>
      </c>
      <c r="S440" s="89"/>
      <c r="T440" s="90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6"/>
      <c r="AZ440" s="120">
        <f>COUNTIF(U440:AY440,"A")</f>
      </c>
      <c r="BA440" s="121">
        <f>COUNTIF(U440:AY440,"F")</f>
      </c>
      <c r="BB440" s="119">
        <f>COUNTIF(U440:AY440,"E")</f>
      </c>
    </row>
    <row r="441" spans="1:54" x14ac:dyDescent="0.2">
      <c r="A441" s="84"/>
      <c r="B441" s="85"/>
      <c r="C441" s="85"/>
      <c r="D441" s="85"/>
      <c r="E441" s="86"/>
      <c r="F441" s="16">
        <f>IF(E441="","",DATEDIF(E441,$I$7,"Y"))</f>
      </c>
      <c r="G441" s="85"/>
      <c r="H441" s="85"/>
      <c r="I441" s="87"/>
      <c r="J441" s="85"/>
      <c r="K441" s="85"/>
      <c r="L441" s="10"/>
      <c r="M441" s="10"/>
      <c r="N441" s="10"/>
      <c r="O441" s="10"/>
      <c r="P441" s="85"/>
      <c r="Q441" s="88"/>
      <c r="R441" s="3">
        <f>IFERROR(VLOOKUP(TablaNoviembre[[#This Row],[BARRIO]],SECTOR!$A:$B,2,0),"")</f>
      </c>
      <c r="S441" s="89"/>
      <c r="T441" s="90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6"/>
      <c r="AZ441" s="120">
        <f>COUNTIF(U441:AY441,"A")</f>
      </c>
      <c r="BA441" s="121">
        <f>COUNTIF(U441:AY441,"F")</f>
      </c>
      <c r="BB441" s="119">
        <f>COUNTIF(U441:AY441,"E")</f>
      </c>
    </row>
    <row r="442" spans="1:54" x14ac:dyDescent="0.2">
      <c r="A442" s="84"/>
      <c r="B442" s="85"/>
      <c r="C442" s="85"/>
      <c r="D442" s="85"/>
      <c r="E442" s="86"/>
      <c r="F442" s="16">
        <f>IF(E442="","",DATEDIF(E442,$I$7,"Y"))</f>
      </c>
      <c r="G442" s="85"/>
      <c r="H442" s="85"/>
      <c r="I442" s="87"/>
      <c r="J442" s="85"/>
      <c r="K442" s="85"/>
      <c r="L442" s="10"/>
      <c r="M442" s="10"/>
      <c r="N442" s="10"/>
      <c r="O442" s="10"/>
      <c r="P442" s="85"/>
      <c r="Q442" s="88"/>
      <c r="R442" s="3">
        <f>IFERROR(VLOOKUP(TablaNoviembre[[#This Row],[BARRIO]],SECTOR!$A:$B,2,0),"")</f>
      </c>
      <c r="S442" s="89"/>
      <c r="T442" s="90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6"/>
      <c r="AZ442" s="120">
        <f>COUNTIF(U442:AY442,"A")</f>
      </c>
      <c r="BA442" s="121">
        <f>COUNTIF(U442:AY442,"F")</f>
      </c>
      <c r="BB442" s="119">
        <f>COUNTIF(U442:AY442,"E")</f>
      </c>
    </row>
    <row r="443" spans="1:54" x14ac:dyDescent="0.2">
      <c r="A443" s="84"/>
      <c r="B443" s="85"/>
      <c r="C443" s="85"/>
      <c r="D443" s="85"/>
      <c r="E443" s="86"/>
      <c r="F443" s="16">
        <f>IF(E443="","",DATEDIF(E443,$I$7,"Y"))</f>
      </c>
      <c r="G443" s="85"/>
      <c r="H443" s="85"/>
      <c r="I443" s="87"/>
      <c r="J443" s="85"/>
      <c r="K443" s="85"/>
      <c r="L443" s="10"/>
      <c r="M443" s="10"/>
      <c r="N443" s="10"/>
      <c r="O443" s="10"/>
      <c r="P443" s="85"/>
      <c r="Q443" s="88"/>
      <c r="R443" s="3">
        <f>IFERROR(VLOOKUP(TablaNoviembre[[#This Row],[BARRIO]],SECTOR!$A:$B,2,0),"")</f>
      </c>
      <c r="S443" s="89"/>
      <c r="T443" s="90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6"/>
      <c r="AZ443" s="120">
        <f>COUNTIF(U443:AY443,"A")</f>
      </c>
      <c r="BA443" s="121">
        <f>COUNTIF(U443:AY443,"F")</f>
      </c>
      <c r="BB443" s="119">
        <f>COUNTIF(U443:AY443,"E")</f>
      </c>
    </row>
    <row r="444" spans="1:54" x14ac:dyDescent="0.2">
      <c r="A444" s="84"/>
      <c r="B444" s="85"/>
      <c r="C444" s="85"/>
      <c r="D444" s="85"/>
      <c r="E444" s="86"/>
      <c r="F444" s="16">
        <f>IF(E444="","",DATEDIF(E444,$I$7,"Y"))</f>
      </c>
      <c r="G444" s="85"/>
      <c r="H444" s="85"/>
      <c r="I444" s="87"/>
      <c r="J444" s="85"/>
      <c r="K444" s="85"/>
      <c r="L444" s="10"/>
      <c r="M444" s="10"/>
      <c r="N444" s="10"/>
      <c r="O444" s="10"/>
      <c r="P444" s="85"/>
      <c r="Q444" s="88"/>
      <c r="R444" s="3">
        <f>IFERROR(VLOOKUP(TablaNoviembre[[#This Row],[BARRIO]],SECTOR!$A:$B,2,0),"")</f>
      </c>
      <c r="S444" s="89"/>
      <c r="T444" s="90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6"/>
      <c r="AZ444" s="120">
        <f>COUNTIF(U444:AY444,"A")</f>
      </c>
      <c r="BA444" s="121">
        <f>COUNTIF(U444:AY444,"F")</f>
      </c>
      <c r="BB444" s="119">
        <f>COUNTIF(U444:AY444,"E")</f>
      </c>
    </row>
    <row r="445" spans="1:54" x14ac:dyDescent="0.2">
      <c r="A445" s="84"/>
      <c r="B445" s="85"/>
      <c r="C445" s="85"/>
      <c r="D445" s="85"/>
      <c r="E445" s="86"/>
      <c r="F445" s="16">
        <f>IF(E445="","",DATEDIF(E445,$I$7,"Y"))</f>
      </c>
      <c r="G445" s="85"/>
      <c r="H445" s="85"/>
      <c r="I445" s="87"/>
      <c r="J445" s="85"/>
      <c r="K445" s="85"/>
      <c r="L445" s="10"/>
      <c r="M445" s="10"/>
      <c r="N445" s="10"/>
      <c r="O445" s="10"/>
      <c r="P445" s="85"/>
      <c r="Q445" s="88"/>
      <c r="R445" s="3">
        <f>IFERROR(VLOOKUP(TablaNoviembre[[#This Row],[BARRIO]],SECTOR!$A:$B,2,0),"")</f>
      </c>
      <c r="S445" s="89"/>
      <c r="T445" s="90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6"/>
      <c r="AZ445" s="120">
        <f>COUNTIF(U445:AY445,"A")</f>
      </c>
      <c r="BA445" s="121">
        <f>COUNTIF(U445:AY445,"F")</f>
      </c>
      <c r="BB445" s="119">
        <f>COUNTIF(U445:AY445,"E")</f>
      </c>
    </row>
    <row r="446" spans="1:54" x14ac:dyDescent="0.2">
      <c r="A446" s="84"/>
      <c r="B446" s="85"/>
      <c r="C446" s="85"/>
      <c r="D446" s="85"/>
      <c r="E446" s="86"/>
      <c r="F446" s="16">
        <f>IF(E446="","",DATEDIF(E446,$I$7,"Y"))</f>
      </c>
      <c r="G446" s="85"/>
      <c r="H446" s="85"/>
      <c r="I446" s="87"/>
      <c r="J446" s="85"/>
      <c r="K446" s="85"/>
      <c r="L446" s="10"/>
      <c r="M446" s="10"/>
      <c r="N446" s="10"/>
      <c r="O446" s="10"/>
      <c r="P446" s="85"/>
      <c r="Q446" s="88"/>
      <c r="R446" s="3">
        <f>IFERROR(VLOOKUP(TablaNoviembre[[#This Row],[BARRIO]],SECTOR!$A:$B,2,0),"")</f>
      </c>
      <c r="S446" s="89"/>
      <c r="T446" s="90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6"/>
      <c r="AZ446" s="120">
        <f>COUNTIF(U446:AY446,"A")</f>
      </c>
      <c r="BA446" s="121">
        <f>COUNTIF(U446:AY446,"F")</f>
      </c>
      <c r="BB446" s="119">
        <f>COUNTIF(U446:AY446,"E")</f>
      </c>
    </row>
    <row r="447" spans="1:54" x14ac:dyDescent="0.2">
      <c r="A447" s="84"/>
      <c r="B447" s="85"/>
      <c r="C447" s="85"/>
      <c r="D447" s="85"/>
      <c r="E447" s="86"/>
      <c r="F447" s="16">
        <f>IF(E447="","",DATEDIF(E447,$I$7,"Y"))</f>
      </c>
      <c r="G447" s="85"/>
      <c r="H447" s="85"/>
      <c r="I447" s="87"/>
      <c r="J447" s="85"/>
      <c r="K447" s="85"/>
      <c r="L447" s="10"/>
      <c r="M447" s="10"/>
      <c r="N447" s="10"/>
      <c r="O447" s="10"/>
      <c r="P447" s="85"/>
      <c r="Q447" s="88"/>
      <c r="R447" s="3">
        <f>IFERROR(VLOOKUP(TablaNoviembre[[#This Row],[BARRIO]],SECTOR!$A:$B,2,0),"")</f>
      </c>
      <c r="S447" s="89"/>
      <c r="T447" s="90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6"/>
      <c r="AZ447" s="120">
        <f>COUNTIF(U447:AY447,"A")</f>
      </c>
      <c r="BA447" s="121">
        <f>COUNTIF(U447:AY447,"F")</f>
      </c>
      <c r="BB447" s="119">
        <f>COUNTIF(U447:AY447,"E")</f>
      </c>
    </row>
    <row r="448" spans="1:54" x14ac:dyDescent="0.2">
      <c r="A448" s="84"/>
      <c r="B448" s="85"/>
      <c r="C448" s="85"/>
      <c r="D448" s="85"/>
      <c r="E448" s="86"/>
      <c r="F448" s="16">
        <f>IF(E448="","",DATEDIF(E448,$I$7,"Y"))</f>
      </c>
      <c r="G448" s="85"/>
      <c r="H448" s="85"/>
      <c r="I448" s="87"/>
      <c r="J448" s="85"/>
      <c r="K448" s="85"/>
      <c r="L448" s="10"/>
      <c r="M448" s="10"/>
      <c r="N448" s="10"/>
      <c r="O448" s="10"/>
      <c r="P448" s="85"/>
      <c r="Q448" s="88"/>
      <c r="R448" s="3">
        <f>IFERROR(VLOOKUP(TablaNoviembre[[#This Row],[BARRIO]],SECTOR!$A:$B,2,0),"")</f>
      </c>
      <c r="S448" s="89"/>
      <c r="T448" s="90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6"/>
      <c r="AZ448" s="120">
        <f>COUNTIF(U448:AY448,"A")</f>
      </c>
      <c r="BA448" s="121">
        <f>COUNTIF(U448:AY448,"F")</f>
      </c>
      <c r="BB448" s="119">
        <f>COUNTIF(U448:AY448,"E")</f>
      </c>
    </row>
    <row r="449" spans="1:54" x14ac:dyDescent="0.2">
      <c r="A449" s="84"/>
      <c r="B449" s="85"/>
      <c r="C449" s="85"/>
      <c r="D449" s="85"/>
      <c r="E449" s="86"/>
      <c r="F449" s="16">
        <f>IF(E449="","",DATEDIF(E449,$I$7,"Y"))</f>
      </c>
      <c r="G449" s="85"/>
      <c r="H449" s="85"/>
      <c r="I449" s="87"/>
      <c r="J449" s="85"/>
      <c r="K449" s="85"/>
      <c r="L449" s="10"/>
      <c r="M449" s="10"/>
      <c r="N449" s="10"/>
      <c r="O449" s="10"/>
      <c r="P449" s="85"/>
      <c r="Q449" s="88"/>
      <c r="R449" s="3">
        <f>IFERROR(VLOOKUP(TablaNoviembre[[#This Row],[BARRIO]],SECTOR!$A:$B,2,0),"")</f>
      </c>
      <c r="S449" s="89"/>
      <c r="T449" s="90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6"/>
      <c r="AZ449" s="120">
        <f>COUNTIF(U449:AY449,"A")</f>
      </c>
      <c r="BA449" s="121">
        <f>COUNTIF(U449:AY449,"F")</f>
      </c>
      <c r="BB449" s="119">
        <f>COUNTIF(U449:AY449,"E")</f>
      </c>
    </row>
    <row r="450" spans="1:54" x14ac:dyDescent="0.2">
      <c r="A450" s="84"/>
      <c r="B450" s="85"/>
      <c r="C450" s="85"/>
      <c r="D450" s="85"/>
      <c r="E450" s="86"/>
      <c r="F450" s="16">
        <f>IF(E450="","",DATEDIF(E450,$I$7,"Y"))</f>
      </c>
      <c r="G450" s="85"/>
      <c r="H450" s="85"/>
      <c r="I450" s="87"/>
      <c r="J450" s="85"/>
      <c r="K450" s="85"/>
      <c r="L450" s="10"/>
      <c r="M450" s="10"/>
      <c r="N450" s="10"/>
      <c r="O450" s="10"/>
      <c r="P450" s="85"/>
      <c r="Q450" s="88"/>
      <c r="R450" s="3">
        <f>IFERROR(VLOOKUP(TablaNoviembre[[#This Row],[BARRIO]],SECTOR!$A:$B,2,0),"")</f>
      </c>
      <c r="S450" s="89"/>
      <c r="T450" s="90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6"/>
      <c r="AZ450" s="120">
        <f>COUNTIF(U450:AY450,"A")</f>
      </c>
      <c r="BA450" s="121">
        <f>COUNTIF(U450:AY450,"F")</f>
      </c>
      <c r="BB450" s="119">
        <f>COUNTIF(U450:AY450,"E")</f>
      </c>
    </row>
    <row r="451" spans="1:54" x14ac:dyDescent="0.2">
      <c r="A451" s="84"/>
      <c r="B451" s="85"/>
      <c r="C451" s="85"/>
      <c r="D451" s="85"/>
      <c r="E451" s="86"/>
      <c r="F451" s="16">
        <f>IF(E451="","",DATEDIF(E451,$I$7,"Y"))</f>
      </c>
      <c r="G451" s="85"/>
      <c r="H451" s="85"/>
      <c r="I451" s="87"/>
      <c r="J451" s="85"/>
      <c r="K451" s="85"/>
      <c r="L451" s="10"/>
      <c r="M451" s="10"/>
      <c r="N451" s="10"/>
      <c r="O451" s="10"/>
      <c r="P451" s="85"/>
      <c r="Q451" s="88"/>
      <c r="R451" s="3">
        <f>IFERROR(VLOOKUP(TablaNoviembre[[#This Row],[BARRIO]],SECTOR!$A:$B,2,0),"")</f>
      </c>
      <c r="S451" s="89"/>
      <c r="T451" s="90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6"/>
      <c r="AZ451" s="120">
        <f>COUNTIF(U451:AY451,"A")</f>
      </c>
      <c r="BA451" s="121">
        <f>COUNTIF(U451:AY451,"F")</f>
      </c>
      <c r="BB451" s="119">
        <f>COUNTIF(U451:AY451,"E")</f>
      </c>
    </row>
    <row r="452" spans="1:54" x14ac:dyDescent="0.2">
      <c r="A452" s="84"/>
      <c r="B452" s="85"/>
      <c r="C452" s="85"/>
      <c r="D452" s="85"/>
      <c r="E452" s="86"/>
      <c r="F452" s="16">
        <f>IF(E452="","",DATEDIF(E452,$I$7,"Y"))</f>
      </c>
      <c r="G452" s="85"/>
      <c r="H452" s="85"/>
      <c r="I452" s="87"/>
      <c r="J452" s="85"/>
      <c r="K452" s="85"/>
      <c r="L452" s="10"/>
      <c r="M452" s="10"/>
      <c r="N452" s="10"/>
      <c r="O452" s="10"/>
      <c r="P452" s="85"/>
      <c r="Q452" s="88"/>
      <c r="R452" s="3">
        <f>IFERROR(VLOOKUP(TablaNoviembre[[#This Row],[BARRIO]],SECTOR!$A:$B,2,0),"")</f>
      </c>
      <c r="S452" s="89"/>
      <c r="T452" s="90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6"/>
      <c r="AZ452" s="120">
        <f>COUNTIF(U452:AY452,"A")</f>
      </c>
      <c r="BA452" s="121">
        <f>COUNTIF(U452:AY452,"F")</f>
      </c>
      <c r="BB452" s="119">
        <f>COUNTIF(U452:AY452,"E")</f>
      </c>
    </row>
    <row r="453" spans="1:54" x14ac:dyDescent="0.2">
      <c r="A453" s="84"/>
      <c r="B453" s="85"/>
      <c r="C453" s="85"/>
      <c r="D453" s="85"/>
      <c r="E453" s="86"/>
      <c r="F453" s="16">
        <f>IF(E453="","",DATEDIF(E453,$I$7,"Y"))</f>
      </c>
      <c r="G453" s="85"/>
      <c r="H453" s="85"/>
      <c r="I453" s="87"/>
      <c r="J453" s="85"/>
      <c r="K453" s="85"/>
      <c r="L453" s="10"/>
      <c r="M453" s="10"/>
      <c r="N453" s="10"/>
      <c r="O453" s="10"/>
      <c r="P453" s="85"/>
      <c r="Q453" s="88"/>
      <c r="R453" s="3">
        <f>IFERROR(VLOOKUP(TablaNoviembre[[#This Row],[BARRIO]],SECTOR!$A:$B,2,0),"")</f>
      </c>
      <c r="S453" s="89"/>
      <c r="T453" s="90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6"/>
      <c r="AZ453" s="120">
        <f>COUNTIF(U453:AY453,"A")</f>
      </c>
      <c r="BA453" s="121">
        <f>COUNTIF(U453:AY453,"F")</f>
      </c>
      <c r="BB453" s="119">
        <f>COUNTIF(U453:AY453,"E")</f>
      </c>
    </row>
    <row r="454" spans="1:54" x14ac:dyDescent="0.2">
      <c r="A454" s="84"/>
      <c r="B454" s="85"/>
      <c r="C454" s="85"/>
      <c r="D454" s="85"/>
      <c r="E454" s="86"/>
      <c r="F454" s="16">
        <f>IF(E454="","",DATEDIF(E454,$I$7,"Y"))</f>
      </c>
      <c r="G454" s="85"/>
      <c r="H454" s="85"/>
      <c r="I454" s="87"/>
      <c r="J454" s="85"/>
      <c r="K454" s="85"/>
      <c r="L454" s="10"/>
      <c r="M454" s="10"/>
      <c r="N454" s="10"/>
      <c r="O454" s="10"/>
      <c r="P454" s="85"/>
      <c r="Q454" s="88"/>
      <c r="R454" s="3">
        <f>IFERROR(VLOOKUP(TablaNoviembre[[#This Row],[BARRIO]],SECTOR!$A:$B,2,0),"")</f>
      </c>
      <c r="S454" s="89"/>
      <c r="T454" s="90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6"/>
      <c r="AZ454" s="120">
        <f>COUNTIF(U454:AY454,"A")</f>
      </c>
      <c r="BA454" s="121">
        <f>COUNTIF(U454:AY454,"F")</f>
      </c>
      <c r="BB454" s="119">
        <f>COUNTIF(U454:AY454,"E")</f>
      </c>
    </row>
    <row r="455" spans="1:54" x14ac:dyDescent="0.2">
      <c r="A455" s="84"/>
      <c r="B455" s="85"/>
      <c r="C455" s="85"/>
      <c r="D455" s="85"/>
      <c r="E455" s="86"/>
      <c r="F455" s="16">
        <f>IF(E455="","",DATEDIF(E455,$I$7,"Y"))</f>
      </c>
      <c r="G455" s="85"/>
      <c r="H455" s="85"/>
      <c r="I455" s="87"/>
      <c r="J455" s="85"/>
      <c r="K455" s="85"/>
      <c r="L455" s="10"/>
      <c r="M455" s="10"/>
      <c r="N455" s="10"/>
      <c r="O455" s="10"/>
      <c r="P455" s="85"/>
      <c r="Q455" s="88"/>
      <c r="R455" s="3">
        <f>IFERROR(VLOOKUP(TablaNoviembre[[#This Row],[BARRIO]],SECTOR!$A:$B,2,0),"")</f>
      </c>
      <c r="S455" s="89"/>
      <c r="T455" s="90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6"/>
      <c r="AZ455" s="120">
        <f>COUNTIF(U455:AY455,"A")</f>
      </c>
      <c r="BA455" s="121">
        <f>COUNTIF(U455:AY455,"F")</f>
      </c>
      <c r="BB455" s="119">
        <f>COUNTIF(U455:AY455,"E")</f>
      </c>
    </row>
    <row r="456" spans="1:54" x14ac:dyDescent="0.2">
      <c r="A456" s="84"/>
      <c r="B456" s="85"/>
      <c r="C456" s="85"/>
      <c r="D456" s="85"/>
      <c r="E456" s="86"/>
      <c r="F456" s="16">
        <f>IF(E456="","",DATEDIF(E456,$I$7,"Y"))</f>
      </c>
      <c r="G456" s="85"/>
      <c r="H456" s="85"/>
      <c r="I456" s="87"/>
      <c r="J456" s="85"/>
      <c r="K456" s="85"/>
      <c r="L456" s="10"/>
      <c r="M456" s="10"/>
      <c r="N456" s="10"/>
      <c r="O456" s="10"/>
      <c r="P456" s="85"/>
      <c r="Q456" s="88"/>
      <c r="R456" s="3">
        <f>IFERROR(VLOOKUP(TablaNoviembre[[#This Row],[BARRIO]],SECTOR!$A:$B,2,0),"")</f>
      </c>
      <c r="S456" s="89"/>
      <c r="T456" s="90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6"/>
      <c r="AZ456" s="120">
        <f>COUNTIF(U456:AY456,"A")</f>
      </c>
      <c r="BA456" s="121">
        <f>COUNTIF(U456:AY456,"F")</f>
      </c>
      <c r="BB456" s="119">
        <f>COUNTIF(U456:AY456,"E")</f>
      </c>
    </row>
    <row r="457" spans="1:54" x14ac:dyDescent="0.2">
      <c r="A457" s="84"/>
      <c r="B457" s="85"/>
      <c r="C457" s="85"/>
      <c r="D457" s="85"/>
      <c r="E457" s="86"/>
      <c r="F457" s="16">
        <f>IF(E457="","",DATEDIF(E457,$I$7,"Y"))</f>
      </c>
      <c r="G457" s="85"/>
      <c r="H457" s="85"/>
      <c r="I457" s="87"/>
      <c r="J457" s="85"/>
      <c r="K457" s="85"/>
      <c r="L457" s="10"/>
      <c r="M457" s="10"/>
      <c r="N457" s="10"/>
      <c r="O457" s="10"/>
      <c r="P457" s="85"/>
      <c r="Q457" s="88"/>
      <c r="R457" s="3">
        <f>IFERROR(VLOOKUP(TablaNoviembre[[#This Row],[BARRIO]],SECTOR!$A:$B,2,0),"")</f>
      </c>
      <c r="S457" s="89"/>
      <c r="T457" s="90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6"/>
      <c r="AZ457" s="120">
        <f>COUNTIF(U457:AY457,"A")</f>
      </c>
      <c r="BA457" s="121">
        <f>COUNTIF(U457:AY457,"F")</f>
      </c>
      <c r="BB457" s="119">
        <f>COUNTIF(U457:AY457,"E")</f>
      </c>
    </row>
    <row r="458" spans="1:54" x14ac:dyDescent="0.2">
      <c r="A458" s="84"/>
      <c r="B458" s="85"/>
      <c r="C458" s="85"/>
      <c r="D458" s="85"/>
      <c r="E458" s="86"/>
      <c r="F458" s="16">
        <f>IF(E458="","",DATEDIF(E458,$I$7,"Y"))</f>
      </c>
      <c r="G458" s="85"/>
      <c r="H458" s="85"/>
      <c r="I458" s="87"/>
      <c r="J458" s="85"/>
      <c r="K458" s="85"/>
      <c r="L458" s="10"/>
      <c r="M458" s="10"/>
      <c r="N458" s="10"/>
      <c r="O458" s="10"/>
      <c r="P458" s="85"/>
      <c r="Q458" s="88"/>
      <c r="R458" s="3">
        <f>IFERROR(VLOOKUP(TablaNoviembre[[#This Row],[BARRIO]],SECTOR!$A:$B,2,0),"")</f>
      </c>
      <c r="S458" s="89"/>
      <c r="T458" s="90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6"/>
      <c r="AZ458" s="120">
        <f>COUNTIF(U458:AY458,"A")</f>
      </c>
      <c r="BA458" s="121">
        <f>COUNTIF(U458:AY458,"F")</f>
      </c>
      <c r="BB458" s="119">
        <f>COUNTIF(U458:AY458,"E")</f>
      </c>
    </row>
    <row r="459" spans="1:54" x14ac:dyDescent="0.2">
      <c r="A459" s="84"/>
      <c r="B459" s="85"/>
      <c r="C459" s="85"/>
      <c r="D459" s="85"/>
      <c r="E459" s="86"/>
      <c r="F459" s="16">
        <f>IF(E459="","",DATEDIF(E459,$I$7,"Y"))</f>
      </c>
      <c r="G459" s="85"/>
      <c r="H459" s="85"/>
      <c r="I459" s="87"/>
      <c r="J459" s="85"/>
      <c r="K459" s="85"/>
      <c r="L459" s="10"/>
      <c r="M459" s="10"/>
      <c r="N459" s="10"/>
      <c r="O459" s="10"/>
      <c r="P459" s="85"/>
      <c r="Q459" s="88"/>
      <c r="R459" s="3">
        <f>IFERROR(VLOOKUP(TablaNoviembre[[#This Row],[BARRIO]],SECTOR!$A:$B,2,0),"")</f>
      </c>
      <c r="S459" s="89"/>
      <c r="T459" s="90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6"/>
      <c r="AZ459" s="120">
        <f>COUNTIF(U459:AY459,"A")</f>
      </c>
      <c r="BA459" s="121">
        <f>COUNTIF(U459:AY459,"F")</f>
      </c>
      <c r="BB459" s="119">
        <f>COUNTIF(U459:AY459,"E")</f>
      </c>
    </row>
    <row r="460" spans="1:54" x14ac:dyDescent="0.2">
      <c r="A460" s="84"/>
      <c r="B460" s="85"/>
      <c r="C460" s="85"/>
      <c r="D460" s="85"/>
      <c r="E460" s="86"/>
      <c r="F460" s="16">
        <f>IF(E460="","",DATEDIF(E460,$I$7,"Y"))</f>
      </c>
      <c r="G460" s="85"/>
      <c r="H460" s="85"/>
      <c r="I460" s="87"/>
      <c r="J460" s="85"/>
      <c r="K460" s="85"/>
      <c r="L460" s="10"/>
      <c r="M460" s="10"/>
      <c r="N460" s="10"/>
      <c r="O460" s="10"/>
      <c r="P460" s="85"/>
      <c r="Q460" s="88"/>
      <c r="R460" s="3">
        <f>IFERROR(VLOOKUP(TablaNoviembre[[#This Row],[BARRIO]],SECTOR!$A:$B,2,0),"")</f>
      </c>
      <c r="S460" s="89"/>
      <c r="T460" s="90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6"/>
      <c r="AZ460" s="120">
        <f>COUNTIF(U460:AY460,"A")</f>
      </c>
      <c r="BA460" s="121">
        <f>COUNTIF(U460:AY460,"F")</f>
      </c>
      <c r="BB460" s="119">
        <f>COUNTIF(U460:AY460,"E")</f>
      </c>
    </row>
    <row r="461" spans="1:54" x14ac:dyDescent="0.2">
      <c r="A461" s="84"/>
      <c r="B461" s="85"/>
      <c r="C461" s="85"/>
      <c r="D461" s="85"/>
      <c r="E461" s="86"/>
      <c r="F461" s="16">
        <f>IF(E461="","",DATEDIF(E461,$I$7,"Y"))</f>
      </c>
      <c r="G461" s="85"/>
      <c r="H461" s="85"/>
      <c r="I461" s="87"/>
      <c r="J461" s="85"/>
      <c r="K461" s="85"/>
      <c r="L461" s="10"/>
      <c r="M461" s="10"/>
      <c r="N461" s="10"/>
      <c r="O461" s="10"/>
      <c r="P461" s="85"/>
      <c r="Q461" s="88"/>
      <c r="R461" s="3">
        <f>IFERROR(VLOOKUP(TablaNoviembre[[#This Row],[BARRIO]],SECTOR!$A:$B,2,0),"")</f>
      </c>
      <c r="S461" s="89"/>
      <c r="T461" s="90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6"/>
      <c r="AZ461" s="120">
        <f>COUNTIF(U461:AY461,"A")</f>
      </c>
      <c r="BA461" s="121">
        <f>COUNTIF(U461:AY461,"F")</f>
      </c>
      <c r="BB461" s="119">
        <f>COUNTIF(U461:AY461,"E")</f>
      </c>
    </row>
    <row r="462" spans="1:54" x14ac:dyDescent="0.2">
      <c r="A462" s="84"/>
      <c r="B462" s="85"/>
      <c r="C462" s="85"/>
      <c r="D462" s="85"/>
      <c r="E462" s="86"/>
      <c r="F462" s="16">
        <f>IF(E462="","",DATEDIF(E462,$I$7,"Y"))</f>
      </c>
      <c r="G462" s="85"/>
      <c r="H462" s="85"/>
      <c r="I462" s="87"/>
      <c r="J462" s="85"/>
      <c r="K462" s="85"/>
      <c r="L462" s="10"/>
      <c r="M462" s="10"/>
      <c r="N462" s="10"/>
      <c r="O462" s="10"/>
      <c r="P462" s="85"/>
      <c r="Q462" s="88"/>
      <c r="R462" s="3">
        <f>IFERROR(VLOOKUP(TablaNoviembre[[#This Row],[BARRIO]],SECTOR!$A:$B,2,0),"")</f>
      </c>
      <c r="S462" s="89"/>
      <c r="T462" s="90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6"/>
      <c r="AZ462" s="120">
        <f>COUNTIF(U462:AY462,"A")</f>
      </c>
      <c r="BA462" s="121">
        <f>COUNTIF(U462:AY462,"F")</f>
      </c>
      <c r="BB462" s="119">
        <f>COUNTIF(U462:AY462,"E")</f>
      </c>
    </row>
    <row r="463" spans="1:54" x14ac:dyDescent="0.2">
      <c r="A463" s="84"/>
      <c r="B463" s="85"/>
      <c r="C463" s="85"/>
      <c r="D463" s="85"/>
      <c r="E463" s="86"/>
      <c r="F463" s="16">
        <f>IF(E463="","",DATEDIF(E463,$I$7,"Y"))</f>
      </c>
      <c r="G463" s="85"/>
      <c r="H463" s="85"/>
      <c r="I463" s="87"/>
      <c r="J463" s="85"/>
      <c r="K463" s="85"/>
      <c r="L463" s="10"/>
      <c r="M463" s="10"/>
      <c r="N463" s="10"/>
      <c r="O463" s="10"/>
      <c r="P463" s="85"/>
      <c r="Q463" s="88"/>
      <c r="R463" s="3">
        <f>IFERROR(VLOOKUP(TablaNoviembre[[#This Row],[BARRIO]],SECTOR!$A:$B,2,0),"")</f>
      </c>
      <c r="S463" s="89"/>
      <c r="T463" s="90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6"/>
      <c r="AZ463" s="120">
        <f>COUNTIF(U463:AY463,"A")</f>
      </c>
      <c r="BA463" s="121">
        <f>COUNTIF(U463:AY463,"F")</f>
      </c>
      <c r="BB463" s="119">
        <f>COUNTIF(U463:AY463,"E")</f>
      </c>
    </row>
    <row r="464" spans="1:54" x14ac:dyDescent="0.2">
      <c r="A464" s="84"/>
      <c r="B464" s="85"/>
      <c r="C464" s="85"/>
      <c r="D464" s="85"/>
      <c r="E464" s="86"/>
      <c r="F464" s="16">
        <f>IF(E464="","",DATEDIF(E464,$I$7,"Y"))</f>
      </c>
      <c r="G464" s="85"/>
      <c r="H464" s="85"/>
      <c r="I464" s="87"/>
      <c r="J464" s="85"/>
      <c r="K464" s="85"/>
      <c r="L464" s="10"/>
      <c r="M464" s="10"/>
      <c r="N464" s="10"/>
      <c r="O464" s="10"/>
      <c r="P464" s="85"/>
      <c r="Q464" s="88"/>
      <c r="R464" s="3">
        <f>IFERROR(VLOOKUP(TablaNoviembre[[#This Row],[BARRIO]],SECTOR!$A:$B,2,0),"")</f>
      </c>
      <c r="S464" s="89"/>
      <c r="T464" s="90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6"/>
      <c r="AZ464" s="120">
        <f>COUNTIF(U464:AY464,"A")</f>
      </c>
      <c r="BA464" s="121">
        <f>COUNTIF(U464:AY464,"F")</f>
      </c>
      <c r="BB464" s="119">
        <f>COUNTIF(U464:AY464,"E")</f>
      </c>
    </row>
    <row r="465" spans="1:54" x14ac:dyDescent="0.2">
      <c r="A465" s="84"/>
      <c r="B465" s="85"/>
      <c r="C465" s="85"/>
      <c r="D465" s="85"/>
      <c r="E465" s="86"/>
      <c r="F465" s="16">
        <f>IF(E465="","",DATEDIF(E465,$I$7,"Y"))</f>
      </c>
      <c r="G465" s="85"/>
      <c r="H465" s="85"/>
      <c r="I465" s="87"/>
      <c r="J465" s="85"/>
      <c r="K465" s="85"/>
      <c r="L465" s="10"/>
      <c r="M465" s="10"/>
      <c r="N465" s="10"/>
      <c r="O465" s="10"/>
      <c r="P465" s="85"/>
      <c r="Q465" s="88"/>
      <c r="R465" s="3">
        <f>IFERROR(VLOOKUP(TablaNoviembre[[#This Row],[BARRIO]],SECTOR!$A:$B,2,0),"")</f>
      </c>
      <c r="S465" s="89"/>
      <c r="T465" s="90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6"/>
      <c r="AZ465" s="120">
        <f>COUNTIF(U465:AY465,"A")</f>
      </c>
      <c r="BA465" s="121">
        <f>COUNTIF(U465:AY465,"F")</f>
      </c>
      <c r="BB465" s="119">
        <f>COUNTIF(U465:AY465,"E")</f>
      </c>
    </row>
    <row r="466" spans="1:54" x14ac:dyDescent="0.2">
      <c r="A466" s="84"/>
      <c r="B466" s="85"/>
      <c r="C466" s="85"/>
      <c r="D466" s="85"/>
      <c r="E466" s="86"/>
      <c r="F466" s="16">
        <f>IF(E466="","",DATEDIF(E466,$I$7,"Y"))</f>
      </c>
      <c r="G466" s="85"/>
      <c r="H466" s="85"/>
      <c r="I466" s="87"/>
      <c r="J466" s="85"/>
      <c r="K466" s="85"/>
      <c r="L466" s="10"/>
      <c r="M466" s="10"/>
      <c r="N466" s="10"/>
      <c r="O466" s="10"/>
      <c r="P466" s="85"/>
      <c r="Q466" s="88"/>
      <c r="R466" s="3">
        <f>IFERROR(VLOOKUP(TablaNoviembre[[#This Row],[BARRIO]],SECTOR!$A:$B,2,0),"")</f>
      </c>
      <c r="S466" s="89"/>
      <c r="T466" s="90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6"/>
      <c r="AZ466" s="120">
        <f>COUNTIF(U466:AY466,"A")</f>
      </c>
      <c r="BA466" s="121">
        <f>COUNTIF(U466:AY466,"F")</f>
      </c>
      <c r="BB466" s="119">
        <f>COUNTIF(U466:AY466,"E")</f>
      </c>
    </row>
    <row r="467" spans="1:54" x14ac:dyDescent="0.2">
      <c r="A467" s="84"/>
      <c r="B467" s="85"/>
      <c r="C467" s="85"/>
      <c r="D467" s="85"/>
      <c r="E467" s="86"/>
      <c r="F467" s="16">
        <f>IF(E467="","",DATEDIF(E467,$I$7,"Y"))</f>
      </c>
      <c r="G467" s="85"/>
      <c r="H467" s="85"/>
      <c r="I467" s="87"/>
      <c r="J467" s="85"/>
      <c r="K467" s="85"/>
      <c r="L467" s="10"/>
      <c r="M467" s="10"/>
      <c r="N467" s="10"/>
      <c r="O467" s="10"/>
      <c r="P467" s="85"/>
      <c r="Q467" s="88"/>
      <c r="R467" s="3">
        <f>IFERROR(VLOOKUP(TablaNoviembre[[#This Row],[BARRIO]],SECTOR!$A:$B,2,0),"")</f>
      </c>
      <c r="S467" s="89"/>
      <c r="T467" s="90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6"/>
      <c r="AZ467" s="120">
        <f>COUNTIF(U467:AY467,"A")</f>
      </c>
      <c r="BA467" s="121">
        <f>COUNTIF(U467:AY467,"F")</f>
      </c>
      <c r="BB467" s="119">
        <f>COUNTIF(U467:AY467,"E")</f>
      </c>
    </row>
    <row r="468" spans="1:54" x14ac:dyDescent="0.2">
      <c r="A468" s="84"/>
      <c r="B468" s="85"/>
      <c r="C468" s="85"/>
      <c r="D468" s="85"/>
      <c r="E468" s="86"/>
      <c r="F468" s="16">
        <f>IF(E468="","",DATEDIF(E468,$I$7,"Y"))</f>
      </c>
      <c r="G468" s="85"/>
      <c r="H468" s="85"/>
      <c r="I468" s="87"/>
      <c r="J468" s="85"/>
      <c r="K468" s="85"/>
      <c r="L468" s="10"/>
      <c r="M468" s="10"/>
      <c r="N468" s="10"/>
      <c r="O468" s="10"/>
      <c r="P468" s="85"/>
      <c r="Q468" s="88"/>
      <c r="R468" s="3">
        <f>IFERROR(VLOOKUP(TablaNoviembre[[#This Row],[BARRIO]],SECTOR!$A:$B,2,0),"")</f>
      </c>
      <c r="S468" s="89"/>
      <c r="T468" s="90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6"/>
      <c r="AZ468" s="120">
        <f>COUNTIF(U468:AY468,"A")</f>
      </c>
      <c r="BA468" s="121">
        <f>COUNTIF(U468:AY468,"F")</f>
      </c>
      <c r="BB468" s="119">
        <f>COUNTIF(U468:AY468,"E")</f>
      </c>
    </row>
    <row r="469" spans="1:54" x14ac:dyDescent="0.2">
      <c r="A469" s="84"/>
      <c r="B469" s="85"/>
      <c r="C469" s="85"/>
      <c r="D469" s="85"/>
      <c r="E469" s="86"/>
      <c r="F469" s="16">
        <f>IF(E469="","",DATEDIF(E469,$I$7,"Y"))</f>
      </c>
      <c r="G469" s="85"/>
      <c r="H469" s="85"/>
      <c r="I469" s="87"/>
      <c r="J469" s="85"/>
      <c r="K469" s="85"/>
      <c r="L469" s="10"/>
      <c r="M469" s="10"/>
      <c r="N469" s="10"/>
      <c r="O469" s="10"/>
      <c r="P469" s="85"/>
      <c r="Q469" s="88"/>
      <c r="R469" s="3">
        <f>IFERROR(VLOOKUP(TablaNoviembre[[#This Row],[BARRIO]],SECTOR!$A:$B,2,0),"")</f>
      </c>
      <c r="S469" s="89"/>
      <c r="T469" s="90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6"/>
      <c r="AZ469" s="120">
        <f>COUNTIF(U469:AY469,"A")</f>
      </c>
      <c r="BA469" s="121">
        <f>COUNTIF(U469:AY469,"F")</f>
      </c>
      <c r="BB469" s="119">
        <f>COUNTIF(U469:AY469,"E")</f>
      </c>
    </row>
    <row r="470" spans="1:54" x14ac:dyDescent="0.2">
      <c r="A470" s="84"/>
      <c r="B470" s="85"/>
      <c r="C470" s="85"/>
      <c r="D470" s="85"/>
      <c r="E470" s="86"/>
      <c r="F470" s="16">
        <f>IF(E470="","",DATEDIF(E470,$I$7,"Y"))</f>
      </c>
      <c r="G470" s="85"/>
      <c r="H470" s="85"/>
      <c r="I470" s="87"/>
      <c r="J470" s="85"/>
      <c r="K470" s="85"/>
      <c r="L470" s="10"/>
      <c r="M470" s="10"/>
      <c r="N470" s="10"/>
      <c r="O470" s="10"/>
      <c r="P470" s="85"/>
      <c r="Q470" s="88"/>
      <c r="R470" s="3">
        <f>IFERROR(VLOOKUP(TablaNoviembre[[#This Row],[BARRIO]],SECTOR!$A:$B,2,0),"")</f>
      </c>
      <c r="S470" s="89"/>
      <c r="T470" s="90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6"/>
      <c r="AZ470" s="120">
        <f>COUNTIF(U470:AY470,"A")</f>
      </c>
      <c r="BA470" s="121">
        <f>COUNTIF(U470:AY470,"F")</f>
      </c>
      <c r="BB470" s="119">
        <f>COUNTIF(U470:AY470,"E")</f>
      </c>
    </row>
    <row r="471" spans="1:54" x14ac:dyDescent="0.2">
      <c r="A471" s="84"/>
      <c r="B471" s="85"/>
      <c r="C471" s="85"/>
      <c r="D471" s="85"/>
      <c r="E471" s="86"/>
      <c r="F471" s="16">
        <f>IF(E471="","",DATEDIF(E471,$I$7,"Y"))</f>
      </c>
      <c r="G471" s="85"/>
      <c r="H471" s="85"/>
      <c r="I471" s="87"/>
      <c r="J471" s="85"/>
      <c r="K471" s="85"/>
      <c r="L471" s="10"/>
      <c r="M471" s="10"/>
      <c r="N471" s="10"/>
      <c r="O471" s="10"/>
      <c r="P471" s="85"/>
      <c r="Q471" s="88"/>
      <c r="R471" s="3">
        <f>IFERROR(VLOOKUP(TablaNoviembre[[#This Row],[BARRIO]],SECTOR!$A:$B,2,0),"")</f>
      </c>
      <c r="S471" s="89"/>
      <c r="T471" s="90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6"/>
      <c r="AZ471" s="120">
        <f>COUNTIF(U471:AY471,"A")</f>
      </c>
      <c r="BA471" s="121">
        <f>COUNTIF(U471:AY471,"F")</f>
      </c>
      <c r="BB471" s="119">
        <f>COUNTIF(U471:AY471,"E")</f>
      </c>
    </row>
    <row r="472" spans="1:54" x14ac:dyDescent="0.2">
      <c r="A472" s="84"/>
      <c r="B472" s="85"/>
      <c r="C472" s="85"/>
      <c r="D472" s="85"/>
      <c r="E472" s="86"/>
      <c r="F472" s="16">
        <f>IF(E472="","",DATEDIF(E472,$I$7,"Y"))</f>
      </c>
      <c r="G472" s="85"/>
      <c r="H472" s="85"/>
      <c r="I472" s="87"/>
      <c r="J472" s="85"/>
      <c r="K472" s="85"/>
      <c r="L472" s="10"/>
      <c r="M472" s="10"/>
      <c r="N472" s="10"/>
      <c r="O472" s="10"/>
      <c r="P472" s="85"/>
      <c r="Q472" s="88"/>
      <c r="R472" s="3">
        <f>IFERROR(VLOOKUP(TablaNoviembre[[#This Row],[BARRIO]],SECTOR!$A:$B,2,0),"")</f>
      </c>
      <c r="S472" s="89"/>
      <c r="T472" s="90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6"/>
      <c r="AZ472" s="120">
        <f>COUNTIF(U472:AY472,"A")</f>
      </c>
      <c r="BA472" s="121">
        <f>COUNTIF(U472:AY472,"F")</f>
      </c>
      <c r="BB472" s="119">
        <f>COUNTIF(U472:AY472,"E")</f>
      </c>
    </row>
    <row r="473" spans="1:54" x14ac:dyDescent="0.2">
      <c r="A473" s="84"/>
      <c r="B473" s="85"/>
      <c r="C473" s="85"/>
      <c r="D473" s="85"/>
      <c r="E473" s="86"/>
      <c r="F473" s="16">
        <f>IF(E473="","",DATEDIF(E473,$I$7,"Y"))</f>
      </c>
      <c r="G473" s="85"/>
      <c r="H473" s="85"/>
      <c r="I473" s="87"/>
      <c r="J473" s="85"/>
      <c r="K473" s="85"/>
      <c r="L473" s="10"/>
      <c r="M473" s="10"/>
      <c r="N473" s="10"/>
      <c r="O473" s="10"/>
      <c r="P473" s="85"/>
      <c r="Q473" s="88"/>
      <c r="R473" s="3">
        <f>IFERROR(VLOOKUP(TablaNoviembre[[#This Row],[BARRIO]],SECTOR!$A:$B,2,0),"")</f>
      </c>
      <c r="S473" s="89"/>
      <c r="T473" s="90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6"/>
      <c r="AZ473" s="120">
        <f>COUNTIF(U473:AY473,"A")</f>
      </c>
      <c r="BA473" s="121">
        <f>COUNTIF(U473:AY473,"F")</f>
      </c>
      <c r="BB473" s="119">
        <f>COUNTIF(U473:AY473,"E")</f>
      </c>
    </row>
    <row r="474" spans="1:54" x14ac:dyDescent="0.2">
      <c r="A474" s="84"/>
      <c r="B474" s="85"/>
      <c r="C474" s="85"/>
      <c r="D474" s="85"/>
      <c r="E474" s="86"/>
      <c r="F474" s="16">
        <f>IF(E474="","",DATEDIF(E474,$I$7,"Y"))</f>
      </c>
      <c r="G474" s="85"/>
      <c r="H474" s="85"/>
      <c r="I474" s="87"/>
      <c r="J474" s="85"/>
      <c r="K474" s="85"/>
      <c r="L474" s="10"/>
      <c r="M474" s="10"/>
      <c r="N474" s="10"/>
      <c r="O474" s="10"/>
      <c r="P474" s="85"/>
      <c r="Q474" s="88"/>
      <c r="R474" s="3">
        <f>IFERROR(VLOOKUP(TablaNoviembre[[#This Row],[BARRIO]],SECTOR!$A:$B,2,0),"")</f>
      </c>
      <c r="S474" s="89"/>
      <c r="T474" s="90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6"/>
      <c r="AZ474" s="120">
        <f>COUNTIF(U474:AY474,"A")</f>
      </c>
      <c r="BA474" s="121">
        <f>COUNTIF(U474:AY474,"F")</f>
      </c>
      <c r="BB474" s="119">
        <f>COUNTIF(U474:AY474,"E")</f>
      </c>
    </row>
    <row r="475" spans="1:54" x14ac:dyDescent="0.2">
      <c r="A475" s="84"/>
      <c r="B475" s="85"/>
      <c r="C475" s="85"/>
      <c r="D475" s="85"/>
      <c r="E475" s="86"/>
      <c r="F475" s="16">
        <f>IF(E475="","",DATEDIF(E475,$I$7,"Y"))</f>
      </c>
      <c r="G475" s="85"/>
      <c r="H475" s="85"/>
      <c r="I475" s="87"/>
      <c r="J475" s="85"/>
      <c r="K475" s="85"/>
      <c r="L475" s="10"/>
      <c r="M475" s="10"/>
      <c r="N475" s="10"/>
      <c r="O475" s="10"/>
      <c r="P475" s="85"/>
      <c r="Q475" s="88"/>
      <c r="R475" s="3">
        <f>IFERROR(VLOOKUP(TablaNoviembre[[#This Row],[BARRIO]],SECTOR!$A:$B,2,0),"")</f>
      </c>
      <c r="S475" s="89"/>
      <c r="T475" s="90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6"/>
      <c r="AZ475" s="120">
        <f>COUNTIF(U475:AY475,"A")</f>
      </c>
      <c r="BA475" s="121">
        <f>COUNTIF(U475:AY475,"F")</f>
      </c>
      <c r="BB475" s="119">
        <f>COUNTIF(U475:AY475,"E")</f>
      </c>
    </row>
    <row r="476" spans="1:54" x14ac:dyDescent="0.2">
      <c r="A476" s="84"/>
      <c r="B476" s="85"/>
      <c r="C476" s="85"/>
      <c r="D476" s="85"/>
      <c r="E476" s="86"/>
      <c r="F476" s="16">
        <f>IF(E476="","",DATEDIF(E476,$I$7,"Y"))</f>
      </c>
      <c r="G476" s="85"/>
      <c r="H476" s="85"/>
      <c r="I476" s="87"/>
      <c r="J476" s="85"/>
      <c r="K476" s="85"/>
      <c r="L476" s="10"/>
      <c r="M476" s="10"/>
      <c r="N476" s="10"/>
      <c r="O476" s="10"/>
      <c r="P476" s="85"/>
      <c r="Q476" s="88"/>
      <c r="R476" s="3">
        <f>IFERROR(VLOOKUP(TablaNoviembre[[#This Row],[BARRIO]],SECTOR!$A:$B,2,0),"")</f>
      </c>
      <c r="S476" s="89"/>
      <c r="T476" s="90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6"/>
      <c r="AZ476" s="120">
        <f>COUNTIF(U476:AY476,"A")</f>
      </c>
      <c r="BA476" s="121">
        <f>COUNTIF(U476:AY476,"F")</f>
      </c>
      <c r="BB476" s="119">
        <f>COUNTIF(U476:AY476,"E")</f>
      </c>
    </row>
    <row r="477" spans="1:54" x14ac:dyDescent="0.2">
      <c r="A477" s="84"/>
      <c r="B477" s="85"/>
      <c r="C477" s="85"/>
      <c r="D477" s="85"/>
      <c r="E477" s="86"/>
      <c r="F477" s="16">
        <f>IF(E477="","",DATEDIF(E477,$I$7,"Y"))</f>
      </c>
      <c r="G477" s="85"/>
      <c r="H477" s="85"/>
      <c r="I477" s="87"/>
      <c r="J477" s="85"/>
      <c r="K477" s="85"/>
      <c r="L477" s="10"/>
      <c r="M477" s="10"/>
      <c r="N477" s="10"/>
      <c r="O477" s="10"/>
      <c r="P477" s="85"/>
      <c r="Q477" s="88"/>
      <c r="R477" s="3">
        <f>IFERROR(VLOOKUP(TablaNoviembre[[#This Row],[BARRIO]],SECTOR!$A:$B,2,0),"")</f>
      </c>
      <c r="S477" s="89"/>
      <c r="T477" s="90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6"/>
      <c r="AZ477" s="120">
        <f>COUNTIF(U477:AY477,"A")</f>
      </c>
      <c r="BA477" s="121">
        <f>COUNTIF(U477:AY477,"F")</f>
      </c>
      <c r="BB477" s="119">
        <f>COUNTIF(U477:AY477,"E")</f>
      </c>
    </row>
    <row r="478" spans="1:54" x14ac:dyDescent="0.2">
      <c r="A478" s="84"/>
      <c r="B478" s="85"/>
      <c r="C478" s="85"/>
      <c r="D478" s="85"/>
      <c r="E478" s="86"/>
      <c r="F478" s="16">
        <f>IF(E478="","",DATEDIF(E478,$I$7,"Y"))</f>
      </c>
      <c r="G478" s="85"/>
      <c r="H478" s="85"/>
      <c r="I478" s="87"/>
      <c r="J478" s="85"/>
      <c r="K478" s="85"/>
      <c r="L478" s="10"/>
      <c r="M478" s="10"/>
      <c r="N478" s="10"/>
      <c r="O478" s="10"/>
      <c r="P478" s="85"/>
      <c r="Q478" s="88"/>
      <c r="R478" s="3">
        <f>IFERROR(VLOOKUP(TablaNoviembre[[#This Row],[BARRIO]],SECTOR!$A:$B,2,0),"")</f>
      </c>
      <c r="S478" s="89"/>
      <c r="T478" s="90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6"/>
      <c r="AZ478" s="120">
        <f>COUNTIF(U478:AY478,"A")</f>
      </c>
      <c r="BA478" s="121">
        <f>COUNTIF(U478:AY478,"F")</f>
      </c>
      <c r="BB478" s="119">
        <f>COUNTIF(U478:AY478,"E")</f>
      </c>
    </row>
    <row r="479" spans="1:54" x14ac:dyDescent="0.2">
      <c r="A479" s="84"/>
      <c r="B479" s="85"/>
      <c r="C479" s="85"/>
      <c r="D479" s="85"/>
      <c r="E479" s="86"/>
      <c r="F479" s="16">
        <f>IF(E479="","",DATEDIF(E479,$I$7,"Y"))</f>
      </c>
      <c r="G479" s="85"/>
      <c r="H479" s="85"/>
      <c r="I479" s="87"/>
      <c r="J479" s="85"/>
      <c r="K479" s="85"/>
      <c r="L479" s="10"/>
      <c r="M479" s="10"/>
      <c r="N479" s="10"/>
      <c r="O479" s="10"/>
      <c r="P479" s="85"/>
      <c r="Q479" s="88"/>
      <c r="R479" s="3">
        <f>IFERROR(VLOOKUP(TablaNoviembre[[#This Row],[BARRIO]],SECTOR!$A:$B,2,0),"")</f>
      </c>
      <c r="S479" s="89"/>
      <c r="T479" s="90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6"/>
      <c r="AZ479" s="120">
        <f>COUNTIF(U479:AY479,"A")</f>
      </c>
      <c r="BA479" s="121">
        <f>COUNTIF(U479:AY479,"F")</f>
      </c>
      <c r="BB479" s="119">
        <f>COUNTIF(U479:AY479,"E")</f>
      </c>
    </row>
    <row r="480" spans="1:54" x14ac:dyDescent="0.2">
      <c r="A480" s="84"/>
      <c r="B480" s="85"/>
      <c r="C480" s="85"/>
      <c r="D480" s="85"/>
      <c r="E480" s="86"/>
      <c r="F480" s="16">
        <f>IF(E480="","",DATEDIF(E480,$I$7,"Y"))</f>
      </c>
      <c r="G480" s="85"/>
      <c r="H480" s="85"/>
      <c r="I480" s="87"/>
      <c r="J480" s="85"/>
      <c r="K480" s="85"/>
      <c r="L480" s="10"/>
      <c r="M480" s="10"/>
      <c r="N480" s="10"/>
      <c r="O480" s="10"/>
      <c r="P480" s="85"/>
      <c r="Q480" s="88"/>
      <c r="R480" s="3">
        <f>IFERROR(VLOOKUP(TablaNoviembre[[#This Row],[BARRIO]],SECTOR!$A:$B,2,0),"")</f>
      </c>
      <c r="S480" s="89"/>
      <c r="T480" s="90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6"/>
      <c r="AZ480" s="120">
        <f>COUNTIF(U480:AY480,"A")</f>
      </c>
      <c r="BA480" s="121">
        <f>COUNTIF(U480:AY480,"F")</f>
      </c>
      <c r="BB480" s="119">
        <f>COUNTIF(U480:AY480,"E")</f>
      </c>
    </row>
    <row r="481" spans="1:54" x14ac:dyDescent="0.2">
      <c r="A481" s="84"/>
      <c r="B481" s="85"/>
      <c r="C481" s="85"/>
      <c r="D481" s="85"/>
      <c r="E481" s="86"/>
      <c r="F481" s="16">
        <f>IF(E481="","",DATEDIF(E481,$I$7,"Y"))</f>
      </c>
      <c r="G481" s="85"/>
      <c r="H481" s="85"/>
      <c r="I481" s="87"/>
      <c r="J481" s="85"/>
      <c r="K481" s="85"/>
      <c r="L481" s="10"/>
      <c r="M481" s="10"/>
      <c r="N481" s="10"/>
      <c r="O481" s="10"/>
      <c r="P481" s="85"/>
      <c r="Q481" s="88"/>
      <c r="R481" s="3">
        <f>IFERROR(VLOOKUP(TablaNoviembre[[#This Row],[BARRIO]],SECTOR!$A:$B,2,0),"")</f>
      </c>
      <c r="S481" s="89"/>
      <c r="T481" s="90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6"/>
      <c r="AZ481" s="120">
        <f>COUNTIF(U481:AY481,"A")</f>
      </c>
      <c r="BA481" s="121">
        <f>COUNTIF(U481:AY481,"F")</f>
      </c>
      <c r="BB481" s="119">
        <f>COUNTIF(U481:AY481,"E")</f>
      </c>
    </row>
    <row r="482" spans="1:54" x14ac:dyDescent="0.2">
      <c r="A482" s="84"/>
      <c r="B482" s="85"/>
      <c r="C482" s="85"/>
      <c r="D482" s="85"/>
      <c r="E482" s="86"/>
      <c r="F482" s="16">
        <f>IF(E482="","",DATEDIF(E482,$I$7,"Y"))</f>
      </c>
      <c r="G482" s="85"/>
      <c r="H482" s="85"/>
      <c r="I482" s="87"/>
      <c r="J482" s="85"/>
      <c r="K482" s="85"/>
      <c r="L482" s="10"/>
      <c r="M482" s="10"/>
      <c r="N482" s="10"/>
      <c r="O482" s="10"/>
      <c r="P482" s="85"/>
      <c r="Q482" s="88"/>
      <c r="R482" s="3">
        <f>IFERROR(VLOOKUP(TablaNoviembre[[#This Row],[BARRIO]],SECTOR!$A:$B,2,0),"")</f>
      </c>
      <c r="S482" s="89"/>
      <c r="T482" s="90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6"/>
      <c r="AZ482" s="120">
        <f>COUNTIF(U482:AY482,"A")</f>
      </c>
      <c r="BA482" s="121">
        <f>COUNTIF(U482:AY482,"F")</f>
      </c>
      <c r="BB482" s="119">
        <f>COUNTIF(U482:AY482,"E")</f>
      </c>
    </row>
    <row r="483" spans="1:54" x14ac:dyDescent="0.2">
      <c r="A483" s="84"/>
      <c r="B483" s="85"/>
      <c r="C483" s="85"/>
      <c r="D483" s="85"/>
      <c r="E483" s="86"/>
      <c r="F483" s="16">
        <f>IF(E483="","",DATEDIF(E483,$I$7,"Y"))</f>
      </c>
      <c r="G483" s="85"/>
      <c r="H483" s="85"/>
      <c r="I483" s="87"/>
      <c r="J483" s="85"/>
      <c r="K483" s="85"/>
      <c r="L483" s="10"/>
      <c r="M483" s="10"/>
      <c r="N483" s="10"/>
      <c r="O483" s="10"/>
      <c r="P483" s="85"/>
      <c r="Q483" s="88"/>
      <c r="R483" s="3">
        <f>IFERROR(VLOOKUP(TablaNoviembre[[#This Row],[BARRIO]],SECTOR!$A:$B,2,0),"")</f>
      </c>
      <c r="S483" s="89"/>
      <c r="T483" s="90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6"/>
      <c r="AZ483" s="120">
        <f>COUNTIF(U483:AY483,"A")</f>
      </c>
      <c r="BA483" s="121">
        <f>COUNTIF(U483:AY483,"F")</f>
      </c>
      <c r="BB483" s="119">
        <f>COUNTIF(U483:AY483,"E")</f>
      </c>
    </row>
    <row r="484" spans="1:54" x14ac:dyDescent="0.2">
      <c r="A484" s="84"/>
      <c r="B484" s="85"/>
      <c r="C484" s="85"/>
      <c r="D484" s="85"/>
      <c r="E484" s="86"/>
      <c r="F484" s="16">
        <f>IF(E484="","",DATEDIF(E484,$I$7,"Y"))</f>
      </c>
      <c r="G484" s="85"/>
      <c r="H484" s="85"/>
      <c r="I484" s="87"/>
      <c r="J484" s="85"/>
      <c r="K484" s="85"/>
      <c r="L484" s="10"/>
      <c r="M484" s="10"/>
      <c r="N484" s="10"/>
      <c r="O484" s="10"/>
      <c r="P484" s="85"/>
      <c r="Q484" s="88"/>
      <c r="R484" s="3">
        <f>IFERROR(VLOOKUP(TablaNoviembre[[#This Row],[BARRIO]],SECTOR!$A:$B,2,0),"")</f>
      </c>
      <c r="S484" s="89"/>
      <c r="T484" s="90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6"/>
      <c r="AZ484" s="120">
        <f>COUNTIF(U484:AY484,"A")</f>
      </c>
      <c r="BA484" s="121">
        <f>COUNTIF(U484:AY484,"F")</f>
      </c>
      <c r="BB484" s="119">
        <f>COUNTIF(U484:AY484,"E")</f>
      </c>
    </row>
    <row r="485" spans="1:54" x14ac:dyDescent="0.2">
      <c r="A485" s="84"/>
      <c r="B485" s="85"/>
      <c r="C485" s="85"/>
      <c r="D485" s="85"/>
      <c r="E485" s="86"/>
      <c r="F485" s="16">
        <f>IF(E485="","",DATEDIF(E485,$I$7,"Y"))</f>
      </c>
      <c r="G485" s="85"/>
      <c r="H485" s="85"/>
      <c r="I485" s="87"/>
      <c r="J485" s="85"/>
      <c r="K485" s="85"/>
      <c r="L485" s="10"/>
      <c r="M485" s="10"/>
      <c r="N485" s="10"/>
      <c r="O485" s="10"/>
      <c r="P485" s="85"/>
      <c r="Q485" s="88"/>
      <c r="R485" s="3">
        <f>IFERROR(VLOOKUP(TablaNoviembre[[#This Row],[BARRIO]],SECTOR!$A:$B,2,0),"")</f>
      </c>
      <c r="S485" s="89"/>
      <c r="T485" s="90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6"/>
      <c r="AZ485" s="120">
        <f>COUNTIF(U485:AY485,"A")</f>
      </c>
      <c r="BA485" s="121">
        <f>COUNTIF(U485:AY485,"F")</f>
      </c>
      <c r="BB485" s="119">
        <f>COUNTIF(U485:AY485,"E")</f>
      </c>
    </row>
    <row r="486" spans="1:54" x14ac:dyDescent="0.2">
      <c r="A486" s="84"/>
      <c r="B486" s="85"/>
      <c r="C486" s="85"/>
      <c r="D486" s="85"/>
      <c r="E486" s="86"/>
      <c r="F486" s="16">
        <f>IF(E486="","",DATEDIF(E486,$I$7,"Y"))</f>
      </c>
      <c r="G486" s="85"/>
      <c r="H486" s="85"/>
      <c r="I486" s="87"/>
      <c r="J486" s="85"/>
      <c r="K486" s="85"/>
      <c r="L486" s="10"/>
      <c r="M486" s="10"/>
      <c r="N486" s="10"/>
      <c r="O486" s="10"/>
      <c r="P486" s="85"/>
      <c r="Q486" s="88"/>
      <c r="R486" s="3">
        <f>IFERROR(VLOOKUP(TablaNoviembre[[#This Row],[BARRIO]],SECTOR!$A:$B,2,0),"")</f>
      </c>
      <c r="S486" s="89"/>
      <c r="T486" s="90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6"/>
      <c r="AZ486" s="120">
        <f>COUNTIF(U486:AY486,"A")</f>
      </c>
      <c r="BA486" s="121">
        <f>COUNTIF(U486:AY486,"F")</f>
      </c>
      <c r="BB486" s="119">
        <f>COUNTIF(U486:AY486,"E")</f>
      </c>
    </row>
    <row r="487" spans="1:54" x14ac:dyDescent="0.2">
      <c r="A487" s="84"/>
      <c r="B487" s="85"/>
      <c r="C487" s="85"/>
      <c r="D487" s="85"/>
      <c r="E487" s="86"/>
      <c r="F487" s="16">
        <f>IF(E487="","",DATEDIF(E487,$I$7,"Y"))</f>
      </c>
      <c r="G487" s="85"/>
      <c r="H487" s="85"/>
      <c r="I487" s="87"/>
      <c r="J487" s="85"/>
      <c r="K487" s="85"/>
      <c r="L487" s="10"/>
      <c r="M487" s="10"/>
      <c r="N487" s="10"/>
      <c r="O487" s="10"/>
      <c r="P487" s="85"/>
      <c r="Q487" s="88"/>
      <c r="R487" s="3">
        <f>IFERROR(VLOOKUP(TablaNoviembre[[#This Row],[BARRIO]],SECTOR!$A:$B,2,0),"")</f>
      </c>
      <c r="S487" s="89"/>
      <c r="T487" s="90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6"/>
      <c r="AZ487" s="120">
        <f>COUNTIF(U487:AY487,"A")</f>
      </c>
      <c r="BA487" s="121">
        <f>COUNTIF(U487:AY487,"F")</f>
      </c>
      <c r="BB487" s="119">
        <f>COUNTIF(U487:AY487,"E")</f>
      </c>
    </row>
    <row r="488" spans="1:54" x14ac:dyDescent="0.2">
      <c r="A488" s="84"/>
      <c r="B488" s="85"/>
      <c r="C488" s="85"/>
      <c r="D488" s="85"/>
      <c r="E488" s="86"/>
      <c r="F488" s="16">
        <f>IF(E488="","",DATEDIF(E488,$I$7,"Y"))</f>
      </c>
      <c r="G488" s="85"/>
      <c r="H488" s="85"/>
      <c r="I488" s="87"/>
      <c r="J488" s="85"/>
      <c r="K488" s="85"/>
      <c r="L488" s="10"/>
      <c r="M488" s="10"/>
      <c r="N488" s="10"/>
      <c r="O488" s="10"/>
      <c r="P488" s="85"/>
      <c r="Q488" s="88"/>
      <c r="R488" s="3">
        <f>IFERROR(VLOOKUP(TablaNoviembre[[#This Row],[BARRIO]],SECTOR!$A:$B,2,0),"")</f>
      </c>
      <c r="S488" s="89"/>
      <c r="T488" s="90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6"/>
      <c r="AZ488" s="120">
        <f>COUNTIF(U488:AY488,"A")</f>
      </c>
      <c r="BA488" s="121">
        <f>COUNTIF(U488:AY488,"F")</f>
      </c>
      <c r="BB488" s="119">
        <f>COUNTIF(U488:AY488,"E")</f>
      </c>
    </row>
    <row r="489" spans="1:54" x14ac:dyDescent="0.2">
      <c r="A489" s="84"/>
      <c r="B489" s="85"/>
      <c r="C489" s="85"/>
      <c r="D489" s="85"/>
      <c r="E489" s="86"/>
      <c r="F489" s="16">
        <f>IF(E489="","",DATEDIF(E489,$I$7,"Y"))</f>
      </c>
      <c r="G489" s="85"/>
      <c r="H489" s="85"/>
      <c r="I489" s="87"/>
      <c r="J489" s="85"/>
      <c r="K489" s="85"/>
      <c r="L489" s="10"/>
      <c r="M489" s="10"/>
      <c r="N489" s="10"/>
      <c r="O489" s="10"/>
      <c r="P489" s="85"/>
      <c r="Q489" s="88"/>
      <c r="R489" s="3">
        <f>IFERROR(VLOOKUP(TablaNoviembre[[#This Row],[BARRIO]],SECTOR!$A:$B,2,0),"")</f>
      </c>
      <c r="S489" s="89"/>
      <c r="T489" s="90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6"/>
      <c r="AZ489" s="120">
        <f>COUNTIF(U489:AY489,"A")</f>
      </c>
      <c r="BA489" s="121">
        <f>COUNTIF(U489:AY489,"F")</f>
      </c>
      <c r="BB489" s="119">
        <f>COUNTIF(U489:AY489,"E")</f>
      </c>
    </row>
    <row r="490" spans="1:54" x14ac:dyDescent="0.2">
      <c r="A490" s="84"/>
      <c r="B490" s="85"/>
      <c r="C490" s="85"/>
      <c r="D490" s="85"/>
      <c r="E490" s="86"/>
      <c r="F490" s="16">
        <f>IF(E490="","",DATEDIF(E490,$I$7,"Y"))</f>
      </c>
      <c r="G490" s="85"/>
      <c r="H490" s="85"/>
      <c r="I490" s="87"/>
      <c r="J490" s="85"/>
      <c r="K490" s="85"/>
      <c r="L490" s="10"/>
      <c r="M490" s="10"/>
      <c r="N490" s="10"/>
      <c r="O490" s="10"/>
      <c r="P490" s="85"/>
      <c r="Q490" s="88"/>
      <c r="R490" s="3">
        <f>IFERROR(VLOOKUP(TablaNoviembre[[#This Row],[BARRIO]],SECTOR!$A:$B,2,0),"")</f>
      </c>
      <c r="S490" s="89"/>
      <c r="T490" s="90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6"/>
      <c r="AZ490" s="120">
        <f>COUNTIF(U490:AY490,"A")</f>
      </c>
      <c r="BA490" s="121">
        <f>COUNTIF(U490:AY490,"F")</f>
      </c>
      <c r="BB490" s="119">
        <f>COUNTIF(U490:AY490,"E")</f>
      </c>
    </row>
    <row r="491" spans="1:54" x14ac:dyDescent="0.2">
      <c r="A491" s="84"/>
      <c r="B491" s="85"/>
      <c r="C491" s="85"/>
      <c r="D491" s="85"/>
      <c r="E491" s="86"/>
      <c r="F491" s="16">
        <f>IF(E491="","",DATEDIF(E491,$I$7,"Y"))</f>
      </c>
      <c r="G491" s="85"/>
      <c r="H491" s="85"/>
      <c r="I491" s="87"/>
      <c r="J491" s="85"/>
      <c r="K491" s="85"/>
      <c r="L491" s="10"/>
      <c r="M491" s="10"/>
      <c r="N491" s="10"/>
      <c r="O491" s="10"/>
      <c r="P491" s="85"/>
      <c r="Q491" s="88"/>
      <c r="R491" s="3">
        <f>IFERROR(VLOOKUP(TablaNoviembre[[#This Row],[BARRIO]],SECTOR!$A:$B,2,0),"")</f>
      </c>
      <c r="S491" s="89"/>
      <c r="T491" s="90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6"/>
      <c r="AZ491" s="120">
        <f>COUNTIF(U491:AY491,"A")</f>
      </c>
      <c r="BA491" s="121">
        <f>COUNTIF(U491:AY491,"F")</f>
      </c>
      <c r="BB491" s="119">
        <f>COUNTIF(U491:AY491,"E")</f>
      </c>
    </row>
    <row r="492" spans="1:54" x14ac:dyDescent="0.2">
      <c r="A492" s="84"/>
      <c r="B492" s="85"/>
      <c r="C492" s="85"/>
      <c r="D492" s="85"/>
      <c r="E492" s="86"/>
      <c r="F492" s="16">
        <f>IF(E492="","",DATEDIF(E492,$I$7,"Y"))</f>
      </c>
      <c r="G492" s="85"/>
      <c r="H492" s="85"/>
      <c r="I492" s="87"/>
      <c r="J492" s="85"/>
      <c r="K492" s="85"/>
      <c r="L492" s="10"/>
      <c r="M492" s="10"/>
      <c r="N492" s="10"/>
      <c r="O492" s="10"/>
      <c r="P492" s="85"/>
      <c r="Q492" s="88"/>
      <c r="R492" s="3">
        <f>IFERROR(VLOOKUP(TablaNoviembre[[#This Row],[BARRIO]],SECTOR!$A:$B,2,0),"")</f>
      </c>
      <c r="S492" s="89"/>
      <c r="T492" s="90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6"/>
      <c r="AZ492" s="120">
        <f>COUNTIF(U492:AY492,"A")</f>
      </c>
      <c r="BA492" s="121">
        <f>COUNTIF(U492:AY492,"F")</f>
      </c>
      <c r="BB492" s="119">
        <f>COUNTIF(U492:AY492,"E")</f>
      </c>
    </row>
    <row r="493" spans="1:54" x14ac:dyDescent="0.2">
      <c r="A493" s="84"/>
      <c r="B493" s="85"/>
      <c r="C493" s="85"/>
      <c r="D493" s="85"/>
      <c r="E493" s="86"/>
      <c r="F493" s="16">
        <f>IF(E493="","",DATEDIF(E493,$I$7,"Y"))</f>
      </c>
      <c r="G493" s="85"/>
      <c r="H493" s="85"/>
      <c r="I493" s="87"/>
      <c r="J493" s="85"/>
      <c r="K493" s="85"/>
      <c r="L493" s="10"/>
      <c r="M493" s="10"/>
      <c r="N493" s="10"/>
      <c r="O493" s="10"/>
      <c r="P493" s="85"/>
      <c r="Q493" s="88"/>
      <c r="R493" s="3">
        <f>IFERROR(VLOOKUP(TablaNoviembre[[#This Row],[BARRIO]],SECTOR!$A:$B,2,0),"")</f>
      </c>
      <c r="S493" s="89"/>
      <c r="T493" s="90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6"/>
      <c r="AZ493" s="120">
        <f>COUNTIF(U493:AY493,"A")</f>
      </c>
      <c r="BA493" s="121">
        <f>COUNTIF(U493:AY493,"F")</f>
      </c>
      <c r="BB493" s="119">
        <f>COUNTIF(U493:AY493,"E")</f>
      </c>
    </row>
    <row r="494" spans="1:54" x14ac:dyDescent="0.2">
      <c r="A494" s="84"/>
      <c r="B494" s="85"/>
      <c r="C494" s="85"/>
      <c r="D494" s="85"/>
      <c r="E494" s="86"/>
      <c r="F494" s="16">
        <f>IF(E494="","",DATEDIF(E494,$I$7,"Y"))</f>
      </c>
      <c r="G494" s="85"/>
      <c r="H494" s="85"/>
      <c r="I494" s="87"/>
      <c r="J494" s="85"/>
      <c r="K494" s="85"/>
      <c r="L494" s="10"/>
      <c r="M494" s="10"/>
      <c r="N494" s="10"/>
      <c r="O494" s="10"/>
      <c r="P494" s="85"/>
      <c r="Q494" s="88"/>
      <c r="R494" s="3">
        <f>IFERROR(VLOOKUP(TablaNoviembre[[#This Row],[BARRIO]],SECTOR!$A:$B,2,0),"")</f>
      </c>
      <c r="S494" s="89"/>
      <c r="T494" s="90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6"/>
      <c r="AZ494" s="120">
        <f>COUNTIF(U494:AY494,"A")</f>
      </c>
      <c r="BA494" s="121">
        <f>COUNTIF(U494:AY494,"F")</f>
      </c>
      <c r="BB494" s="119">
        <f>COUNTIF(U494:AY494,"E")</f>
      </c>
    </row>
    <row r="495" spans="1:54" x14ac:dyDescent="0.2">
      <c r="A495" s="84"/>
      <c r="B495" s="85"/>
      <c r="C495" s="85"/>
      <c r="D495" s="85"/>
      <c r="E495" s="86"/>
      <c r="F495" s="16">
        <f>IF(E495="","",DATEDIF(E495,$I$7,"Y"))</f>
      </c>
      <c r="G495" s="85"/>
      <c r="H495" s="85"/>
      <c r="I495" s="87"/>
      <c r="J495" s="85"/>
      <c r="K495" s="85"/>
      <c r="L495" s="10"/>
      <c r="M495" s="10"/>
      <c r="N495" s="10"/>
      <c r="O495" s="10"/>
      <c r="P495" s="85"/>
      <c r="Q495" s="88"/>
      <c r="R495" s="3">
        <f>IFERROR(VLOOKUP(TablaNoviembre[[#This Row],[BARRIO]],SECTOR!$A:$B,2,0),"")</f>
      </c>
      <c r="S495" s="89"/>
      <c r="T495" s="90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6"/>
      <c r="AZ495" s="120">
        <f>COUNTIF(U495:AY495,"A")</f>
      </c>
      <c r="BA495" s="121">
        <f>COUNTIF(U495:AY495,"F")</f>
      </c>
      <c r="BB495" s="119">
        <f>COUNTIF(U495:AY495,"E")</f>
      </c>
    </row>
    <row r="496" spans="1:54" x14ac:dyDescent="0.2">
      <c r="A496" s="84"/>
      <c r="B496" s="85"/>
      <c r="C496" s="85"/>
      <c r="D496" s="85"/>
      <c r="E496" s="86"/>
      <c r="F496" s="16">
        <f>IF(E496="","",DATEDIF(E496,$I$7,"Y"))</f>
      </c>
      <c r="G496" s="85"/>
      <c r="H496" s="85"/>
      <c r="I496" s="87"/>
      <c r="J496" s="85"/>
      <c r="K496" s="85"/>
      <c r="L496" s="10"/>
      <c r="M496" s="10"/>
      <c r="N496" s="10"/>
      <c r="O496" s="10"/>
      <c r="P496" s="85"/>
      <c r="Q496" s="88"/>
      <c r="R496" s="3">
        <f>IFERROR(VLOOKUP(TablaNoviembre[[#This Row],[BARRIO]],SECTOR!$A:$B,2,0),"")</f>
      </c>
      <c r="S496" s="89"/>
      <c r="T496" s="90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6"/>
      <c r="AZ496" s="120">
        <f>COUNTIF(U496:AY496,"A")</f>
      </c>
      <c r="BA496" s="121">
        <f>COUNTIF(U496:AY496,"F")</f>
      </c>
      <c r="BB496" s="119">
        <f>COUNTIF(U496:AY496,"E")</f>
      </c>
    </row>
    <row r="497" spans="1:54" x14ac:dyDescent="0.2">
      <c r="A497" s="84"/>
      <c r="B497" s="85"/>
      <c r="C497" s="85"/>
      <c r="D497" s="85"/>
      <c r="E497" s="86"/>
      <c r="F497" s="16">
        <f>IF(E497="","",DATEDIF(E497,$I$7,"Y"))</f>
      </c>
      <c r="G497" s="85"/>
      <c r="H497" s="85"/>
      <c r="I497" s="87"/>
      <c r="J497" s="85"/>
      <c r="K497" s="85"/>
      <c r="L497" s="10"/>
      <c r="M497" s="10"/>
      <c r="N497" s="10"/>
      <c r="O497" s="10"/>
      <c r="P497" s="85"/>
      <c r="Q497" s="88"/>
      <c r="R497" s="3">
        <f>IFERROR(VLOOKUP(TablaNoviembre[[#This Row],[BARRIO]],SECTOR!$A:$B,2,0),"")</f>
      </c>
      <c r="S497" s="89"/>
      <c r="T497" s="90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6"/>
      <c r="AZ497" s="120">
        <f>COUNTIF(U497:AY497,"A")</f>
      </c>
      <c r="BA497" s="121">
        <f>COUNTIF(U497:AY497,"F")</f>
      </c>
      <c r="BB497" s="119">
        <f>COUNTIF(U497:AY497,"E")</f>
      </c>
    </row>
    <row r="498" spans="1:54" x14ac:dyDescent="0.2">
      <c r="A498" s="84"/>
      <c r="B498" s="85"/>
      <c r="C498" s="85"/>
      <c r="D498" s="85"/>
      <c r="E498" s="86"/>
      <c r="F498" s="16">
        <f>IF(E498="","",DATEDIF(E498,$I$7,"Y"))</f>
      </c>
      <c r="G498" s="85"/>
      <c r="H498" s="85"/>
      <c r="I498" s="87"/>
      <c r="J498" s="85"/>
      <c r="K498" s="85"/>
      <c r="L498" s="10"/>
      <c r="M498" s="10"/>
      <c r="N498" s="10"/>
      <c r="O498" s="10"/>
      <c r="P498" s="85"/>
      <c r="Q498" s="88"/>
      <c r="R498" s="3">
        <f>IFERROR(VLOOKUP(TablaNoviembre[[#This Row],[BARRIO]],SECTOR!$A:$B,2,0),"")</f>
      </c>
      <c r="S498" s="89"/>
      <c r="T498" s="90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6"/>
      <c r="AZ498" s="120">
        <f>COUNTIF(U498:AY498,"A")</f>
      </c>
      <c r="BA498" s="121">
        <f>COUNTIF(U498:AY498,"F")</f>
      </c>
      <c r="BB498" s="119">
        <f>COUNTIF(U498:AY498,"E")</f>
      </c>
    </row>
    <row r="499" spans="1:54" x14ac:dyDescent="0.2">
      <c r="A499" s="84"/>
      <c r="B499" s="85"/>
      <c r="C499" s="85"/>
      <c r="D499" s="85"/>
      <c r="E499" s="86"/>
      <c r="F499" s="16">
        <f>IF(E499="","",DATEDIF(E499,$I$7,"Y"))</f>
      </c>
      <c r="G499" s="85"/>
      <c r="H499" s="85"/>
      <c r="I499" s="87"/>
      <c r="J499" s="85"/>
      <c r="K499" s="85"/>
      <c r="L499" s="10"/>
      <c r="M499" s="10"/>
      <c r="N499" s="10"/>
      <c r="O499" s="10"/>
      <c r="P499" s="85"/>
      <c r="Q499" s="88"/>
      <c r="R499" s="3">
        <f>IFERROR(VLOOKUP(TablaNoviembre[[#This Row],[BARRIO]],SECTOR!$A:$B,2,0),"")</f>
      </c>
      <c r="S499" s="89"/>
      <c r="T499" s="90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6"/>
      <c r="AZ499" s="120">
        <f>COUNTIF(U499:AY499,"A")</f>
      </c>
      <c r="BA499" s="121">
        <f>COUNTIF(U499:AY499,"F")</f>
      </c>
      <c r="BB499" s="119">
        <f>COUNTIF(U499:AY499,"E")</f>
      </c>
    </row>
    <row r="500" spans="1:54" x14ac:dyDescent="0.2">
      <c r="A500" s="84"/>
      <c r="B500" s="85"/>
      <c r="C500" s="85"/>
      <c r="D500" s="85"/>
      <c r="E500" s="86"/>
      <c r="F500" s="16">
        <f>IF(E500="","",DATEDIF(E500,$I$7,"Y"))</f>
      </c>
      <c r="G500" s="85"/>
      <c r="H500" s="85"/>
      <c r="I500" s="87"/>
      <c r="J500" s="85"/>
      <c r="K500" s="85"/>
      <c r="L500" s="10"/>
      <c r="M500" s="10"/>
      <c r="N500" s="10"/>
      <c r="O500" s="10"/>
      <c r="P500" s="85"/>
      <c r="Q500" s="88"/>
      <c r="R500" s="3">
        <f>IFERROR(VLOOKUP(TablaNoviembre[[#This Row],[BARRIO]],SECTOR!$A:$B,2,0),"")</f>
      </c>
      <c r="S500" s="89"/>
      <c r="T500" s="90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6"/>
      <c r="AZ500" s="120">
        <f>COUNTIF(U500:AY500,"A")</f>
      </c>
      <c r="BA500" s="121">
        <f>COUNTIF(U500:AY500,"F")</f>
      </c>
      <c r="BB500" s="119">
        <f>COUNTIF(U500:AY500,"E")</f>
      </c>
    </row>
    <row r="501" spans="1:54" x14ac:dyDescent="0.2">
      <c r="A501" s="84"/>
      <c r="B501" s="85"/>
      <c r="C501" s="85"/>
      <c r="D501" s="85"/>
      <c r="E501" s="86"/>
      <c r="F501" s="16">
        <f>IF(E501="","",DATEDIF(E501,$I$7,"Y"))</f>
      </c>
      <c r="G501" s="85"/>
      <c r="H501" s="85"/>
      <c r="I501" s="87"/>
      <c r="J501" s="85"/>
      <c r="K501" s="85"/>
      <c r="L501" s="10"/>
      <c r="M501" s="10"/>
      <c r="N501" s="10"/>
      <c r="O501" s="10"/>
      <c r="P501" s="85"/>
      <c r="Q501" s="88"/>
      <c r="R501" s="3">
        <f>IFERROR(VLOOKUP(TablaNoviembre[[#This Row],[BARRIO]],SECTOR!$A:$B,2,0),"")</f>
      </c>
      <c r="S501" s="89"/>
      <c r="T501" s="90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6"/>
      <c r="AZ501" s="120">
        <f>COUNTIF(U501:AY501,"A")</f>
      </c>
      <c r="BA501" s="121">
        <f>COUNTIF(U501:AY501,"F")</f>
      </c>
      <c r="BB501" s="119">
        <f>COUNTIF(U501:AY501,"E")</f>
      </c>
    </row>
    <row r="502" spans="1:54" x14ac:dyDescent="0.2">
      <c r="A502" s="84"/>
      <c r="B502" s="85"/>
      <c r="C502" s="85"/>
      <c r="D502" s="85"/>
      <c r="E502" s="86"/>
      <c r="F502" s="16">
        <f>IF(E502="","",DATEDIF(E502,$I$7,"Y"))</f>
      </c>
      <c r="G502" s="85"/>
      <c r="H502" s="85"/>
      <c r="I502" s="87"/>
      <c r="J502" s="85"/>
      <c r="K502" s="85"/>
      <c r="L502" s="10"/>
      <c r="M502" s="10"/>
      <c r="N502" s="10"/>
      <c r="O502" s="10"/>
      <c r="P502" s="85"/>
      <c r="Q502" s="88"/>
      <c r="R502" s="3">
        <f>IFERROR(VLOOKUP(TablaNoviembre[[#This Row],[BARRIO]],SECTOR!$A:$B,2,0),"")</f>
      </c>
      <c r="S502" s="89"/>
      <c r="T502" s="90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6"/>
      <c r="AZ502" s="120">
        <f>COUNTIF(U502:AY502,"A")</f>
      </c>
      <c r="BA502" s="121">
        <f>COUNTIF(U502:AY502,"F")</f>
      </c>
      <c r="BB502" s="119">
        <f>COUNTIF(U502:AY502,"E")</f>
      </c>
    </row>
    <row r="503" spans="1:54" x14ac:dyDescent="0.2">
      <c r="A503" s="84"/>
      <c r="B503" s="85"/>
      <c r="C503" s="85"/>
      <c r="D503" s="85"/>
      <c r="E503" s="86"/>
      <c r="F503" s="16">
        <f>IF(E503="","",DATEDIF(E503,$I$7,"Y"))</f>
      </c>
      <c r="G503" s="85"/>
      <c r="H503" s="85"/>
      <c r="I503" s="87"/>
      <c r="J503" s="85"/>
      <c r="K503" s="85"/>
      <c r="L503" s="10"/>
      <c r="M503" s="10"/>
      <c r="N503" s="10"/>
      <c r="O503" s="10"/>
      <c r="P503" s="85"/>
      <c r="Q503" s="88"/>
      <c r="R503" s="3">
        <f>IFERROR(VLOOKUP(TablaNoviembre[[#This Row],[BARRIO]],SECTOR!$A:$B,2,0),"")</f>
      </c>
      <c r="S503" s="89"/>
      <c r="T503" s="90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6"/>
      <c r="AZ503" s="120">
        <f>COUNTIF(U503:AY503,"A")</f>
      </c>
      <c r="BA503" s="121">
        <f>COUNTIF(U503:AY503,"F")</f>
      </c>
      <c r="BB503" s="119">
        <f>COUNTIF(U503:AY503,"E")</f>
      </c>
    </row>
    <row r="504" spans="1:54" x14ac:dyDescent="0.2">
      <c r="A504" s="100"/>
      <c r="B504" s="101"/>
      <c r="C504" s="101"/>
      <c r="D504" s="101"/>
      <c r="E504" s="102"/>
      <c r="F504" s="31">
        <f>IF(E504="","",DATEDIF(E504,$I$7,"Y"))</f>
      </c>
      <c r="G504" s="101"/>
      <c r="H504" s="101"/>
      <c r="I504" s="103"/>
      <c r="J504" s="101"/>
      <c r="K504" s="101"/>
      <c r="L504" s="10"/>
      <c r="M504" s="10"/>
      <c r="N504" s="10"/>
      <c r="O504" s="10"/>
      <c r="P504" s="101"/>
      <c r="Q504" s="91"/>
      <c r="R504" s="14">
        <f>IFERROR(VLOOKUP(TablaNoviembre[[#This Row],[BARRIO]],SECTOR!$A:$B,2,0),"")</f>
      </c>
      <c r="S504" s="104"/>
      <c r="T504" s="10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7"/>
      <c r="AZ504" s="120">
        <f>COUNTIF(U504:AY504,"A")</f>
      </c>
      <c r="BA504" s="121">
        <f>COUNTIF(U504:AY504,"F")</f>
      </c>
      <c r="BB504" s="118">
        <f>COUNTIF(U504:AY504,"E")</f>
      </c>
    </row>
  </sheetData>
  <sheetProtection sheet="1" objects="1" scenarios="1" autoFilter="0"/>
  <mergeCells count="137">
    <mergeCell ref="B2:B5"/>
    <mergeCell ref="C2:I2"/>
    <mergeCell ref="C3:G3"/>
    <mergeCell ref="C4:G4"/>
    <mergeCell ref="C5:G5"/>
    <mergeCell ref="B7:C7"/>
    <mergeCell ref="D7:G7"/>
    <mergeCell ref="W7:AE7"/>
    <mergeCell ref="AG7:AH7"/>
    <mergeCell ref="AI7:AM7"/>
    <mergeCell ref="AO7:AQ7"/>
    <mergeCell ref="B8:C8"/>
    <mergeCell ref="D8:G8"/>
    <mergeCell ref="S8:T8"/>
    <mergeCell ref="W8:AA8"/>
    <mergeCell ref="AB8:AC8"/>
    <mergeCell ref="AD8:AH8"/>
    <mergeCell ref="AK8:AR8"/>
    <mergeCell ref="AS8:BB8"/>
    <mergeCell ref="B9:C9"/>
    <mergeCell ref="D9:G9"/>
    <mergeCell ref="W9:Y9"/>
    <mergeCell ref="Z9:AA9"/>
    <mergeCell ref="AD9:AF9"/>
    <mergeCell ref="AG9:AH9"/>
    <mergeCell ref="AK9:AL9"/>
    <mergeCell ref="AM9:AN9"/>
    <mergeCell ref="AO9:AP9"/>
    <mergeCell ref="AQ9:AR9"/>
    <mergeCell ref="AS9:BB9"/>
    <mergeCell ref="B10:C10"/>
    <mergeCell ref="D10:G10"/>
    <mergeCell ref="W10:Y10"/>
    <mergeCell ref="Z10:AA10"/>
    <mergeCell ref="AD10:AF10"/>
    <mergeCell ref="AG10:AH10"/>
    <mergeCell ref="AK10:AL10"/>
    <mergeCell ref="AM10:AN10"/>
    <mergeCell ref="AO10:AP10"/>
    <mergeCell ref="AQ10:AR10"/>
    <mergeCell ref="AS10:BB10"/>
    <mergeCell ref="W11:Y11"/>
    <mergeCell ref="Z11:AA11"/>
    <mergeCell ref="AD11:AF11"/>
    <mergeCell ref="AG11:AH11"/>
    <mergeCell ref="AK11:AL11"/>
    <mergeCell ref="AM11:AN11"/>
    <mergeCell ref="AO11:AP11"/>
    <mergeCell ref="AQ11:AR11"/>
    <mergeCell ref="AS11:BB13"/>
    <mergeCell ref="AQ12:AR12"/>
    <mergeCell ref="AQ13:AR13"/>
    <mergeCell ref="B12:B18"/>
    <mergeCell ref="C12:I12"/>
    <mergeCell ref="W12:Y12"/>
    <mergeCell ref="Z12:AA12"/>
    <mergeCell ref="AD12:AF12"/>
    <mergeCell ref="AG12:AH12"/>
    <mergeCell ref="AK12:AL12"/>
    <mergeCell ref="AM12:AN12"/>
    <mergeCell ref="AO12:AP12"/>
    <mergeCell ref="F13:G13"/>
    <mergeCell ref="O13:Q13"/>
    <mergeCell ref="W13:Y13"/>
    <mergeCell ref="Z13:AA13"/>
    <mergeCell ref="AD13:AF13"/>
    <mergeCell ref="AG13:AH13"/>
    <mergeCell ref="AK13:AL13"/>
    <mergeCell ref="AM13:AN13"/>
    <mergeCell ref="AO13:AP13"/>
    <mergeCell ref="C14:C15"/>
    <mergeCell ref="D14:D15"/>
    <mergeCell ref="F14:G15"/>
    <mergeCell ref="H14:H15"/>
    <mergeCell ref="I14:I15"/>
    <mergeCell ref="K14:K15"/>
    <mergeCell ref="L14:L15"/>
    <mergeCell ref="AX15:BA16"/>
    <mergeCell ref="C16:I16"/>
    <mergeCell ref="K16:K17"/>
    <mergeCell ref="L16:L17"/>
    <mergeCell ref="O16:P16"/>
    <mergeCell ref="W16:Y16"/>
    <mergeCell ref="AM14:AN14"/>
    <mergeCell ref="AO14:AP14"/>
    <mergeCell ref="AQ14:AR14"/>
    <mergeCell ref="AV14:AW14"/>
    <mergeCell ref="O15:P15"/>
    <mergeCell ref="W15:Y15"/>
    <mergeCell ref="Z15:AA15"/>
    <mergeCell ref="AD15:AF15"/>
    <mergeCell ref="AG15:AH15"/>
    <mergeCell ref="AK15:AL15"/>
    <mergeCell ref="O14:P14"/>
    <mergeCell ref="W14:Y14"/>
    <mergeCell ref="Z14:AA14"/>
    <mergeCell ref="AD14:AF14"/>
    <mergeCell ref="AG14:AH14"/>
    <mergeCell ref="AK14:AL14"/>
    <mergeCell ref="Z16:AA16"/>
    <mergeCell ref="AD16:AF16"/>
    <mergeCell ref="AG16:AH16"/>
    <mergeCell ref="AK16:AL16"/>
    <mergeCell ref="AM16:AN16"/>
    <mergeCell ref="AV16:AW16"/>
    <mergeCell ref="AM15:AN15"/>
    <mergeCell ref="AO15:AP15"/>
    <mergeCell ref="AQ15:AR15"/>
    <mergeCell ref="AV15:AW15"/>
    <mergeCell ref="AD17:AF17"/>
    <mergeCell ref="AG17:AH17"/>
    <mergeCell ref="AN17:AP17"/>
    <mergeCell ref="AV17:AW17"/>
    <mergeCell ref="AX17:AZ17"/>
    <mergeCell ref="C18:D18"/>
    <mergeCell ref="E18:G18"/>
    <mergeCell ref="H18:I18"/>
    <mergeCell ref="O18:P18"/>
    <mergeCell ref="W18:Y18"/>
    <mergeCell ref="C17:D17"/>
    <mergeCell ref="E17:G17"/>
    <mergeCell ref="H17:I17"/>
    <mergeCell ref="O17:P17"/>
    <mergeCell ref="W17:Y17"/>
    <mergeCell ref="Z17:AA17"/>
    <mergeCell ref="U21:AY22"/>
    <mergeCell ref="AZ21:BB22"/>
    <mergeCell ref="Z18:AA18"/>
    <mergeCell ref="AN18:AP18"/>
    <mergeCell ref="AV18:AW18"/>
    <mergeCell ref="AX18:AZ18"/>
    <mergeCell ref="K19:L19"/>
    <mergeCell ref="O19:P19"/>
    <mergeCell ref="W19:Y19"/>
    <mergeCell ref="Z19:AA19"/>
    <mergeCell ref="AV19:AW19"/>
    <mergeCell ref="AX19:AZ19"/>
  </mergeCells>
  <dataValidations count="12">
    <dataValidation type="custom" allowBlank="1" showInputMessage="1" showErrorMessage="1" errorTitle="SÓLO MAYÚSCULA" sqref="S24:S504">
      <formula1>EXACT(S24, UPPER(S24))</formula1>
    </dataValidation>
    <dataValidation type="custom" allowBlank="1" showInputMessage="1" showErrorMessage="1" errorTitle="SÓLO MAÚSCULA" sqref="P24:P504">
      <formula1>EXACT(P24, UPPER(P24))</formula1>
    </dataValidation>
    <dataValidation type="custom" allowBlank="1" showInputMessage="1" showErrorMessage="1" errorTitle="ERROR" error="SÓLO MAYÚSCULAS" sqref="B24:D504 J24:J504">
      <formula1>EXACT(B24, UPPER(B24))</formula1>
    </dataValidation>
    <dataValidation type="list" allowBlank="1" showInputMessage="1" showErrorMessage="1" sqref="N24:N504">
      <formula1>"SI, NO"</formula1>
    </dataValidation>
    <dataValidation type="list" allowBlank="1" showInputMessage="1" showErrorMessage="1" sqref="G24:G504">
      <formula1>"R.C, T.I, C.C, C.E, PPT, PEP, NES"</formula1>
    </dataValidation>
    <dataValidation type="list" allowBlank="1" showInputMessage="1" showErrorMessage="1" sqref="I24:I504">
      <formula1>"HOMBRE, MUJER"</formula1>
    </dataValidation>
    <dataValidation type="list" allowBlank="1" showInputMessage="1" showErrorMessage="1" sqref="L24:L504">
      <formula1>"OLFATIVA Y TACTO, MENTAL, MOVILIDAD, MULTIPLE, ORAL, PSICOSOCIAL, VISUAL, VOZ Y HABLA, NO SABE NOMBRARLA, N/A"</formula1>
    </dataValidation>
    <dataValidation type="list" allowBlank="1" showInputMessage="1" showErrorMessage="1" sqref="M24:M504">
      <formula1>"HETEROSEXUAL, LESBIANA, ASEXUAL, BISEXUAL, GAY, INTERSEXUAL, NO BINARIO, PANSEXUAL, QUEER, TRANSEXUAL O TRANSGÉNERO, OTRO"</formula1>
    </dataValidation>
    <dataValidation type="list" allowBlank="1" showInputMessage="1" showErrorMessage="1" sqref="O24:O504">
      <formula1>"AFROCOLOMBIANO, INDÍGENA, MESTIZO, MULATO, NO SABE NO RESPONDE, OTRO, PALENQUERO, RAIZAL, ROM GITANO"</formula1>
    </dataValidation>
    <dataValidation type="list" allowBlank="1" showInputMessage="1" showErrorMessage="1" sqref="O23">
      <formula1>"AFRO, INDIGENA, MESTIZA"</formula1>
    </dataValidation>
    <dataValidation type="list" allowBlank="1" showErrorMessage="1" sqref="AI7">
      <formula1>$BH$11:$BH$23</formula1>
    </dataValidation>
    <dataValidation type="list" allowBlank="1" showInputMessage="1" showErrorMessage="1" sqref="Q24:Q504">
      <formula1>SECTOR!$A$2:$A$83</formula1>
    </dataValidation>
  </dataValidations>
  <pageMargins left="0.7" right="0.7" top="0.75" bottom="0.75" header="0.3" footer="0.3"/>
  <pageSetup orientation="portrait"/>
  <ignoredErrors>
    <ignoredError sqref="O23" listDataValidation="1"/>
  </ignoredErrors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2:BB504"/>
  <sheetViews>
    <sheetView showGridLines="0" zoomScaleNormal="100" workbookViewId="0">
      <selection activeCell="A24" sqref="A24"/>
    </sheetView>
  </sheetViews>
  <sheetFormatPr defaultColWidth="9.14453125" defaultRowHeight="15" x14ac:dyDescent="0.2"/>
  <cols>
    <col min="1" max="1" width="6.1875" style="34" customWidth="1"/>
    <col min="2" max="2" width="21.7890625" style="34" customWidth="1"/>
    <col min="3" max="3" width="21.65625" style="34" customWidth="1"/>
    <col min="4" max="4" width="21.7890625" style="34" customWidth="1"/>
    <col min="5" max="5" width="19.50390625" style="34" customWidth="1"/>
    <col min="6" max="6" width="11.1640625" style="34" customWidth="1"/>
    <col min="7" max="7" width="11.56640625" style="34" customWidth="1"/>
    <col min="8" max="8" width="18.4296875" style="34" customWidth="1"/>
    <col min="9" max="9" width="22.59765625" style="34" customWidth="1"/>
    <col min="10" max="10" width="35.109375" style="34" customWidth="1"/>
    <col min="11" max="11" width="11.43359375" style="34" customWidth="1"/>
    <col min="12" max="12" width="16.8125" style="34" customWidth="1"/>
    <col min="13" max="14" width="10.22265625" style="34" customWidth="1"/>
    <col min="15" max="15" width="23.9453125" style="34" bestFit="1" customWidth="1"/>
    <col min="16" max="16" width="23.40625" style="34" customWidth="1"/>
    <col min="17" max="17" width="18.0234375" style="34" customWidth="1"/>
    <col min="18" max="18" width="16.6796875" style="34" customWidth="1"/>
    <col min="19" max="19" width="18.6953125" style="34" bestFit="1" customWidth="1"/>
    <col min="20" max="20" width="17.62109375" style="34" customWidth="1"/>
    <col min="21" max="35" width="5.91796875" style="34" customWidth="1"/>
    <col min="36" max="36" width="6.05078125" style="34" customWidth="1"/>
    <col min="37" max="54" width="5.91796875" style="34" customWidth="1"/>
    <col min="55" max="55" width="9.14453125" style="34"/>
    <col min="56" max="56" width="13.5859375" style="34" bestFit="1" customWidth="1"/>
    <col min="57" max="59" width="10.76171875" style="34" bestFit="1" customWidth="1"/>
    <col min="60" max="16384" width="9.14453125" style="34"/>
  </cols>
  <sheetData>
    <row r="2" spans="1:54" x14ac:dyDescent="0.2">
      <c r="B2" s="244"/>
      <c r="C2" s="247" t="s">
        <v>0</v>
      </c>
      <c r="D2" s="248"/>
      <c r="E2" s="248"/>
      <c r="F2" s="248"/>
      <c r="G2" s="248"/>
      <c r="H2" s="248"/>
      <c r="I2" s="249"/>
    </row>
    <row r="3" spans="1:54" x14ac:dyDescent="0.2">
      <c r="B3" s="245"/>
      <c r="C3" s="250" t="s">
        <v>1</v>
      </c>
      <c r="D3" s="251"/>
      <c r="E3" s="251"/>
      <c r="F3" s="251"/>
      <c r="G3" s="252"/>
      <c r="H3" s="35" t="s">
        <v>2</v>
      </c>
      <c r="I3" s="35" t="s">
        <v>3</v>
      </c>
    </row>
    <row r="4" spans="1:54" x14ac:dyDescent="0.2">
      <c r="B4" s="245"/>
      <c r="C4" s="250" t="s">
        <v>4</v>
      </c>
      <c r="D4" s="251"/>
      <c r="E4" s="251"/>
      <c r="F4" s="251"/>
      <c r="G4" s="252"/>
      <c r="H4" s="35" t="s">
        <v>5</v>
      </c>
      <c r="I4" s="36" t="s">
        <v>6</v>
      </c>
    </row>
    <row r="5" spans="1:54" ht="60" customHeight="1" x14ac:dyDescent="0.2">
      <c r="B5" s="246"/>
      <c r="C5" s="253" t="s">
        <v>7</v>
      </c>
      <c r="D5" s="254"/>
      <c r="E5" s="254"/>
      <c r="F5" s="254"/>
      <c r="G5" s="255"/>
      <c r="H5" s="35" t="s">
        <v>8</v>
      </c>
      <c r="I5" s="37">
        <v>46073</v>
      </c>
    </row>
    <row r="7" spans="1:54" ht="22.5" customHeight="1" x14ac:dyDescent="0.2">
      <c r="A7" s="13"/>
      <c r="B7" s="256" t="s">
        <v>9</v>
      </c>
      <c r="C7" s="257"/>
      <c r="D7" s="230"/>
      <c r="E7" s="231"/>
      <c r="F7" s="231"/>
      <c r="G7" s="232"/>
      <c r="H7" s="38"/>
      <c r="I7" s="39"/>
      <c r="J7" s="40"/>
      <c r="K7" s="40"/>
      <c r="L7" s="12"/>
      <c r="M7" s="12"/>
      <c r="N7" s="12"/>
      <c r="O7" s="12"/>
      <c r="P7" s="12"/>
      <c r="Q7" s="12"/>
      <c r="R7" s="12"/>
      <c r="S7" s="12"/>
      <c r="T7" s="41"/>
      <c r="U7" s="42"/>
      <c r="V7" s="42"/>
      <c r="W7" s="258"/>
      <c r="X7" s="258"/>
      <c r="Y7" s="258"/>
      <c r="Z7" s="258"/>
      <c r="AA7" s="258"/>
      <c r="AB7" s="258"/>
      <c r="AC7" s="258"/>
      <c r="AD7" s="258"/>
      <c r="AE7" s="258"/>
      <c r="AF7" s="13"/>
      <c r="AG7" s="234"/>
      <c r="AH7" s="152"/>
      <c r="AI7" s="233"/>
      <c r="AJ7" s="152"/>
      <c r="AK7" s="152"/>
      <c r="AL7" s="152"/>
      <c r="AM7" s="152"/>
      <c r="AN7" s="13"/>
      <c r="AO7" s="234"/>
      <c r="AP7" s="152"/>
      <c r="AQ7" s="152"/>
      <c r="AR7" s="44"/>
      <c r="AS7" s="45"/>
      <c r="AT7" s="45"/>
      <c r="AU7" s="45"/>
      <c r="AV7" s="45"/>
      <c r="AW7" s="45"/>
      <c r="AX7" s="45"/>
      <c r="AY7" s="12"/>
      <c r="AZ7" s="13"/>
      <c r="BA7" s="13"/>
      <c r="BB7" s="13"/>
    </row>
    <row r="8" spans="1:54" ht="21.75" customHeight="1" x14ac:dyDescent="0.2">
      <c r="A8" s="13"/>
      <c r="B8" s="235" t="s">
        <v>10</v>
      </c>
      <c r="C8" s="236"/>
      <c r="D8" s="223"/>
      <c r="E8" s="224"/>
      <c r="F8" s="224"/>
      <c r="G8" s="225"/>
      <c r="H8" s="11"/>
      <c r="I8" s="11"/>
      <c r="J8" s="11"/>
      <c r="K8" s="11"/>
      <c r="L8" s="12"/>
      <c r="M8" s="12"/>
      <c r="N8" s="12"/>
      <c r="O8" s="12"/>
      <c r="P8" s="12"/>
      <c r="Q8" s="12"/>
      <c r="R8" s="12"/>
      <c r="S8" s="237" t="s">
        <v>11</v>
      </c>
      <c r="T8" s="238"/>
      <c r="U8" s="13"/>
      <c r="V8" s="13"/>
      <c r="W8" s="239" t="s">
        <v>12</v>
      </c>
      <c r="X8" s="239"/>
      <c r="Y8" s="239"/>
      <c r="Z8" s="239"/>
      <c r="AA8" s="239"/>
      <c r="AB8" s="240"/>
      <c r="AC8" s="152"/>
      <c r="AD8" s="241" t="s">
        <v>13</v>
      </c>
      <c r="AE8" s="241"/>
      <c r="AF8" s="241"/>
      <c r="AG8" s="241"/>
      <c r="AH8" s="241"/>
      <c r="AI8" s="12"/>
      <c r="AJ8" s="12"/>
      <c r="AK8" s="242" t="s">
        <v>14</v>
      </c>
      <c r="AL8" s="243"/>
      <c r="AM8" s="243"/>
      <c r="AN8" s="243"/>
      <c r="AO8" s="243"/>
      <c r="AP8" s="243"/>
      <c r="AQ8" s="243"/>
      <c r="AR8" s="243"/>
      <c r="AS8" s="183"/>
      <c r="AT8" s="183"/>
      <c r="AU8" s="183"/>
      <c r="AV8" s="183"/>
      <c r="AW8" s="183"/>
      <c r="AX8" s="183"/>
      <c r="AY8" s="183"/>
      <c r="AZ8" s="183"/>
      <c r="BA8" s="183"/>
      <c r="BB8" s="183"/>
    </row>
    <row r="9" spans="1:54" ht="20.25" customHeight="1" x14ac:dyDescent="0.2">
      <c r="A9" s="13"/>
      <c r="B9" s="228" t="s">
        <v>15</v>
      </c>
      <c r="C9" s="229"/>
      <c r="D9" s="230"/>
      <c r="E9" s="231"/>
      <c r="F9" s="231"/>
      <c r="G9" s="232"/>
      <c r="H9" s="13"/>
      <c r="I9" s="13"/>
      <c r="J9" s="12"/>
      <c r="K9" s="12"/>
      <c r="L9" s="12"/>
      <c r="M9" s="12"/>
      <c r="N9" s="12"/>
      <c r="O9" s="12"/>
      <c r="P9" s="12"/>
      <c r="Q9" s="12"/>
      <c r="R9" s="12"/>
      <c r="S9" s="46" t="s">
        <v>16</v>
      </c>
      <c r="T9" s="114">
        <f>COUNTIFS(TablaDiciembre[TIPO DISCAPACIDAD], S9)</f>
      </c>
      <c r="U9" s="13"/>
      <c r="V9" s="13"/>
      <c r="W9" s="164" t="s">
        <v>17</v>
      </c>
      <c r="X9" s="164"/>
      <c r="Y9" s="164"/>
      <c r="Z9" s="147">
        <f>COUNTIFS(TablaDiciembre[ORI. SEXUAL], W9)</f>
      </c>
      <c r="AA9" s="148"/>
      <c r="AB9" s="13"/>
      <c r="AC9" s="13"/>
      <c r="AD9" s="164" t="s">
        <v>18</v>
      </c>
      <c r="AE9" s="164"/>
      <c r="AF9" s="164"/>
      <c r="AG9" s="165">
        <f>COUNTIFS(TablaDiciembre[[ETNIA ]], AD9)</f>
      </c>
      <c r="AH9" s="165"/>
      <c r="AI9" s="12"/>
      <c r="AJ9" s="12"/>
      <c r="AK9" s="226">
        <v>1</v>
      </c>
      <c r="AL9" s="226"/>
      <c r="AM9" s="202">
        <f>COUNTIFS(TablaDiciembre[[ COMUNA]], AK9)</f>
      </c>
      <c r="AN9" s="202"/>
      <c r="AO9" s="227">
        <v>3</v>
      </c>
      <c r="AP9" s="227"/>
      <c r="AQ9" s="218">
        <f>COUNTIFS(TablaDiciembre[[ COMUNA]], AO9)</f>
      </c>
      <c r="AR9" s="218"/>
      <c r="AS9" s="183"/>
      <c r="AT9" s="183"/>
      <c r="AU9" s="183"/>
      <c r="AV9" s="183"/>
      <c r="AW9" s="183"/>
      <c r="AX9" s="183"/>
      <c r="AY9" s="183"/>
      <c r="AZ9" s="183"/>
      <c r="BA9" s="183"/>
      <c r="BB9" s="183"/>
    </row>
    <row r="10" spans="1:54" ht="21.75" customHeight="1" x14ac:dyDescent="0.2">
      <c r="A10" s="13"/>
      <c r="B10" s="221" t="s">
        <v>19</v>
      </c>
      <c r="C10" s="222"/>
      <c r="D10" s="223"/>
      <c r="E10" s="224"/>
      <c r="F10" s="224"/>
      <c r="G10" s="225"/>
      <c r="H10" s="13"/>
      <c r="I10" s="13"/>
      <c r="J10" s="12"/>
      <c r="K10" s="12"/>
      <c r="L10" s="12"/>
      <c r="M10" s="12"/>
      <c r="N10" s="12"/>
      <c r="O10" s="12"/>
      <c r="P10" s="12"/>
      <c r="Q10" s="12"/>
      <c r="R10" s="12"/>
      <c r="S10" s="47" t="s">
        <v>20</v>
      </c>
      <c r="T10" s="115">
        <f>COUNTIFS(TablaDiciembre[TIPO DISCAPACIDAD], S10)</f>
      </c>
      <c r="U10" s="13"/>
      <c r="V10" s="13"/>
      <c r="W10" s="164" t="s">
        <v>21</v>
      </c>
      <c r="X10" s="164"/>
      <c r="Y10" s="164"/>
      <c r="Z10" s="147">
        <f>COUNTIFS(TablaDiciembre[ORI. SEXUAL], W10)</f>
      </c>
      <c r="AA10" s="148"/>
      <c r="AB10" s="13"/>
      <c r="AC10" s="13"/>
      <c r="AD10" s="164" t="s">
        <v>22</v>
      </c>
      <c r="AE10" s="164"/>
      <c r="AF10" s="164"/>
      <c r="AG10" s="165">
        <f>COUNTIFS(TablaDiciembre[[ETNIA ]], AD10)</f>
      </c>
      <c r="AH10" s="165"/>
      <c r="AI10" s="12"/>
      <c r="AJ10" s="12"/>
      <c r="AK10" s="226">
        <v>2</v>
      </c>
      <c r="AL10" s="226"/>
      <c r="AM10" s="202">
        <f>COUNTIFS(TablaDiciembre[[ COMUNA]], AK10)</f>
      </c>
      <c r="AN10" s="202"/>
      <c r="AO10" s="227">
        <v>4</v>
      </c>
      <c r="AP10" s="227"/>
      <c r="AQ10" s="218">
        <f>COUNTIFS(TablaDiciembre[[ COMUNA]], AO10)</f>
      </c>
      <c r="AR10" s="218"/>
      <c r="AS10" s="183"/>
      <c r="AT10" s="183"/>
      <c r="AU10" s="183"/>
      <c r="AV10" s="183"/>
      <c r="AW10" s="183"/>
      <c r="AX10" s="183"/>
      <c r="AY10" s="183"/>
      <c r="AZ10" s="183"/>
      <c r="BA10" s="183"/>
      <c r="BB10" s="183"/>
    </row>
    <row r="11" spans="1:54" ht="26.25" customHeight="1" x14ac:dyDescent="0.2">
      <c r="A11" s="13"/>
      <c r="B11" s="13"/>
      <c r="C11" s="33"/>
      <c r="D11" s="33"/>
      <c r="E11" s="33"/>
      <c r="F11" s="33"/>
      <c r="G11" s="33"/>
      <c r="H11" s="33"/>
      <c r="I11" s="33"/>
      <c r="J11" s="33"/>
      <c r="K11" s="33"/>
      <c r="L11" s="12"/>
      <c r="M11" s="12"/>
      <c r="N11" s="12"/>
      <c r="O11" s="12"/>
      <c r="P11" s="12"/>
      <c r="Q11" s="12"/>
      <c r="R11" s="12"/>
      <c r="S11" s="47" t="s">
        <v>23</v>
      </c>
      <c r="T11" s="115">
        <f>COUNTIFS(TablaDiciembre[TIPO DISCAPACIDAD], S11)</f>
      </c>
      <c r="U11" s="13"/>
      <c r="V11" s="13"/>
      <c r="W11" s="164" t="s">
        <v>24</v>
      </c>
      <c r="X11" s="164"/>
      <c r="Y11" s="164"/>
      <c r="Z11" s="147">
        <f>COUNTIFS(TablaDiciembre[ORI. SEXUAL], W11)</f>
      </c>
      <c r="AA11" s="148"/>
      <c r="AB11" s="13"/>
      <c r="AC11" s="13"/>
      <c r="AD11" s="164" t="s">
        <v>25</v>
      </c>
      <c r="AE11" s="164"/>
      <c r="AF11" s="164"/>
      <c r="AG11" s="165">
        <f>COUNTIFS(TablaDiciembre[[ETNIA ]], AD11)</f>
      </c>
      <c r="AH11" s="165"/>
      <c r="AI11" s="13"/>
      <c r="AJ11" s="13"/>
      <c r="AK11" s="201" t="s">
        <v>26</v>
      </c>
      <c r="AL11" s="201"/>
      <c r="AM11" s="202">
        <f>COUNTIFS(TablaDiciembre[[ COMUNA]], AK11)</f>
      </c>
      <c r="AN11" s="202"/>
      <c r="AO11" s="219" t="s">
        <v>27</v>
      </c>
      <c r="AP11" s="219"/>
      <c r="AQ11" s="218">
        <f>COUNTIFS(TablaDiciembre[[ COMUNA]], AO11)</f>
      </c>
      <c r="AR11" s="218"/>
      <c r="AS11" s="220"/>
      <c r="AT11" s="220"/>
      <c r="AU11" s="220"/>
      <c r="AV11" s="220"/>
      <c r="AW11" s="220"/>
      <c r="AX11" s="220"/>
      <c r="AY11" s="220"/>
      <c r="AZ11" s="220"/>
      <c r="BA11" s="220"/>
      <c r="BB11" s="220"/>
    </row>
    <row r="12" spans="1:54" ht="26.25" customHeight="1" thickBot="1" x14ac:dyDescent="0.25">
      <c r="A12" s="13"/>
      <c r="B12" s="195" t="s">
        <v>28</v>
      </c>
      <c r="C12" s="198" t="s">
        <v>29</v>
      </c>
      <c r="D12" s="199"/>
      <c r="E12" s="199"/>
      <c r="F12" s="199"/>
      <c r="G12" s="199"/>
      <c r="H12" s="199"/>
      <c r="I12" s="200"/>
      <c r="L12" s="12"/>
      <c r="M12" s="12"/>
      <c r="N12" s="12"/>
      <c r="O12" s="12"/>
      <c r="P12" s="12"/>
      <c r="Q12" s="12"/>
      <c r="R12" s="12"/>
      <c r="S12" s="48" t="s">
        <v>30</v>
      </c>
      <c r="T12" s="115">
        <f>COUNTIFS(TablaDiciembre[TIPO DISCAPACIDAD], S12)</f>
      </c>
      <c r="U12" s="13"/>
      <c r="V12" s="13"/>
      <c r="W12" s="164" t="s">
        <v>31</v>
      </c>
      <c r="X12" s="164"/>
      <c r="Y12" s="164"/>
      <c r="Z12" s="147">
        <f>COUNTIFS(TablaDiciembre[ORI. SEXUAL], W12)</f>
      </c>
      <c r="AA12" s="148"/>
      <c r="AB12" s="13"/>
      <c r="AC12" s="13"/>
      <c r="AD12" s="164" t="s">
        <v>32</v>
      </c>
      <c r="AE12" s="164"/>
      <c r="AF12" s="164"/>
      <c r="AG12" s="165">
        <f>COUNTIFS(TablaDiciembre[[ETNIA ]], AD12)</f>
      </c>
      <c r="AH12" s="165"/>
      <c r="AI12" s="49"/>
      <c r="AJ12" s="49"/>
      <c r="AK12" s="201" t="s">
        <v>33</v>
      </c>
      <c r="AL12" s="201"/>
      <c r="AM12" s="202">
        <f>COUNTIFS(TablaDiciembre[[ COMUNA]], AK12)</f>
      </c>
      <c r="AN12" s="202"/>
      <c r="AO12" s="180"/>
      <c r="AP12" s="180"/>
      <c r="AQ12" s="183"/>
      <c r="AR12" s="183"/>
      <c r="AS12" s="220"/>
      <c r="AT12" s="220"/>
      <c r="AU12" s="220"/>
      <c r="AV12" s="220"/>
      <c r="AW12" s="220"/>
      <c r="AX12" s="220"/>
      <c r="AY12" s="220"/>
      <c r="AZ12" s="220"/>
      <c r="BA12" s="220"/>
      <c r="BB12" s="220"/>
    </row>
    <row r="13" spans="1:54" ht="29.25" customHeight="1" thickBot="1" x14ac:dyDescent="0.25">
      <c r="B13" s="196"/>
      <c r="C13" s="50" t="s">
        <v>34</v>
      </c>
      <c r="D13" s="51" t="s">
        <v>35</v>
      </c>
      <c r="E13" s="51" t="s">
        <v>36</v>
      </c>
      <c r="F13" s="203" t="s">
        <v>37</v>
      </c>
      <c r="G13" s="204"/>
      <c r="H13" s="52" t="s">
        <v>38</v>
      </c>
      <c r="I13" s="53" t="s">
        <v>39</v>
      </c>
      <c r="K13" s="54"/>
      <c r="L13" s="55"/>
      <c r="M13" s="12"/>
      <c r="N13" s="12"/>
      <c r="O13" s="205" t="s">
        <v>40</v>
      </c>
      <c r="P13" s="206"/>
      <c r="Q13" s="207"/>
      <c r="R13" s="56"/>
      <c r="S13" s="57" t="s">
        <v>41</v>
      </c>
      <c r="T13" s="115">
        <f>COUNTIFS(TablaDiciembre[TIPO DISCAPACIDAD], S13)</f>
      </c>
      <c r="U13" s="56"/>
      <c r="V13" s="56"/>
      <c r="W13" s="160" t="s">
        <v>42</v>
      </c>
      <c r="X13" s="160"/>
      <c r="Y13" s="160"/>
      <c r="Z13" s="147">
        <f>COUNTIFS(TablaDiciembre[ORI. SEXUAL], W13)</f>
      </c>
      <c r="AA13" s="148"/>
      <c r="AB13" s="58"/>
      <c r="AC13" s="59"/>
      <c r="AD13" s="208" t="s">
        <v>43</v>
      </c>
      <c r="AE13" s="208"/>
      <c r="AF13" s="208"/>
      <c r="AG13" s="165">
        <f>COUNTIFS(TablaDiciembre[[ETNIA ]], AD13)</f>
      </c>
      <c r="AH13" s="165"/>
      <c r="AI13" s="56"/>
      <c r="AJ13" s="56"/>
      <c r="AK13" s="209"/>
      <c r="AL13" s="209"/>
      <c r="AM13" s="182"/>
      <c r="AN13" s="182"/>
      <c r="AO13" s="180"/>
      <c r="AP13" s="180"/>
      <c r="AQ13" s="183"/>
      <c r="AR13" s="183"/>
      <c r="AS13" s="220"/>
      <c r="AT13" s="220"/>
      <c r="AU13" s="220"/>
      <c r="AV13" s="220"/>
      <c r="AW13" s="220"/>
      <c r="AX13" s="220"/>
      <c r="AY13" s="220"/>
      <c r="AZ13" s="220"/>
      <c r="BA13" s="220"/>
      <c r="BB13" s="220"/>
    </row>
    <row r="14" spans="1:54" ht="19.5" customHeight="1" thickBot="1" x14ac:dyDescent="0.25">
      <c r="A14" s="13"/>
      <c r="B14" s="196"/>
      <c r="C14" s="210"/>
      <c r="D14" s="210"/>
      <c r="E14" s="8"/>
      <c r="F14" s="212"/>
      <c r="G14" s="213"/>
      <c r="H14" s="210"/>
      <c r="I14" s="210"/>
      <c r="K14" s="216" t="s">
        <v>44</v>
      </c>
      <c r="L14" s="184">
        <f>COUNTIFS(TablaDiciembre[SEXO], K14)</f>
      </c>
      <c r="M14" s="12"/>
      <c r="N14" s="12"/>
      <c r="O14" s="158" t="s">
        <v>45</v>
      </c>
      <c r="P14" s="159"/>
      <c r="Q14" s="116">
        <f>COUNTIFS(TablaDiciembre[EDAD], "&lt;6")</f>
      </c>
      <c r="R14" s="56"/>
      <c r="S14" s="47" t="s">
        <v>46</v>
      </c>
      <c r="T14" s="115">
        <f>COUNTIFS(TablaDiciembre[TIPO DISCAPACIDAD], S14)</f>
      </c>
      <c r="U14" s="60"/>
      <c r="V14" s="56"/>
      <c r="W14" s="160" t="s">
        <v>47</v>
      </c>
      <c r="X14" s="160"/>
      <c r="Y14" s="160"/>
      <c r="Z14" s="147">
        <f>COUNTIFS(TablaDiciembre[ORI. SEXUAL], W14)</f>
      </c>
      <c r="AA14" s="148"/>
      <c r="AB14" s="13"/>
      <c r="AC14" s="13"/>
      <c r="AD14" s="164" t="s">
        <v>48</v>
      </c>
      <c r="AE14" s="164"/>
      <c r="AF14" s="164"/>
      <c r="AG14" s="165">
        <f>COUNTIFS(TablaDiciembre[[ETNIA ]], AD14)</f>
      </c>
      <c r="AH14" s="165"/>
      <c r="AI14" s="56"/>
      <c r="AJ14" s="56"/>
      <c r="AK14" s="194"/>
      <c r="AL14" s="194"/>
      <c r="AM14" s="182"/>
      <c r="AN14" s="182"/>
      <c r="AO14" s="180"/>
      <c r="AP14" s="180"/>
      <c r="AQ14" s="183"/>
      <c r="AR14" s="183"/>
      <c r="AV14" s="151"/>
      <c r="AW14" s="152"/>
      <c r="BB14" s="13"/>
    </row>
    <row r="15" spans="1:54" ht="19.5" customHeight="1" thickBot="1" x14ac:dyDescent="0.25">
      <c r="A15" s="13"/>
      <c r="B15" s="196"/>
      <c r="C15" s="211"/>
      <c r="D15" s="211"/>
      <c r="E15" s="9"/>
      <c r="F15" s="214"/>
      <c r="G15" s="215"/>
      <c r="H15" s="211"/>
      <c r="I15" s="211"/>
      <c r="K15" s="217"/>
      <c r="L15" s="185"/>
      <c r="M15" s="12"/>
      <c r="N15" s="12"/>
      <c r="O15" s="192" t="s">
        <v>49</v>
      </c>
      <c r="P15" s="193"/>
      <c r="Q15" s="116">
        <f>COUNTIFS(TablaDiciembre[EDAD], "&gt;5", TablaDiciembre[EDAD], "&lt;11")</f>
      </c>
      <c r="R15" s="56"/>
      <c r="S15" s="57" t="s">
        <v>50</v>
      </c>
      <c r="T15" s="115">
        <f>COUNTIFS(TablaDiciembre[TIPO DISCAPACIDAD], S15)</f>
      </c>
      <c r="U15" s="60"/>
      <c r="V15" s="56"/>
      <c r="W15" s="160" t="s">
        <v>51</v>
      </c>
      <c r="X15" s="160"/>
      <c r="Y15" s="160"/>
      <c r="Z15" s="147">
        <f>COUNTIFS(TablaDiciembre[ORI. SEXUAL], W15)</f>
      </c>
      <c r="AA15" s="148"/>
      <c r="AB15" s="58"/>
      <c r="AC15" s="59"/>
      <c r="AD15" s="179" t="s">
        <v>52</v>
      </c>
      <c r="AE15" s="179"/>
      <c r="AF15" s="179"/>
      <c r="AG15" s="165">
        <f>COUNTIFS(TablaDiciembre[[ETNIA ]], AD15)</f>
      </c>
      <c r="AH15" s="165"/>
      <c r="AI15" s="56"/>
      <c r="AJ15" s="56"/>
      <c r="AK15" s="180"/>
      <c r="AL15" s="181"/>
      <c r="AM15" s="182"/>
      <c r="AN15" s="182"/>
      <c r="AO15" s="180"/>
      <c r="AP15" s="180"/>
      <c r="AQ15" s="183"/>
      <c r="AR15" s="183"/>
      <c r="AV15" s="151"/>
      <c r="AW15" s="152"/>
      <c r="AX15" s="186" t="s">
        <v>53</v>
      </c>
      <c r="AY15" s="186"/>
      <c r="AZ15" s="186"/>
      <c r="BA15" s="186"/>
      <c r="BB15" s="13"/>
    </row>
    <row r="16" spans="1:54" ht="19.5" customHeight="1" thickBot="1" x14ac:dyDescent="0.25">
      <c r="A16" s="13"/>
      <c r="B16" s="196"/>
      <c r="C16" s="187" t="s">
        <v>54</v>
      </c>
      <c r="D16" s="188"/>
      <c r="E16" s="188"/>
      <c r="F16" s="188"/>
      <c r="G16" s="188"/>
      <c r="H16" s="188"/>
      <c r="I16" s="189"/>
      <c r="K16" s="190" t="s">
        <v>55</v>
      </c>
      <c r="L16" s="184">
        <f>COUNTIFS(TablaDiciembre[SEXO], K16)</f>
      </c>
      <c r="M16" s="12"/>
      <c r="N16" s="12"/>
      <c r="O16" s="158" t="s">
        <v>56</v>
      </c>
      <c r="P16" s="159"/>
      <c r="Q16" s="116">
        <f>COUNTIFS(TablaDiciembre[EDAD], "&gt;10", TablaDiciembre[EDAD], "&lt;15")</f>
      </c>
      <c r="R16" s="56"/>
      <c r="S16" s="47" t="s">
        <v>57</v>
      </c>
      <c r="T16" s="115">
        <f>COUNTIFS(TablaDiciembre[TIPO DISCAPACIDAD], S16)</f>
      </c>
      <c r="U16" s="60"/>
      <c r="V16" s="56"/>
      <c r="W16" s="160" t="s">
        <v>58</v>
      </c>
      <c r="X16" s="160"/>
      <c r="Y16" s="160"/>
      <c r="Z16" s="147">
        <f>COUNTIFS(TablaDiciembre[ORI. SEXUAL], W16)</f>
      </c>
      <c r="AA16" s="148"/>
      <c r="AB16" s="58"/>
      <c r="AC16" s="59"/>
      <c r="AD16" s="179" t="s">
        <v>59</v>
      </c>
      <c r="AE16" s="179"/>
      <c r="AF16" s="179"/>
      <c r="AG16" s="165">
        <f>COUNTIFS(TablaDiciembre[[ETNIA ]], AD16)</f>
      </c>
      <c r="AH16" s="165"/>
      <c r="AI16" s="56"/>
      <c r="AJ16" s="56"/>
      <c r="AK16" s="180"/>
      <c r="AL16" s="180"/>
      <c r="AM16" s="181"/>
      <c r="AN16" s="181"/>
      <c r="AO16" s="56"/>
      <c r="AP16" s="56"/>
      <c r="AQ16" s="33"/>
      <c r="AV16" s="151"/>
      <c r="AW16" s="152"/>
      <c r="AX16" s="186"/>
      <c r="AY16" s="186"/>
      <c r="AZ16" s="186"/>
      <c r="BA16" s="186"/>
      <c r="BB16" s="13"/>
    </row>
    <row r="17" spans="1:54" ht="19.5" customHeight="1" thickBot="1" x14ac:dyDescent="0.25">
      <c r="A17" s="13"/>
      <c r="B17" s="196"/>
      <c r="C17" s="175" t="s">
        <v>60</v>
      </c>
      <c r="D17" s="176"/>
      <c r="E17" s="175" t="s">
        <v>61</v>
      </c>
      <c r="F17" s="177"/>
      <c r="G17" s="176"/>
      <c r="H17" s="175" t="s">
        <v>62</v>
      </c>
      <c r="I17" s="176"/>
      <c r="K17" s="191"/>
      <c r="L17" s="185"/>
      <c r="M17" s="12"/>
      <c r="N17" s="12"/>
      <c r="O17" s="158" t="s">
        <v>63</v>
      </c>
      <c r="P17" s="159"/>
      <c r="Q17" s="116">
        <f>COUNTIFS(TablaDiciembre[EDAD], "&gt;14", TablaDiciembre[EDAD], "&lt;20")</f>
      </c>
      <c r="R17" s="56"/>
      <c r="S17" s="57" t="s">
        <v>64</v>
      </c>
      <c r="T17" s="115">
        <f>COUNTIFS(TablaDiciembre[TIPO DISCAPACIDAD], S17)</f>
      </c>
      <c r="U17" s="61"/>
      <c r="V17" s="60"/>
      <c r="W17" s="178" t="s">
        <v>65</v>
      </c>
      <c r="X17" s="178"/>
      <c r="Y17" s="178"/>
      <c r="Z17" s="147">
        <f>COUNTIFS(TablaDiciembre[ORI. SEXUAL], W17)</f>
      </c>
      <c r="AA17" s="148"/>
      <c r="AB17" s="13"/>
      <c r="AC17" s="13"/>
      <c r="AD17" s="164" t="s">
        <v>66</v>
      </c>
      <c r="AE17" s="164"/>
      <c r="AF17" s="164"/>
      <c r="AG17" s="165">
        <f>COUNTIFS(TablaDiciembre[[ETNIA ]], AD17)</f>
      </c>
      <c r="AH17" s="165"/>
      <c r="AI17" s="56"/>
      <c r="AJ17" s="56"/>
      <c r="AK17" s="56"/>
      <c r="AL17" s="56"/>
      <c r="AM17" s="56"/>
      <c r="AN17" s="149"/>
      <c r="AO17" s="150"/>
      <c r="AP17" s="150"/>
      <c r="AQ17" s="33"/>
      <c r="AV17" s="151"/>
      <c r="AW17" s="152"/>
      <c r="AX17" s="166" t="s">
        <v>67</v>
      </c>
      <c r="AY17" s="167"/>
      <c r="AZ17" s="168"/>
      <c r="BA17" s="62" t="s">
        <v>68</v>
      </c>
      <c r="BB17" s="13"/>
    </row>
    <row r="18" spans="1:54" ht="19.5" customHeight="1" thickBot="1" x14ac:dyDescent="0.25">
      <c r="A18" s="13"/>
      <c r="B18" s="197"/>
      <c r="C18" s="169"/>
      <c r="D18" s="170"/>
      <c r="E18" s="169"/>
      <c r="F18" s="171"/>
      <c r="G18" s="170"/>
      <c r="H18" s="169"/>
      <c r="I18" s="170"/>
      <c r="L18" s="12"/>
      <c r="M18" s="12"/>
      <c r="N18" s="12"/>
      <c r="O18" s="158" t="s">
        <v>69</v>
      </c>
      <c r="P18" s="159"/>
      <c r="Q18" s="116">
        <f>COUNTIFS(TablaDiciembre[EDAD], "&gt;19", TablaDiciembre[EDAD], "&lt;60")</f>
      </c>
      <c r="R18" s="56"/>
      <c r="S18" s="47" t="s">
        <v>70</v>
      </c>
      <c r="T18" s="115">
        <f>COUNTIFS(TablaDiciembre[TIPO DISCAPACIDAD], S18)</f>
      </c>
      <c r="U18" s="60"/>
      <c r="V18" s="56"/>
      <c r="W18" s="172" t="s">
        <v>71</v>
      </c>
      <c r="X18" s="173"/>
      <c r="Y18" s="174"/>
      <c r="Z18" s="147">
        <f>COUNTIFS(TablaDiciembre[ORI. SEXUAL], W18)</f>
      </c>
      <c r="AA18" s="148"/>
      <c r="AB18" s="13"/>
      <c r="AC18" s="13"/>
      <c r="AD18" s="13"/>
      <c r="AE18" s="13"/>
      <c r="AF18" s="13"/>
      <c r="AG18" s="13"/>
      <c r="AH18" s="60"/>
      <c r="AI18" s="56"/>
      <c r="AJ18" s="56"/>
      <c r="AK18" s="56"/>
      <c r="AL18" s="56"/>
      <c r="AM18" s="56"/>
      <c r="AN18" s="149"/>
      <c r="AO18" s="150"/>
      <c r="AP18" s="150"/>
      <c r="AQ18" s="33"/>
      <c r="AV18" s="151"/>
      <c r="AW18" s="152"/>
      <c r="AX18" s="153" t="s">
        <v>72</v>
      </c>
      <c r="AY18" s="154"/>
      <c r="AZ18" s="155"/>
      <c r="BA18" s="63" t="s">
        <v>73</v>
      </c>
      <c r="BB18" s="13"/>
    </row>
    <row r="19" spans="1:54" ht="19.5" customHeight="1" thickBot="1" x14ac:dyDescent="0.25">
      <c r="A19" s="13"/>
      <c r="B19" s="64"/>
      <c r="C19" s="43"/>
      <c r="D19" s="43"/>
      <c r="E19" s="43"/>
      <c r="F19" s="65"/>
      <c r="G19" s="66"/>
      <c r="H19" s="66"/>
      <c r="I19" s="66"/>
      <c r="J19" s="66"/>
      <c r="K19" s="156" t="s">
        <v>74</v>
      </c>
      <c r="L19" s="157"/>
      <c r="M19" s="12"/>
      <c r="N19" s="12"/>
      <c r="O19" s="158" t="s">
        <v>75</v>
      </c>
      <c r="P19" s="159"/>
      <c r="Q19" s="116">
        <f>COUNTIFS(TablaDiciembre[EDAD], "&gt;59")</f>
      </c>
      <c r="R19" s="56"/>
      <c r="U19" s="60"/>
      <c r="V19" s="56"/>
      <c r="W19" s="160" t="s">
        <v>66</v>
      </c>
      <c r="X19" s="160"/>
      <c r="Y19" s="160"/>
      <c r="Z19" s="147">
        <f>COUNTIFS(TablaDiciembre[ORI. SEXUAL], W19)</f>
      </c>
      <c r="AA19" s="148"/>
      <c r="AB19" s="13"/>
      <c r="AC19" s="13"/>
      <c r="AD19" s="13"/>
      <c r="AE19" s="13"/>
      <c r="AF19" s="13"/>
      <c r="AG19" s="13"/>
      <c r="AH19" s="67"/>
      <c r="AI19" s="68"/>
      <c r="AJ19" s="68" t="s">
        <v>76</v>
      </c>
      <c r="AK19" s="68"/>
      <c r="AL19" s="68"/>
      <c r="AM19" s="68"/>
      <c r="AN19" s="68"/>
      <c r="AO19" s="68"/>
      <c r="AP19" s="68"/>
      <c r="AQ19" s="33"/>
      <c r="AV19" s="151"/>
      <c r="AW19" s="152"/>
      <c r="AX19" s="161" t="s">
        <v>77</v>
      </c>
      <c r="AY19" s="162"/>
      <c r="AZ19" s="163"/>
      <c r="BA19" s="69" t="s">
        <v>78</v>
      </c>
      <c r="BB19" s="13"/>
    </row>
    <row r="20" spans="1:54" ht="20.25" customHeight="1" thickBot="1" x14ac:dyDescent="0.25">
      <c r="A20" s="13"/>
      <c r="B20" s="33"/>
      <c r="C20" s="33"/>
      <c r="D20" s="33"/>
      <c r="E20" s="33"/>
      <c r="F20" s="65"/>
      <c r="G20" s="66"/>
      <c r="H20" s="66"/>
      <c r="I20" s="66"/>
      <c r="J20" s="66"/>
      <c r="K20" s="70" t="s">
        <v>79</v>
      </c>
      <c r="L20" s="117">
        <f>COUNTIF(TablaDiciembre[VICTIMA CONF. ARMADO], K20)</f>
      </c>
      <c r="M20" s="12"/>
      <c r="N20" s="12"/>
      <c r="O20" s="12"/>
      <c r="P20" s="12"/>
      <c r="Q20" s="12"/>
      <c r="R20" s="12"/>
      <c r="S20" s="12"/>
      <c r="T20" s="3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68"/>
      <c r="AI20" s="68"/>
      <c r="AJ20" s="68"/>
      <c r="AK20" s="68"/>
      <c r="AL20" s="68"/>
      <c r="AM20" s="68"/>
      <c r="AN20" s="68"/>
      <c r="AO20" s="68"/>
      <c r="AP20" s="68"/>
      <c r="AQ20" s="33"/>
      <c r="AR20" s="33"/>
      <c r="AS20" s="33"/>
      <c r="AT20" s="33"/>
      <c r="AU20" s="33"/>
      <c r="AV20" s="33"/>
      <c r="AW20" s="33"/>
      <c r="AX20" s="33"/>
      <c r="AY20" s="33"/>
      <c r="AZ20" s="13"/>
      <c r="BA20" s="13"/>
      <c r="BB20" s="13"/>
    </row>
    <row r="21" spans="1:54" ht="18.75" customHeight="1" thickBot="1" x14ac:dyDescent="0.25">
      <c r="A21" s="13"/>
      <c r="B21" s="13"/>
      <c r="C21" s="33"/>
      <c r="D21" s="33"/>
      <c r="E21" s="33"/>
      <c r="F21" s="33"/>
      <c r="G21" s="33"/>
      <c r="H21" s="33"/>
      <c r="I21" s="33"/>
      <c r="J21" s="33"/>
      <c r="K21" s="71" t="s">
        <v>80</v>
      </c>
      <c r="L21" s="117">
        <f>COUNTIF(TablaDiciembre[VICTIMA CONF. ARMADO], K21)</f>
      </c>
      <c r="M21" s="12"/>
      <c r="N21" s="12"/>
      <c r="O21" s="12"/>
      <c r="P21" s="12"/>
      <c r="Q21" s="12"/>
      <c r="R21" s="12"/>
      <c r="S21" s="12"/>
      <c r="T21" s="33"/>
      <c r="U21" s="135" t="s">
        <v>144</v>
      </c>
      <c r="V21" s="136"/>
      <c r="W21" s="136"/>
      <c r="X21" s="136"/>
      <c r="Y21" s="136"/>
      <c r="Z21" s="136"/>
      <c r="AA21" s="136"/>
      <c r="AB21" s="136"/>
      <c r="AC21" s="136"/>
      <c r="AD21" s="136"/>
      <c r="AE21" s="136"/>
      <c r="AF21" s="136"/>
      <c r="AG21" s="136"/>
      <c r="AH21" s="136"/>
      <c r="AI21" s="136"/>
      <c r="AJ21" s="136"/>
      <c r="AK21" s="136"/>
      <c r="AL21" s="136"/>
      <c r="AM21" s="136"/>
      <c r="AN21" s="136"/>
      <c r="AO21" s="136"/>
      <c r="AP21" s="136"/>
      <c r="AQ21" s="136"/>
      <c r="AR21" s="136"/>
      <c r="AS21" s="136"/>
      <c r="AT21" s="136"/>
      <c r="AU21" s="136"/>
      <c r="AV21" s="136"/>
      <c r="AW21" s="136"/>
      <c r="AX21" s="136"/>
      <c r="AY21" s="137"/>
      <c r="AZ21" s="141" t="s">
        <v>81</v>
      </c>
      <c r="BA21" s="142"/>
      <c r="BB21" s="143"/>
    </row>
    <row r="22" spans="1:54" ht="15" customHeight="1" thickBot="1" x14ac:dyDescent="0.25">
      <c r="A22" s="13"/>
      <c r="B22" s="13"/>
      <c r="C22" s="33"/>
      <c r="D22" s="33"/>
      <c r="E22" s="33"/>
      <c r="F22" s="33"/>
      <c r="G22" s="33"/>
      <c r="H22" s="33"/>
      <c r="I22" s="33"/>
      <c r="J22" s="33"/>
      <c r="K22" s="33"/>
      <c r="L22" s="72"/>
      <c r="M22" s="72"/>
      <c r="N22" s="72"/>
      <c r="O22" s="72"/>
      <c r="P22" s="72"/>
      <c r="Q22" s="12"/>
      <c r="R22" s="12"/>
      <c r="S22" s="12"/>
      <c r="T22" s="73"/>
      <c r="U22" s="138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  <c r="AF22" s="139"/>
      <c r="AG22" s="139"/>
      <c r="AH22" s="139"/>
      <c r="AI22" s="139"/>
      <c r="AJ22" s="139"/>
      <c r="AK22" s="139"/>
      <c r="AL22" s="139"/>
      <c r="AM22" s="139"/>
      <c r="AN22" s="139"/>
      <c r="AO22" s="139"/>
      <c r="AP22" s="139"/>
      <c r="AQ22" s="139"/>
      <c r="AR22" s="139"/>
      <c r="AS22" s="139"/>
      <c r="AT22" s="139"/>
      <c r="AU22" s="139"/>
      <c r="AV22" s="139"/>
      <c r="AW22" s="139"/>
      <c r="AX22" s="139"/>
      <c r="AY22" s="140"/>
      <c r="AZ22" s="144"/>
      <c r="BA22" s="145"/>
      <c r="BB22" s="146"/>
    </row>
    <row r="23" spans="1:54" ht="42" customHeight="1" x14ac:dyDescent="0.2">
      <c r="A23" s="74" t="s">
        <v>82</v>
      </c>
      <c r="B23" s="108" t="s">
        <v>83</v>
      </c>
      <c r="C23" s="108" t="s">
        <v>84</v>
      </c>
      <c r="D23" s="108" t="s">
        <v>85</v>
      </c>
      <c r="E23" s="108" t="s">
        <v>86</v>
      </c>
      <c r="F23" s="109" t="s">
        <v>87</v>
      </c>
      <c r="G23" s="110" t="s">
        <v>88</v>
      </c>
      <c r="H23" s="109" t="s">
        <v>89</v>
      </c>
      <c r="I23" s="111" t="s">
        <v>90</v>
      </c>
      <c r="J23" s="112" t="s">
        <v>91</v>
      </c>
      <c r="K23" s="75" t="s">
        <v>92</v>
      </c>
      <c r="L23" s="76" t="s">
        <v>93</v>
      </c>
      <c r="M23" s="77" t="s">
        <v>94</v>
      </c>
      <c r="N23" s="78" t="s">
        <v>95</v>
      </c>
      <c r="O23" s="79" t="s">
        <v>96</v>
      </c>
      <c r="P23" s="113" t="s">
        <v>97</v>
      </c>
      <c r="Q23" s="80" t="s">
        <v>98</v>
      </c>
      <c r="R23" s="80" t="s">
        <v>99</v>
      </c>
      <c r="S23" s="80" t="s">
        <v>100</v>
      </c>
      <c r="T23" s="81" t="s">
        <v>101</v>
      </c>
      <c r="U23" s="28" t="s">
        <v>102</v>
      </c>
      <c r="V23" s="28" t="s">
        <v>103</v>
      </c>
      <c r="W23" s="27" t="s">
        <v>104</v>
      </c>
      <c r="X23" s="122" t="s">
        <v>105</v>
      </c>
      <c r="Y23" s="26" t="s">
        <v>106</v>
      </c>
      <c r="Z23" s="26" t="s">
        <v>107</v>
      </c>
      <c r="AA23" s="28" t="s">
        <v>108</v>
      </c>
      <c r="AB23" s="28" t="s">
        <v>109</v>
      </c>
      <c r="AC23" s="28" t="s">
        <v>110</v>
      </c>
      <c r="AD23" s="26" t="s">
        <v>111</v>
      </c>
      <c r="AE23" s="122" t="s">
        <v>112</v>
      </c>
      <c r="AF23" s="26" t="s">
        <v>113</v>
      </c>
      <c r="AG23" s="122" t="s">
        <v>114</v>
      </c>
      <c r="AH23" s="26" t="s">
        <v>115</v>
      </c>
      <c r="AI23" s="28" t="s">
        <v>116</v>
      </c>
      <c r="AJ23" s="28" t="s">
        <v>117</v>
      </c>
      <c r="AK23" s="28" t="s">
        <v>118</v>
      </c>
      <c r="AL23" s="122" t="s">
        <v>119</v>
      </c>
      <c r="AM23" s="26" t="s">
        <v>120</v>
      </c>
      <c r="AN23" s="122" t="s">
        <v>121</v>
      </c>
      <c r="AO23" s="122" t="s">
        <v>122</v>
      </c>
      <c r="AP23" s="28" t="s">
        <v>123</v>
      </c>
      <c r="AQ23" s="125" t="s">
        <v>124</v>
      </c>
      <c r="AR23" s="29" t="s">
        <v>125</v>
      </c>
      <c r="AS23" s="123" t="s">
        <v>126</v>
      </c>
      <c r="AT23" s="26" t="s">
        <v>127</v>
      </c>
      <c r="AU23" s="122" t="s">
        <v>128</v>
      </c>
      <c r="AV23" s="122" t="s">
        <v>129</v>
      </c>
      <c r="AW23" s="28" t="s">
        <v>130</v>
      </c>
      <c r="AX23" s="124" t="s">
        <v>131</v>
      </c>
      <c r="AY23" s="122" t="s">
        <v>132</v>
      </c>
      <c r="AZ23" s="82" t="s">
        <v>68</v>
      </c>
      <c r="BA23" s="82" t="s">
        <v>73</v>
      </c>
      <c r="BB23" s="83" t="s">
        <v>78</v>
      </c>
    </row>
    <row r="24" spans="1:54" ht="15.75" customHeight="1" x14ac:dyDescent="0.2">
      <c r="A24" s="84"/>
      <c r="B24" s="85"/>
      <c r="C24" s="85"/>
      <c r="D24" s="85"/>
      <c r="E24" s="86"/>
      <c r="F24" s="16">
        <f>IF(E24="","",DATEDIF(E24,$I$7,"Y"))</f>
      </c>
      <c r="G24" s="85"/>
      <c r="H24" s="85"/>
      <c r="I24" s="87"/>
      <c r="J24" s="85"/>
      <c r="K24" s="85"/>
      <c r="L24" s="2"/>
      <c r="M24" s="2"/>
      <c r="N24" s="2"/>
      <c r="O24" s="2"/>
      <c r="P24" s="85"/>
      <c r="Q24" s="88"/>
      <c r="R24" s="3">
        <f>IFERROR(VLOOKUP(TablaDiciembre[[#This Row],[BARRIO]],SECTOR!$A:$B,2,0),"")</f>
      </c>
      <c r="S24" s="89"/>
      <c r="T24" s="90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17">
        <f>COUNTIF(U24:AY24,"A")</f>
      </c>
      <c r="BA24" s="17">
        <f>COUNTIF(U24:AY24,"F")</f>
      </c>
      <c r="BB24" s="17">
        <f>COUNTIF(U24:AY24,"E")</f>
      </c>
    </row>
    <row r="25" spans="1:54" ht="15.75" customHeight="1" x14ac:dyDescent="0.2">
      <c r="A25" s="84"/>
      <c r="B25" s="85"/>
      <c r="C25" s="85"/>
      <c r="D25" s="85"/>
      <c r="E25" s="86"/>
      <c r="F25" s="16">
        <f>IF(E25="","",DATEDIF(E25,$I$7,"Y"))</f>
      </c>
      <c r="G25" s="85"/>
      <c r="H25" s="85"/>
      <c r="I25" s="87"/>
      <c r="J25" s="85"/>
      <c r="K25" s="85"/>
      <c r="L25" s="2"/>
      <c r="M25" s="2"/>
      <c r="N25" s="1"/>
      <c r="O25" s="1"/>
      <c r="P25" s="85"/>
      <c r="Q25" s="88"/>
      <c r="R25" s="3">
        <f>IFERROR(VLOOKUP(TablaDiciembre[[#This Row],[BARRIO]],SECTOR!$A:$B,2,0),"")</f>
      </c>
      <c r="S25" s="89"/>
      <c r="T25" s="90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17">
        <f>COUNTIF(U25:AY25,"A")</f>
      </c>
      <c r="BA25" s="17">
        <f>COUNTIF(U25:AY25,"F")</f>
      </c>
      <c r="BB25" s="17">
        <f>COUNTIF(U25:AY25,"E")</f>
      </c>
    </row>
    <row r="26" spans="1:54" ht="15.75" customHeight="1" x14ac:dyDescent="0.2">
      <c r="A26" s="84"/>
      <c r="B26" s="85"/>
      <c r="C26" s="85"/>
      <c r="D26" s="85"/>
      <c r="E26" s="86"/>
      <c r="F26" s="16">
        <f>IF(E26="","",DATEDIF(E26,$I$7,"Y"))</f>
      </c>
      <c r="G26" s="85"/>
      <c r="H26" s="85"/>
      <c r="I26" s="87"/>
      <c r="J26" s="85"/>
      <c r="K26" s="85"/>
      <c r="L26" s="2"/>
      <c r="M26" s="2"/>
      <c r="N26" s="1"/>
      <c r="O26" s="1"/>
      <c r="P26" s="85"/>
      <c r="Q26" s="88"/>
      <c r="R26" s="3">
        <f>IFERROR(VLOOKUP(TablaDiciembre[[#This Row],[BARRIO]],SECTOR!$A:$B,2,0),"")</f>
      </c>
      <c r="S26" s="89"/>
      <c r="T26" s="90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17">
        <f>COUNTIF(U26:AY26,"A")</f>
      </c>
      <c r="BA26" s="17">
        <f>COUNTIF(U26:AY26,"F")</f>
      </c>
      <c r="BB26" s="17">
        <f>COUNTIF(U26:AY26,"E")</f>
      </c>
    </row>
    <row r="27" spans="1:54" ht="15.75" customHeight="1" x14ac:dyDescent="0.2">
      <c r="A27" s="84"/>
      <c r="B27" s="85"/>
      <c r="C27" s="85"/>
      <c r="D27" s="85"/>
      <c r="E27" s="86"/>
      <c r="F27" s="16">
        <f>IF(E27="","",DATEDIF(E27,$I$7,"Y"))</f>
      </c>
      <c r="G27" s="85"/>
      <c r="H27" s="85"/>
      <c r="I27" s="87"/>
      <c r="J27" s="85"/>
      <c r="K27" s="85"/>
      <c r="L27" s="2"/>
      <c r="M27" s="2"/>
      <c r="N27" s="1"/>
      <c r="O27" s="1"/>
      <c r="P27" s="85"/>
      <c r="Q27" s="88"/>
      <c r="R27" s="3">
        <f>IFERROR(VLOOKUP(TablaDiciembre[[#This Row],[BARRIO]],SECTOR!$A:$B,2,0),"")</f>
      </c>
      <c r="S27" s="89"/>
      <c r="T27" s="90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17">
        <f>COUNTIF(U27:AY27,"A")</f>
      </c>
      <c r="BA27" s="17">
        <f>COUNTIF(U27:AY27,"F")</f>
      </c>
      <c r="BB27" s="17">
        <f>COUNTIF(U27:AY27,"E")</f>
      </c>
    </row>
    <row r="28" spans="1:54" ht="15.75" customHeight="1" x14ac:dyDescent="0.2">
      <c r="A28" s="84"/>
      <c r="B28" s="85"/>
      <c r="C28" s="85"/>
      <c r="D28" s="85"/>
      <c r="E28" s="86"/>
      <c r="F28" s="16">
        <f>IF(E28="","",DATEDIF(E28,$I$7,"Y"))</f>
      </c>
      <c r="G28" s="85"/>
      <c r="H28" s="85"/>
      <c r="I28" s="87"/>
      <c r="J28" s="85"/>
      <c r="K28" s="85"/>
      <c r="L28" s="2"/>
      <c r="M28" s="2"/>
      <c r="N28" s="1"/>
      <c r="O28" s="1"/>
      <c r="P28" s="85"/>
      <c r="Q28" s="88"/>
      <c r="R28" s="3">
        <f>IFERROR(VLOOKUP(TablaDiciembre[[#This Row],[BARRIO]],SECTOR!$A:$B,2,0),"")</f>
      </c>
      <c r="S28" s="89"/>
      <c r="T28" s="90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17">
        <f>COUNTIF(U28:AY28,"A")</f>
      </c>
      <c r="BA28" s="17">
        <f>COUNTIF(U28:AY28,"F")</f>
      </c>
      <c r="BB28" s="17">
        <f>COUNTIF(U28:AY28,"E")</f>
      </c>
    </row>
    <row r="29" spans="1:54" ht="15.75" customHeight="1" x14ac:dyDescent="0.2">
      <c r="A29" s="84"/>
      <c r="B29" s="85"/>
      <c r="C29" s="85"/>
      <c r="D29" s="85"/>
      <c r="E29" s="86"/>
      <c r="F29" s="16">
        <f>IF(E29="","",DATEDIF(E29,$I$7,"Y"))</f>
      </c>
      <c r="G29" s="85"/>
      <c r="H29" s="85"/>
      <c r="I29" s="87"/>
      <c r="J29" s="85"/>
      <c r="K29" s="85"/>
      <c r="L29" s="2"/>
      <c r="M29" s="2"/>
      <c r="N29" s="1"/>
      <c r="O29" s="1"/>
      <c r="P29" s="85"/>
      <c r="Q29" s="88"/>
      <c r="R29" s="3">
        <f>IFERROR(VLOOKUP(TablaDiciembre[[#This Row],[BARRIO]],SECTOR!$A:$B,2,0),"")</f>
      </c>
      <c r="S29" s="89"/>
      <c r="T29" s="90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17">
        <f>COUNTIF(U29:AY29,"A")</f>
      </c>
      <c r="BA29" s="17">
        <f>COUNTIF(U29:AY29,"F")</f>
      </c>
      <c r="BB29" s="17">
        <f>COUNTIF(U29:AY29,"E")</f>
      </c>
    </row>
    <row r="30" spans="1:54" ht="15.75" customHeight="1" x14ac:dyDescent="0.2">
      <c r="A30" s="84"/>
      <c r="B30" s="85"/>
      <c r="C30" s="85"/>
      <c r="D30" s="85"/>
      <c r="E30" s="86"/>
      <c r="F30" s="16">
        <f>IF(E30="","",DATEDIF(E30,$I$7,"Y"))</f>
      </c>
      <c r="G30" s="85"/>
      <c r="H30" s="85"/>
      <c r="I30" s="87"/>
      <c r="J30" s="85"/>
      <c r="K30" s="85"/>
      <c r="L30" s="2"/>
      <c r="M30" s="2"/>
      <c r="N30" s="1"/>
      <c r="O30" s="1"/>
      <c r="P30" s="85"/>
      <c r="Q30" s="88"/>
      <c r="R30" s="3">
        <f>IFERROR(VLOOKUP(TablaDiciembre[[#This Row],[BARRIO]],SECTOR!$A:$B,2,0),"")</f>
      </c>
      <c r="S30" s="89"/>
      <c r="T30" s="90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17">
        <f>COUNTIF(U30:AY30,"A")</f>
      </c>
      <c r="BA30" s="17">
        <f>COUNTIF(U30:AY30,"F")</f>
      </c>
      <c r="BB30" s="17">
        <f>COUNTIF(U30:AY30,"E")</f>
      </c>
    </row>
    <row r="31" spans="1:54" ht="15.75" customHeight="1" x14ac:dyDescent="0.2">
      <c r="A31" s="84"/>
      <c r="B31" s="85"/>
      <c r="C31" s="85"/>
      <c r="D31" s="85"/>
      <c r="E31" s="86"/>
      <c r="F31" s="16">
        <f>IF(E31="","",DATEDIF(E31,$I$7,"Y"))</f>
      </c>
      <c r="G31" s="85"/>
      <c r="H31" s="85"/>
      <c r="I31" s="87"/>
      <c r="J31" s="85"/>
      <c r="K31" s="85"/>
      <c r="L31" s="2"/>
      <c r="M31" s="2"/>
      <c r="N31" s="1"/>
      <c r="O31" s="1"/>
      <c r="P31" s="85"/>
      <c r="Q31" s="88"/>
      <c r="R31" s="3">
        <f>IFERROR(VLOOKUP(TablaDiciembre[[#This Row],[BARRIO]],SECTOR!$A:$B,2,0),"")</f>
      </c>
      <c r="S31" s="89"/>
      <c r="T31" s="90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17">
        <f>COUNTIF(U31:AY31,"A")</f>
      </c>
      <c r="BA31" s="17">
        <f>COUNTIF(U31:AY31,"F")</f>
      </c>
      <c r="BB31" s="17">
        <f>COUNTIF(U31:AY31,"E")</f>
      </c>
    </row>
    <row r="32" spans="1:54" ht="15.75" customHeight="1" x14ac:dyDescent="0.2">
      <c r="A32" s="84"/>
      <c r="B32" s="85"/>
      <c r="C32" s="85"/>
      <c r="D32" s="85"/>
      <c r="E32" s="86"/>
      <c r="F32" s="16">
        <f>IF(E32="","",DATEDIF(E32,$I$7,"Y"))</f>
      </c>
      <c r="G32" s="85"/>
      <c r="H32" s="85"/>
      <c r="I32" s="87"/>
      <c r="J32" s="85"/>
      <c r="K32" s="85"/>
      <c r="L32" s="2"/>
      <c r="M32" s="2"/>
      <c r="N32" s="1"/>
      <c r="O32" s="1"/>
      <c r="P32" s="85"/>
      <c r="Q32" s="88"/>
      <c r="R32" s="3">
        <f>IFERROR(VLOOKUP(TablaDiciembre[[#This Row],[BARRIO]],SECTOR!$A:$B,2,0),"")</f>
      </c>
      <c r="S32" s="89"/>
      <c r="T32" s="90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17">
        <f>COUNTIF(U32:AY32,"A")</f>
      </c>
      <c r="BA32" s="17">
        <f>COUNTIF(U32:AY32,"F")</f>
      </c>
      <c r="BB32" s="17">
        <f>COUNTIF(U32:AY32,"E")</f>
      </c>
    </row>
    <row r="33" spans="1:54" ht="15.75" customHeight="1" x14ac:dyDescent="0.2">
      <c r="A33" s="84"/>
      <c r="B33" s="85"/>
      <c r="C33" s="85"/>
      <c r="D33" s="85"/>
      <c r="E33" s="86"/>
      <c r="F33" s="16">
        <f>IF(E33="","",DATEDIF(E33,$I$7,"Y"))</f>
      </c>
      <c r="G33" s="85"/>
      <c r="H33" s="85"/>
      <c r="I33" s="87"/>
      <c r="J33" s="85"/>
      <c r="K33" s="85"/>
      <c r="L33" s="2"/>
      <c r="M33" s="2"/>
      <c r="N33" s="1"/>
      <c r="O33" s="1"/>
      <c r="P33" s="85"/>
      <c r="Q33" s="88"/>
      <c r="R33" s="3">
        <f>IFERROR(VLOOKUP(TablaDiciembre[[#This Row],[BARRIO]],SECTOR!$A:$B,2,0),"")</f>
      </c>
      <c r="S33" s="89"/>
      <c r="T33" s="90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17">
        <f>COUNTIF(U33:AY33,"A")</f>
      </c>
      <c r="BA33" s="17">
        <f>COUNTIF(U33:AY33,"F")</f>
      </c>
      <c r="BB33" s="17">
        <f>COUNTIF(U33:AY33,"E")</f>
      </c>
    </row>
    <row r="34" spans="1:54" ht="15.75" customHeight="1" x14ac:dyDescent="0.2">
      <c r="A34" s="84"/>
      <c r="B34" s="85"/>
      <c r="C34" s="85"/>
      <c r="D34" s="85"/>
      <c r="E34" s="86"/>
      <c r="F34" s="16">
        <f>IF(E34="","",DATEDIF(E34,$I$7,"Y"))</f>
      </c>
      <c r="G34" s="85"/>
      <c r="H34" s="85"/>
      <c r="I34" s="87"/>
      <c r="J34" s="85"/>
      <c r="K34" s="85"/>
      <c r="L34" s="2"/>
      <c r="M34" s="2"/>
      <c r="N34" s="1"/>
      <c r="O34" s="1"/>
      <c r="P34" s="85"/>
      <c r="Q34" s="88"/>
      <c r="R34" s="3">
        <f>IFERROR(VLOOKUP(TablaDiciembre[[#This Row],[BARRIO]],SECTOR!$A:$B,2,0),"")</f>
      </c>
      <c r="S34" s="89"/>
      <c r="T34" s="90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17">
        <f>COUNTIF(U34:AY34,"A")</f>
      </c>
      <c r="BA34" s="17">
        <f>COUNTIF(U34:AY34,"F")</f>
      </c>
      <c r="BB34" s="17">
        <f>COUNTIF(U34:AY34,"E")</f>
      </c>
    </row>
    <row r="35" spans="1:54" ht="15.75" customHeight="1" x14ac:dyDescent="0.2">
      <c r="A35" s="84"/>
      <c r="B35" s="85"/>
      <c r="C35" s="85"/>
      <c r="D35" s="85"/>
      <c r="E35" s="86"/>
      <c r="F35" s="16">
        <f>IF(E35="","",DATEDIF(E35,$I$7,"Y"))</f>
      </c>
      <c r="G35" s="85"/>
      <c r="H35" s="85"/>
      <c r="I35" s="87"/>
      <c r="J35" s="85"/>
      <c r="K35" s="85"/>
      <c r="L35" s="2"/>
      <c r="M35" s="2"/>
      <c r="N35" s="1"/>
      <c r="O35" s="1"/>
      <c r="P35" s="85"/>
      <c r="Q35" s="88"/>
      <c r="R35" s="3">
        <f>IFERROR(VLOOKUP(TablaDiciembre[[#This Row],[BARRIO]],SECTOR!$A:$B,2,0),"")</f>
      </c>
      <c r="S35" s="89"/>
      <c r="T35" s="90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17">
        <f>COUNTIF(U35:AY35,"A")</f>
      </c>
      <c r="BA35" s="17">
        <f>COUNTIF(U35:AY35,"F")</f>
      </c>
      <c r="BB35" s="17">
        <f>COUNTIF(U35:AY35,"E")</f>
      </c>
    </row>
    <row r="36" spans="1:54" ht="15.75" customHeight="1" x14ac:dyDescent="0.2">
      <c r="A36" s="84"/>
      <c r="B36" s="85"/>
      <c r="C36" s="85"/>
      <c r="D36" s="85"/>
      <c r="E36" s="86"/>
      <c r="F36" s="16">
        <f>IF(E36="","",DATEDIF(E36,$I$7,"Y"))</f>
      </c>
      <c r="G36" s="85"/>
      <c r="H36" s="85"/>
      <c r="I36" s="87"/>
      <c r="J36" s="85"/>
      <c r="K36" s="85"/>
      <c r="L36" s="2"/>
      <c r="M36" s="2"/>
      <c r="N36" s="1"/>
      <c r="O36" s="1"/>
      <c r="P36" s="85"/>
      <c r="Q36" s="88"/>
      <c r="R36" s="3">
        <f>IFERROR(VLOOKUP(TablaDiciembre[[#This Row],[BARRIO]],SECTOR!$A:$B,2,0),"")</f>
      </c>
      <c r="S36" s="89"/>
      <c r="T36" s="90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17">
        <f>COUNTIF(U36:AY36,"A")</f>
      </c>
      <c r="BA36" s="17">
        <f>COUNTIF(U36:AY36,"F")</f>
      </c>
      <c r="BB36" s="17">
        <f>COUNTIF(U36:AY36,"E")</f>
      </c>
    </row>
    <row r="37" spans="1:54" ht="15.75" customHeight="1" x14ac:dyDescent="0.2">
      <c r="A37" s="84"/>
      <c r="B37" s="85"/>
      <c r="C37" s="85"/>
      <c r="D37" s="85"/>
      <c r="E37" s="86"/>
      <c r="F37" s="16">
        <f>IF(E37="","",DATEDIF(E37,$I$7,"Y"))</f>
      </c>
      <c r="G37" s="85"/>
      <c r="H37" s="85"/>
      <c r="I37" s="87"/>
      <c r="J37" s="85"/>
      <c r="K37" s="85"/>
      <c r="L37" s="2"/>
      <c r="M37" s="2"/>
      <c r="N37" s="1"/>
      <c r="O37" s="1"/>
      <c r="P37" s="85"/>
      <c r="Q37" s="88"/>
      <c r="R37" s="3">
        <f>IFERROR(VLOOKUP(TablaDiciembre[[#This Row],[BARRIO]],SECTOR!$A:$B,2,0),"")</f>
      </c>
      <c r="S37" s="89"/>
      <c r="T37" s="90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17">
        <f>COUNTIF(U37:AY37,"A")</f>
      </c>
      <c r="BA37" s="17">
        <f>COUNTIF(U37:AY37,"F")</f>
      </c>
      <c r="BB37" s="17">
        <f>COUNTIF(U37:AY37,"E")</f>
      </c>
    </row>
    <row r="38" spans="1:54" ht="15.75" customHeight="1" x14ac:dyDescent="0.2">
      <c r="A38" s="84"/>
      <c r="B38" s="85"/>
      <c r="C38" s="85"/>
      <c r="D38" s="85"/>
      <c r="E38" s="86"/>
      <c r="F38" s="16">
        <f>IF(E38="","",DATEDIF(E38,$I$7,"Y"))</f>
      </c>
      <c r="G38" s="85"/>
      <c r="H38" s="85"/>
      <c r="I38" s="87"/>
      <c r="J38" s="85"/>
      <c r="K38" s="85"/>
      <c r="L38" s="2"/>
      <c r="M38" s="2"/>
      <c r="N38" s="1"/>
      <c r="O38" s="1"/>
      <c r="P38" s="85"/>
      <c r="Q38" s="88"/>
      <c r="R38" s="3">
        <f>IFERROR(VLOOKUP(TablaDiciembre[[#This Row],[BARRIO]],SECTOR!$A:$B,2,0),"")</f>
      </c>
      <c r="S38" s="89"/>
      <c r="T38" s="90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17">
        <f>COUNTIF(U38:AY38,"A")</f>
      </c>
      <c r="BA38" s="17">
        <f>COUNTIF(U38:AY38,"F")</f>
      </c>
      <c r="BB38" s="17">
        <f>COUNTIF(U38:AY38,"E")</f>
      </c>
    </row>
    <row r="39" spans="1:54" ht="15.75" customHeight="1" x14ac:dyDescent="0.2">
      <c r="A39" s="84"/>
      <c r="B39" s="85"/>
      <c r="C39" s="85"/>
      <c r="D39" s="85"/>
      <c r="E39" s="86"/>
      <c r="F39" s="16">
        <f>IF(E39="","",DATEDIF(E39,$I$7,"Y"))</f>
      </c>
      <c r="G39" s="85"/>
      <c r="H39" s="85"/>
      <c r="I39" s="87"/>
      <c r="J39" s="85"/>
      <c r="K39" s="85"/>
      <c r="L39" s="2"/>
      <c r="M39" s="2"/>
      <c r="N39" s="1"/>
      <c r="O39" s="1"/>
      <c r="P39" s="85"/>
      <c r="Q39" s="88"/>
      <c r="R39" s="3">
        <f>IFERROR(VLOOKUP(TablaDiciembre[[#This Row],[BARRIO]],SECTOR!$A:$B,2,0),"")</f>
      </c>
      <c r="S39" s="89"/>
      <c r="T39" s="90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17">
        <f>COUNTIF(U39:AY39,"A")</f>
      </c>
      <c r="BA39" s="17">
        <f>COUNTIF(U39:AY39,"F")</f>
      </c>
      <c r="BB39" s="17">
        <f>COUNTIF(U39:AY39,"E")</f>
      </c>
    </row>
    <row r="40" spans="1:54" ht="15.75" customHeight="1" x14ac:dyDescent="0.2">
      <c r="A40" s="84"/>
      <c r="B40" s="85"/>
      <c r="C40" s="85"/>
      <c r="D40" s="85"/>
      <c r="E40" s="86"/>
      <c r="F40" s="16">
        <f>IF(E40="","",DATEDIF(E40,$I$7,"Y"))</f>
      </c>
      <c r="G40" s="85"/>
      <c r="H40" s="85"/>
      <c r="I40" s="87"/>
      <c r="J40" s="85"/>
      <c r="K40" s="85"/>
      <c r="L40" s="2"/>
      <c r="M40" s="2"/>
      <c r="N40" s="1"/>
      <c r="O40" s="1"/>
      <c r="P40" s="85"/>
      <c r="Q40" s="88"/>
      <c r="R40" s="3">
        <f>IFERROR(VLOOKUP(TablaDiciembre[[#This Row],[BARRIO]],SECTOR!$A:$B,2,0),"")</f>
      </c>
      <c r="S40" s="89"/>
      <c r="T40" s="90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17">
        <f>COUNTIF(U40:AY40,"A")</f>
      </c>
      <c r="BA40" s="17">
        <f>COUNTIF(U40:AY40,"F")</f>
      </c>
      <c r="BB40" s="17">
        <f>COUNTIF(U40:AY40,"E")</f>
      </c>
    </row>
    <row r="41" spans="1:54" ht="15.75" customHeight="1" x14ac:dyDescent="0.2">
      <c r="A41" s="84"/>
      <c r="B41" s="85"/>
      <c r="C41" s="85"/>
      <c r="D41" s="85"/>
      <c r="E41" s="86"/>
      <c r="F41" s="16">
        <f>IF(E41="","",DATEDIF(E41,$I$7,"Y"))</f>
      </c>
      <c r="G41" s="85"/>
      <c r="H41" s="85"/>
      <c r="I41" s="87"/>
      <c r="J41" s="85"/>
      <c r="K41" s="85"/>
      <c r="L41" s="2"/>
      <c r="M41" s="2"/>
      <c r="N41" s="1"/>
      <c r="O41" s="1"/>
      <c r="P41" s="85"/>
      <c r="Q41" s="88"/>
      <c r="R41" s="3">
        <f>IFERROR(VLOOKUP(TablaDiciembre[[#This Row],[BARRIO]],SECTOR!$A:$B,2,0),"")</f>
      </c>
      <c r="S41" s="89"/>
      <c r="T41" s="90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17">
        <f>COUNTIF(U41:AY41,"A")</f>
      </c>
      <c r="BA41" s="17">
        <f>COUNTIF(U41:AY41,"F")</f>
      </c>
      <c r="BB41" s="17">
        <f>COUNTIF(U41:AY41,"E")</f>
      </c>
    </row>
    <row r="42" spans="1:54" ht="15.75" customHeight="1" x14ac:dyDescent="0.2">
      <c r="A42" s="84"/>
      <c r="B42" s="85"/>
      <c r="C42" s="85"/>
      <c r="D42" s="85"/>
      <c r="E42" s="86"/>
      <c r="F42" s="16">
        <f>IF(E42="","",DATEDIF(E42,$I$7,"Y"))</f>
      </c>
      <c r="G42" s="85"/>
      <c r="H42" s="85"/>
      <c r="I42" s="87"/>
      <c r="J42" s="85"/>
      <c r="K42" s="85"/>
      <c r="L42" s="2"/>
      <c r="M42" s="2"/>
      <c r="N42" s="1"/>
      <c r="O42" s="1"/>
      <c r="P42" s="85"/>
      <c r="Q42" s="88"/>
      <c r="R42" s="3">
        <f>IFERROR(VLOOKUP(TablaDiciembre[[#This Row],[BARRIO]],SECTOR!$A:$B,2,0),"")</f>
      </c>
      <c r="S42" s="89"/>
      <c r="T42" s="90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17">
        <f>COUNTIF(U42:AY42,"A")</f>
      </c>
      <c r="BA42" s="17">
        <f>COUNTIF(U42:AY42,"F")</f>
      </c>
      <c r="BB42" s="17">
        <f>COUNTIF(U42:AY42,"E")</f>
      </c>
    </row>
    <row r="43" spans="1:54" ht="15.75" customHeight="1" x14ac:dyDescent="0.2">
      <c r="A43" s="84"/>
      <c r="B43" s="85"/>
      <c r="C43" s="85"/>
      <c r="D43" s="85"/>
      <c r="E43" s="86"/>
      <c r="F43" s="16">
        <f>IF(E43="","",DATEDIF(E43,$I$7,"Y"))</f>
      </c>
      <c r="G43" s="85"/>
      <c r="H43" s="85"/>
      <c r="I43" s="87"/>
      <c r="J43" s="85"/>
      <c r="K43" s="85"/>
      <c r="L43" s="2"/>
      <c r="M43" s="2"/>
      <c r="N43" s="1"/>
      <c r="O43" s="1"/>
      <c r="P43" s="85"/>
      <c r="Q43" s="88"/>
      <c r="R43" s="3">
        <f>IFERROR(VLOOKUP(TablaDiciembre[[#This Row],[BARRIO]],SECTOR!$A:$B,2,0),"")</f>
      </c>
      <c r="S43" s="89"/>
      <c r="T43" s="90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17">
        <f>COUNTIF(U43:AY43,"A")</f>
      </c>
      <c r="BA43" s="17">
        <f>COUNTIF(U43:AY43,"F")</f>
      </c>
      <c r="BB43" s="17">
        <f>COUNTIF(U43:AY43,"E")</f>
      </c>
    </row>
    <row r="44" spans="1:54" ht="15.75" customHeight="1" x14ac:dyDescent="0.2">
      <c r="A44" s="84"/>
      <c r="B44" s="85"/>
      <c r="C44" s="85"/>
      <c r="D44" s="85"/>
      <c r="E44" s="86"/>
      <c r="F44" s="16">
        <f>IF(E44="","",DATEDIF(E44,$I$7,"Y"))</f>
      </c>
      <c r="G44" s="85"/>
      <c r="H44" s="85"/>
      <c r="I44" s="87"/>
      <c r="J44" s="85"/>
      <c r="K44" s="85"/>
      <c r="L44" s="2"/>
      <c r="M44" s="2"/>
      <c r="N44" s="1"/>
      <c r="O44" s="1"/>
      <c r="P44" s="85"/>
      <c r="Q44" s="88"/>
      <c r="R44" s="3">
        <f>IFERROR(VLOOKUP(TablaDiciembre[[#This Row],[BARRIO]],SECTOR!$A:$B,2,0),"")</f>
      </c>
      <c r="S44" s="89"/>
      <c r="T44" s="90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17">
        <f>COUNTIF(U44:AY44,"A")</f>
      </c>
      <c r="BA44" s="17">
        <f>COUNTIF(U44:AY44,"F")</f>
      </c>
      <c r="BB44" s="17">
        <f>COUNTIF(U44:AY44,"E")</f>
      </c>
    </row>
    <row r="45" spans="1:54" ht="15.75" customHeight="1" x14ac:dyDescent="0.2">
      <c r="A45" s="84"/>
      <c r="B45" s="85"/>
      <c r="C45" s="85"/>
      <c r="D45" s="85"/>
      <c r="E45" s="86"/>
      <c r="F45" s="16">
        <f>IF(E45="","",DATEDIF(E45,$I$7,"Y"))</f>
      </c>
      <c r="G45" s="85"/>
      <c r="H45" s="85"/>
      <c r="I45" s="87"/>
      <c r="J45" s="85"/>
      <c r="K45" s="85"/>
      <c r="L45" s="2"/>
      <c r="M45" s="2"/>
      <c r="N45" s="1"/>
      <c r="O45" s="1"/>
      <c r="P45" s="85"/>
      <c r="Q45" s="88"/>
      <c r="R45" s="3">
        <f>IFERROR(VLOOKUP(TablaDiciembre[[#This Row],[BARRIO]],SECTOR!$A:$B,2,0),"")</f>
      </c>
      <c r="S45" s="89"/>
      <c r="T45" s="90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17">
        <f>COUNTIF(U45:AY45,"A")</f>
      </c>
      <c r="BA45" s="17">
        <f>COUNTIF(U45:AY45,"F")</f>
      </c>
      <c r="BB45" s="17">
        <f>COUNTIF(U45:AY45,"E")</f>
      </c>
    </row>
    <row r="46" spans="1:54" ht="15.75" customHeight="1" x14ac:dyDescent="0.2">
      <c r="A46" s="84"/>
      <c r="B46" s="85"/>
      <c r="C46" s="85"/>
      <c r="D46" s="85"/>
      <c r="E46" s="86"/>
      <c r="F46" s="16">
        <f>IF(E46="","",DATEDIF(E46,$I$7,"Y"))</f>
      </c>
      <c r="G46" s="85"/>
      <c r="H46" s="85"/>
      <c r="I46" s="87"/>
      <c r="J46" s="85"/>
      <c r="K46" s="85"/>
      <c r="L46" s="2"/>
      <c r="M46" s="2"/>
      <c r="N46" s="1"/>
      <c r="O46" s="1"/>
      <c r="P46" s="85"/>
      <c r="Q46" s="88"/>
      <c r="R46" s="3">
        <f>IFERROR(VLOOKUP(TablaDiciembre[[#This Row],[BARRIO]],SECTOR!$A:$B,2,0),"")</f>
      </c>
      <c r="S46" s="89"/>
      <c r="T46" s="90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17">
        <f>COUNTIF(U46:AY46,"A")</f>
      </c>
      <c r="BA46" s="17">
        <f>COUNTIF(U46:AY46,"F")</f>
      </c>
      <c r="BB46" s="17">
        <f>COUNTIF(U46:AY46,"E")</f>
      </c>
    </row>
    <row r="47" spans="1:54" ht="15.75" customHeight="1" x14ac:dyDescent="0.2">
      <c r="A47" s="84"/>
      <c r="B47" s="85"/>
      <c r="C47" s="85"/>
      <c r="D47" s="85"/>
      <c r="E47" s="86"/>
      <c r="F47" s="16">
        <f>IF(E47="","",DATEDIF(E47,$I$7,"Y"))</f>
      </c>
      <c r="G47" s="85"/>
      <c r="H47" s="85"/>
      <c r="I47" s="87"/>
      <c r="J47" s="85"/>
      <c r="K47" s="85"/>
      <c r="L47" s="2"/>
      <c r="M47" s="2"/>
      <c r="N47" s="1"/>
      <c r="O47" s="1"/>
      <c r="P47" s="85"/>
      <c r="Q47" s="88"/>
      <c r="R47" s="3">
        <f>IFERROR(VLOOKUP(TablaDiciembre[[#This Row],[BARRIO]],SECTOR!$A:$B,2,0),"")</f>
      </c>
      <c r="S47" s="89"/>
      <c r="T47" s="90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17">
        <f>COUNTIF(U47:AY47,"A")</f>
      </c>
      <c r="BA47" s="17">
        <f>COUNTIF(U47:AY47,"F")</f>
      </c>
      <c r="BB47" s="17">
        <f>COUNTIF(U47:AY47,"E")</f>
      </c>
    </row>
    <row r="48" spans="1:54" ht="15.75" customHeight="1" x14ac:dyDescent="0.2">
      <c r="A48" s="84"/>
      <c r="B48" s="85"/>
      <c r="C48" s="85"/>
      <c r="D48" s="85"/>
      <c r="E48" s="86"/>
      <c r="F48" s="16">
        <f>IF(E48="","",DATEDIF(E48,$I$7,"Y"))</f>
      </c>
      <c r="G48" s="85"/>
      <c r="H48" s="85"/>
      <c r="I48" s="87"/>
      <c r="J48" s="85"/>
      <c r="K48" s="85"/>
      <c r="L48" s="2"/>
      <c r="M48" s="2"/>
      <c r="N48" s="1"/>
      <c r="O48" s="1"/>
      <c r="P48" s="85"/>
      <c r="Q48" s="88"/>
      <c r="R48" s="3">
        <f>IFERROR(VLOOKUP(TablaDiciembre[[#This Row],[BARRIO]],SECTOR!$A:$B,2,0),"")</f>
      </c>
      <c r="S48" s="89"/>
      <c r="T48" s="90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17">
        <f>COUNTIF(U48:AY48,"A")</f>
      </c>
      <c r="BA48" s="17">
        <f>COUNTIF(U48:AY48,"F")</f>
      </c>
      <c r="BB48" s="17">
        <f>COUNTIF(U48:AY48,"E")</f>
      </c>
    </row>
    <row r="49" spans="1:54" ht="15.75" customHeight="1" x14ac:dyDescent="0.2">
      <c r="A49" s="84"/>
      <c r="B49" s="85"/>
      <c r="C49" s="85"/>
      <c r="D49" s="85"/>
      <c r="E49" s="86"/>
      <c r="F49" s="16">
        <f>IF(E49="","",DATEDIF(E49,$I$7,"Y"))</f>
      </c>
      <c r="G49" s="85"/>
      <c r="H49" s="85"/>
      <c r="I49" s="87"/>
      <c r="J49" s="85"/>
      <c r="K49" s="85"/>
      <c r="L49" s="2"/>
      <c r="M49" s="2"/>
      <c r="N49" s="1"/>
      <c r="O49" s="1"/>
      <c r="P49" s="85"/>
      <c r="Q49" s="88"/>
      <c r="R49" s="3">
        <f>IFERROR(VLOOKUP(TablaDiciembre[[#This Row],[BARRIO]],SECTOR!$A:$B,2,0),"")</f>
      </c>
      <c r="S49" s="89"/>
      <c r="T49" s="90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17">
        <f>COUNTIF(U49:AY49,"A")</f>
      </c>
      <c r="BA49" s="17">
        <f>COUNTIF(U49:AY49,"F")</f>
      </c>
      <c r="BB49" s="17">
        <f>COUNTIF(U49:AY49,"E")</f>
      </c>
    </row>
    <row r="50" spans="1:54" ht="15.75" customHeight="1" x14ac:dyDescent="0.2">
      <c r="A50" s="84"/>
      <c r="B50" s="85"/>
      <c r="C50" s="85"/>
      <c r="D50" s="85"/>
      <c r="E50" s="86"/>
      <c r="F50" s="16">
        <f>IF(E50="","",DATEDIF(E50,$I$7,"Y"))</f>
      </c>
      <c r="G50" s="85"/>
      <c r="H50" s="85"/>
      <c r="I50" s="87"/>
      <c r="J50" s="85"/>
      <c r="K50" s="85"/>
      <c r="L50" s="2"/>
      <c r="M50" s="2"/>
      <c r="N50" s="1"/>
      <c r="O50" s="1"/>
      <c r="P50" s="85"/>
      <c r="Q50" s="88"/>
      <c r="R50" s="3">
        <f>IFERROR(VLOOKUP(TablaDiciembre[[#This Row],[BARRIO]],SECTOR!$A:$B,2,0),"")</f>
      </c>
      <c r="S50" s="89"/>
      <c r="T50" s="90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17">
        <f>COUNTIF(U50:AY50,"A")</f>
      </c>
      <c r="BA50" s="17">
        <f>COUNTIF(U50:AY50,"F")</f>
      </c>
      <c r="BB50" s="17">
        <f>COUNTIF(U50:AY50,"E")</f>
      </c>
    </row>
    <row r="51" spans="1:54" ht="15.75" customHeight="1" x14ac:dyDescent="0.2">
      <c r="A51" s="84"/>
      <c r="B51" s="85"/>
      <c r="C51" s="85"/>
      <c r="D51" s="85"/>
      <c r="E51" s="86"/>
      <c r="F51" s="16">
        <f>IF(E51="","",DATEDIF(E51,$I$7,"Y"))</f>
      </c>
      <c r="G51" s="85"/>
      <c r="H51" s="85"/>
      <c r="I51" s="87"/>
      <c r="J51" s="85"/>
      <c r="K51" s="85"/>
      <c r="L51" s="2"/>
      <c r="M51" s="2"/>
      <c r="N51" s="1"/>
      <c r="O51" s="1"/>
      <c r="P51" s="85"/>
      <c r="Q51" s="88"/>
      <c r="R51" s="3">
        <f>IFERROR(VLOOKUP(TablaDiciembre[[#This Row],[BARRIO]],SECTOR!$A:$B,2,0),"")</f>
      </c>
      <c r="S51" s="89"/>
      <c r="T51" s="90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17">
        <f>COUNTIF(U51:AY51,"A")</f>
      </c>
      <c r="BA51" s="17">
        <f>COUNTIF(U51:AY51,"F")</f>
      </c>
      <c r="BB51" s="17">
        <f>COUNTIF(U51:AY51,"E")</f>
      </c>
    </row>
    <row r="52" spans="1:54" ht="15.75" customHeight="1" x14ac:dyDescent="0.2">
      <c r="A52" s="84"/>
      <c r="B52" s="85"/>
      <c r="C52" s="85"/>
      <c r="D52" s="85"/>
      <c r="E52" s="86"/>
      <c r="F52" s="16">
        <f>IF(E52="","",DATEDIF(E52,$I$7,"Y"))</f>
      </c>
      <c r="G52" s="85"/>
      <c r="H52" s="85"/>
      <c r="I52" s="87"/>
      <c r="J52" s="85"/>
      <c r="K52" s="85"/>
      <c r="L52" s="2"/>
      <c r="M52" s="2"/>
      <c r="N52" s="1"/>
      <c r="O52" s="1"/>
      <c r="P52" s="85"/>
      <c r="Q52" s="88"/>
      <c r="R52" s="3">
        <f>IFERROR(VLOOKUP(TablaDiciembre[[#This Row],[BARRIO]],SECTOR!$A:$B,2,0),"")</f>
      </c>
      <c r="S52" s="89"/>
      <c r="T52" s="90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17">
        <f>COUNTIF(U52:AY52,"A")</f>
      </c>
      <c r="BA52" s="17">
        <f>COUNTIF(U52:AY52,"F")</f>
      </c>
      <c r="BB52" s="17">
        <f>COUNTIF(U52:AY52,"E")</f>
      </c>
    </row>
    <row r="53" spans="1:54" ht="15.75" customHeight="1" x14ac:dyDescent="0.2">
      <c r="A53" s="84"/>
      <c r="B53" s="85"/>
      <c r="C53" s="85"/>
      <c r="D53" s="85"/>
      <c r="E53" s="86"/>
      <c r="F53" s="16">
        <f>IF(E53="","",DATEDIF(E53,$I$7,"Y"))</f>
      </c>
      <c r="G53" s="85"/>
      <c r="H53" s="85"/>
      <c r="I53" s="87"/>
      <c r="J53" s="85"/>
      <c r="K53" s="85"/>
      <c r="L53" s="2"/>
      <c r="M53" s="2"/>
      <c r="N53" s="1"/>
      <c r="O53" s="1"/>
      <c r="P53" s="85"/>
      <c r="Q53" s="88"/>
      <c r="R53" s="3">
        <f>IFERROR(VLOOKUP(TablaDiciembre[[#This Row],[BARRIO]],SECTOR!$A:$B,2,0),"")</f>
      </c>
      <c r="S53" s="89"/>
      <c r="T53" s="90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17">
        <f>COUNTIF(U53:AY53,"A")</f>
      </c>
      <c r="BA53" s="17">
        <f>COUNTIF(U53:AY53,"F")</f>
      </c>
      <c r="BB53" s="17">
        <f>COUNTIF(U53:AY53,"E")</f>
      </c>
    </row>
    <row r="54" spans="1:54" ht="15.75" customHeight="1" x14ac:dyDescent="0.2">
      <c r="A54" s="84"/>
      <c r="B54" s="85"/>
      <c r="C54" s="85"/>
      <c r="D54" s="85"/>
      <c r="E54" s="86"/>
      <c r="F54" s="16">
        <f>IF(E54="","",DATEDIF(E54,$I$7,"Y"))</f>
      </c>
      <c r="G54" s="85"/>
      <c r="H54" s="85"/>
      <c r="I54" s="87"/>
      <c r="J54" s="85"/>
      <c r="K54" s="85"/>
      <c r="L54" s="2"/>
      <c r="M54" s="2"/>
      <c r="N54" s="1"/>
      <c r="O54" s="1"/>
      <c r="P54" s="85"/>
      <c r="Q54" s="88"/>
      <c r="R54" s="3">
        <f>IFERROR(VLOOKUP(TablaDiciembre[[#This Row],[BARRIO]],SECTOR!$A:$B,2,0),"")</f>
      </c>
      <c r="S54" s="89"/>
      <c r="T54" s="90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17">
        <f>COUNTIF(U54:AY54,"A")</f>
      </c>
      <c r="BA54" s="17">
        <f>COUNTIF(U54:AY54,"F")</f>
      </c>
      <c r="BB54" s="17">
        <f>COUNTIF(U54:AY54,"E")</f>
      </c>
    </row>
    <row r="55" spans="1:54" ht="15.75" customHeight="1" x14ac:dyDescent="0.2">
      <c r="A55" s="84"/>
      <c r="B55" s="85"/>
      <c r="C55" s="85"/>
      <c r="D55" s="85"/>
      <c r="E55" s="86"/>
      <c r="F55" s="16">
        <f>IF(E55="","",DATEDIF(E55,$I$7,"Y"))</f>
      </c>
      <c r="G55" s="85"/>
      <c r="H55" s="85"/>
      <c r="I55" s="87"/>
      <c r="J55" s="85"/>
      <c r="K55" s="85"/>
      <c r="L55" s="2"/>
      <c r="M55" s="2"/>
      <c r="N55" s="1"/>
      <c r="O55" s="1"/>
      <c r="P55" s="85"/>
      <c r="Q55" s="88"/>
      <c r="R55" s="3">
        <f>IFERROR(VLOOKUP(TablaDiciembre[[#This Row],[BARRIO]],SECTOR!$A:$B,2,0),"")</f>
      </c>
      <c r="S55" s="89"/>
      <c r="T55" s="90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17">
        <f>COUNTIF(U55:AY55,"A")</f>
      </c>
      <c r="BA55" s="17">
        <f>COUNTIF(U55:AY55,"F")</f>
      </c>
      <c r="BB55" s="17">
        <f>COUNTIF(U55:AY55,"E")</f>
      </c>
    </row>
    <row r="56" spans="1:54" ht="15.75" customHeight="1" x14ac:dyDescent="0.2">
      <c r="A56" s="84"/>
      <c r="B56" s="85"/>
      <c r="C56" s="85"/>
      <c r="D56" s="85"/>
      <c r="E56" s="86"/>
      <c r="F56" s="16">
        <f>IF(E56="","",DATEDIF(E56,$I$7,"Y"))</f>
      </c>
      <c r="G56" s="85"/>
      <c r="H56" s="85"/>
      <c r="I56" s="87"/>
      <c r="J56" s="85"/>
      <c r="K56" s="85"/>
      <c r="L56" s="2"/>
      <c r="M56" s="2"/>
      <c r="N56" s="1"/>
      <c r="O56" s="1"/>
      <c r="P56" s="85"/>
      <c r="Q56" s="88"/>
      <c r="R56" s="3">
        <f>IFERROR(VLOOKUP(TablaDiciembre[[#This Row],[BARRIO]],SECTOR!$A:$B,2,0),"")</f>
      </c>
      <c r="S56" s="89"/>
      <c r="T56" s="90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17">
        <f>COUNTIF(U56:AY56,"A")</f>
      </c>
      <c r="BA56" s="17">
        <f>COUNTIF(U56:AY56,"F")</f>
      </c>
      <c r="BB56" s="17">
        <f>COUNTIF(U56:AY56,"E")</f>
      </c>
    </row>
    <row r="57" spans="1:54" ht="15.75" customHeight="1" x14ac:dyDescent="0.2">
      <c r="A57" s="84"/>
      <c r="B57" s="85"/>
      <c r="C57" s="85"/>
      <c r="D57" s="85"/>
      <c r="E57" s="86"/>
      <c r="F57" s="16">
        <f>IF(E57="","",DATEDIF(E57,$I$7,"Y"))</f>
      </c>
      <c r="G57" s="85"/>
      <c r="H57" s="85"/>
      <c r="I57" s="87"/>
      <c r="J57" s="85"/>
      <c r="K57" s="85"/>
      <c r="L57" s="2"/>
      <c r="M57" s="2"/>
      <c r="N57" s="1"/>
      <c r="O57" s="1"/>
      <c r="P57" s="85"/>
      <c r="Q57" s="88"/>
      <c r="R57" s="3">
        <f>IFERROR(VLOOKUP(TablaDiciembre[[#This Row],[BARRIO]],SECTOR!$A:$B,2,0),"")</f>
      </c>
      <c r="S57" s="89"/>
      <c r="T57" s="90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17">
        <f>COUNTIF(U57:AY57,"A")</f>
      </c>
      <c r="BA57" s="17">
        <f>COUNTIF(U57:AY57,"F")</f>
      </c>
      <c r="BB57" s="17">
        <f>COUNTIF(U57:AY57,"E")</f>
      </c>
    </row>
    <row r="58" spans="1:54" ht="15.75" customHeight="1" x14ac:dyDescent="0.2">
      <c r="A58" s="84"/>
      <c r="B58" s="85"/>
      <c r="C58" s="85"/>
      <c r="D58" s="85"/>
      <c r="E58" s="86"/>
      <c r="F58" s="16">
        <f>IF(E58="","",DATEDIF(E58,$I$7,"Y"))</f>
      </c>
      <c r="G58" s="85"/>
      <c r="H58" s="85"/>
      <c r="I58" s="87"/>
      <c r="J58" s="85"/>
      <c r="K58" s="85"/>
      <c r="L58" s="2"/>
      <c r="M58" s="2"/>
      <c r="N58" s="1"/>
      <c r="O58" s="1"/>
      <c r="P58" s="85"/>
      <c r="Q58" s="88"/>
      <c r="R58" s="3">
        <f>IFERROR(VLOOKUP(TablaDiciembre[[#This Row],[BARRIO]],SECTOR!$A:$B,2,0),"")</f>
      </c>
      <c r="S58" s="89"/>
      <c r="T58" s="90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17">
        <f>COUNTIF(U58:AY58,"A")</f>
      </c>
      <c r="BA58" s="17">
        <f>COUNTIF(U58:AY58,"F")</f>
      </c>
      <c r="BB58" s="17">
        <f>COUNTIF(U58:AY58,"E")</f>
      </c>
    </row>
    <row r="59" spans="1:54" ht="15.75" customHeight="1" x14ac:dyDescent="0.2">
      <c r="A59" s="84"/>
      <c r="B59" s="85"/>
      <c r="C59" s="85"/>
      <c r="D59" s="85"/>
      <c r="E59" s="86"/>
      <c r="F59" s="16">
        <f>IF(E59="","",DATEDIF(E59,$I$7,"Y"))</f>
      </c>
      <c r="G59" s="85"/>
      <c r="H59" s="85"/>
      <c r="I59" s="87"/>
      <c r="J59" s="85"/>
      <c r="K59" s="85"/>
      <c r="L59" s="2"/>
      <c r="M59" s="2"/>
      <c r="N59" s="1"/>
      <c r="O59" s="1"/>
      <c r="P59" s="85"/>
      <c r="Q59" s="88"/>
      <c r="R59" s="3">
        <f>IFERROR(VLOOKUP(TablaDiciembre[[#This Row],[BARRIO]],SECTOR!$A:$B,2,0),"")</f>
      </c>
      <c r="S59" s="89"/>
      <c r="T59" s="90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17">
        <f>COUNTIF(U59:AY59,"A")</f>
      </c>
      <c r="BA59" s="17">
        <f>COUNTIF(U59:AY59,"F")</f>
      </c>
      <c r="BB59" s="17">
        <f>COUNTIF(U59:AY59,"E")</f>
      </c>
    </row>
    <row r="60" spans="1:54" ht="15.75" customHeight="1" x14ac:dyDescent="0.2">
      <c r="A60" s="84"/>
      <c r="B60" s="85"/>
      <c r="C60" s="85"/>
      <c r="D60" s="85"/>
      <c r="E60" s="86"/>
      <c r="F60" s="16">
        <f>IF(E60="","",DATEDIF(E60,$I$7,"Y"))</f>
      </c>
      <c r="G60" s="85"/>
      <c r="H60" s="85"/>
      <c r="I60" s="87"/>
      <c r="J60" s="85"/>
      <c r="K60" s="85"/>
      <c r="L60" s="2"/>
      <c r="M60" s="2"/>
      <c r="N60" s="1"/>
      <c r="O60" s="1"/>
      <c r="P60" s="85"/>
      <c r="Q60" s="88"/>
      <c r="R60" s="3">
        <f>IFERROR(VLOOKUP(TablaDiciembre[[#This Row],[BARRIO]],SECTOR!$A:$B,2,0),"")</f>
      </c>
      <c r="S60" s="89"/>
      <c r="T60" s="90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17">
        <f>COUNTIF(U60:AY60,"A")</f>
      </c>
      <c r="BA60" s="17">
        <f>COUNTIF(U60:AY60,"F")</f>
      </c>
      <c r="BB60" s="17">
        <f>COUNTIF(U60:AY60,"E")</f>
      </c>
    </row>
    <row r="61" spans="1:54" ht="15.75" customHeight="1" x14ac:dyDescent="0.2">
      <c r="A61" s="84"/>
      <c r="B61" s="85"/>
      <c r="C61" s="85"/>
      <c r="D61" s="85"/>
      <c r="E61" s="86"/>
      <c r="F61" s="16">
        <f>IF(E61="","",DATEDIF(E61,$I$7,"Y"))</f>
      </c>
      <c r="G61" s="85"/>
      <c r="H61" s="85"/>
      <c r="I61" s="87"/>
      <c r="J61" s="85"/>
      <c r="K61" s="85"/>
      <c r="L61" s="2"/>
      <c r="M61" s="2"/>
      <c r="N61" s="1"/>
      <c r="O61" s="1"/>
      <c r="P61" s="85"/>
      <c r="Q61" s="88"/>
      <c r="R61" s="3">
        <f>IFERROR(VLOOKUP(TablaDiciembre[[#This Row],[BARRIO]],SECTOR!$A:$B,2,0),"")</f>
      </c>
      <c r="S61" s="89"/>
      <c r="T61" s="90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17">
        <f>COUNTIF(U61:AY61,"A")</f>
      </c>
      <c r="BA61" s="17">
        <f>COUNTIF(U61:AY61,"F")</f>
      </c>
      <c r="BB61" s="17">
        <f>COUNTIF(U61:AY61,"E")</f>
      </c>
    </row>
    <row r="62" spans="1:54" ht="15.75" customHeight="1" x14ac:dyDescent="0.2">
      <c r="A62" s="84"/>
      <c r="B62" s="85"/>
      <c r="C62" s="85"/>
      <c r="D62" s="85"/>
      <c r="E62" s="86"/>
      <c r="F62" s="16">
        <f>IF(E62="","",DATEDIF(E62,$I$7,"Y"))</f>
      </c>
      <c r="G62" s="85"/>
      <c r="H62" s="85"/>
      <c r="I62" s="87"/>
      <c r="J62" s="85"/>
      <c r="K62" s="85"/>
      <c r="L62" s="2"/>
      <c r="M62" s="2"/>
      <c r="N62" s="1"/>
      <c r="O62" s="1"/>
      <c r="P62" s="85"/>
      <c r="Q62" s="88"/>
      <c r="R62" s="3">
        <f>IFERROR(VLOOKUP(TablaDiciembre[[#This Row],[BARRIO]],SECTOR!$A:$B,2,0),"")</f>
      </c>
      <c r="S62" s="89"/>
      <c r="T62" s="90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17">
        <f>COUNTIF(U62:AY62,"A")</f>
      </c>
      <c r="BA62" s="17">
        <f>COUNTIF(U62:AY62,"F")</f>
      </c>
      <c r="BB62" s="17">
        <f>COUNTIF(U62:AY62,"E")</f>
      </c>
    </row>
    <row r="63" spans="1:54" ht="15.75" customHeight="1" x14ac:dyDescent="0.2">
      <c r="A63" s="84"/>
      <c r="B63" s="85"/>
      <c r="C63" s="85"/>
      <c r="D63" s="85"/>
      <c r="E63" s="86"/>
      <c r="F63" s="16">
        <f>IF(E63="","",DATEDIF(E63,$I$7,"Y"))</f>
      </c>
      <c r="G63" s="85"/>
      <c r="H63" s="85"/>
      <c r="I63" s="87"/>
      <c r="J63" s="85"/>
      <c r="K63" s="85"/>
      <c r="L63" s="2"/>
      <c r="M63" s="2"/>
      <c r="N63" s="1"/>
      <c r="O63" s="1"/>
      <c r="P63" s="85"/>
      <c r="Q63" s="88"/>
      <c r="R63" s="3">
        <f>IFERROR(VLOOKUP(TablaDiciembre[[#This Row],[BARRIO]],SECTOR!$A:$B,2,0),"")</f>
      </c>
      <c r="S63" s="89"/>
      <c r="T63" s="90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17">
        <f>COUNTIF(U63:AY63,"A")</f>
      </c>
      <c r="BA63" s="17">
        <f>COUNTIF(U63:AY63,"F")</f>
      </c>
      <c r="BB63" s="17">
        <f>COUNTIF(U63:AY63,"E")</f>
      </c>
    </row>
    <row r="64" spans="1:54" ht="15.75" customHeight="1" x14ac:dyDescent="0.2">
      <c r="A64" s="84"/>
      <c r="B64" s="85"/>
      <c r="C64" s="85"/>
      <c r="D64" s="85"/>
      <c r="E64" s="86"/>
      <c r="F64" s="16">
        <f>IF(E64="","",DATEDIF(E64,$I$7,"Y"))</f>
      </c>
      <c r="G64" s="85"/>
      <c r="H64" s="85"/>
      <c r="I64" s="87"/>
      <c r="J64" s="85"/>
      <c r="K64" s="85"/>
      <c r="L64" s="2"/>
      <c r="M64" s="2"/>
      <c r="N64" s="1"/>
      <c r="O64" s="1"/>
      <c r="P64" s="85"/>
      <c r="Q64" s="88"/>
      <c r="R64" s="3">
        <f>IFERROR(VLOOKUP(TablaDiciembre[[#This Row],[BARRIO]],SECTOR!$A:$B,2,0),"")</f>
      </c>
      <c r="S64" s="89"/>
      <c r="T64" s="90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17">
        <f>COUNTIF(U64:AY64,"A")</f>
      </c>
      <c r="BA64" s="17">
        <f>COUNTIF(U64:AY64,"F")</f>
      </c>
      <c r="BB64" s="17">
        <f>COUNTIF(U64:AY64,"E")</f>
      </c>
    </row>
    <row r="65" spans="1:54" ht="15.75" customHeight="1" x14ac:dyDescent="0.2">
      <c r="A65" s="84"/>
      <c r="B65" s="85"/>
      <c r="C65" s="85"/>
      <c r="D65" s="85"/>
      <c r="E65" s="86"/>
      <c r="F65" s="16">
        <f>IF(E65="","",DATEDIF(E65,$I$7,"Y"))</f>
      </c>
      <c r="G65" s="85"/>
      <c r="H65" s="85"/>
      <c r="I65" s="87"/>
      <c r="J65" s="85"/>
      <c r="K65" s="85"/>
      <c r="L65" s="2"/>
      <c r="M65" s="2"/>
      <c r="N65" s="1"/>
      <c r="O65" s="1"/>
      <c r="P65" s="85"/>
      <c r="Q65" s="88"/>
      <c r="R65" s="3">
        <f>IFERROR(VLOOKUP(TablaDiciembre[[#This Row],[BARRIO]],SECTOR!$A:$B,2,0),"")</f>
      </c>
      <c r="S65" s="89"/>
      <c r="T65" s="90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17">
        <f>COUNTIF(U65:AY65,"A")</f>
      </c>
      <c r="BA65" s="17">
        <f>COUNTIF(U65:AY65,"F")</f>
      </c>
      <c r="BB65" s="17">
        <f>COUNTIF(U65:AY65,"E")</f>
      </c>
    </row>
    <row r="66" spans="1:54" ht="15.75" customHeight="1" x14ac:dyDescent="0.2">
      <c r="A66" s="84"/>
      <c r="B66" s="85"/>
      <c r="C66" s="85"/>
      <c r="D66" s="85"/>
      <c r="E66" s="86"/>
      <c r="F66" s="16">
        <f>IF(E66="","",DATEDIF(E66,$I$7,"Y"))</f>
      </c>
      <c r="G66" s="85"/>
      <c r="H66" s="85"/>
      <c r="I66" s="87"/>
      <c r="J66" s="85"/>
      <c r="K66" s="85"/>
      <c r="L66" s="2"/>
      <c r="M66" s="2"/>
      <c r="N66" s="1"/>
      <c r="O66" s="1"/>
      <c r="P66" s="85"/>
      <c r="Q66" s="88"/>
      <c r="R66" s="3">
        <f>IFERROR(VLOOKUP(TablaDiciembre[[#This Row],[BARRIO]],SECTOR!$A:$B,2,0),"")</f>
      </c>
      <c r="S66" s="89"/>
      <c r="T66" s="90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17">
        <f>COUNTIF(U66:AY66,"A")</f>
      </c>
      <c r="BA66" s="17">
        <f>COUNTIF(U66:AY66,"F")</f>
      </c>
      <c r="BB66" s="17">
        <f>COUNTIF(U66:AY66,"E")</f>
      </c>
    </row>
    <row r="67" spans="1:54" ht="15.75" customHeight="1" x14ac:dyDescent="0.2">
      <c r="A67" s="84"/>
      <c r="B67" s="91"/>
      <c r="C67" s="91"/>
      <c r="D67" s="91"/>
      <c r="E67" s="92"/>
      <c r="F67" s="16">
        <f>IF(E67="","",DATEDIF(E67,$I$7,"Y"))</f>
      </c>
      <c r="G67" s="91"/>
      <c r="H67" s="91"/>
      <c r="I67" s="93"/>
      <c r="J67" s="91"/>
      <c r="K67" s="91"/>
      <c r="L67" s="2"/>
      <c r="M67" s="2"/>
      <c r="N67" s="1"/>
      <c r="O67" s="1"/>
      <c r="P67" s="85"/>
      <c r="Q67" s="88"/>
      <c r="R67" s="3">
        <f>IFERROR(VLOOKUP(TablaDiciembre[[#This Row],[BARRIO]],SECTOR!$A:$B,2,0),"")</f>
      </c>
      <c r="S67" s="89"/>
      <c r="T67" s="90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17">
        <f>COUNTIF(U67:AY67,"A")</f>
      </c>
      <c r="BA67" s="17">
        <f>COUNTIF(U67:AY67,"F")</f>
      </c>
      <c r="BB67" s="17">
        <f>COUNTIF(U67:AY67,"E")</f>
      </c>
    </row>
    <row r="68" spans="1:54" ht="15.75" customHeight="1" x14ac:dyDescent="0.2">
      <c r="A68" s="84"/>
      <c r="B68" s="94"/>
      <c r="C68" s="94"/>
      <c r="D68" s="94"/>
      <c r="E68" s="95"/>
      <c r="F68" s="16">
        <f>IF(E68="","",DATEDIF(E68,$I$7,"Y"))</f>
      </c>
      <c r="G68" s="94"/>
      <c r="H68" s="94"/>
      <c r="I68" s="96"/>
      <c r="J68" s="94"/>
      <c r="K68" s="94"/>
      <c r="L68" s="2"/>
      <c r="M68" s="2"/>
      <c r="N68" s="1"/>
      <c r="O68" s="1"/>
      <c r="P68" s="85"/>
      <c r="Q68" s="88"/>
      <c r="R68" s="3">
        <f>IFERROR(VLOOKUP(TablaDiciembre[[#This Row],[BARRIO]],SECTOR!$A:$B,2,0),"")</f>
      </c>
      <c r="S68" s="89"/>
      <c r="T68" s="90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17">
        <f>COUNTIF(U68:AY68,"A")</f>
      </c>
      <c r="BA68" s="17">
        <f>COUNTIF(U68:AY68,"F")</f>
      </c>
      <c r="BB68" s="17">
        <f>COUNTIF(U68:AY68,"E")</f>
      </c>
    </row>
    <row r="69" spans="1:54" ht="15.75" customHeight="1" x14ac:dyDescent="0.2">
      <c r="A69" s="84"/>
      <c r="B69" s="97"/>
      <c r="C69" s="97"/>
      <c r="D69" s="97"/>
      <c r="E69" s="98"/>
      <c r="F69" s="16">
        <f>IF(E69="","",DATEDIF(E69,$I$7,"Y"))</f>
      </c>
      <c r="G69" s="97"/>
      <c r="H69" s="97"/>
      <c r="I69" s="99"/>
      <c r="J69" s="97"/>
      <c r="K69" s="97"/>
      <c r="L69" s="2"/>
      <c r="M69" s="2"/>
      <c r="N69" s="1"/>
      <c r="O69" s="1"/>
      <c r="P69" s="85"/>
      <c r="Q69" s="88"/>
      <c r="R69" s="3">
        <f>IFERROR(VLOOKUP(TablaDiciembre[[#This Row],[BARRIO]],SECTOR!$A:$B,2,0),"")</f>
      </c>
      <c r="S69" s="89"/>
      <c r="T69" s="90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5"/>
      <c r="AZ69" s="18">
        <f>COUNTIF(U69:AY69,"A")</f>
      </c>
      <c r="BA69" s="17">
        <f>COUNTIF(U69:AY69,"F")</f>
      </c>
      <c r="BB69" s="17">
        <f>COUNTIF(U69:AY69,"E")</f>
      </c>
    </row>
    <row r="70" spans="1:54" ht="15.75" customHeight="1" x14ac:dyDescent="0.2">
      <c r="A70" s="84"/>
      <c r="B70" s="97"/>
      <c r="C70" s="97"/>
      <c r="D70" s="97"/>
      <c r="E70" s="98"/>
      <c r="F70" s="16">
        <f>IF(E70="","",DATEDIF(E70,$I$7,"Y"))</f>
      </c>
      <c r="G70" s="97"/>
      <c r="H70" s="97"/>
      <c r="I70" s="99"/>
      <c r="J70" s="97"/>
      <c r="K70" s="97"/>
      <c r="L70" s="2"/>
      <c r="M70" s="2"/>
      <c r="N70" s="1"/>
      <c r="O70" s="1"/>
      <c r="P70" s="85"/>
      <c r="Q70" s="88"/>
      <c r="R70" s="3">
        <f>IFERROR(VLOOKUP(TablaDiciembre[[#This Row],[BARRIO]],SECTOR!$A:$B,2,0),"")</f>
      </c>
      <c r="S70" s="89"/>
      <c r="T70" s="90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6"/>
      <c r="AZ70" s="19">
        <f>COUNTIF(U70:AY70,"A")</f>
      </c>
      <c r="BA70" s="17">
        <f>COUNTIF(U70:AY70,"F")</f>
      </c>
      <c r="BB70" s="17">
        <f>COUNTIF(U70:AY70,"E")</f>
      </c>
    </row>
    <row r="71" spans="1:54" ht="15.75" customHeight="1" x14ac:dyDescent="0.2">
      <c r="A71" s="84"/>
      <c r="B71" s="97"/>
      <c r="C71" s="97"/>
      <c r="D71" s="97"/>
      <c r="E71" s="98"/>
      <c r="F71" s="16">
        <f>IF(E71="","",DATEDIF(E71,$I$7,"Y"))</f>
      </c>
      <c r="G71" s="97"/>
      <c r="H71" s="97"/>
      <c r="I71" s="99"/>
      <c r="J71" s="97"/>
      <c r="K71" s="97"/>
      <c r="L71" s="2"/>
      <c r="M71" s="2"/>
      <c r="N71" s="1"/>
      <c r="O71" s="1"/>
      <c r="P71" s="85"/>
      <c r="Q71" s="88"/>
      <c r="R71" s="3">
        <f>IFERROR(VLOOKUP(TablaDiciembre[[#This Row],[BARRIO]],SECTOR!$A:$B,2,0),"")</f>
      </c>
      <c r="S71" s="89"/>
      <c r="T71" s="90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6"/>
      <c r="AZ71" s="19">
        <f>COUNTIF(U71:AY71,"A")</f>
      </c>
      <c r="BA71" s="17">
        <f>COUNTIF(U71:AY71,"F")</f>
      </c>
      <c r="BB71" s="17">
        <f>COUNTIF(U71:AY71,"E")</f>
      </c>
    </row>
    <row r="72" spans="1:54" ht="15.75" customHeight="1" x14ac:dyDescent="0.2">
      <c r="A72" s="84"/>
      <c r="B72" s="97"/>
      <c r="C72" s="97"/>
      <c r="D72" s="97"/>
      <c r="E72" s="98"/>
      <c r="F72" s="16">
        <f>IF(E72="","",DATEDIF(E72,$I$7,"Y"))</f>
      </c>
      <c r="G72" s="97"/>
      <c r="H72" s="97"/>
      <c r="I72" s="99"/>
      <c r="J72" s="97"/>
      <c r="K72" s="97"/>
      <c r="L72" s="2"/>
      <c r="M72" s="2"/>
      <c r="N72" s="1"/>
      <c r="O72" s="1"/>
      <c r="P72" s="85"/>
      <c r="Q72" s="88"/>
      <c r="R72" s="3">
        <f>IFERROR(VLOOKUP(TablaDiciembre[[#This Row],[BARRIO]],SECTOR!$A:$B,2,0),"")</f>
      </c>
      <c r="S72" s="89"/>
      <c r="T72" s="90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6"/>
      <c r="AZ72" s="19">
        <f>COUNTIF(U72:AY72,"A")</f>
      </c>
      <c r="BA72" s="17">
        <f>COUNTIF(U72:AY72,"F")</f>
      </c>
      <c r="BB72" s="17">
        <f>COUNTIF(U72:AY72,"E")</f>
      </c>
    </row>
    <row r="73" spans="1:54" ht="15.75" customHeight="1" x14ac:dyDescent="0.2">
      <c r="A73" s="84"/>
      <c r="B73" s="97"/>
      <c r="C73" s="97"/>
      <c r="D73" s="97"/>
      <c r="E73" s="98"/>
      <c r="F73" s="16">
        <f>IF(E73="","",DATEDIF(E73,$I$7,"Y"))</f>
      </c>
      <c r="G73" s="97"/>
      <c r="H73" s="97"/>
      <c r="I73" s="99"/>
      <c r="J73" s="97"/>
      <c r="K73" s="97"/>
      <c r="L73" s="2"/>
      <c r="M73" s="2"/>
      <c r="N73" s="1"/>
      <c r="O73" s="1"/>
      <c r="P73" s="85"/>
      <c r="Q73" s="88"/>
      <c r="R73" s="3">
        <f>IFERROR(VLOOKUP(TablaDiciembre[[#This Row],[BARRIO]],SECTOR!$A:$B,2,0),"")</f>
      </c>
      <c r="S73" s="89"/>
      <c r="T73" s="90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6"/>
      <c r="AZ73" s="19">
        <f>COUNTIF(U73:AY73,"A")</f>
      </c>
      <c r="BA73" s="17">
        <f>COUNTIF(U73:AY73,"F")</f>
      </c>
      <c r="BB73" s="17">
        <f>COUNTIF(U73:AY73,"E")</f>
      </c>
    </row>
    <row r="74" spans="1:54" ht="15.75" customHeight="1" x14ac:dyDescent="0.2">
      <c r="A74" s="84"/>
      <c r="B74" s="97"/>
      <c r="C74" s="97"/>
      <c r="D74" s="97"/>
      <c r="E74" s="98"/>
      <c r="F74" s="16">
        <f>IF(E74="","",DATEDIF(E74,$I$7,"Y"))</f>
      </c>
      <c r="G74" s="97"/>
      <c r="H74" s="97"/>
      <c r="I74" s="99"/>
      <c r="J74" s="97"/>
      <c r="K74" s="97"/>
      <c r="L74" s="2"/>
      <c r="M74" s="2"/>
      <c r="N74" s="1"/>
      <c r="O74" s="1"/>
      <c r="P74" s="85"/>
      <c r="Q74" s="88"/>
      <c r="R74" s="3">
        <f>IFERROR(VLOOKUP(TablaDiciembre[[#This Row],[BARRIO]],SECTOR!$A:$B,2,0),"")</f>
      </c>
      <c r="S74" s="89"/>
      <c r="T74" s="90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6"/>
      <c r="AZ74" s="19">
        <f>COUNTIF(U74:AY74,"A")</f>
      </c>
      <c r="BA74" s="17">
        <f>COUNTIF(U74:AY74,"F")</f>
      </c>
      <c r="BB74" s="17">
        <f>COUNTIF(U74:AY74,"E")</f>
      </c>
    </row>
    <row r="75" spans="1:54" ht="15.75" customHeight="1" x14ac:dyDescent="0.2">
      <c r="A75" s="84"/>
      <c r="B75" s="97"/>
      <c r="C75" s="97"/>
      <c r="D75" s="97"/>
      <c r="E75" s="98"/>
      <c r="F75" s="16">
        <f>IF(E75="","",DATEDIF(E75,$I$7,"Y"))</f>
      </c>
      <c r="G75" s="97"/>
      <c r="H75" s="97"/>
      <c r="I75" s="99"/>
      <c r="J75" s="97"/>
      <c r="K75" s="97"/>
      <c r="L75" s="2"/>
      <c r="M75" s="2"/>
      <c r="N75" s="1"/>
      <c r="O75" s="1"/>
      <c r="P75" s="85"/>
      <c r="Q75" s="88"/>
      <c r="R75" s="3">
        <f>IFERROR(VLOOKUP(TablaDiciembre[[#This Row],[BARRIO]],SECTOR!$A:$B,2,0),"")</f>
      </c>
      <c r="S75" s="89"/>
      <c r="T75" s="90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6"/>
      <c r="AZ75" s="19">
        <f>COUNTIF(U75:AY75,"A")</f>
      </c>
      <c r="BA75" s="17">
        <f>COUNTIF(U75:AY75,"F")</f>
      </c>
      <c r="BB75" s="17">
        <f>COUNTIF(U75:AY75,"E")</f>
      </c>
    </row>
    <row r="76" spans="1:54" ht="15.75" customHeight="1" x14ac:dyDescent="0.2">
      <c r="A76" s="84"/>
      <c r="B76" s="97"/>
      <c r="C76" s="97"/>
      <c r="D76" s="97"/>
      <c r="E76" s="98"/>
      <c r="F76" s="16">
        <f>IF(E76="","",DATEDIF(E76,$I$7,"Y"))</f>
      </c>
      <c r="G76" s="97"/>
      <c r="H76" s="97"/>
      <c r="I76" s="99"/>
      <c r="J76" s="97"/>
      <c r="K76" s="97"/>
      <c r="L76" s="2"/>
      <c r="M76" s="2"/>
      <c r="N76" s="1"/>
      <c r="O76" s="1"/>
      <c r="P76" s="85"/>
      <c r="Q76" s="88"/>
      <c r="R76" s="3">
        <f>IFERROR(VLOOKUP(TablaDiciembre[[#This Row],[BARRIO]],SECTOR!$A:$B,2,0),"")</f>
      </c>
      <c r="S76" s="89"/>
      <c r="T76" s="90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6"/>
      <c r="AZ76" s="19">
        <f>COUNTIF(U76:AY76,"A")</f>
      </c>
      <c r="BA76" s="17">
        <f>COUNTIF(U76:AY76,"F")</f>
      </c>
      <c r="BB76" s="17">
        <f>COUNTIF(U76:AY76,"E")</f>
      </c>
    </row>
    <row r="77" spans="1:54" ht="15.75" customHeight="1" x14ac:dyDescent="0.2">
      <c r="A77" s="84"/>
      <c r="B77" s="97"/>
      <c r="C77" s="97"/>
      <c r="D77" s="97"/>
      <c r="E77" s="98"/>
      <c r="F77" s="16">
        <f>IF(E77="","",DATEDIF(E77,$I$7,"Y"))</f>
      </c>
      <c r="G77" s="97"/>
      <c r="H77" s="97"/>
      <c r="I77" s="99"/>
      <c r="J77" s="97"/>
      <c r="K77" s="97"/>
      <c r="L77" s="2"/>
      <c r="M77" s="2"/>
      <c r="N77" s="1"/>
      <c r="O77" s="1"/>
      <c r="P77" s="85"/>
      <c r="Q77" s="88"/>
      <c r="R77" s="3">
        <f>IFERROR(VLOOKUP(TablaDiciembre[[#This Row],[BARRIO]],SECTOR!$A:$B,2,0),"")</f>
      </c>
      <c r="S77" s="89"/>
      <c r="T77" s="90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6"/>
      <c r="AZ77" s="19">
        <f>COUNTIF(U77:AY77,"A")</f>
      </c>
      <c r="BA77" s="17">
        <f>COUNTIF(U77:AY77,"F")</f>
      </c>
      <c r="BB77" s="17">
        <f>COUNTIF(U77:AY77,"E")</f>
      </c>
    </row>
    <row r="78" spans="1:54" ht="15.75" customHeight="1" x14ac:dyDescent="0.2">
      <c r="A78" s="84"/>
      <c r="B78" s="97"/>
      <c r="C78" s="97"/>
      <c r="D78" s="97"/>
      <c r="E78" s="98"/>
      <c r="F78" s="16">
        <f>IF(E78="","",DATEDIF(E78,$I$7,"Y"))</f>
      </c>
      <c r="G78" s="97"/>
      <c r="H78" s="97"/>
      <c r="I78" s="99"/>
      <c r="J78" s="97"/>
      <c r="K78" s="97"/>
      <c r="L78" s="2"/>
      <c r="M78" s="2"/>
      <c r="N78" s="1"/>
      <c r="O78" s="1"/>
      <c r="P78" s="85"/>
      <c r="Q78" s="88"/>
      <c r="R78" s="3">
        <f>IFERROR(VLOOKUP(TablaDiciembre[[#This Row],[BARRIO]],SECTOR!$A:$B,2,0),"")</f>
      </c>
      <c r="S78" s="89"/>
      <c r="T78" s="90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6"/>
      <c r="AZ78" s="19">
        <f>COUNTIF(U78:AY78,"A")</f>
      </c>
      <c r="BA78" s="17">
        <f>COUNTIF(U78:AY78,"F")</f>
      </c>
      <c r="BB78" s="17">
        <f>COUNTIF(U78:AY78,"E")</f>
      </c>
    </row>
    <row r="79" spans="1:54" ht="15.75" customHeight="1" x14ac:dyDescent="0.2">
      <c r="A79" s="84"/>
      <c r="B79" s="85"/>
      <c r="C79" s="85"/>
      <c r="D79" s="85"/>
      <c r="E79" s="86"/>
      <c r="F79" s="16">
        <f>IF(E79="","",DATEDIF(E79,$I$7,"Y"))</f>
      </c>
      <c r="G79" s="85"/>
      <c r="H79" s="85"/>
      <c r="I79" s="87"/>
      <c r="J79" s="85"/>
      <c r="K79" s="85"/>
      <c r="L79" s="2"/>
      <c r="M79" s="2"/>
      <c r="N79" s="1"/>
      <c r="O79" s="1"/>
      <c r="P79" s="85"/>
      <c r="Q79" s="88"/>
      <c r="R79" s="3">
        <f>IFERROR(VLOOKUP(TablaDiciembre[[#This Row],[BARRIO]],SECTOR!$A:$B,2,0),"")</f>
      </c>
      <c r="S79" s="89"/>
      <c r="T79" s="90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6"/>
      <c r="AZ79" s="19">
        <f>COUNTIF(U79:AY79,"A")</f>
      </c>
      <c r="BA79" s="17">
        <f>COUNTIF(U79:AY79,"F")</f>
      </c>
      <c r="BB79" s="17">
        <f>COUNTIF(U79:AY79,"E")</f>
      </c>
    </row>
    <row r="80" spans="1:54" ht="15.75" customHeight="1" x14ac:dyDescent="0.2">
      <c r="A80" s="84"/>
      <c r="B80" s="85"/>
      <c r="C80" s="85"/>
      <c r="D80" s="85"/>
      <c r="E80" s="86"/>
      <c r="F80" s="16">
        <f>IF(E80="","",DATEDIF(E80,$I$7,"Y"))</f>
      </c>
      <c r="G80" s="85"/>
      <c r="H80" s="85"/>
      <c r="I80" s="87"/>
      <c r="J80" s="85"/>
      <c r="K80" s="85"/>
      <c r="L80" s="2"/>
      <c r="M80" s="2"/>
      <c r="N80" s="1"/>
      <c r="O80" s="1"/>
      <c r="P80" s="85"/>
      <c r="Q80" s="88"/>
      <c r="R80" s="3">
        <f>IFERROR(VLOOKUP(TablaDiciembre[[#This Row],[BARRIO]],SECTOR!$A:$B,2,0),"")</f>
      </c>
      <c r="S80" s="89"/>
      <c r="T80" s="90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6"/>
      <c r="AZ80" s="19">
        <f>COUNTIF(U80:AY80,"A")</f>
      </c>
      <c r="BA80" s="17">
        <f>COUNTIF(U80:AY80,"F")</f>
      </c>
      <c r="BB80" s="17">
        <f>COUNTIF(U80:AY80,"E")</f>
      </c>
    </row>
    <row r="81" spans="1:54" ht="15.75" customHeight="1" x14ac:dyDescent="0.2">
      <c r="A81" s="84"/>
      <c r="B81" s="85"/>
      <c r="C81" s="85"/>
      <c r="D81" s="85"/>
      <c r="E81" s="86"/>
      <c r="F81" s="16">
        <f>IF(E81="","",DATEDIF(E81,$I$7,"Y"))</f>
      </c>
      <c r="G81" s="85"/>
      <c r="H81" s="85"/>
      <c r="I81" s="87"/>
      <c r="J81" s="85"/>
      <c r="K81" s="85"/>
      <c r="L81" s="2"/>
      <c r="M81" s="2"/>
      <c r="N81" s="1"/>
      <c r="O81" s="1"/>
      <c r="P81" s="85"/>
      <c r="Q81" s="88"/>
      <c r="R81" s="3">
        <f>IFERROR(VLOOKUP(TablaDiciembre[[#This Row],[BARRIO]],SECTOR!$A:$B,2,0),"")</f>
      </c>
      <c r="S81" s="89"/>
      <c r="T81" s="90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6"/>
      <c r="AZ81" s="19">
        <f>COUNTIF(U81:AY81,"A")</f>
      </c>
      <c r="BA81" s="17">
        <f>COUNTIF(U81:AY81,"F")</f>
      </c>
      <c r="BB81" s="17">
        <f>COUNTIF(U81:AY81,"E")</f>
      </c>
    </row>
    <row r="82" spans="1:54" ht="15.75" customHeight="1" x14ac:dyDescent="0.2">
      <c r="A82" s="84"/>
      <c r="B82" s="85"/>
      <c r="C82" s="85"/>
      <c r="D82" s="85"/>
      <c r="E82" s="86"/>
      <c r="F82" s="16">
        <f>IF(E82="","",DATEDIF(E82,$I$7,"Y"))</f>
      </c>
      <c r="G82" s="85"/>
      <c r="H82" s="85"/>
      <c r="I82" s="87"/>
      <c r="J82" s="85"/>
      <c r="K82" s="85"/>
      <c r="L82" s="2"/>
      <c r="M82" s="2"/>
      <c r="N82" s="1"/>
      <c r="O82" s="1"/>
      <c r="P82" s="85"/>
      <c r="Q82" s="88"/>
      <c r="R82" s="3">
        <f>IFERROR(VLOOKUP(TablaDiciembre[[#This Row],[BARRIO]],SECTOR!$A:$B,2,0),"")</f>
      </c>
      <c r="S82" s="89"/>
      <c r="T82" s="90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6"/>
      <c r="AZ82" s="19">
        <f>COUNTIF(U82:AY82,"A")</f>
      </c>
      <c r="BA82" s="17">
        <f>COUNTIF(U82:AY82,"F")</f>
      </c>
      <c r="BB82" s="17">
        <f>COUNTIF(U82:AY82,"E")</f>
      </c>
    </row>
    <row r="83" spans="1:54" ht="15.75" customHeight="1" x14ac:dyDescent="0.2">
      <c r="A83" s="84"/>
      <c r="B83" s="85"/>
      <c r="C83" s="85"/>
      <c r="D83" s="85"/>
      <c r="E83" s="86"/>
      <c r="F83" s="16">
        <f>IF(E83="","",DATEDIF(E83,$I$7,"Y"))</f>
      </c>
      <c r="G83" s="85"/>
      <c r="H83" s="85"/>
      <c r="I83" s="87"/>
      <c r="J83" s="85"/>
      <c r="K83" s="85"/>
      <c r="L83" s="2"/>
      <c r="M83" s="2"/>
      <c r="N83" s="1"/>
      <c r="O83" s="1"/>
      <c r="P83" s="85"/>
      <c r="Q83" s="88"/>
      <c r="R83" s="3">
        <f>IFERROR(VLOOKUP(TablaDiciembre[[#This Row],[BARRIO]],SECTOR!$A:$B,2,0),"")</f>
      </c>
      <c r="S83" s="89"/>
      <c r="T83" s="90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6"/>
      <c r="AZ83" s="19">
        <f>COUNTIF(U83:AY83,"A")</f>
      </c>
      <c r="BA83" s="17">
        <f>COUNTIF(U83:AY83,"F")</f>
      </c>
      <c r="BB83" s="17">
        <f>COUNTIF(U83:AY83,"E")</f>
      </c>
    </row>
    <row r="84" spans="1:54" ht="15.75" customHeight="1" x14ac:dyDescent="0.2">
      <c r="A84" s="84"/>
      <c r="B84" s="85"/>
      <c r="C84" s="85"/>
      <c r="D84" s="85"/>
      <c r="E84" s="86"/>
      <c r="F84" s="16">
        <f>IF(E84="","",DATEDIF(E84,$I$7,"Y"))</f>
      </c>
      <c r="G84" s="85"/>
      <c r="H84" s="85"/>
      <c r="I84" s="87"/>
      <c r="J84" s="85"/>
      <c r="K84" s="85"/>
      <c r="L84" s="2"/>
      <c r="M84" s="2"/>
      <c r="N84" s="1"/>
      <c r="O84" s="1"/>
      <c r="P84" s="85"/>
      <c r="Q84" s="88"/>
      <c r="R84" s="3">
        <f>IFERROR(VLOOKUP(TablaDiciembre[[#This Row],[BARRIO]],SECTOR!$A:$B,2,0),"")</f>
      </c>
      <c r="S84" s="89"/>
      <c r="T84" s="90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6"/>
      <c r="AZ84" s="19">
        <f>COUNTIF(U84:AY84,"A")</f>
      </c>
      <c r="BA84" s="17">
        <f>COUNTIF(U84:AY84,"F")</f>
      </c>
      <c r="BB84" s="17">
        <f>COUNTIF(U84:AY84,"E")</f>
      </c>
    </row>
    <row r="85" spans="1:54" ht="15.75" customHeight="1" x14ac:dyDescent="0.2">
      <c r="A85" s="84"/>
      <c r="B85" s="85"/>
      <c r="C85" s="85"/>
      <c r="D85" s="85"/>
      <c r="E85" s="86"/>
      <c r="F85" s="16">
        <f>IF(E85="","",DATEDIF(E85,$I$7,"Y"))</f>
      </c>
      <c r="G85" s="85"/>
      <c r="H85" s="85"/>
      <c r="I85" s="87"/>
      <c r="J85" s="85"/>
      <c r="K85" s="85"/>
      <c r="L85" s="2"/>
      <c r="M85" s="2"/>
      <c r="N85" s="1"/>
      <c r="O85" s="1"/>
      <c r="P85" s="85"/>
      <c r="Q85" s="88"/>
      <c r="R85" s="3">
        <f>IFERROR(VLOOKUP(TablaDiciembre[[#This Row],[BARRIO]],SECTOR!$A:$B,2,0),"")</f>
      </c>
      <c r="S85" s="89"/>
      <c r="T85" s="90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6"/>
      <c r="AZ85" s="19">
        <f>COUNTIF(U85:AY85,"A")</f>
      </c>
      <c r="BA85" s="17">
        <f>COUNTIF(U85:AY85,"F")</f>
      </c>
      <c r="BB85" s="17">
        <f>COUNTIF(U85:AY85,"E")</f>
      </c>
    </row>
    <row r="86" spans="1:54" ht="15.75" customHeight="1" x14ac:dyDescent="0.2">
      <c r="A86" s="84"/>
      <c r="B86" s="85"/>
      <c r="C86" s="85"/>
      <c r="D86" s="85"/>
      <c r="E86" s="86"/>
      <c r="F86" s="16">
        <f>IF(E86="","",DATEDIF(E86,$I$7,"Y"))</f>
      </c>
      <c r="G86" s="85"/>
      <c r="H86" s="85"/>
      <c r="I86" s="87"/>
      <c r="J86" s="85"/>
      <c r="K86" s="85"/>
      <c r="L86" s="2"/>
      <c r="M86" s="2"/>
      <c r="N86" s="1"/>
      <c r="O86" s="1"/>
      <c r="P86" s="85"/>
      <c r="Q86" s="88"/>
      <c r="R86" s="3">
        <f>IFERROR(VLOOKUP(TablaDiciembre[[#This Row],[BARRIO]],SECTOR!$A:$B,2,0),"")</f>
      </c>
      <c r="S86" s="89"/>
      <c r="T86" s="90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6"/>
      <c r="AZ86" s="19">
        <f>COUNTIF(U86:AY86,"A")</f>
      </c>
      <c r="BA86" s="17">
        <f>COUNTIF(U86:AY86,"F")</f>
      </c>
      <c r="BB86" s="17">
        <f>COUNTIF(U86:AY86,"E")</f>
      </c>
    </row>
    <row r="87" spans="1:54" ht="15.75" customHeight="1" x14ac:dyDescent="0.2">
      <c r="A87" s="84"/>
      <c r="B87" s="85"/>
      <c r="C87" s="85"/>
      <c r="D87" s="85"/>
      <c r="E87" s="86"/>
      <c r="F87" s="16">
        <f>IF(E87="","",DATEDIF(E87,$I$7,"Y"))</f>
      </c>
      <c r="G87" s="85"/>
      <c r="H87" s="85"/>
      <c r="I87" s="87"/>
      <c r="J87" s="85"/>
      <c r="K87" s="85"/>
      <c r="L87" s="2"/>
      <c r="M87" s="2"/>
      <c r="N87" s="1"/>
      <c r="O87" s="1"/>
      <c r="P87" s="85"/>
      <c r="Q87" s="88"/>
      <c r="R87" s="3">
        <f>IFERROR(VLOOKUP(TablaDiciembre[[#This Row],[BARRIO]],SECTOR!$A:$B,2,0),"")</f>
      </c>
      <c r="S87" s="89"/>
      <c r="T87" s="90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6"/>
      <c r="AZ87" s="19">
        <f>COUNTIF(U87:AY87,"A")</f>
      </c>
      <c r="BA87" s="17">
        <f>COUNTIF(U87:AY87,"F")</f>
      </c>
      <c r="BB87" s="17">
        <f>COUNTIF(U87:AY87,"E")</f>
      </c>
    </row>
    <row r="88" spans="1:54" ht="15.75" customHeight="1" x14ac:dyDescent="0.2">
      <c r="A88" s="84"/>
      <c r="B88" s="85"/>
      <c r="C88" s="85"/>
      <c r="D88" s="85"/>
      <c r="E88" s="86"/>
      <c r="F88" s="16">
        <f>IF(E88="","",DATEDIF(E88,$I$7,"Y"))</f>
      </c>
      <c r="G88" s="85"/>
      <c r="H88" s="85"/>
      <c r="I88" s="87"/>
      <c r="J88" s="85"/>
      <c r="K88" s="85"/>
      <c r="L88" s="2"/>
      <c r="M88" s="2"/>
      <c r="N88" s="1"/>
      <c r="O88" s="1"/>
      <c r="P88" s="85"/>
      <c r="Q88" s="88"/>
      <c r="R88" s="3">
        <f>IFERROR(VLOOKUP(TablaDiciembre[[#This Row],[BARRIO]],SECTOR!$A:$B,2,0),"")</f>
      </c>
      <c r="S88" s="89"/>
      <c r="T88" s="90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6"/>
      <c r="AZ88" s="19">
        <f>COUNTIF(U88:AY88,"A")</f>
      </c>
      <c r="BA88" s="17">
        <f>COUNTIF(U88:AY88,"F")</f>
      </c>
      <c r="BB88" s="17">
        <f>COUNTIF(U88:AY88,"E")</f>
      </c>
    </row>
    <row r="89" spans="1:54" ht="15.75" customHeight="1" x14ac:dyDescent="0.2">
      <c r="A89" s="84"/>
      <c r="B89" s="85"/>
      <c r="C89" s="85"/>
      <c r="D89" s="85"/>
      <c r="E89" s="86"/>
      <c r="F89" s="16">
        <f>IF(E89="","",DATEDIF(E89,$I$7,"Y"))</f>
      </c>
      <c r="G89" s="85"/>
      <c r="H89" s="85"/>
      <c r="I89" s="87"/>
      <c r="J89" s="85"/>
      <c r="K89" s="85"/>
      <c r="L89" s="2"/>
      <c r="M89" s="2"/>
      <c r="N89" s="1"/>
      <c r="O89" s="1"/>
      <c r="P89" s="85"/>
      <c r="Q89" s="88"/>
      <c r="R89" s="3">
        <f>IFERROR(VLOOKUP(TablaDiciembre[[#This Row],[BARRIO]],SECTOR!$A:$B,2,0),"")</f>
      </c>
      <c r="S89" s="89"/>
      <c r="T89" s="90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6"/>
      <c r="AZ89" s="19">
        <f>COUNTIF(U89:AY89,"A")</f>
      </c>
      <c r="BA89" s="17">
        <f>COUNTIF(U89:AY89,"F")</f>
      </c>
      <c r="BB89" s="17">
        <f>COUNTIF(U89:AY89,"E")</f>
      </c>
    </row>
    <row r="90" spans="1:54" ht="15.75" customHeight="1" x14ac:dyDescent="0.2">
      <c r="A90" s="84"/>
      <c r="B90" s="85"/>
      <c r="C90" s="85"/>
      <c r="D90" s="85"/>
      <c r="E90" s="86"/>
      <c r="F90" s="16">
        <f>IF(E90="","",DATEDIF(E90,$I$7,"Y"))</f>
      </c>
      <c r="G90" s="85"/>
      <c r="H90" s="85"/>
      <c r="I90" s="87"/>
      <c r="J90" s="85"/>
      <c r="K90" s="85"/>
      <c r="L90" s="2"/>
      <c r="M90" s="2"/>
      <c r="N90" s="1"/>
      <c r="O90" s="1"/>
      <c r="P90" s="85"/>
      <c r="Q90" s="88"/>
      <c r="R90" s="3">
        <f>IFERROR(VLOOKUP(TablaDiciembre[[#This Row],[BARRIO]],SECTOR!$A:$B,2,0),"")</f>
      </c>
      <c r="S90" s="89"/>
      <c r="T90" s="90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6"/>
      <c r="AZ90" s="19">
        <f>COUNTIF(U90:AY90,"A")</f>
      </c>
      <c r="BA90" s="17">
        <f>COUNTIF(U90:AY90,"F")</f>
      </c>
      <c r="BB90" s="17">
        <f>COUNTIF(U90:AY90,"E")</f>
      </c>
    </row>
    <row r="91" spans="1:54" ht="15.75" customHeight="1" x14ac:dyDescent="0.2">
      <c r="A91" s="84"/>
      <c r="B91" s="85"/>
      <c r="C91" s="85"/>
      <c r="D91" s="85"/>
      <c r="E91" s="86"/>
      <c r="F91" s="16">
        <f>IF(E91="","",DATEDIF(E91,$I$7,"Y"))</f>
      </c>
      <c r="G91" s="85"/>
      <c r="H91" s="85"/>
      <c r="I91" s="87"/>
      <c r="J91" s="85"/>
      <c r="K91" s="85"/>
      <c r="L91" s="2"/>
      <c r="M91" s="2"/>
      <c r="N91" s="1"/>
      <c r="O91" s="1"/>
      <c r="P91" s="85"/>
      <c r="Q91" s="88"/>
      <c r="R91" s="3">
        <f>IFERROR(VLOOKUP(TablaDiciembre[[#This Row],[BARRIO]],SECTOR!$A:$B,2,0),"")</f>
      </c>
      <c r="S91" s="89"/>
      <c r="T91" s="90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6"/>
      <c r="AZ91" s="19">
        <f>COUNTIF(U91:AY91,"A")</f>
      </c>
      <c r="BA91" s="17">
        <f>COUNTIF(U91:AY91,"F")</f>
      </c>
      <c r="BB91" s="17">
        <f>COUNTIF(U91:AY91,"E")</f>
      </c>
    </row>
    <row r="92" spans="1:54" ht="15.75" customHeight="1" x14ac:dyDescent="0.2">
      <c r="A92" s="84"/>
      <c r="B92" s="85"/>
      <c r="C92" s="85"/>
      <c r="D92" s="85"/>
      <c r="E92" s="86"/>
      <c r="F92" s="16">
        <f>IF(E92="","",DATEDIF(E92,$I$7,"Y"))</f>
      </c>
      <c r="G92" s="85"/>
      <c r="H92" s="85"/>
      <c r="I92" s="87"/>
      <c r="J92" s="85"/>
      <c r="K92" s="85"/>
      <c r="L92" s="2"/>
      <c r="M92" s="2"/>
      <c r="N92" s="1"/>
      <c r="O92" s="1"/>
      <c r="P92" s="85"/>
      <c r="Q92" s="88"/>
      <c r="R92" s="3">
        <f>IFERROR(VLOOKUP(TablaDiciembre[[#This Row],[BARRIO]],SECTOR!$A:$B,2,0),"")</f>
      </c>
      <c r="S92" s="89"/>
      <c r="T92" s="90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6"/>
      <c r="AZ92" s="19">
        <f>COUNTIF(U92:AY92,"A")</f>
      </c>
      <c r="BA92" s="17">
        <f>COUNTIF(U92:AY92,"F")</f>
      </c>
      <c r="BB92" s="17">
        <f>COUNTIF(U92:AY92,"E")</f>
      </c>
    </row>
    <row r="93" spans="1:54" ht="15.75" customHeight="1" x14ac:dyDescent="0.2">
      <c r="A93" s="84"/>
      <c r="B93" s="85"/>
      <c r="C93" s="85"/>
      <c r="D93" s="85"/>
      <c r="E93" s="86"/>
      <c r="F93" s="16">
        <f>IF(E93="","",DATEDIF(E93,$I$7,"Y"))</f>
      </c>
      <c r="G93" s="85"/>
      <c r="H93" s="85"/>
      <c r="I93" s="87"/>
      <c r="J93" s="85"/>
      <c r="K93" s="85"/>
      <c r="L93" s="2"/>
      <c r="M93" s="2"/>
      <c r="N93" s="1"/>
      <c r="O93" s="1"/>
      <c r="P93" s="85"/>
      <c r="Q93" s="88"/>
      <c r="R93" s="3">
        <f>IFERROR(VLOOKUP(TablaDiciembre[[#This Row],[BARRIO]],SECTOR!$A:$B,2,0),"")</f>
      </c>
      <c r="S93" s="89"/>
      <c r="T93" s="90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6"/>
      <c r="AZ93" s="19">
        <f>COUNTIF(U93:AY93,"A")</f>
      </c>
      <c r="BA93" s="17">
        <f>COUNTIF(U93:AY93,"F")</f>
      </c>
      <c r="BB93" s="17">
        <f>COUNTIF(U93:AY93,"E")</f>
      </c>
    </row>
    <row r="94" spans="1:54" ht="15.75" customHeight="1" x14ac:dyDescent="0.2">
      <c r="A94" s="84"/>
      <c r="B94" s="85"/>
      <c r="C94" s="85"/>
      <c r="D94" s="85"/>
      <c r="E94" s="86"/>
      <c r="F94" s="16">
        <f>IF(E94="","",DATEDIF(E94,$I$7,"Y"))</f>
      </c>
      <c r="G94" s="85"/>
      <c r="H94" s="85"/>
      <c r="I94" s="87"/>
      <c r="J94" s="85"/>
      <c r="K94" s="85"/>
      <c r="L94" s="2"/>
      <c r="M94" s="2"/>
      <c r="N94" s="1"/>
      <c r="O94" s="1"/>
      <c r="P94" s="85"/>
      <c r="Q94" s="88"/>
      <c r="R94" s="3">
        <f>IFERROR(VLOOKUP(TablaDiciembre[[#This Row],[BARRIO]],SECTOR!$A:$B,2,0),"")</f>
      </c>
      <c r="S94" s="89"/>
      <c r="T94" s="90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6"/>
      <c r="AZ94" s="19">
        <f>COUNTIF(U94:AY94,"A")</f>
      </c>
      <c r="BA94" s="17">
        <f>COUNTIF(U94:AY94,"F")</f>
      </c>
      <c r="BB94" s="17">
        <f>COUNTIF(U94:AY94,"E")</f>
      </c>
    </row>
    <row r="95" spans="1:54" ht="15.75" customHeight="1" x14ac:dyDescent="0.2">
      <c r="A95" s="84"/>
      <c r="B95" s="85"/>
      <c r="C95" s="85"/>
      <c r="D95" s="85"/>
      <c r="E95" s="86"/>
      <c r="F95" s="16">
        <f>IF(E95="","",DATEDIF(E95,$I$7,"Y"))</f>
      </c>
      <c r="G95" s="85"/>
      <c r="H95" s="85"/>
      <c r="I95" s="87"/>
      <c r="J95" s="85"/>
      <c r="K95" s="85"/>
      <c r="L95" s="2"/>
      <c r="M95" s="2"/>
      <c r="N95" s="1"/>
      <c r="O95" s="1"/>
      <c r="P95" s="85"/>
      <c r="Q95" s="88"/>
      <c r="R95" s="3">
        <f>IFERROR(VLOOKUP(TablaDiciembre[[#This Row],[BARRIO]],SECTOR!$A:$B,2,0),"")</f>
      </c>
      <c r="S95" s="89"/>
      <c r="T95" s="90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6"/>
      <c r="AZ95" s="19">
        <f>COUNTIF(U95:AY95,"A")</f>
      </c>
      <c r="BA95" s="17">
        <f>COUNTIF(U95:AY95,"F")</f>
      </c>
      <c r="BB95" s="17">
        <f>COUNTIF(U95:AY95,"E")</f>
      </c>
    </row>
    <row r="96" spans="1:54" ht="15.75" customHeight="1" x14ac:dyDescent="0.2">
      <c r="A96" s="84"/>
      <c r="B96" s="85"/>
      <c r="C96" s="85"/>
      <c r="D96" s="85"/>
      <c r="E96" s="86"/>
      <c r="F96" s="16">
        <f>IF(E96="","",DATEDIF(E96,$I$7,"Y"))</f>
      </c>
      <c r="G96" s="85"/>
      <c r="H96" s="85"/>
      <c r="I96" s="87"/>
      <c r="J96" s="85"/>
      <c r="K96" s="85"/>
      <c r="L96" s="2"/>
      <c r="M96" s="2"/>
      <c r="N96" s="1"/>
      <c r="O96" s="1"/>
      <c r="P96" s="85"/>
      <c r="Q96" s="88"/>
      <c r="R96" s="3">
        <f>IFERROR(VLOOKUP(TablaDiciembre[[#This Row],[BARRIO]],SECTOR!$A:$B,2,0),"")</f>
      </c>
      <c r="S96" s="89"/>
      <c r="T96" s="90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7"/>
      <c r="AZ96" s="30">
        <f>COUNTIF(U96:AY96,"A")</f>
      </c>
      <c r="BA96" s="17">
        <f>COUNTIF(U96:AY96,"F")</f>
      </c>
      <c r="BB96" s="17">
        <f>COUNTIF(U96:AY96,"E")</f>
      </c>
    </row>
    <row r="97" spans="1:54" ht="15.75" customHeight="1" x14ac:dyDescent="0.2">
      <c r="A97" s="84"/>
      <c r="B97" s="85"/>
      <c r="C97" s="85"/>
      <c r="D97" s="85"/>
      <c r="E97" s="86"/>
      <c r="F97" s="16">
        <f>IF(E97="","",DATEDIF(E97,$I$7,"Y"))</f>
      </c>
      <c r="G97" s="85"/>
      <c r="H97" s="85"/>
      <c r="I97" s="87"/>
      <c r="J97" s="85"/>
      <c r="K97" s="85"/>
      <c r="L97" s="2"/>
      <c r="M97" s="2"/>
      <c r="N97" s="1"/>
      <c r="O97" s="1"/>
      <c r="P97" s="85"/>
      <c r="Q97" s="88"/>
      <c r="R97" s="3">
        <f>IFERROR(VLOOKUP(TablaDiciembre[[#This Row],[BARRIO]],SECTOR!$A:$B,2,0),"")</f>
      </c>
      <c r="S97" s="89"/>
      <c r="T97" s="90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6"/>
      <c r="AZ97" s="30">
        <f>COUNTIF(U97:AY97,"A")</f>
      </c>
      <c r="BA97" s="17">
        <f>COUNTIF(U97:AY97,"F")</f>
      </c>
      <c r="BB97" s="17">
        <f>COUNTIF(U97:AY97,"E")</f>
      </c>
    </row>
    <row r="98" spans="1:54" ht="15.75" customHeight="1" x14ac:dyDescent="0.2">
      <c r="A98" s="84"/>
      <c r="B98" s="85"/>
      <c r="C98" s="85"/>
      <c r="D98" s="85"/>
      <c r="E98" s="86"/>
      <c r="F98" s="16">
        <f>IF(E98="","",DATEDIF(E98,$I$7,"Y"))</f>
      </c>
      <c r="G98" s="85"/>
      <c r="H98" s="85"/>
      <c r="I98" s="87"/>
      <c r="J98" s="85"/>
      <c r="K98" s="85"/>
      <c r="L98" s="2"/>
      <c r="M98" s="2"/>
      <c r="N98" s="1"/>
      <c r="O98" s="1"/>
      <c r="P98" s="85"/>
      <c r="Q98" s="88"/>
      <c r="R98" s="3">
        <f>IFERROR(VLOOKUP(TablaDiciembre[[#This Row],[BARRIO]],SECTOR!$A:$B,2,0),"")</f>
      </c>
      <c r="S98" s="89"/>
      <c r="T98" s="90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6"/>
      <c r="AZ98" s="30">
        <f>COUNTIF(U98:AY98,"A")</f>
      </c>
      <c r="BA98" s="17">
        <f>COUNTIF(U98:AY98,"F")</f>
      </c>
      <c r="BB98" s="17">
        <f>COUNTIF(U98:AY98,"E")</f>
      </c>
    </row>
    <row r="99" spans="1:54" ht="15.75" customHeight="1" x14ac:dyDescent="0.2">
      <c r="A99" s="84"/>
      <c r="B99" s="85"/>
      <c r="C99" s="85"/>
      <c r="D99" s="85"/>
      <c r="E99" s="86"/>
      <c r="F99" s="16">
        <f>IF(E99="","",DATEDIF(E99,$I$7,"Y"))</f>
      </c>
      <c r="G99" s="85"/>
      <c r="H99" s="85"/>
      <c r="I99" s="87"/>
      <c r="J99" s="85"/>
      <c r="K99" s="85"/>
      <c r="L99" s="2"/>
      <c r="M99" s="2"/>
      <c r="N99" s="1"/>
      <c r="O99" s="1"/>
      <c r="P99" s="85"/>
      <c r="Q99" s="88"/>
      <c r="R99" s="3">
        <f>IFERROR(VLOOKUP(TablaDiciembre[[#This Row],[BARRIO]],SECTOR!$A:$B,2,0),"")</f>
      </c>
      <c r="S99" s="89"/>
      <c r="T99" s="90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6"/>
      <c r="AZ99" s="30">
        <f>COUNTIF(U99:AY99,"A")</f>
      </c>
      <c r="BA99" s="17">
        <f>COUNTIF(U99:AY99,"F")</f>
      </c>
      <c r="BB99" s="17">
        <f>COUNTIF(U99:AY99,"E")</f>
      </c>
    </row>
    <row r="100" spans="1:54" ht="15.75" customHeight="1" x14ac:dyDescent="0.2">
      <c r="A100" s="84"/>
      <c r="B100" s="85"/>
      <c r="C100" s="85"/>
      <c r="D100" s="85"/>
      <c r="E100" s="86"/>
      <c r="F100" s="16">
        <f>IF(E100="","",DATEDIF(E100,$I$7,"Y"))</f>
      </c>
      <c r="G100" s="85"/>
      <c r="H100" s="85"/>
      <c r="I100" s="87"/>
      <c r="J100" s="85"/>
      <c r="K100" s="85"/>
      <c r="L100" s="2"/>
      <c r="M100" s="2"/>
      <c r="N100" s="1"/>
      <c r="O100" s="1"/>
      <c r="P100" s="85"/>
      <c r="Q100" s="88"/>
      <c r="R100" s="3">
        <f>IFERROR(VLOOKUP(TablaDiciembre[[#This Row],[BARRIO]],SECTOR!$A:$B,2,0),"")</f>
      </c>
      <c r="S100" s="89"/>
      <c r="T100" s="90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6"/>
      <c r="AZ100" s="30">
        <f>COUNTIF(U100:AY100,"A")</f>
      </c>
      <c r="BA100" s="17">
        <f>COUNTIF(U100:AY100,"F")</f>
      </c>
      <c r="BB100" s="17">
        <f>COUNTIF(U100:AY100,"E")</f>
      </c>
    </row>
    <row r="101" spans="1:54" ht="15.75" customHeight="1" x14ac:dyDescent="0.2">
      <c r="A101" s="84"/>
      <c r="B101" s="85"/>
      <c r="C101" s="85"/>
      <c r="D101" s="85"/>
      <c r="E101" s="86"/>
      <c r="F101" s="16">
        <f>IF(E101="","",DATEDIF(E101,$I$7,"Y"))</f>
      </c>
      <c r="G101" s="85"/>
      <c r="H101" s="85"/>
      <c r="I101" s="87"/>
      <c r="J101" s="85"/>
      <c r="K101" s="85"/>
      <c r="L101" s="2"/>
      <c r="M101" s="2"/>
      <c r="N101" s="1"/>
      <c r="O101" s="1"/>
      <c r="P101" s="85"/>
      <c r="Q101" s="88"/>
      <c r="R101" s="3">
        <f>IFERROR(VLOOKUP(TablaDiciembre[[#This Row],[BARRIO]],SECTOR!$A:$B,2,0),"")</f>
      </c>
      <c r="S101" s="89"/>
      <c r="T101" s="90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6"/>
      <c r="AZ101" s="30">
        <f>COUNTIF(U101:AY101,"A")</f>
      </c>
      <c r="BA101" s="17">
        <f>COUNTIF(U101:AY101,"F")</f>
      </c>
      <c r="BB101" s="17">
        <f>COUNTIF(U101:AY101,"E")</f>
      </c>
    </row>
    <row r="102" spans="1:54" ht="15.75" customHeight="1" x14ac:dyDescent="0.2">
      <c r="A102" s="84"/>
      <c r="B102" s="85"/>
      <c r="C102" s="85"/>
      <c r="D102" s="85"/>
      <c r="E102" s="86"/>
      <c r="F102" s="16">
        <f>IF(E102="","",DATEDIF(E102,$I$7,"Y"))</f>
      </c>
      <c r="G102" s="85"/>
      <c r="H102" s="85"/>
      <c r="I102" s="87"/>
      <c r="J102" s="85"/>
      <c r="K102" s="85"/>
      <c r="L102" s="2"/>
      <c r="M102" s="2"/>
      <c r="N102" s="1"/>
      <c r="O102" s="1"/>
      <c r="P102" s="85"/>
      <c r="Q102" s="88"/>
      <c r="R102" s="3">
        <f>IFERROR(VLOOKUP(TablaDiciembre[[#This Row],[BARRIO]],SECTOR!$A:$B,2,0),"")</f>
      </c>
      <c r="S102" s="89"/>
      <c r="T102" s="90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6"/>
      <c r="AZ102" s="30">
        <f>COUNTIF(U102:AY102,"A")</f>
      </c>
      <c r="BA102" s="17">
        <f>COUNTIF(U102:AY102,"F")</f>
      </c>
      <c r="BB102" s="17">
        <f>COUNTIF(U102:AY102,"E")</f>
      </c>
    </row>
    <row r="103" spans="1:54" ht="15.75" customHeight="1" x14ac:dyDescent="0.2">
      <c r="A103" s="84"/>
      <c r="B103" s="85"/>
      <c r="C103" s="85"/>
      <c r="D103" s="85"/>
      <c r="E103" s="86"/>
      <c r="F103" s="16">
        <f>IF(E103="","",DATEDIF(E103,$I$7,"Y"))</f>
      </c>
      <c r="G103" s="85"/>
      <c r="H103" s="85"/>
      <c r="I103" s="87"/>
      <c r="J103" s="85"/>
      <c r="K103" s="85"/>
      <c r="L103" s="2"/>
      <c r="M103" s="2"/>
      <c r="N103" s="1"/>
      <c r="O103" s="1"/>
      <c r="P103" s="85"/>
      <c r="Q103" s="88"/>
      <c r="R103" s="3">
        <f>IFERROR(VLOOKUP(TablaDiciembre[[#This Row],[BARRIO]],SECTOR!$A:$B,2,0),"")</f>
      </c>
      <c r="S103" s="89"/>
      <c r="T103" s="90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6"/>
      <c r="AZ103" s="30">
        <f>COUNTIF(U103:AY103,"A")</f>
      </c>
      <c r="BA103" s="17">
        <f>COUNTIF(U103:AY103,"F")</f>
      </c>
      <c r="BB103" s="17">
        <f>COUNTIF(U103:AY103,"E")</f>
      </c>
    </row>
    <row r="104" spans="1:54" ht="15.75" customHeight="1" x14ac:dyDescent="0.2">
      <c r="A104" s="84"/>
      <c r="B104" s="85"/>
      <c r="C104" s="85"/>
      <c r="D104" s="85"/>
      <c r="E104" s="86"/>
      <c r="F104" s="16">
        <f>IF(E104="","",DATEDIF(E104,$I$7,"Y"))</f>
      </c>
      <c r="G104" s="85"/>
      <c r="H104" s="85"/>
      <c r="I104" s="87"/>
      <c r="J104" s="85"/>
      <c r="K104" s="85"/>
      <c r="L104" s="2"/>
      <c r="M104" s="2"/>
      <c r="N104" s="1"/>
      <c r="O104" s="1"/>
      <c r="P104" s="85"/>
      <c r="Q104" s="88"/>
      <c r="R104" s="3">
        <f>IFERROR(VLOOKUP(TablaDiciembre[[#This Row],[BARRIO]],SECTOR!$A:$B,2,0),"")</f>
      </c>
      <c r="S104" s="89"/>
      <c r="T104" s="90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6"/>
      <c r="AZ104" s="30">
        <f>COUNTIF(U104:AY104,"A")</f>
      </c>
      <c r="BA104" s="17">
        <f>COUNTIF(U104:AY104,"F")</f>
      </c>
      <c r="BB104" s="17">
        <f>COUNTIF(U104:AY104,"E")</f>
      </c>
    </row>
    <row r="105" spans="1:54" ht="15.75" customHeight="1" x14ac:dyDescent="0.2">
      <c r="A105" s="84"/>
      <c r="B105" s="85"/>
      <c r="C105" s="85"/>
      <c r="D105" s="85"/>
      <c r="E105" s="86"/>
      <c r="F105" s="16">
        <f>IF(E105="","",DATEDIF(E105,$I$7,"Y"))</f>
      </c>
      <c r="G105" s="85"/>
      <c r="H105" s="85"/>
      <c r="I105" s="87"/>
      <c r="J105" s="85"/>
      <c r="K105" s="85"/>
      <c r="L105" s="2"/>
      <c r="M105" s="2"/>
      <c r="N105" s="1"/>
      <c r="O105" s="1"/>
      <c r="P105" s="85"/>
      <c r="Q105" s="88"/>
      <c r="R105" s="3">
        <f>IFERROR(VLOOKUP(TablaDiciembre[[#This Row],[BARRIO]],SECTOR!$A:$B,2,0),"")</f>
      </c>
      <c r="S105" s="89"/>
      <c r="T105" s="90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6"/>
      <c r="AZ105" s="30">
        <f>COUNTIF(U105:AY105,"A")</f>
      </c>
      <c r="BA105" s="17">
        <f>COUNTIF(U105:AY105,"F")</f>
      </c>
      <c r="BB105" s="17">
        <f>COUNTIF(U105:AY105,"E")</f>
      </c>
    </row>
    <row r="106" spans="1:54" ht="15.75" customHeight="1" x14ac:dyDescent="0.2">
      <c r="A106" s="84"/>
      <c r="B106" s="85"/>
      <c r="C106" s="85"/>
      <c r="D106" s="85"/>
      <c r="E106" s="86"/>
      <c r="F106" s="16">
        <f>IF(E106="","",DATEDIF(E106,$I$7,"Y"))</f>
      </c>
      <c r="G106" s="85"/>
      <c r="H106" s="85"/>
      <c r="I106" s="87"/>
      <c r="J106" s="85"/>
      <c r="K106" s="85"/>
      <c r="L106" s="2"/>
      <c r="M106" s="2"/>
      <c r="N106" s="1"/>
      <c r="O106" s="1"/>
      <c r="P106" s="85"/>
      <c r="Q106" s="88"/>
      <c r="R106" s="3">
        <f>IFERROR(VLOOKUP(TablaDiciembre[[#This Row],[BARRIO]],SECTOR!$A:$B,2,0),"")</f>
      </c>
      <c r="S106" s="89"/>
      <c r="T106" s="90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6"/>
      <c r="AZ106" s="30">
        <f>COUNTIF(U106:AY106,"A")</f>
      </c>
      <c r="BA106" s="17">
        <f>COUNTIF(U106:AY106,"F")</f>
      </c>
      <c r="BB106" s="17">
        <f>COUNTIF(U106:AY106,"E")</f>
      </c>
    </row>
    <row r="107" spans="1:54" ht="15.75" customHeight="1" x14ac:dyDescent="0.2">
      <c r="A107" s="84"/>
      <c r="B107" s="85"/>
      <c r="C107" s="85"/>
      <c r="D107" s="85"/>
      <c r="E107" s="86"/>
      <c r="F107" s="16">
        <f>IF(E107="","",DATEDIF(E107,$I$7,"Y"))</f>
      </c>
      <c r="G107" s="85"/>
      <c r="H107" s="85"/>
      <c r="I107" s="87"/>
      <c r="J107" s="85"/>
      <c r="K107" s="85"/>
      <c r="L107" s="2"/>
      <c r="M107" s="2"/>
      <c r="N107" s="1"/>
      <c r="O107" s="1"/>
      <c r="P107" s="85"/>
      <c r="Q107" s="88"/>
      <c r="R107" s="3">
        <f>IFERROR(VLOOKUP(TablaDiciembre[[#This Row],[BARRIO]],SECTOR!$A:$B,2,0),"")</f>
      </c>
      <c r="S107" s="89"/>
      <c r="T107" s="90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6"/>
      <c r="AZ107" s="30">
        <f>COUNTIF(U107:AY107,"A")</f>
      </c>
      <c r="BA107" s="17">
        <f>COUNTIF(U107:AY107,"F")</f>
      </c>
      <c r="BB107" s="17">
        <f>COUNTIF(U107:AY107,"E")</f>
      </c>
    </row>
    <row r="108" spans="1:54" ht="15.75" customHeight="1" x14ac:dyDescent="0.2">
      <c r="A108" s="84"/>
      <c r="B108" s="85"/>
      <c r="C108" s="85"/>
      <c r="D108" s="85"/>
      <c r="E108" s="86"/>
      <c r="F108" s="16">
        <f>IF(E108="","",DATEDIF(E108,$I$7,"Y"))</f>
      </c>
      <c r="G108" s="85"/>
      <c r="H108" s="85"/>
      <c r="I108" s="87"/>
      <c r="J108" s="85"/>
      <c r="K108" s="85"/>
      <c r="L108" s="2"/>
      <c r="M108" s="2"/>
      <c r="N108" s="1"/>
      <c r="O108" s="1"/>
      <c r="P108" s="85"/>
      <c r="Q108" s="88"/>
      <c r="R108" s="3">
        <f>IFERROR(VLOOKUP(TablaDiciembre[[#This Row],[BARRIO]],SECTOR!$A:$B,2,0),"")</f>
      </c>
      <c r="S108" s="89"/>
      <c r="T108" s="90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6"/>
      <c r="AZ108" s="30">
        <f>COUNTIF(U108:AY108,"A")</f>
      </c>
      <c r="BA108" s="17">
        <f>COUNTIF(U108:AY108,"F")</f>
      </c>
      <c r="BB108" s="17">
        <f>COUNTIF(U108:AY108,"E")</f>
      </c>
    </row>
    <row r="109" spans="1:54" ht="15.75" customHeight="1" x14ac:dyDescent="0.2">
      <c r="A109" s="84"/>
      <c r="B109" s="85"/>
      <c r="C109" s="85"/>
      <c r="D109" s="85"/>
      <c r="E109" s="86"/>
      <c r="F109" s="16">
        <f>IF(E109="","",DATEDIF(E109,$I$7,"Y"))</f>
      </c>
      <c r="G109" s="85"/>
      <c r="H109" s="85"/>
      <c r="I109" s="87"/>
      <c r="J109" s="85"/>
      <c r="K109" s="85"/>
      <c r="L109" s="2"/>
      <c r="M109" s="2"/>
      <c r="N109" s="1"/>
      <c r="O109" s="1"/>
      <c r="P109" s="85"/>
      <c r="Q109" s="88"/>
      <c r="R109" s="3">
        <f>IFERROR(VLOOKUP(TablaDiciembre[[#This Row],[BARRIO]],SECTOR!$A:$B,2,0),"")</f>
      </c>
      <c r="S109" s="89"/>
      <c r="T109" s="90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6"/>
      <c r="AZ109" s="30">
        <f>COUNTIF(U109:AY109,"A")</f>
      </c>
      <c r="BA109" s="17">
        <f>COUNTIF(U109:AY109,"F")</f>
      </c>
      <c r="BB109" s="17">
        <f>COUNTIF(U109:AY109,"E")</f>
      </c>
    </row>
    <row r="110" spans="1:54" ht="15.75" customHeight="1" x14ac:dyDescent="0.2">
      <c r="A110" s="84"/>
      <c r="B110" s="85"/>
      <c r="C110" s="85"/>
      <c r="D110" s="85"/>
      <c r="E110" s="86"/>
      <c r="F110" s="16">
        <f>IF(E110="","",DATEDIF(E110,$I$7,"Y"))</f>
      </c>
      <c r="G110" s="85"/>
      <c r="H110" s="85"/>
      <c r="I110" s="87"/>
      <c r="J110" s="85"/>
      <c r="K110" s="85"/>
      <c r="L110" s="2"/>
      <c r="M110" s="2"/>
      <c r="N110" s="1"/>
      <c r="O110" s="1"/>
      <c r="P110" s="85"/>
      <c r="Q110" s="88"/>
      <c r="R110" s="3">
        <f>IFERROR(VLOOKUP(TablaDiciembre[[#This Row],[BARRIO]],SECTOR!$A:$B,2,0),"")</f>
      </c>
      <c r="S110" s="89"/>
      <c r="T110" s="90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6"/>
      <c r="AZ110" s="30">
        <f>COUNTIF(U110:AY110,"A")</f>
      </c>
      <c r="BA110" s="17">
        <f>COUNTIF(U110:AY110,"F")</f>
      </c>
      <c r="BB110" s="17">
        <f>COUNTIF(U110:AY110,"E")</f>
      </c>
    </row>
    <row r="111" spans="1:54" ht="15.75" customHeight="1" x14ac:dyDescent="0.2">
      <c r="A111" s="84"/>
      <c r="B111" s="85"/>
      <c r="C111" s="85"/>
      <c r="D111" s="85"/>
      <c r="E111" s="86"/>
      <c r="F111" s="16">
        <f>IF(E111="","",DATEDIF(E111,$I$7,"Y"))</f>
      </c>
      <c r="G111" s="85"/>
      <c r="H111" s="85"/>
      <c r="I111" s="87"/>
      <c r="J111" s="85"/>
      <c r="K111" s="85"/>
      <c r="L111" s="2"/>
      <c r="M111" s="2"/>
      <c r="N111" s="1"/>
      <c r="O111" s="1"/>
      <c r="P111" s="85"/>
      <c r="Q111" s="88"/>
      <c r="R111" s="3">
        <f>IFERROR(VLOOKUP(TablaDiciembre[[#This Row],[BARRIO]],SECTOR!$A:$B,2,0),"")</f>
      </c>
      <c r="S111" s="89"/>
      <c r="T111" s="90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6"/>
      <c r="AZ111" s="30">
        <f>COUNTIF(U111:AY111,"A")</f>
      </c>
      <c r="BA111" s="17">
        <f>COUNTIF(U111:AY111,"F")</f>
      </c>
      <c r="BB111" s="17">
        <f>COUNTIF(U111:AY111,"E")</f>
      </c>
    </row>
    <row r="112" spans="1:54" ht="15.75" customHeight="1" x14ac:dyDescent="0.2">
      <c r="A112" s="84"/>
      <c r="B112" s="85"/>
      <c r="C112" s="85"/>
      <c r="D112" s="85"/>
      <c r="E112" s="86"/>
      <c r="F112" s="16">
        <f>IF(E112="","",DATEDIF(E112,$I$7,"Y"))</f>
      </c>
      <c r="G112" s="85"/>
      <c r="H112" s="85"/>
      <c r="I112" s="87"/>
      <c r="J112" s="85"/>
      <c r="K112" s="85"/>
      <c r="L112" s="2"/>
      <c r="M112" s="2"/>
      <c r="N112" s="1"/>
      <c r="O112" s="1"/>
      <c r="P112" s="85"/>
      <c r="Q112" s="88"/>
      <c r="R112" s="3">
        <f>IFERROR(VLOOKUP(TablaDiciembre[[#This Row],[BARRIO]],SECTOR!$A:$B,2,0),"")</f>
      </c>
      <c r="S112" s="89"/>
      <c r="T112" s="90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6"/>
      <c r="AZ112" s="30">
        <f>COUNTIF(U112:AY112,"A")</f>
      </c>
      <c r="BA112" s="17">
        <f>COUNTIF(U112:AY112,"F")</f>
      </c>
      <c r="BB112" s="17">
        <f>COUNTIF(U112:AY112,"E")</f>
      </c>
    </row>
    <row r="113" spans="1:54" ht="15.75" customHeight="1" x14ac:dyDescent="0.2">
      <c r="A113" s="84"/>
      <c r="B113" s="85"/>
      <c r="C113" s="85"/>
      <c r="D113" s="85"/>
      <c r="E113" s="86"/>
      <c r="F113" s="16">
        <f>IF(E113="","",DATEDIF(E113,$I$7,"Y"))</f>
      </c>
      <c r="G113" s="85"/>
      <c r="H113" s="85"/>
      <c r="I113" s="87"/>
      <c r="J113" s="85"/>
      <c r="K113" s="85"/>
      <c r="L113" s="2"/>
      <c r="M113" s="2"/>
      <c r="N113" s="1"/>
      <c r="O113" s="1"/>
      <c r="P113" s="85"/>
      <c r="Q113" s="88"/>
      <c r="R113" s="3">
        <f>IFERROR(VLOOKUP(TablaDiciembre[[#This Row],[BARRIO]],SECTOR!$A:$B,2,0),"")</f>
      </c>
      <c r="S113" s="89"/>
      <c r="T113" s="90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6"/>
      <c r="AZ113" s="30">
        <f>COUNTIF(U113:AY113,"A")</f>
      </c>
      <c r="BA113" s="17">
        <f>COUNTIF(U113:AY113,"F")</f>
      </c>
      <c r="BB113" s="17">
        <f>COUNTIF(U113:AY113,"E")</f>
      </c>
    </row>
    <row r="114" spans="1:54" ht="15.75" customHeight="1" x14ac:dyDescent="0.2">
      <c r="A114" s="84"/>
      <c r="B114" s="85"/>
      <c r="C114" s="85"/>
      <c r="D114" s="85"/>
      <c r="E114" s="86"/>
      <c r="F114" s="16">
        <f>IF(E114="","",DATEDIF(E114,$I$7,"Y"))</f>
      </c>
      <c r="G114" s="85"/>
      <c r="H114" s="85"/>
      <c r="I114" s="87"/>
      <c r="J114" s="85"/>
      <c r="K114" s="85"/>
      <c r="L114" s="2"/>
      <c r="M114" s="2"/>
      <c r="N114" s="1"/>
      <c r="O114" s="1"/>
      <c r="P114" s="85"/>
      <c r="Q114" s="88"/>
      <c r="R114" s="3">
        <f>IFERROR(VLOOKUP(TablaDiciembre[[#This Row],[BARRIO]],SECTOR!$A:$B,2,0),"")</f>
      </c>
      <c r="S114" s="89"/>
      <c r="T114" s="90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6"/>
      <c r="AZ114" s="30">
        <f>COUNTIF(U114:AY114,"A")</f>
      </c>
      <c r="BA114" s="17">
        <f>COUNTIF(U114:AY114,"F")</f>
      </c>
      <c r="BB114" s="17">
        <f>COUNTIF(U114:AY114,"E")</f>
      </c>
    </row>
    <row r="115" spans="1:54" ht="15.75" customHeight="1" x14ac:dyDescent="0.2">
      <c r="A115" s="84"/>
      <c r="B115" s="85"/>
      <c r="C115" s="85"/>
      <c r="D115" s="85"/>
      <c r="E115" s="86"/>
      <c r="F115" s="16">
        <f>IF(E115="","",DATEDIF(E115,$I$7,"Y"))</f>
      </c>
      <c r="G115" s="85"/>
      <c r="H115" s="85"/>
      <c r="I115" s="87"/>
      <c r="J115" s="85"/>
      <c r="K115" s="85"/>
      <c r="L115" s="2"/>
      <c r="M115" s="2"/>
      <c r="N115" s="1"/>
      <c r="O115" s="1"/>
      <c r="P115" s="85"/>
      <c r="Q115" s="88"/>
      <c r="R115" s="3">
        <f>IFERROR(VLOOKUP(TablaDiciembre[[#This Row],[BARRIO]],SECTOR!$A:$B,2,0),"")</f>
      </c>
      <c r="S115" s="89"/>
      <c r="T115" s="90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6"/>
      <c r="AZ115" s="30">
        <f>COUNTIF(U115:AY115,"A")</f>
      </c>
      <c r="BA115" s="17">
        <f>COUNTIF(U115:AY115,"F")</f>
      </c>
      <c r="BB115" s="17">
        <f>COUNTIF(U115:AY115,"E")</f>
      </c>
    </row>
    <row r="116" spans="1:54" ht="15.75" customHeight="1" x14ac:dyDescent="0.2">
      <c r="A116" s="84"/>
      <c r="B116" s="85"/>
      <c r="C116" s="85"/>
      <c r="D116" s="85"/>
      <c r="E116" s="86"/>
      <c r="F116" s="16">
        <f>IF(E116="","",DATEDIF(E116,$I$7,"Y"))</f>
      </c>
      <c r="G116" s="85"/>
      <c r="H116" s="85"/>
      <c r="I116" s="87"/>
      <c r="J116" s="85"/>
      <c r="K116" s="85"/>
      <c r="L116" s="2"/>
      <c r="M116" s="2"/>
      <c r="N116" s="1"/>
      <c r="O116" s="1"/>
      <c r="P116" s="85"/>
      <c r="Q116" s="88"/>
      <c r="R116" s="3">
        <f>IFERROR(VLOOKUP(TablaDiciembre[[#This Row],[BARRIO]],SECTOR!$A:$B,2,0),"")</f>
      </c>
      <c r="S116" s="89"/>
      <c r="T116" s="90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6"/>
      <c r="AZ116" s="30">
        <f>COUNTIF(U116:AY116,"A")</f>
      </c>
      <c r="BA116" s="17">
        <f>COUNTIF(U116:AY116,"F")</f>
      </c>
      <c r="BB116" s="17">
        <f>COUNTIF(U116:AY116,"E")</f>
      </c>
    </row>
    <row r="117" spans="1:54" ht="15.75" customHeight="1" x14ac:dyDescent="0.2">
      <c r="A117" s="84"/>
      <c r="B117" s="85"/>
      <c r="C117" s="85"/>
      <c r="D117" s="85"/>
      <c r="E117" s="86"/>
      <c r="F117" s="16">
        <f>IF(E117="","",DATEDIF(E117,$I$7,"Y"))</f>
      </c>
      <c r="G117" s="85"/>
      <c r="H117" s="85"/>
      <c r="I117" s="87"/>
      <c r="J117" s="85"/>
      <c r="K117" s="85"/>
      <c r="L117" s="2"/>
      <c r="M117" s="2"/>
      <c r="N117" s="1"/>
      <c r="O117" s="1"/>
      <c r="P117" s="85"/>
      <c r="Q117" s="88"/>
      <c r="R117" s="3">
        <f>IFERROR(VLOOKUP(TablaDiciembre[[#This Row],[BARRIO]],SECTOR!$A:$B,2,0),"")</f>
      </c>
      <c r="S117" s="89"/>
      <c r="T117" s="90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6"/>
      <c r="AZ117" s="30">
        <f>COUNTIF(U117:AY117,"A")</f>
      </c>
      <c r="BA117" s="17">
        <f>COUNTIF(U117:AY117,"F")</f>
      </c>
      <c r="BB117" s="17">
        <f>COUNTIF(U117:AY117,"E")</f>
      </c>
    </row>
    <row r="118" spans="1:54" ht="15.75" customHeight="1" x14ac:dyDescent="0.2">
      <c r="A118" s="84"/>
      <c r="B118" s="85"/>
      <c r="C118" s="85"/>
      <c r="D118" s="85"/>
      <c r="E118" s="86"/>
      <c r="F118" s="16">
        <f>IF(E118="","",DATEDIF(E118,$I$7,"Y"))</f>
      </c>
      <c r="G118" s="85"/>
      <c r="H118" s="85"/>
      <c r="I118" s="87"/>
      <c r="J118" s="85"/>
      <c r="K118" s="85"/>
      <c r="L118" s="2"/>
      <c r="M118" s="2"/>
      <c r="N118" s="1"/>
      <c r="O118" s="1"/>
      <c r="P118" s="85"/>
      <c r="Q118" s="88"/>
      <c r="R118" s="3">
        <f>IFERROR(VLOOKUP(TablaDiciembre[[#This Row],[BARRIO]],SECTOR!$A:$B,2,0),"")</f>
      </c>
      <c r="S118" s="89"/>
      <c r="T118" s="90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6"/>
      <c r="AZ118" s="30">
        <f>COUNTIF(U118:AY118,"A")</f>
      </c>
      <c r="BA118" s="17">
        <f>COUNTIF(U118:AY118,"F")</f>
      </c>
      <c r="BB118" s="17">
        <f>COUNTIF(U118:AY118,"E")</f>
      </c>
    </row>
    <row r="119" spans="1:54" ht="15.75" customHeight="1" x14ac:dyDescent="0.2">
      <c r="A119" s="84"/>
      <c r="B119" s="85"/>
      <c r="C119" s="85"/>
      <c r="D119" s="85"/>
      <c r="E119" s="86"/>
      <c r="F119" s="16">
        <f>IF(E119="","",DATEDIF(E119,$I$7,"Y"))</f>
      </c>
      <c r="G119" s="85"/>
      <c r="H119" s="85"/>
      <c r="I119" s="87"/>
      <c r="J119" s="85"/>
      <c r="K119" s="85"/>
      <c r="L119" s="2"/>
      <c r="M119" s="2"/>
      <c r="N119" s="1"/>
      <c r="O119" s="1"/>
      <c r="P119" s="85"/>
      <c r="Q119" s="88"/>
      <c r="R119" s="3">
        <f>IFERROR(VLOOKUP(TablaDiciembre[[#This Row],[BARRIO]],SECTOR!$A:$B,2,0),"")</f>
      </c>
      <c r="S119" s="89"/>
      <c r="T119" s="90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6"/>
      <c r="AZ119" s="30">
        <f>COUNTIF(U119:AY119,"A")</f>
      </c>
      <c r="BA119" s="17">
        <f>COUNTIF(U119:AY119,"F")</f>
      </c>
      <c r="BB119" s="17">
        <f>COUNTIF(U119:AY119,"E")</f>
      </c>
    </row>
    <row r="120" spans="1:54" ht="15.75" customHeight="1" x14ac:dyDescent="0.2">
      <c r="A120" s="84"/>
      <c r="B120" s="85"/>
      <c r="C120" s="85"/>
      <c r="D120" s="85"/>
      <c r="E120" s="86"/>
      <c r="F120" s="16">
        <f>IF(E120="","",DATEDIF(E120,$I$7,"Y"))</f>
      </c>
      <c r="G120" s="85"/>
      <c r="H120" s="85"/>
      <c r="I120" s="87"/>
      <c r="J120" s="85"/>
      <c r="K120" s="85"/>
      <c r="L120" s="2"/>
      <c r="M120" s="2"/>
      <c r="N120" s="1"/>
      <c r="O120" s="1"/>
      <c r="P120" s="85"/>
      <c r="Q120" s="88"/>
      <c r="R120" s="3">
        <f>IFERROR(VLOOKUP(TablaDiciembre[[#This Row],[BARRIO]],SECTOR!$A:$B,2,0),"")</f>
      </c>
      <c r="S120" s="89"/>
      <c r="T120" s="90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6"/>
      <c r="AZ120" s="30">
        <f>COUNTIF(U120:AY120,"A")</f>
      </c>
      <c r="BA120" s="17">
        <f>COUNTIF(U120:AY120,"F")</f>
      </c>
      <c r="BB120" s="17">
        <f>COUNTIF(U120:AY120,"E")</f>
      </c>
    </row>
    <row r="121" spans="1:54" ht="15.75" customHeight="1" x14ac:dyDescent="0.2">
      <c r="A121" s="84"/>
      <c r="B121" s="85"/>
      <c r="C121" s="85"/>
      <c r="D121" s="85"/>
      <c r="E121" s="86"/>
      <c r="F121" s="16">
        <f>IF(E121="","",DATEDIF(E121,$I$7,"Y"))</f>
      </c>
      <c r="G121" s="85"/>
      <c r="H121" s="85"/>
      <c r="I121" s="87"/>
      <c r="J121" s="85"/>
      <c r="K121" s="85"/>
      <c r="L121" s="2"/>
      <c r="M121" s="2"/>
      <c r="N121" s="1"/>
      <c r="O121" s="1"/>
      <c r="P121" s="85"/>
      <c r="Q121" s="88"/>
      <c r="R121" s="3">
        <f>IFERROR(VLOOKUP(TablaDiciembre[[#This Row],[BARRIO]],SECTOR!$A:$B,2,0),"")</f>
      </c>
      <c r="S121" s="89"/>
      <c r="T121" s="90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6"/>
      <c r="AZ121" s="30">
        <f>COUNTIF(U121:AY121,"A")</f>
      </c>
      <c r="BA121" s="17">
        <f>COUNTIF(U121:AY121,"F")</f>
      </c>
      <c r="BB121" s="17">
        <f>COUNTIF(U121:AY121,"E")</f>
      </c>
    </row>
    <row r="122" spans="1:54" ht="15.75" customHeight="1" x14ac:dyDescent="0.2">
      <c r="A122" s="84"/>
      <c r="B122" s="85"/>
      <c r="C122" s="85"/>
      <c r="D122" s="85"/>
      <c r="E122" s="86"/>
      <c r="F122" s="16">
        <f>IF(E122="","",DATEDIF(E122,$I$7,"Y"))</f>
      </c>
      <c r="G122" s="85"/>
      <c r="H122" s="85"/>
      <c r="I122" s="87"/>
      <c r="J122" s="85"/>
      <c r="K122" s="85"/>
      <c r="L122" s="2"/>
      <c r="M122" s="2"/>
      <c r="N122" s="1"/>
      <c r="O122" s="1"/>
      <c r="P122" s="85"/>
      <c r="Q122" s="88"/>
      <c r="R122" s="3">
        <f>IFERROR(VLOOKUP(TablaDiciembre[[#This Row],[BARRIO]],SECTOR!$A:$B,2,0),"")</f>
      </c>
      <c r="S122" s="89"/>
      <c r="T122" s="90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30">
        <f>COUNTIF(U122:AY122,"A")</f>
      </c>
      <c r="BA122" s="17">
        <f>COUNTIF(U122:AY122,"F")</f>
      </c>
      <c r="BB122" s="17">
        <f>COUNTIF(U122:AY122,"E")</f>
      </c>
    </row>
    <row r="123" spans="1:54" x14ac:dyDescent="0.2">
      <c r="A123" s="100"/>
      <c r="B123" s="101"/>
      <c r="C123" s="101"/>
      <c r="D123" s="101"/>
      <c r="E123" s="102"/>
      <c r="F123" s="16">
        <f>IF(E123="","",DATEDIF(E123,$I$7,"Y"))</f>
      </c>
      <c r="G123" s="101"/>
      <c r="H123" s="101"/>
      <c r="I123" s="103"/>
      <c r="J123" s="101"/>
      <c r="K123" s="101"/>
      <c r="L123" s="10"/>
      <c r="M123" s="10"/>
      <c r="N123" s="10"/>
      <c r="O123" s="10"/>
      <c r="P123" s="101"/>
      <c r="Q123" s="88"/>
      <c r="R123" s="3">
        <f>IFERROR(VLOOKUP(TablaDiciembre[[#This Row],[BARRIO]],SECTOR!$A:$B,2,0),"")</f>
      </c>
      <c r="S123" s="104"/>
      <c r="T123" s="10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7"/>
      <c r="AZ123" s="30">
        <f>COUNTIF(U123:AY123,"A")</f>
      </c>
      <c r="BA123" s="32">
        <f>COUNTIF(U123:AY123,"F")</f>
      </c>
      <c r="BB123" s="118">
        <f>COUNTIF(U123:AY123,"E")</f>
      </c>
    </row>
    <row r="124" spans="1:54" x14ac:dyDescent="0.2">
      <c r="A124" s="100"/>
      <c r="B124" s="101"/>
      <c r="C124" s="101"/>
      <c r="D124" s="101"/>
      <c r="E124" s="102"/>
      <c r="F124" s="16">
        <f>IF(E124="","",DATEDIF(E124,$I$7,"Y"))</f>
      </c>
      <c r="G124" s="101"/>
      <c r="H124" s="101"/>
      <c r="I124" s="103"/>
      <c r="J124" s="101"/>
      <c r="K124" s="101"/>
      <c r="L124" s="10"/>
      <c r="M124" s="10"/>
      <c r="N124" s="10"/>
      <c r="O124" s="10"/>
      <c r="P124" s="101"/>
      <c r="Q124" s="88"/>
      <c r="R124" s="3">
        <f>IFERROR(VLOOKUP(TablaDiciembre[[#This Row],[BARRIO]],SECTOR!$A:$B,2,0),"")</f>
      </c>
      <c r="S124" s="104"/>
      <c r="T124" s="10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7"/>
      <c r="AZ124" s="30">
        <f>COUNTIF(U124:AY124,"A")</f>
      </c>
      <c r="BA124" s="32">
        <f>COUNTIF(U124:AY124,"F")</f>
      </c>
      <c r="BB124" s="118">
        <f>COUNTIF(U124:AY124,"E")</f>
      </c>
    </row>
    <row r="125" spans="1:54" x14ac:dyDescent="0.2">
      <c r="A125" s="100"/>
      <c r="B125" s="106"/>
      <c r="C125" s="101"/>
      <c r="D125" s="101"/>
      <c r="E125" s="102"/>
      <c r="F125" s="16">
        <f>IF(E125="","",DATEDIF(E125,$I$7,"Y"))</f>
      </c>
      <c r="G125" s="101"/>
      <c r="H125" s="101"/>
      <c r="I125" s="103"/>
      <c r="J125" s="101"/>
      <c r="K125" s="101"/>
      <c r="L125" s="10"/>
      <c r="M125" s="10"/>
      <c r="N125" s="10"/>
      <c r="O125" s="10"/>
      <c r="P125" s="101"/>
      <c r="Q125" s="88"/>
      <c r="R125" s="3">
        <f>IFERROR(VLOOKUP(TablaDiciembre[[#This Row],[BARRIO]],SECTOR!$A:$B,2,0),"")</f>
      </c>
      <c r="S125" s="104"/>
      <c r="T125" s="10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7"/>
      <c r="AZ125" s="30">
        <f>COUNTIF(U125:AY125,"A")</f>
      </c>
      <c r="BA125" s="32">
        <f>COUNTIF(U125:AY125,"F")</f>
      </c>
      <c r="BB125" s="118">
        <f>COUNTIF(U125:AY125,"E")</f>
      </c>
    </row>
    <row r="126" spans="1:54" x14ac:dyDescent="0.2">
      <c r="A126" s="84"/>
      <c r="B126" s="107"/>
      <c r="C126" s="85"/>
      <c r="D126" s="85"/>
      <c r="E126" s="86"/>
      <c r="F126" s="16">
        <f>IF(E126="","",DATEDIF(E126,$I$7,"Y"))</f>
      </c>
      <c r="G126" s="85"/>
      <c r="H126" s="85"/>
      <c r="I126" s="87"/>
      <c r="J126" s="85"/>
      <c r="K126" s="85"/>
      <c r="L126" s="10"/>
      <c r="M126" s="10"/>
      <c r="N126" s="10"/>
      <c r="O126" s="10"/>
      <c r="P126" s="85"/>
      <c r="Q126" s="88"/>
      <c r="R126" s="3">
        <f>IFERROR(VLOOKUP(TablaDiciembre[[#This Row],[BARRIO]],SECTOR!$A:$B,2,0),"")</f>
      </c>
      <c r="S126" s="89"/>
      <c r="T126" s="90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6"/>
      <c r="AZ126" s="30">
        <f>COUNTIF(U126:AY126,"A")</f>
      </c>
      <c r="BA126" s="32">
        <f>COUNTIF(U126:AY126,"F")</f>
      </c>
      <c r="BB126" s="119">
        <f>COUNTIF(U126:AY126,"E")</f>
      </c>
    </row>
    <row r="127" spans="1:54" x14ac:dyDescent="0.2">
      <c r="A127" s="84"/>
      <c r="B127" s="107"/>
      <c r="C127" s="85"/>
      <c r="D127" s="85"/>
      <c r="E127" s="86"/>
      <c r="F127" s="16">
        <f>IF(E127="","",DATEDIF(E127,$I$7,"Y"))</f>
      </c>
      <c r="G127" s="85"/>
      <c r="H127" s="85"/>
      <c r="I127" s="87"/>
      <c r="J127" s="85"/>
      <c r="K127" s="85"/>
      <c r="L127" s="10"/>
      <c r="M127" s="10"/>
      <c r="N127" s="10"/>
      <c r="O127" s="10"/>
      <c r="P127" s="85"/>
      <c r="Q127" s="88"/>
      <c r="R127" s="3">
        <f>IFERROR(VLOOKUP(TablaDiciembre[[#This Row],[BARRIO]],SECTOR!$A:$B,2,0),"")</f>
      </c>
      <c r="S127" s="89"/>
      <c r="T127" s="90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6"/>
      <c r="AZ127" s="120">
        <f>COUNTIF(U127:AY127,"A")</f>
      </c>
      <c r="BA127" s="121">
        <f>COUNTIF(U127:AY127,"F")</f>
      </c>
      <c r="BB127" s="119">
        <f>COUNTIF(U127:AY127,"E")</f>
      </c>
    </row>
    <row r="128" spans="1:54" x14ac:dyDescent="0.2">
      <c r="A128" s="84"/>
      <c r="B128" s="107"/>
      <c r="C128" s="85"/>
      <c r="D128" s="85"/>
      <c r="E128" s="86"/>
      <c r="F128" s="16">
        <f>IF(E128="","",DATEDIF(E128,$I$7,"Y"))</f>
      </c>
      <c r="G128" s="85"/>
      <c r="H128" s="85"/>
      <c r="I128" s="87"/>
      <c r="J128" s="85"/>
      <c r="K128" s="85"/>
      <c r="L128" s="10"/>
      <c r="M128" s="10"/>
      <c r="N128" s="10"/>
      <c r="O128" s="10"/>
      <c r="P128" s="85"/>
      <c r="Q128" s="88"/>
      <c r="R128" s="3">
        <f>IFERROR(VLOOKUP(TablaDiciembre[[#This Row],[BARRIO]],SECTOR!$A:$B,2,0),"")</f>
      </c>
      <c r="S128" s="89"/>
      <c r="T128" s="90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6"/>
      <c r="AZ128" s="120">
        <f>COUNTIF(U128:AY128,"A")</f>
      </c>
      <c r="BA128" s="121">
        <f>COUNTIF(U128:AY128,"F")</f>
      </c>
      <c r="BB128" s="119">
        <f>COUNTIF(U128:AY128,"E")</f>
      </c>
    </row>
    <row r="129" spans="1:54" x14ac:dyDescent="0.2">
      <c r="A129" s="84"/>
      <c r="B129" s="107"/>
      <c r="C129" s="85"/>
      <c r="D129" s="85"/>
      <c r="E129" s="86"/>
      <c r="F129" s="16">
        <f>IF(E129="","",DATEDIF(E129,$I$7,"Y"))</f>
      </c>
      <c r="G129" s="85"/>
      <c r="H129" s="85"/>
      <c r="I129" s="87"/>
      <c r="J129" s="85"/>
      <c r="K129" s="85"/>
      <c r="L129" s="10"/>
      <c r="M129" s="10"/>
      <c r="N129" s="10"/>
      <c r="O129" s="10"/>
      <c r="P129" s="85"/>
      <c r="Q129" s="88"/>
      <c r="R129" s="3">
        <f>IFERROR(VLOOKUP(TablaDiciembre[[#This Row],[BARRIO]],SECTOR!$A:$B,2,0),"")</f>
      </c>
      <c r="S129" s="89"/>
      <c r="T129" s="90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6"/>
      <c r="AZ129" s="120">
        <f>COUNTIF(U129:AY129,"A")</f>
      </c>
      <c r="BA129" s="121">
        <f>COUNTIF(U129:AY129,"F")</f>
      </c>
      <c r="BB129" s="119">
        <f>COUNTIF(U129:AY129,"E")</f>
      </c>
    </row>
    <row r="130" spans="1:54" x14ac:dyDescent="0.2">
      <c r="A130" s="84"/>
      <c r="B130" s="107"/>
      <c r="C130" s="85"/>
      <c r="D130" s="85"/>
      <c r="E130" s="86"/>
      <c r="F130" s="16">
        <f>IF(E130="","",DATEDIF(E130,$I$7,"Y"))</f>
      </c>
      <c r="G130" s="85"/>
      <c r="H130" s="85"/>
      <c r="I130" s="87"/>
      <c r="J130" s="85"/>
      <c r="K130" s="85"/>
      <c r="L130" s="10"/>
      <c r="M130" s="10"/>
      <c r="N130" s="10"/>
      <c r="O130" s="10"/>
      <c r="P130" s="85"/>
      <c r="Q130" s="88"/>
      <c r="R130" s="3">
        <f>IFERROR(VLOOKUP(TablaDiciembre[[#This Row],[BARRIO]],SECTOR!$A:$B,2,0),"")</f>
      </c>
      <c r="S130" s="89"/>
      <c r="T130" s="90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6"/>
      <c r="AZ130" s="120">
        <f>COUNTIF(U130:AY130,"A")</f>
      </c>
      <c r="BA130" s="121">
        <f>COUNTIF(U130:AY130,"F")</f>
      </c>
      <c r="BB130" s="119">
        <f>COUNTIF(U130:AY130,"E")</f>
      </c>
    </row>
    <row r="131" spans="1:54" x14ac:dyDescent="0.2">
      <c r="A131" s="84"/>
      <c r="B131" s="107"/>
      <c r="C131" s="85"/>
      <c r="D131" s="85"/>
      <c r="E131" s="86"/>
      <c r="F131" s="16">
        <f>IF(E131="","",DATEDIF(E131,$I$7,"Y"))</f>
      </c>
      <c r="G131" s="85"/>
      <c r="H131" s="85"/>
      <c r="I131" s="87"/>
      <c r="J131" s="85"/>
      <c r="K131" s="85"/>
      <c r="L131" s="10"/>
      <c r="M131" s="10"/>
      <c r="N131" s="10"/>
      <c r="O131" s="10"/>
      <c r="P131" s="85"/>
      <c r="Q131" s="88"/>
      <c r="R131" s="3">
        <f>IFERROR(VLOOKUP(TablaDiciembre[[#This Row],[BARRIO]],SECTOR!$A:$B,2,0),"")</f>
      </c>
      <c r="S131" s="89"/>
      <c r="T131" s="90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6"/>
      <c r="AZ131" s="120">
        <f>COUNTIF(U131:AY131,"A")</f>
      </c>
      <c r="BA131" s="121">
        <f>COUNTIF(U131:AY131,"F")</f>
      </c>
      <c r="BB131" s="119">
        <f>COUNTIF(U131:AY131,"E")</f>
      </c>
    </row>
    <row r="132" spans="1:54" x14ac:dyDescent="0.2">
      <c r="A132" s="84"/>
      <c r="B132" s="107"/>
      <c r="C132" s="85"/>
      <c r="D132" s="85"/>
      <c r="E132" s="86"/>
      <c r="F132" s="16">
        <f>IF(E132="","",DATEDIF(E132,$I$7,"Y"))</f>
      </c>
      <c r="G132" s="85"/>
      <c r="H132" s="85"/>
      <c r="I132" s="87"/>
      <c r="J132" s="85"/>
      <c r="K132" s="85"/>
      <c r="L132" s="10"/>
      <c r="M132" s="10"/>
      <c r="N132" s="10"/>
      <c r="O132" s="10"/>
      <c r="P132" s="85"/>
      <c r="Q132" s="88"/>
      <c r="R132" s="3">
        <f>IFERROR(VLOOKUP(TablaDiciembre[[#This Row],[BARRIO]],SECTOR!$A:$B,2,0),"")</f>
      </c>
      <c r="S132" s="89"/>
      <c r="T132" s="90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6"/>
      <c r="AZ132" s="120">
        <f>COUNTIF(U132:AY132,"A")</f>
      </c>
      <c r="BA132" s="121">
        <f>COUNTIF(U132:AY132,"F")</f>
      </c>
      <c r="BB132" s="119">
        <f>COUNTIF(U132:AY132,"E")</f>
      </c>
    </row>
    <row r="133" spans="1:54" x14ac:dyDescent="0.2">
      <c r="A133" s="84"/>
      <c r="B133" s="107"/>
      <c r="C133" s="85"/>
      <c r="D133" s="85"/>
      <c r="E133" s="86"/>
      <c r="F133" s="16">
        <f>IF(E133="","",DATEDIF(E133,$I$7,"Y"))</f>
      </c>
      <c r="G133" s="85"/>
      <c r="H133" s="85"/>
      <c r="I133" s="87"/>
      <c r="J133" s="85"/>
      <c r="K133" s="85"/>
      <c r="L133" s="10"/>
      <c r="M133" s="10"/>
      <c r="N133" s="10"/>
      <c r="O133" s="10"/>
      <c r="P133" s="85"/>
      <c r="Q133" s="88"/>
      <c r="R133" s="3">
        <f>IFERROR(VLOOKUP(TablaDiciembre[[#This Row],[BARRIO]],SECTOR!$A:$B,2,0),"")</f>
      </c>
      <c r="S133" s="89"/>
      <c r="T133" s="90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6"/>
      <c r="AZ133" s="120">
        <f>COUNTIF(U133:AY133,"A")</f>
      </c>
      <c r="BA133" s="121">
        <f>COUNTIF(U133:AY133,"F")</f>
      </c>
      <c r="BB133" s="119">
        <f>COUNTIF(U133:AY133,"E")</f>
      </c>
    </row>
    <row r="134" spans="1:54" x14ac:dyDescent="0.2">
      <c r="A134" s="84"/>
      <c r="B134" s="107"/>
      <c r="C134" s="85"/>
      <c r="D134" s="85"/>
      <c r="E134" s="86"/>
      <c r="F134" s="16">
        <f>IF(E134="","",DATEDIF(E134,$I$7,"Y"))</f>
      </c>
      <c r="G134" s="85"/>
      <c r="H134" s="85"/>
      <c r="I134" s="87"/>
      <c r="J134" s="85"/>
      <c r="K134" s="85"/>
      <c r="L134" s="10"/>
      <c r="M134" s="10"/>
      <c r="N134" s="10"/>
      <c r="O134" s="10"/>
      <c r="P134" s="85"/>
      <c r="Q134" s="88"/>
      <c r="R134" s="3">
        <f>IFERROR(VLOOKUP(TablaDiciembre[[#This Row],[BARRIO]],SECTOR!$A:$B,2,0),"")</f>
      </c>
      <c r="S134" s="89"/>
      <c r="T134" s="90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6"/>
      <c r="AZ134" s="120">
        <f>COUNTIF(U134:AY134,"A")</f>
      </c>
      <c r="BA134" s="121">
        <f>COUNTIF(U134:AY134,"F")</f>
      </c>
      <c r="BB134" s="119">
        <f>COUNTIF(U134:AY134,"E")</f>
      </c>
    </row>
    <row r="135" spans="1:54" x14ac:dyDescent="0.2">
      <c r="A135" s="84"/>
      <c r="B135" s="107"/>
      <c r="C135" s="85"/>
      <c r="D135" s="85"/>
      <c r="E135" s="86"/>
      <c r="F135" s="16">
        <f>IF(E135="","",DATEDIF(E135,$I$7,"Y"))</f>
      </c>
      <c r="G135" s="85"/>
      <c r="H135" s="85"/>
      <c r="I135" s="87"/>
      <c r="J135" s="85"/>
      <c r="K135" s="85"/>
      <c r="L135" s="10"/>
      <c r="M135" s="10"/>
      <c r="N135" s="10"/>
      <c r="O135" s="10"/>
      <c r="P135" s="85"/>
      <c r="Q135" s="88"/>
      <c r="R135" s="3">
        <f>IFERROR(VLOOKUP(TablaDiciembre[[#This Row],[BARRIO]],SECTOR!$A:$B,2,0),"")</f>
      </c>
      <c r="S135" s="89"/>
      <c r="T135" s="90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6"/>
      <c r="AZ135" s="120">
        <f>COUNTIF(U135:AY135,"A")</f>
      </c>
      <c r="BA135" s="121">
        <f>COUNTIF(U135:AY135,"F")</f>
      </c>
      <c r="BB135" s="119">
        <f>COUNTIF(U135:AY135,"E")</f>
      </c>
    </row>
    <row r="136" spans="1:54" x14ac:dyDescent="0.2">
      <c r="A136" s="84"/>
      <c r="B136" s="107"/>
      <c r="C136" s="85"/>
      <c r="D136" s="85"/>
      <c r="E136" s="86"/>
      <c r="F136" s="16">
        <f>IF(E136="","",DATEDIF(E136,$I$7,"Y"))</f>
      </c>
      <c r="G136" s="85"/>
      <c r="H136" s="85"/>
      <c r="I136" s="87"/>
      <c r="J136" s="85"/>
      <c r="K136" s="85"/>
      <c r="L136" s="10"/>
      <c r="M136" s="10"/>
      <c r="N136" s="10"/>
      <c r="O136" s="10"/>
      <c r="P136" s="85"/>
      <c r="Q136" s="88"/>
      <c r="R136" s="3">
        <f>IFERROR(VLOOKUP(TablaDiciembre[[#This Row],[BARRIO]],SECTOR!$A:$B,2,0),"")</f>
      </c>
      <c r="S136" s="89"/>
      <c r="T136" s="90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6"/>
      <c r="AZ136" s="120">
        <f>COUNTIF(U136:AY136,"A")</f>
      </c>
      <c r="BA136" s="121">
        <f>COUNTIF(U136:AY136,"F")</f>
      </c>
      <c r="BB136" s="119">
        <f>COUNTIF(U136:AY136,"E")</f>
      </c>
    </row>
    <row r="137" spans="1:54" x14ac:dyDescent="0.2">
      <c r="A137" s="84"/>
      <c r="B137" s="107"/>
      <c r="C137" s="85"/>
      <c r="D137" s="85"/>
      <c r="E137" s="86"/>
      <c r="F137" s="16">
        <f>IF(E137="","",DATEDIF(E137,$I$7,"Y"))</f>
      </c>
      <c r="G137" s="85"/>
      <c r="H137" s="85"/>
      <c r="I137" s="87"/>
      <c r="J137" s="85"/>
      <c r="K137" s="85"/>
      <c r="L137" s="10"/>
      <c r="M137" s="10"/>
      <c r="N137" s="10"/>
      <c r="O137" s="10"/>
      <c r="P137" s="85"/>
      <c r="Q137" s="88"/>
      <c r="R137" s="3">
        <f>IFERROR(VLOOKUP(TablaDiciembre[[#This Row],[BARRIO]],SECTOR!$A:$B,2,0),"")</f>
      </c>
      <c r="S137" s="89"/>
      <c r="T137" s="90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6"/>
      <c r="AZ137" s="120">
        <f>COUNTIF(U137:AY137,"A")</f>
      </c>
      <c r="BA137" s="121">
        <f>COUNTIF(U137:AY137,"F")</f>
      </c>
      <c r="BB137" s="119">
        <f>COUNTIF(U137:AY137,"E")</f>
      </c>
    </row>
    <row r="138" spans="1:54" x14ac:dyDescent="0.2">
      <c r="A138" s="84"/>
      <c r="B138" s="107"/>
      <c r="C138" s="85"/>
      <c r="D138" s="85"/>
      <c r="E138" s="86"/>
      <c r="F138" s="16">
        <f>IF(E138="","",DATEDIF(E138,$I$7,"Y"))</f>
      </c>
      <c r="G138" s="85"/>
      <c r="H138" s="85"/>
      <c r="I138" s="87"/>
      <c r="J138" s="85"/>
      <c r="K138" s="85"/>
      <c r="L138" s="10"/>
      <c r="M138" s="10"/>
      <c r="N138" s="10"/>
      <c r="O138" s="10"/>
      <c r="P138" s="85"/>
      <c r="Q138" s="88"/>
      <c r="R138" s="3">
        <f>IFERROR(VLOOKUP(TablaDiciembre[[#This Row],[BARRIO]],SECTOR!$A:$B,2,0),"")</f>
      </c>
      <c r="S138" s="89"/>
      <c r="T138" s="90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6"/>
      <c r="AZ138" s="120">
        <f>COUNTIF(U138:AY138,"A")</f>
      </c>
      <c r="BA138" s="121">
        <f>COUNTIF(U138:AY138,"F")</f>
      </c>
      <c r="BB138" s="119">
        <f>COUNTIF(U138:AY138,"E")</f>
      </c>
    </row>
    <row r="139" spans="1:54" x14ac:dyDescent="0.2">
      <c r="A139" s="84"/>
      <c r="B139" s="107"/>
      <c r="C139" s="85"/>
      <c r="D139" s="85"/>
      <c r="E139" s="86"/>
      <c r="F139" s="16">
        <f>IF(E139="","",DATEDIF(E139,$I$7,"Y"))</f>
      </c>
      <c r="G139" s="85"/>
      <c r="H139" s="85"/>
      <c r="I139" s="87"/>
      <c r="J139" s="85"/>
      <c r="K139" s="85"/>
      <c r="L139" s="10"/>
      <c r="M139" s="10"/>
      <c r="N139" s="10"/>
      <c r="O139" s="10"/>
      <c r="P139" s="85"/>
      <c r="Q139" s="88"/>
      <c r="R139" s="3">
        <f>IFERROR(VLOOKUP(TablaDiciembre[[#This Row],[BARRIO]],SECTOR!$A:$B,2,0),"")</f>
      </c>
      <c r="S139" s="89"/>
      <c r="T139" s="90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6"/>
      <c r="AZ139" s="120">
        <f>COUNTIF(U139:AY139,"A")</f>
      </c>
      <c r="BA139" s="121">
        <f>COUNTIF(U139:AY139,"F")</f>
      </c>
      <c r="BB139" s="119">
        <f>COUNTIF(U139:AY139,"E")</f>
      </c>
    </row>
    <row r="140" spans="1:54" x14ac:dyDescent="0.2">
      <c r="A140" s="84"/>
      <c r="B140" s="107"/>
      <c r="C140" s="85"/>
      <c r="D140" s="85"/>
      <c r="E140" s="86"/>
      <c r="F140" s="16">
        <f>IF(E140="","",DATEDIF(E140,$I$7,"Y"))</f>
      </c>
      <c r="G140" s="85"/>
      <c r="H140" s="85"/>
      <c r="I140" s="87"/>
      <c r="J140" s="85"/>
      <c r="K140" s="85"/>
      <c r="L140" s="10"/>
      <c r="M140" s="10"/>
      <c r="N140" s="10"/>
      <c r="O140" s="10"/>
      <c r="P140" s="85"/>
      <c r="Q140" s="88"/>
      <c r="R140" s="3">
        <f>IFERROR(VLOOKUP(TablaDiciembre[[#This Row],[BARRIO]],SECTOR!$A:$B,2,0),"")</f>
      </c>
      <c r="S140" s="89"/>
      <c r="T140" s="90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6"/>
      <c r="AZ140" s="120">
        <f>COUNTIF(U140:AY140,"A")</f>
      </c>
      <c r="BA140" s="121">
        <f>COUNTIF(U140:AY140,"F")</f>
      </c>
      <c r="BB140" s="119">
        <f>COUNTIF(U140:AY140,"E")</f>
      </c>
    </row>
    <row r="141" spans="1:54" x14ac:dyDescent="0.2">
      <c r="A141" s="84"/>
      <c r="B141" s="107"/>
      <c r="C141" s="85"/>
      <c r="D141" s="85"/>
      <c r="E141" s="86"/>
      <c r="F141" s="16">
        <f>IF(E141="","",DATEDIF(E141,$I$7,"Y"))</f>
      </c>
      <c r="G141" s="85"/>
      <c r="H141" s="85"/>
      <c r="I141" s="87"/>
      <c r="J141" s="85"/>
      <c r="K141" s="85"/>
      <c r="L141" s="10"/>
      <c r="M141" s="10"/>
      <c r="N141" s="10"/>
      <c r="O141" s="10"/>
      <c r="P141" s="85"/>
      <c r="Q141" s="88"/>
      <c r="R141" s="3">
        <f>IFERROR(VLOOKUP(TablaDiciembre[[#This Row],[BARRIO]],SECTOR!$A:$B,2,0),"")</f>
      </c>
      <c r="S141" s="89"/>
      <c r="T141" s="90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6"/>
      <c r="AZ141" s="120">
        <f>COUNTIF(U141:AY141,"A")</f>
      </c>
      <c r="BA141" s="121">
        <f>COUNTIF(U141:AY141,"F")</f>
      </c>
      <c r="BB141" s="119">
        <f>COUNTIF(U141:AY141,"E")</f>
      </c>
    </row>
    <row r="142" spans="1:54" x14ac:dyDescent="0.2">
      <c r="A142" s="84"/>
      <c r="B142" s="107"/>
      <c r="C142" s="85"/>
      <c r="D142" s="85"/>
      <c r="E142" s="86"/>
      <c r="F142" s="16">
        <f>IF(E142="","",DATEDIF(E142,$I$7,"Y"))</f>
      </c>
      <c r="G142" s="85"/>
      <c r="H142" s="85"/>
      <c r="I142" s="87"/>
      <c r="J142" s="85"/>
      <c r="K142" s="85"/>
      <c r="L142" s="10"/>
      <c r="M142" s="10"/>
      <c r="N142" s="10"/>
      <c r="O142" s="10"/>
      <c r="P142" s="85"/>
      <c r="Q142" s="88"/>
      <c r="R142" s="3">
        <f>IFERROR(VLOOKUP(TablaDiciembre[[#This Row],[BARRIO]],SECTOR!$A:$B,2,0),"")</f>
      </c>
      <c r="S142" s="89"/>
      <c r="T142" s="90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6"/>
      <c r="AZ142" s="120">
        <f>COUNTIF(U142:AY142,"A")</f>
      </c>
      <c r="BA142" s="121">
        <f>COUNTIF(U142:AY142,"F")</f>
      </c>
      <c r="BB142" s="119">
        <f>COUNTIF(U142:AY142,"E")</f>
      </c>
    </row>
    <row r="143" spans="1:54" x14ac:dyDescent="0.2">
      <c r="A143" s="84"/>
      <c r="B143" s="107"/>
      <c r="C143" s="85"/>
      <c r="D143" s="85"/>
      <c r="E143" s="86"/>
      <c r="F143" s="16">
        <f>IF(E143="","",DATEDIF(E143,$I$7,"Y"))</f>
      </c>
      <c r="G143" s="85"/>
      <c r="H143" s="85"/>
      <c r="I143" s="87"/>
      <c r="J143" s="85"/>
      <c r="K143" s="85"/>
      <c r="L143" s="10"/>
      <c r="M143" s="10"/>
      <c r="N143" s="10"/>
      <c r="O143" s="10"/>
      <c r="P143" s="85"/>
      <c r="Q143" s="88"/>
      <c r="R143" s="3">
        <f>IFERROR(VLOOKUP(TablaDiciembre[[#This Row],[BARRIO]],SECTOR!$A:$B,2,0),"")</f>
      </c>
      <c r="S143" s="89"/>
      <c r="T143" s="90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6"/>
      <c r="AZ143" s="120">
        <f>COUNTIF(U143:AY143,"A")</f>
      </c>
      <c r="BA143" s="121">
        <f>COUNTIF(U143:AY143,"F")</f>
      </c>
      <c r="BB143" s="119">
        <f>COUNTIF(U143:AY143,"E")</f>
      </c>
    </row>
    <row r="144" spans="1:54" x14ac:dyDescent="0.2">
      <c r="A144" s="84"/>
      <c r="B144" s="107"/>
      <c r="C144" s="85"/>
      <c r="D144" s="85"/>
      <c r="E144" s="86"/>
      <c r="F144" s="16">
        <f>IF(E144="","",DATEDIF(E144,$I$7,"Y"))</f>
      </c>
      <c r="G144" s="85"/>
      <c r="H144" s="85"/>
      <c r="I144" s="87"/>
      <c r="J144" s="85"/>
      <c r="K144" s="85"/>
      <c r="L144" s="10"/>
      <c r="M144" s="10"/>
      <c r="N144" s="10"/>
      <c r="O144" s="10"/>
      <c r="P144" s="85"/>
      <c r="Q144" s="88"/>
      <c r="R144" s="3">
        <f>IFERROR(VLOOKUP(TablaDiciembre[[#This Row],[BARRIO]],SECTOR!$A:$B,2,0),"")</f>
      </c>
      <c r="S144" s="89"/>
      <c r="T144" s="90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6"/>
      <c r="AZ144" s="120">
        <f>COUNTIF(U144:AY144,"A")</f>
      </c>
      <c r="BA144" s="121">
        <f>COUNTIF(U144:AY144,"F")</f>
      </c>
      <c r="BB144" s="119">
        <f>COUNTIF(U144:AY144,"E")</f>
      </c>
    </row>
    <row r="145" spans="1:54" x14ac:dyDescent="0.2">
      <c r="A145" s="84"/>
      <c r="B145" s="107"/>
      <c r="C145" s="85"/>
      <c r="D145" s="85"/>
      <c r="E145" s="86"/>
      <c r="F145" s="16">
        <f>IF(E145="","",DATEDIF(E145,$I$7,"Y"))</f>
      </c>
      <c r="G145" s="85"/>
      <c r="H145" s="85"/>
      <c r="I145" s="87"/>
      <c r="J145" s="85"/>
      <c r="K145" s="85"/>
      <c r="L145" s="10"/>
      <c r="M145" s="10"/>
      <c r="N145" s="10"/>
      <c r="O145" s="10"/>
      <c r="P145" s="85"/>
      <c r="Q145" s="88"/>
      <c r="R145" s="3">
        <f>IFERROR(VLOOKUP(TablaDiciembre[[#This Row],[BARRIO]],SECTOR!$A:$B,2,0),"")</f>
      </c>
      <c r="S145" s="89"/>
      <c r="T145" s="90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6"/>
      <c r="AZ145" s="120">
        <f>COUNTIF(U145:AY145,"A")</f>
      </c>
      <c r="BA145" s="121">
        <f>COUNTIF(U145:AY145,"F")</f>
      </c>
      <c r="BB145" s="119">
        <f>COUNTIF(U145:AY145,"E")</f>
      </c>
    </row>
    <row r="146" spans="1:54" x14ac:dyDescent="0.2">
      <c r="A146" s="84"/>
      <c r="B146" s="107"/>
      <c r="C146" s="85"/>
      <c r="D146" s="85"/>
      <c r="E146" s="86"/>
      <c r="F146" s="16">
        <f>IF(E146="","",DATEDIF(E146,$I$7,"Y"))</f>
      </c>
      <c r="G146" s="85"/>
      <c r="H146" s="85"/>
      <c r="I146" s="87"/>
      <c r="J146" s="85"/>
      <c r="K146" s="85"/>
      <c r="L146" s="10"/>
      <c r="M146" s="10"/>
      <c r="N146" s="10"/>
      <c r="O146" s="10"/>
      <c r="P146" s="85"/>
      <c r="Q146" s="88"/>
      <c r="R146" s="3">
        <f>IFERROR(VLOOKUP(TablaDiciembre[[#This Row],[BARRIO]],SECTOR!$A:$B,2,0),"")</f>
      </c>
      <c r="S146" s="89"/>
      <c r="T146" s="90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6"/>
      <c r="AZ146" s="120">
        <f>COUNTIF(U146:AY146,"A")</f>
      </c>
      <c r="BA146" s="121">
        <f>COUNTIF(U146:AY146,"F")</f>
      </c>
      <c r="BB146" s="119">
        <f>COUNTIF(U146:AY146,"E")</f>
      </c>
    </row>
    <row r="147" spans="1:54" x14ac:dyDescent="0.2">
      <c r="A147" s="84"/>
      <c r="B147" s="107"/>
      <c r="C147" s="85"/>
      <c r="D147" s="85"/>
      <c r="E147" s="86"/>
      <c r="F147" s="16">
        <f>IF(E147="","",DATEDIF(E147,$I$7,"Y"))</f>
      </c>
      <c r="G147" s="85"/>
      <c r="H147" s="85"/>
      <c r="I147" s="87"/>
      <c r="J147" s="85"/>
      <c r="K147" s="85"/>
      <c r="L147" s="10"/>
      <c r="M147" s="10"/>
      <c r="N147" s="10"/>
      <c r="O147" s="10"/>
      <c r="P147" s="85"/>
      <c r="Q147" s="88"/>
      <c r="R147" s="3">
        <f>IFERROR(VLOOKUP(TablaDiciembre[[#This Row],[BARRIO]],SECTOR!$A:$B,2,0),"")</f>
      </c>
      <c r="S147" s="89"/>
      <c r="T147" s="90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6"/>
      <c r="AZ147" s="120">
        <f>COUNTIF(U147:AY147,"A")</f>
      </c>
      <c r="BA147" s="121">
        <f>COUNTIF(U147:AY147,"F")</f>
      </c>
      <c r="BB147" s="119">
        <f>COUNTIF(U147:AY147,"E")</f>
      </c>
    </row>
    <row r="148" spans="1:54" x14ac:dyDescent="0.2">
      <c r="A148" s="84"/>
      <c r="B148" s="107"/>
      <c r="C148" s="85"/>
      <c r="D148" s="85"/>
      <c r="E148" s="86"/>
      <c r="F148" s="16">
        <f>IF(E148="","",DATEDIF(E148,$I$7,"Y"))</f>
      </c>
      <c r="G148" s="85"/>
      <c r="H148" s="85"/>
      <c r="I148" s="87"/>
      <c r="J148" s="85"/>
      <c r="K148" s="85"/>
      <c r="L148" s="10"/>
      <c r="M148" s="10"/>
      <c r="N148" s="10"/>
      <c r="O148" s="10"/>
      <c r="P148" s="85"/>
      <c r="Q148" s="88"/>
      <c r="R148" s="3">
        <f>IFERROR(VLOOKUP(TablaDiciembre[[#This Row],[BARRIO]],SECTOR!$A:$B,2,0),"")</f>
      </c>
      <c r="S148" s="89"/>
      <c r="T148" s="90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6"/>
      <c r="AZ148" s="120">
        <f>COUNTIF(U148:AY148,"A")</f>
      </c>
      <c r="BA148" s="121">
        <f>COUNTIF(U148:AY148,"F")</f>
      </c>
      <c r="BB148" s="119">
        <f>COUNTIF(U148:AY148,"E")</f>
      </c>
    </row>
    <row r="149" spans="1:54" x14ac:dyDescent="0.2">
      <c r="A149" s="84"/>
      <c r="B149" s="107"/>
      <c r="C149" s="85"/>
      <c r="D149" s="85"/>
      <c r="E149" s="86"/>
      <c r="F149" s="16">
        <f>IF(E149="","",DATEDIF(E149,$I$7,"Y"))</f>
      </c>
      <c r="G149" s="85"/>
      <c r="H149" s="85"/>
      <c r="I149" s="87"/>
      <c r="J149" s="85"/>
      <c r="K149" s="85"/>
      <c r="L149" s="10"/>
      <c r="M149" s="10"/>
      <c r="N149" s="10"/>
      <c r="O149" s="10"/>
      <c r="P149" s="85"/>
      <c r="Q149" s="88"/>
      <c r="R149" s="3">
        <f>IFERROR(VLOOKUP(TablaDiciembre[[#This Row],[BARRIO]],SECTOR!$A:$B,2,0),"")</f>
      </c>
      <c r="S149" s="89"/>
      <c r="T149" s="90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6"/>
      <c r="AZ149" s="120">
        <f>COUNTIF(U149:AY149,"A")</f>
      </c>
      <c r="BA149" s="121">
        <f>COUNTIF(U149:AY149,"F")</f>
      </c>
      <c r="BB149" s="119">
        <f>COUNTIF(U149:AY149,"E")</f>
      </c>
    </row>
    <row r="150" spans="1:54" x14ac:dyDescent="0.2">
      <c r="A150" s="84"/>
      <c r="B150" s="107"/>
      <c r="C150" s="85"/>
      <c r="D150" s="85"/>
      <c r="E150" s="86"/>
      <c r="F150" s="16">
        <f>IF(E150="","",DATEDIF(E150,$I$7,"Y"))</f>
      </c>
      <c r="G150" s="85"/>
      <c r="H150" s="85"/>
      <c r="I150" s="87"/>
      <c r="J150" s="85"/>
      <c r="K150" s="85"/>
      <c r="L150" s="10"/>
      <c r="M150" s="10"/>
      <c r="N150" s="10"/>
      <c r="O150" s="10"/>
      <c r="P150" s="85"/>
      <c r="Q150" s="88"/>
      <c r="R150" s="3">
        <f>IFERROR(VLOOKUP(TablaDiciembre[[#This Row],[BARRIO]],SECTOR!$A:$B,2,0),"")</f>
      </c>
      <c r="S150" s="89"/>
      <c r="T150" s="90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6"/>
      <c r="AZ150" s="120">
        <f>COUNTIF(U150:AY150,"A")</f>
      </c>
      <c r="BA150" s="121">
        <f>COUNTIF(U150:AY150,"F")</f>
      </c>
      <c r="BB150" s="119">
        <f>COUNTIF(U150:AY150,"E")</f>
      </c>
    </row>
    <row r="151" spans="1:54" x14ac:dyDescent="0.2">
      <c r="A151" s="84"/>
      <c r="B151" s="107"/>
      <c r="C151" s="85"/>
      <c r="D151" s="85"/>
      <c r="E151" s="86"/>
      <c r="F151" s="16">
        <f>IF(E151="","",DATEDIF(E151,$I$7,"Y"))</f>
      </c>
      <c r="G151" s="85"/>
      <c r="H151" s="85"/>
      <c r="I151" s="87"/>
      <c r="J151" s="85"/>
      <c r="K151" s="85"/>
      <c r="L151" s="10"/>
      <c r="M151" s="10"/>
      <c r="N151" s="10"/>
      <c r="O151" s="10"/>
      <c r="P151" s="85"/>
      <c r="Q151" s="88"/>
      <c r="R151" s="3">
        <f>IFERROR(VLOOKUP(TablaDiciembre[[#This Row],[BARRIO]],SECTOR!$A:$B,2,0),"")</f>
      </c>
      <c r="S151" s="89"/>
      <c r="T151" s="90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6"/>
      <c r="AZ151" s="120">
        <f>COUNTIF(U151:AY151,"A")</f>
      </c>
      <c r="BA151" s="121">
        <f>COUNTIF(U151:AY151,"F")</f>
      </c>
      <c r="BB151" s="119">
        <f>COUNTIF(U151:AY151,"E")</f>
      </c>
    </row>
    <row r="152" spans="1:54" x14ac:dyDescent="0.2">
      <c r="A152" s="84"/>
      <c r="B152" s="107"/>
      <c r="C152" s="85"/>
      <c r="D152" s="85"/>
      <c r="E152" s="86"/>
      <c r="F152" s="16">
        <f>IF(E152="","",DATEDIF(E152,$I$7,"Y"))</f>
      </c>
      <c r="G152" s="85"/>
      <c r="H152" s="85"/>
      <c r="I152" s="87"/>
      <c r="J152" s="85"/>
      <c r="K152" s="85"/>
      <c r="L152" s="10"/>
      <c r="M152" s="10"/>
      <c r="N152" s="10"/>
      <c r="O152" s="10"/>
      <c r="P152" s="85"/>
      <c r="Q152" s="88"/>
      <c r="R152" s="3">
        <f>IFERROR(VLOOKUP(TablaDiciembre[[#This Row],[BARRIO]],SECTOR!$A:$B,2,0),"")</f>
      </c>
      <c r="S152" s="89"/>
      <c r="T152" s="90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6"/>
      <c r="AZ152" s="120">
        <f>COUNTIF(U152:AY152,"A")</f>
      </c>
      <c r="BA152" s="121">
        <f>COUNTIF(U152:AY152,"F")</f>
      </c>
      <c r="BB152" s="119">
        <f>COUNTIF(U152:AY152,"E")</f>
      </c>
    </row>
    <row r="153" spans="1:54" x14ac:dyDescent="0.2">
      <c r="A153" s="84"/>
      <c r="B153" s="107"/>
      <c r="C153" s="85"/>
      <c r="D153" s="85"/>
      <c r="E153" s="86"/>
      <c r="F153" s="16">
        <f>IF(E153="","",DATEDIF(E153,$I$7,"Y"))</f>
      </c>
      <c r="G153" s="85"/>
      <c r="H153" s="85"/>
      <c r="I153" s="87"/>
      <c r="J153" s="85"/>
      <c r="K153" s="85"/>
      <c r="L153" s="10"/>
      <c r="M153" s="10"/>
      <c r="N153" s="10"/>
      <c r="O153" s="10"/>
      <c r="P153" s="85"/>
      <c r="Q153" s="88"/>
      <c r="R153" s="3">
        <f>IFERROR(VLOOKUP(TablaDiciembre[[#This Row],[BARRIO]],SECTOR!$A:$B,2,0),"")</f>
      </c>
      <c r="S153" s="89"/>
      <c r="T153" s="90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6"/>
      <c r="AZ153" s="120">
        <f>COUNTIF(U153:AY153,"A")</f>
      </c>
      <c r="BA153" s="121">
        <f>COUNTIF(U153:AY153,"F")</f>
      </c>
      <c r="BB153" s="119">
        <f>COUNTIF(U153:AY153,"E")</f>
      </c>
    </row>
    <row r="154" spans="1:54" x14ac:dyDescent="0.2">
      <c r="A154" s="84"/>
      <c r="B154" s="107"/>
      <c r="C154" s="85"/>
      <c r="D154" s="85"/>
      <c r="E154" s="86"/>
      <c r="F154" s="16">
        <f>IF(E154="","",DATEDIF(E154,$I$7,"Y"))</f>
      </c>
      <c r="G154" s="85"/>
      <c r="H154" s="85"/>
      <c r="I154" s="87"/>
      <c r="J154" s="85"/>
      <c r="K154" s="85"/>
      <c r="L154" s="10"/>
      <c r="M154" s="10"/>
      <c r="N154" s="10"/>
      <c r="O154" s="10"/>
      <c r="P154" s="85"/>
      <c r="Q154" s="88"/>
      <c r="R154" s="3">
        <f>IFERROR(VLOOKUP(TablaDiciembre[[#This Row],[BARRIO]],SECTOR!$A:$B,2,0),"")</f>
      </c>
      <c r="S154" s="89"/>
      <c r="T154" s="90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6"/>
      <c r="AZ154" s="120">
        <f>COUNTIF(U154:AY154,"A")</f>
      </c>
      <c r="BA154" s="121">
        <f>COUNTIF(U154:AY154,"F")</f>
      </c>
      <c r="BB154" s="119">
        <f>COUNTIF(U154:AY154,"E")</f>
      </c>
    </row>
    <row r="155" spans="1:54" x14ac:dyDescent="0.2">
      <c r="A155" s="84"/>
      <c r="B155" s="107"/>
      <c r="C155" s="85"/>
      <c r="D155" s="85"/>
      <c r="E155" s="86"/>
      <c r="F155" s="16">
        <f>IF(E155="","",DATEDIF(E155,$I$7,"Y"))</f>
      </c>
      <c r="G155" s="85"/>
      <c r="H155" s="85"/>
      <c r="I155" s="87"/>
      <c r="J155" s="85"/>
      <c r="K155" s="85"/>
      <c r="L155" s="10"/>
      <c r="M155" s="10"/>
      <c r="N155" s="10"/>
      <c r="O155" s="10"/>
      <c r="P155" s="85"/>
      <c r="Q155" s="88"/>
      <c r="R155" s="3">
        <f>IFERROR(VLOOKUP(TablaDiciembre[[#This Row],[BARRIO]],SECTOR!$A:$B,2,0),"")</f>
      </c>
      <c r="S155" s="89"/>
      <c r="T155" s="90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6"/>
      <c r="AZ155" s="120">
        <f>COUNTIF(U155:AY155,"A")</f>
      </c>
      <c r="BA155" s="121">
        <f>COUNTIF(U155:AY155,"F")</f>
      </c>
      <c r="BB155" s="119">
        <f>COUNTIF(U155:AY155,"E")</f>
      </c>
    </row>
    <row r="156" spans="1:54" x14ac:dyDescent="0.2">
      <c r="A156" s="84"/>
      <c r="B156" s="107"/>
      <c r="C156" s="85"/>
      <c r="D156" s="85"/>
      <c r="E156" s="86"/>
      <c r="F156" s="16">
        <f>IF(E156="","",DATEDIF(E156,$I$7,"Y"))</f>
      </c>
      <c r="G156" s="85"/>
      <c r="H156" s="85"/>
      <c r="I156" s="87"/>
      <c r="J156" s="85"/>
      <c r="K156" s="85"/>
      <c r="L156" s="10"/>
      <c r="M156" s="10"/>
      <c r="N156" s="10"/>
      <c r="O156" s="10"/>
      <c r="P156" s="85"/>
      <c r="Q156" s="88"/>
      <c r="R156" s="3">
        <f>IFERROR(VLOOKUP(TablaDiciembre[[#This Row],[BARRIO]],SECTOR!$A:$B,2,0),"")</f>
      </c>
      <c r="S156" s="89"/>
      <c r="T156" s="90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6"/>
      <c r="AZ156" s="120">
        <f>COUNTIF(U156:AY156,"A")</f>
      </c>
      <c r="BA156" s="121">
        <f>COUNTIF(U156:AY156,"F")</f>
      </c>
      <c r="BB156" s="119">
        <f>COUNTIF(U156:AY156,"E")</f>
      </c>
    </row>
    <row r="157" spans="1:54" x14ac:dyDescent="0.2">
      <c r="A157" s="84"/>
      <c r="B157" s="107"/>
      <c r="C157" s="85"/>
      <c r="D157" s="85"/>
      <c r="E157" s="86"/>
      <c r="F157" s="16">
        <f>IF(E157="","",DATEDIF(E157,$I$7,"Y"))</f>
      </c>
      <c r="G157" s="85"/>
      <c r="H157" s="85"/>
      <c r="I157" s="87"/>
      <c r="J157" s="85"/>
      <c r="K157" s="85"/>
      <c r="L157" s="10"/>
      <c r="M157" s="10"/>
      <c r="N157" s="10"/>
      <c r="O157" s="10"/>
      <c r="P157" s="85"/>
      <c r="Q157" s="88"/>
      <c r="R157" s="3">
        <f>IFERROR(VLOOKUP(TablaDiciembre[[#This Row],[BARRIO]],SECTOR!$A:$B,2,0),"")</f>
      </c>
      <c r="S157" s="89"/>
      <c r="T157" s="90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6"/>
      <c r="AZ157" s="120">
        <f>COUNTIF(U157:AY157,"A")</f>
      </c>
      <c r="BA157" s="121">
        <f>COUNTIF(U157:AY157,"F")</f>
      </c>
      <c r="BB157" s="119">
        <f>COUNTIF(U157:AY157,"E")</f>
      </c>
    </row>
    <row r="158" spans="1:54" x14ac:dyDescent="0.2">
      <c r="A158" s="84"/>
      <c r="B158" s="107"/>
      <c r="C158" s="85"/>
      <c r="D158" s="85"/>
      <c r="E158" s="86"/>
      <c r="F158" s="16">
        <f>IF(E158="","",DATEDIF(E158,$I$7,"Y"))</f>
      </c>
      <c r="G158" s="85"/>
      <c r="H158" s="85"/>
      <c r="I158" s="87"/>
      <c r="J158" s="85"/>
      <c r="K158" s="85"/>
      <c r="L158" s="10"/>
      <c r="M158" s="10"/>
      <c r="N158" s="10"/>
      <c r="O158" s="10"/>
      <c r="P158" s="85"/>
      <c r="Q158" s="88"/>
      <c r="R158" s="3">
        <f>IFERROR(VLOOKUP(TablaDiciembre[[#This Row],[BARRIO]],SECTOR!$A:$B,2,0),"")</f>
      </c>
      <c r="S158" s="89"/>
      <c r="T158" s="90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6"/>
      <c r="AZ158" s="120">
        <f>COUNTIF(U158:AY158,"A")</f>
      </c>
      <c r="BA158" s="121">
        <f>COUNTIF(U158:AY158,"F")</f>
      </c>
      <c r="BB158" s="119">
        <f>COUNTIF(U158:AY158,"E")</f>
      </c>
    </row>
    <row r="159" spans="1:54" x14ac:dyDescent="0.2">
      <c r="A159" s="84"/>
      <c r="B159" s="107"/>
      <c r="C159" s="85"/>
      <c r="D159" s="85"/>
      <c r="E159" s="86"/>
      <c r="F159" s="16">
        <f>IF(E159="","",DATEDIF(E159,$I$7,"Y"))</f>
      </c>
      <c r="G159" s="85"/>
      <c r="H159" s="85"/>
      <c r="I159" s="87"/>
      <c r="J159" s="85"/>
      <c r="K159" s="85"/>
      <c r="L159" s="10"/>
      <c r="M159" s="10"/>
      <c r="N159" s="10"/>
      <c r="O159" s="10"/>
      <c r="P159" s="85"/>
      <c r="Q159" s="88"/>
      <c r="R159" s="3">
        <f>IFERROR(VLOOKUP(TablaDiciembre[[#This Row],[BARRIO]],SECTOR!$A:$B,2,0),"")</f>
      </c>
      <c r="S159" s="89"/>
      <c r="T159" s="90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6"/>
      <c r="AZ159" s="120">
        <f>COUNTIF(U159:AY159,"A")</f>
      </c>
      <c r="BA159" s="121">
        <f>COUNTIF(U159:AY159,"F")</f>
      </c>
      <c r="BB159" s="119">
        <f>COUNTIF(U159:AY159,"E")</f>
      </c>
    </row>
    <row r="160" spans="1:54" x14ac:dyDescent="0.2">
      <c r="A160" s="84"/>
      <c r="B160" s="107"/>
      <c r="C160" s="85"/>
      <c r="D160" s="85"/>
      <c r="E160" s="86"/>
      <c r="F160" s="16">
        <f>IF(E160="","",DATEDIF(E160,$I$7,"Y"))</f>
      </c>
      <c r="G160" s="85"/>
      <c r="H160" s="85"/>
      <c r="I160" s="87"/>
      <c r="J160" s="85"/>
      <c r="K160" s="85"/>
      <c r="L160" s="10"/>
      <c r="M160" s="10"/>
      <c r="N160" s="10"/>
      <c r="O160" s="10"/>
      <c r="P160" s="85"/>
      <c r="Q160" s="88"/>
      <c r="R160" s="3">
        <f>IFERROR(VLOOKUP(TablaDiciembre[[#This Row],[BARRIO]],SECTOR!$A:$B,2,0),"")</f>
      </c>
      <c r="S160" s="89"/>
      <c r="T160" s="90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6"/>
      <c r="AZ160" s="120">
        <f>COUNTIF(U160:AY160,"A")</f>
      </c>
      <c r="BA160" s="121">
        <f>COUNTIF(U160:AY160,"F")</f>
      </c>
      <c r="BB160" s="119">
        <f>COUNTIF(U160:AY160,"E")</f>
      </c>
    </row>
    <row r="161" spans="1:54" x14ac:dyDescent="0.2">
      <c r="A161" s="84"/>
      <c r="B161" s="107"/>
      <c r="C161" s="85"/>
      <c r="D161" s="85"/>
      <c r="E161" s="86"/>
      <c r="F161" s="16">
        <f>IF(E161="","",DATEDIF(E161,$I$7,"Y"))</f>
      </c>
      <c r="G161" s="85"/>
      <c r="H161" s="85"/>
      <c r="I161" s="87"/>
      <c r="J161" s="85"/>
      <c r="K161" s="85"/>
      <c r="L161" s="10"/>
      <c r="M161" s="10"/>
      <c r="N161" s="10"/>
      <c r="O161" s="10"/>
      <c r="P161" s="85"/>
      <c r="Q161" s="88"/>
      <c r="R161" s="3">
        <f>IFERROR(VLOOKUP(TablaDiciembre[[#This Row],[BARRIO]],SECTOR!$A:$B,2,0),"")</f>
      </c>
      <c r="S161" s="89"/>
      <c r="T161" s="90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6"/>
      <c r="AZ161" s="120">
        <f>COUNTIF(U161:AY161,"A")</f>
      </c>
      <c r="BA161" s="121">
        <f>COUNTIF(U161:AY161,"F")</f>
      </c>
      <c r="BB161" s="119">
        <f>COUNTIF(U161:AY161,"E")</f>
      </c>
    </row>
    <row r="162" spans="1:54" x14ac:dyDescent="0.2">
      <c r="A162" s="84"/>
      <c r="B162" s="107"/>
      <c r="C162" s="85"/>
      <c r="D162" s="85"/>
      <c r="E162" s="86"/>
      <c r="F162" s="16">
        <f>IF(E162="","",DATEDIF(E162,$I$7,"Y"))</f>
      </c>
      <c r="G162" s="85"/>
      <c r="H162" s="85"/>
      <c r="I162" s="87"/>
      <c r="J162" s="85"/>
      <c r="K162" s="85"/>
      <c r="L162" s="10"/>
      <c r="M162" s="10"/>
      <c r="N162" s="10"/>
      <c r="O162" s="10"/>
      <c r="P162" s="85"/>
      <c r="Q162" s="88"/>
      <c r="R162" s="3">
        <f>IFERROR(VLOOKUP(TablaDiciembre[[#This Row],[BARRIO]],SECTOR!$A:$B,2,0),"")</f>
      </c>
      <c r="S162" s="89"/>
      <c r="T162" s="90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6"/>
      <c r="AZ162" s="120">
        <f>COUNTIF(U162:AY162,"A")</f>
      </c>
      <c r="BA162" s="121">
        <f>COUNTIF(U162:AY162,"F")</f>
      </c>
      <c r="BB162" s="119">
        <f>COUNTIF(U162:AY162,"E")</f>
      </c>
    </row>
    <row r="163" spans="1:54" x14ac:dyDescent="0.2">
      <c r="A163" s="84"/>
      <c r="B163" s="107"/>
      <c r="C163" s="85"/>
      <c r="D163" s="85"/>
      <c r="E163" s="86"/>
      <c r="F163" s="16">
        <f>IF(E163="","",DATEDIF(E163,$I$7,"Y"))</f>
      </c>
      <c r="G163" s="85"/>
      <c r="H163" s="85"/>
      <c r="I163" s="87"/>
      <c r="J163" s="85"/>
      <c r="K163" s="85"/>
      <c r="L163" s="10"/>
      <c r="M163" s="10"/>
      <c r="N163" s="10"/>
      <c r="O163" s="10"/>
      <c r="P163" s="85"/>
      <c r="Q163" s="88"/>
      <c r="R163" s="3">
        <f>IFERROR(VLOOKUP(TablaDiciembre[[#This Row],[BARRIO]],SECTOR!$A:$B,2,0),"")</f>
      </c>
      <c r="S163" s="89"/>
      <c r="T163" s="90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6"/>
      <c r="AZ163" s="120">
        <f>COUNTIF(U163:AY163,"A")</f>
      </c>
      <c r="BA163" s="121">
        <f>COUNTIF(U163:AY163,"F")</f>
      </c>
      <c r="BB163" s="119">
        <f>COUNTIF(U163:AY163,"E")</f>
      </c>
    </row>
    <row r="164" spans="1:54" x14ac:dyDescent="0.2">
      <c r="A164" s="84"/>
      <c r="B164" s="107"/>
      <c r="C164" s="85"/>
      <c r="D164" s="85"/>
      <c r="E164" s="86"/>
      <c r="F164" s="16">
        <f>IF(E164="","",DATEDIF(E164,$I$7,"Y"))</f>
      </c>
      <c r="G164" s="85"/>
      <c r="H164" s="85"/>
      <c r="I164" s="87"/>
      <c r="J164" s="85"/>
      <c r="K164" s="85"/>
      <c r="L164" s="10"/>
      <c r="M164" s="10"/>
      <c r="N164" s="10"/>
      <c r="O164" s="10"/>
      <c r="P164" s="85"/>
      <c r="Q164" s="88"/>
      <c r="R164" s="3">
        <f>IFERROR(VLOOKUP(TablaDiciembre[[#This Row],[BARRIO]],SECTOR!$A:$B,2,0),"")</f>
      </c>
      <c r="S164" s="89"/>
      <c r="T164" s="90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6"/>
      <c r="AZ164" s="120">
        <f>COUNTIF(U164:AY164,"A")</f>
      </c>
      <c r="BA164" s="121">
        <f>COUNTIF(U164:AY164,"F")</f>
      </c>
      <c r="BB164" s="119">
        <f>COUNTIF(U164:AY164,"E")</f>
      </c>
    </row>
    <row r="165" spans="1:54" x14ac:dyDescent="0.2">
      <c r="A165" s="84"/>
      <c r="B165" s="107"/>
      <c r="C165" s="85"/>
      <c r="D165" s="85"/>
      <c r="E165" s="86"/>
      <c r="F165" s="16">
        <f>IF(E165="","",DATEDIF(E165,$I$7,"Y"))</f>
      </c>
      <c r="G165" s="85"/>
      <c r="H165" s="85"/>
      <c r="I165" s="87"/>
      <c r="J165" s="85"/>
      <c r="K165" s="85"/>
      <c r="L165" s="10"/>
      <c r="M165" s="10"/>
      <c r="N165" s="10"/>
      <c r="O165" s="10"/>
      <c r="P165" s="85"/>
      <c r="Q165" s="88"/>
      <c r="R165" s="3">
        <f>IFERROR(VLOOKUP(TablaDiciembre[[#This Row],[BARRIO]],SECTOR!$A:$B,2,0),"")</f>
      </c>
      <c r="S165" s="89"/>
      <c r="T165" s="90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6"/>
      <c r="AZ165" s="120">
        <f>COUNTIF(U165:AY165,"A")</f>
      </c>
      <c r="BA165" s="121">
        <f>COUNTIF(U165:AY165,"F")</f>
      </c>
      <c r="BB165" s="119">
        <f>COUNTIF(U165:AY165,"E")</f>
      </c>
    </row>
    <row r="166" spans="1:54" x14ac:dyDescent="0.2">
      <c r="A166" s="84"/>
      <c r="B166" s="107"/>
      <c r="C166" s="85"/>
      <c r="D166" s="85"/>
      <c r="E166" s="86"/>
      <c r="F166" s="16">
        <f>IF(E166="","",DATEDIF(E166,$I$7,"Y"))</f>
      </c>
      <c r="G166" s="85"/>
      <c r="H166" s="85"/>
      <c r="I166" s="87"/>
      <c r="J166" s="85"/>
      <c r="K166" s="85"/>
      <c r="L166" s="10"/>
      <c r="M166" s="10"/>
      <c r="N166" s="10"/>
      <c r="O166" s="10"/>
      <c r="P166" s="85"/>
      <c r="Q166" s="88"/>
      <c r="R166" s="3">
        <f>IFERROR(VLOOKUP(TablaDiciembre[[#This Row],[BARRIO]],SECTOR!$A:$B,2,0),"")</f>
      </c>
      <c r="S166" s="89"/>
      <c r="T166" s="90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6"/>
      <c r="AZ166" s="120">
        <f>COUNTIF(U166:AY166,"A")</f>
      </c>
      <c r="BA166" s="121">
        <f>COUNTIF(U166:AY166,"F")</f>
      </c>
      <c r="BB166" s="119">
        <f>COUNTIF(U166:AY166,"E")</f>
      </c>
    </row>
    <row r="167" spans="1:54" x14ac:dyDescent="0.2">
      <c r="A167" s="84"/>
      <c r="B167" s="107"/>
      <c r="C167" s="85"/>
      <c r="D167" s="85"/>
      <c r="E167" s="86"/>
      <c r="F167" s="16">
        <f>IF(E167="","",DATEDIF(E167,$I$7,"Y"))</f>
      </c>
      <c r="G167" s="85"/>
      <c r="H167" s="85"/>
      <c r="I167" s="87"/>
      <c r="J167" s="85"/>
      <c r="K167" s="85"/>
      <c r="L167" s="10"/>
      <c r="M167" s="10"/>
      <c r="N167" s="10"/>
      <c r="O167" s="10"/>
      <c r="P167" s="85"/>
      <c r="Q167" s="88"/>
      <c r="R167" s="3">
        <f>IFERROR(VLOOKUP(TablaDiciembre[[#This Row],[BARRIO]],SECTOR!$A:$B,2,0),"")</f>
      </c>
      <c r="S167" s="89"/>
      <c r="T167" s="90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6"/>
      <c r="AZ167" s="120">
        <f>COUNTIF(U167:AY167,"A")</f>
      </c>
      <c r="BA167" s="121">
        <f>COUNTIF(U167:AY167,"F")</f>
      </c>
      <c r="BB167" s="119">
        <f>COUNTIF(U167:AY167,"E")</f>
      </c>
    </row>
    <row r="168" spans="1:54" x14ac:dyDescent="0.2">
      <c r="A168" s="84"/>
      <c r="B168" s="107"/>
      <c r="C168" s="85"/>
      <c r="D168" s="85"/>
      <c r="E168" s="86"/>
      <c r="F168" s="16">
        <f>IF(E168="","",DATEDIF(E168,$I$7,"Y"))</f>
      </c>
      <c r="G168" s="85"/>
      <c r="H168" s="85"/>
      <c r="I168" s="87"/>
      <c r="J168" s="85"/>
      <c r="K168" s="85"/>
      <c r="L168" s="2"/>
      <c r="M168" s="2"/>
      <c r="N168" s="10"/>
      <c r="O168" s="2"/>
      <c r="P168" s="85"/>
      <c r="Q168" s="88"/>
      <c r="R168" s="3">
        <f>IFERROR(VLOOKUP(TablaDiciembre[[#This Row],[BARRIO]],SECTOR!$A:$B,2,0),"")</f>
      </c>
      <c r="S168" s="89"/>
      <c r="T168" s="90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6"/>
      <c r="AZ168" s="120">
        <f>COUNTIF(U168:AY168,"A")</f>
      </c>
      <c r="BA168" s="121">
        <f>COUNTIF(U168:AY168,"F")</f>
      </c>
      <c r="BB168" s="119">
        <f>COUNTIF(U168:AY168,"E")</f>
      </c>
    </row>
    <row r="169" spans="1:54" x14ac:dyDescent="0.2">
      <c r="A169" s="84"/>
      <c r="B169" s="85"/>
      <c r="C169" s="85"/>
      <c r="D169" s="85"/>
      <c r="E169" s="86"/>
      <c r="F169" s="16">
        <f>IF(E169="","",DATEDIF(E169,$I$7,"Y"))</f>
      </c>
      <c r="G169" s="85"/>
      <c r="H169" s="85"/>
      <c r="I169" s="87"/>
      <c r="J169" s="85"/>
      <c r="K169" s="85"/>
      <c r="L169" s="10"/>
      <c r="M169" s="10"/>
      <c r="N169" s="10"/>
      <c r="O169" s="10"/>
      <c r="P169" s="85"/>
      <c r="Q169" s="88"/>
      <c r="R169" s="3">
        <f>IFERROR(VLOOKUP(TablaDiciembre[[#This Row],[BARRIO]],SECTOR!$A:$B,2,0),"")</f>
      </c>
      <c r="S169" s="89"/>
      <c r="T169" s="90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6"/>
      <c r="AZ169" s="30">
        <f>COUNTIF(U169:AY169,"A")</f>
      </c>
      <c r="BA169" s="32">
        <f>COUNTIF(U169:AY169,"F")</f>
      </c>
      <c r="BB169" s="119">
        <f>COUNTIF(U169:AY169,"E")</f>
      </c>
    </row>
    <row r="170" spans="1:54" x14ac:dyDescent="0.2">
      <c r="A170" s="84"/>
      <c r="B170" s="85"/>
      <c r="C170" s="85"/>
      <c r="D170" s="85"/>
      <c r="E170" s="86"/>
      <c r="F170" s="16">
        <f>IF(E170="","",DATEDIF(E170,$I$7,"Y"))</f>
      </c>
      <c r="G170" s="85"/>
      <c r="H170" s="85"/>
      <c r="I170" s="87"/>
      <c r="J170" s="85"/>
      <c r="K170" s="85"/>
      <c r="L170" s="10"/>
      <c r="M170" s="10"/>
      <c r="N170" s="10"/>
      <c r="O170" s="10"/>
      <c r="P170" s="85"/>
      <c r="Q170" s="88"/>
      <c r="R170" s="3">
        <f>IFERROR(VLOOKUP(TablaDiciembre[[#This Row],[BARRIO]],SECTOR!$A:$B,2,0),"")</f>
      </c>
      <c r="S170" s="89"/>
      <c r="T170" s="90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6"/>
      <c r="AZ170" s="120">
        <f>COUNTIF(U170:AY170,"A")</f>
      </c>
      <c r="BA170" s="121">
        <f>COUNTIF(U170:AY170,"F")</f>
      </c>
      <c r="BB170" s="119">
        <f>COUNTIF(U170:AY170,"E")</f>
      </c>
    </row>
    <row r="171" spans="1:54" x14ac:dyDescent="0.2">
      <c r="A171" s="84"/>
      <c r="B171" s="85"/>
      <c r="C171" s="85"/>
      <c r="D171" s="85"/>
      <c r="E171" s="86"/>
      <c r="F171" s="16">
        <f>IF(E171="","",DATEDIF(E171,$I$7,"Y"))</f>
      </c>
      <c r="G171" s="85"/>
      <c r="H171" s="85"/>
      <c r="I171" s="87"/>
      <c r="J171" s="85"/>
      <c r="K171" s="85"/>
      <c r="L171" s="10"/>
      <c r="M171" s="10"/>
      <c r="N171" s="10"/>
      <c r="O171" s="10"/>
      <c r="P171" s="85"/>
      <c r="Q171" s="88"/>
      <c r="R171" s="3">
        <f>IFERROR(VLOOKUP(TablaDiciembre[[#This Row],[BARRIO]],SECTOR!$A:$B,2,0),"")</f>
      </c>
      <c r="S171" s="89"/>
      <c r="T171" s="90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6"/>
      <c r="AZ171" s="120">
        <f>COUNTIF(U171:AY171,"A")</f>
      </c>
      <c r="BA171" s="121">
        <f>COUNTIF(U171:AY171,"F")</f>
      </c>
      <c r="BB171" s="119">
        <f>COUNTIF(U171:AY171,"E")</f>
      </c>
    </row>
    <row r="172" spans="1:54" x14ac:dyDescent="0.2">
      <c r="A172" s="84"/>
      <c r="B172" s="85"/>
      <c r="C172" s="85"/>
      <c r="D172" s="85"/>
      <c r="E172" s="86"/>
      <c r="F172" s="16">
        <f>IF(E172="","",DATEDIF(E172,$I$7,"Y"))</f>
      </c>
      <c r="G172" s="85"/>
      <c r="H172" s="85"/>
      <c r="I172" s="87"/>
      <c r="J172" s="85"/>
      <c r="K172" s="85"/>
      <c r="L172" s="10"/>
      <c r="M172" s="10"/>
      <c r="N172" s="10"/>
      <c r="O172" s="10"/>
      <c r="P172" s="85"/>
      <c r="Q172" s="88"/>
      <c r="R172" s="3">
        <f>IFERROR(VLOOKUP(TablaDiciembre[[#This Row],[BARRIO]],SECTOR!$A:$B,2,0),"")</f>
      </c>
      <c r="S172" s="89"/>
      <c r="T172" s="90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6"/>
      <c r="AZ172" s="120">
        <f>COUNTIF(U172:AY172,"A")</f>
      </c>
      <c r="BA172" s="121">
        <f>COUNTIF(U172:AY172,"F")</f>
      </c>
      <c r="BB172" s="119">
        <f>COUNTIF(U172:AY172,"E")</f>
      </c>
    </row>
    <row r="173" spans="1:54" x14ac:dyDescent="0.2">
      <c r="A173" s="84"/>
      <c r="B173" s="85"/>
      <c r="C173" s="85"/>
      <c r="D173" s="85"/>
      <c r="E173" s="86"/>
      <c r="F173" s="16">
        <f>IF(E173="","",DATEDIF(E173,$I$7,"Y"))</f>
      </c>
      <c r="G173" s="85"/>
      <c r="H173" s="85"/>
      <c r="I173" s="87"/>
      <c r="J173" s="85"/>
      <c r="K173" s="85"/>
      <c r="L173" s="10"/>
      <c r="M173" s="10"/>
      <c r="N173" s="10"/>
      <c r="O173" s="10"/>
      <c r="P173" s="85"/>
      <c r="Q173" s="88"/>
      <c r="R173" s="3">
        <f>IFERROR(VLOOKUP(TablaDiciembre[[#This Row],[BARRIO]],SECTOR!$A:$B,2,0),"")</f>
      </c>
      <c r="S173" s="89"/>
      <c r="T173" s="90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6"/>
      <c r="AZ173" s="120">
        <f>COUNTIF(U173:AY173,"A")</f>
      </c>
      <c r="BA173" s="121">
        <f>COUNTIF(U173:AY173,"F")</f>
      </c>
      <c r="BB173" s="119">
        <f>COUNTIF(U173:AY173,"E")</f>
      </c>
    </row>
    <row r="174" spans="1:54" x14ac:dyDescent="0.2">
      <c r="A174" s="84"/>
      <c r="B174" s="85"/>
      <c r="C174" s="85"/>
      <c r="D174" s="85"/>
      <c r="E174" s="86"/>
      <c r="F174" s="16">
        <f>IF(E174="","",DATEDIF(E174,$I$7,"Y"))</f>
      </c>
      <c r="G174" s="85"/>
      <c r="H174" s="85"/>
      <c r="I174" s="87"/>
      <c r="J174" s="85"/>
      <c r="K174" s="85"/>
      <c r="L174" s="10"/>
      <c r="M174" s="10"/>
      <c r="N174" s="10"/>
      <c r="O174" s="10"/>
      <c r="P174" s="85"/>
      <c r="Q174" s="88"/>
      <c r="R174" s="3">
        <f>IFERROR(VLOOKUP(TablaDiciembre[[#This Row],[BARRIO]],SECTOR!$A:$B,2,0),"")</f>
      </c>
      <c r="S174" s="89"/>
      <c r="T174" s="90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6"/>
      <c r="AZ174" s="120">
        <f>COUNTIF(U174:AY174,"A")</f>
      </c>
      <c r="BA174" s="121">
        <f>COUNTIF(U174:AY174,"F")</f>
      </c>
      <c r="BB174" s="119">
        <f>COUNTIF(U174:AY174,"E")</f>
      </c>
    </row>
    <row r="175" spans="1:54" x14ac:dyDescent="0.2">
      <c r="A175" s="84"/>
      <c r="B175" s="85"/>
      <c r="C175" s="85"/>
      <c r="D175" s="85"/>
      <c r="E175" s="86"/>
      <c r="F175" s="16">
        <f>IF(E175="","",DATEDIF(E175,$I$7,"Y"))</f>
      </c>
      <c r="G175" s="85"/>
      <c r="H175" s="85"/>
      <c r="I175" s="87"/>
      <c r="J175" s="85"/>
      <c r="K175" s="85"/>
      <c r="L175" s="10"/>
      <c r="M175" s="10"/>
      <c r="N175" s="10"/>
      <c r="O175" s="10"/>
      <c r="P175" s="85"/>
      <c r="Q175" s="88"/>
      <c r="R175" s="3">
        <f>IFERROR(VLOOKUP(TablaDiciembre[[#This Row],[BARRIO]],SECTOR!$A:$B,2,0),"")</f>
      </c>
      <c r="S175" s="89"/>
      <c r="T175" s="90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6"/>
      <c r="AZ175" s="120">
        <f>COUNTIF(U175:AY175,"A")</f>
      </c>
      <c r="BA175" s="121">
        <f>COUNTIF(U175:AY175,"F")</f>
      </c>
      <c r="BB175" s="119">
        <f>COUNTIF(U175:AY175,"E")</f>
      </c>
    </row>
    <row r="176" spans="1:54" x14ac:dyDescent="0.2">
      <c r="A176" s="84"/>
      <c r="B176" s="85"/>
      <c r="C176" s="85"/>
      <c r="D176" s="85"/>
      <c r="E176" s="86"/>
      <c r="F176" s="16">
        <f>IF(E176="","",DATEDIF(E176,$I$7,"Y"))</f>
      </c>
      <c r="G176" s="85"/>
      <c r="H176" s="85"/>
      <c r="I176" s="87"/>
      <c r="J176" s="85"/>
      <c r="K176" s="85"/>
      <c r="L176" s="10"/>
      <c r="M176" s="10"/>
      <c r="N176" s="10"/>
      <c r="O176" s="10"/>
      <c r="P176" s="85"/>
      <c r="Q176" s="88"/>
      <c r="R176" s="3">
        <f>IFERROR(VLOOKUP(TablaDiciembre[[#This Row],[BARRIO]],SECTOR!$A:$B,2,0),"")</f>
      </c>
      <c r="S176" s="89"/>
      <c r="T176" s="90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6"/>
      <c r="AZ176" s="120">
        <f>COUNTIF(U176:AY176,"A")</f>
      </c>
      <c r="BA176" s="121">
        <f>COUNTIF(U176:AY176,"F")</f>
      </c>
      <c r="BB176" s="119">
        <f>COUNTIF(U176:AY176,"E")</f>
      </c>
    </row>
    <row r="177" spans="1:54" x14ac:dyDescent="0.2">
      <c r="A177" s="84"/>
      <c r="B177" s="85"/>
      <c r="C177" s="85"/>
      <c r="D177" s="85"/>
      <c r="E177" s="86"/>
      <c r="F177" s="16">
        <f>IF(E177="","",DATEDIF(E177,$I$7,"Y"))</f>
      </c>
      <c r="G177" s="85"/>
      <c r="H177" s="85"/>
      <c r="I177" s="87"/>
      <c r="J177" s="85"/>
      <c r="K177" s="85"/>
      <c r="L177" s="10"/>
      <c r="M177" s="10"/>
      <c r="N177" s="10"/>
      <c r="O177" s="10"/>
      <c r="P177" s="85"/>
      <c r="Q177" s="88"/>
      <c r="R177" s="3">
        <f>IFERROR(VLOOKUP(TablaDiciembre[[#This Row],[BARRIO]],SECTOR!$A:$B,2,0),"")</f>
      </c>
      <c r="S177" s="89"/>
      <c r="T177" s="90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6"/>
      <c r="AZ177" s="120">
        <f>COUNTIF(U177:AY177,"A")</f>
      </c>
      <c r="BA177" s="121">
        <f>COUNTIF(U177:AY177,"F")</f>
      </c>
      <c r="BB177" s="119">
        <f>COUNTIF(U177:AY177,"E")</f>
      </c>
    </row>
    <row r="178" spans="1:54" x14ac:dyDescent="0.2">
      <c r="A178" s="84"/>
      <c r="B178" s="85"/>
      <c r="C178" s="85"/>
      <c r="D178" s="85"/>
      <c r="E178" s="86"/>
      <c r="F178" s="16">
        <f>IF(E178="","",DATEDIF(E178,$I$7,"Y"))</f>
      </c>
      <c r="G178" s="85"/>
      <c r="H178" s="85"/>
      <c r="I178" s="87"/>
      <c r="J178" s="85"/>
      <c r="K178" s="85"/>
      <c r="L178" s="10"/>
      <c r="M178" s="10"/>
      <c r="N178" s="10"/>
      <c r="O178" s="10"/>
      <c r="P178" s="85"/>
      <c r="Q178" s="88"/>
      <c r="R178" s="3">
        <f>IFERROR(VLOOKUP(TablaDiciembre[[#This Row],[BARRIO]],SECTOR!$A:$B,2,0),"")</f>
      </c>
      <c r="S178" s="89"/>
      <c r="T178" s="90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6"/>
      <c r="AZ178" s="120">
        <f>COUNTIF(U178:AY178,"A")</f>
      </c>
      <c r="BA178" s="121">
        <f>COUNTIF(U178:AY178,"F")</f>
      </c>
      <c r="BB178" s="119">
        <f>COUNTIF(U178:AY178,"E")</f>
      </c>
    </row>
    <row r="179" spans="1:54" x14ac:dyDescent="0.2">
      <c r="A179" s="84"/>
      <c r="B179" s="85"/>
      <c r="C179" s="85"/>
      <c r="D179" s="85"/>
      <c r="E179" s="86"/>
      <c r="F179" s="16">
        <f>IF(E179="","",DATEDIF(E179,$I$7,"Y"))</f>
      </c>
      <c r="G179" s="85"/>
      <c r="H179" s="85"/>
      <c r="I179" s="87"/>
      <c r="J179" s="85"/>
      <c r="K179" s="85"/>
      <c r="L179" s="10"/>
      <c r="M179" s="10"/>
      <c r="N179" s="10"/>
      <c r="O179" s="10"/>
      <c r="P179" s="85"/>
      <c r="Q179" s="88"/>
      <c r="R179" s="3">
        <f>IFERROR(VLOOKUP(TablaDiciembre[[#This Row],[BARRIO]],SECTOR!$A:$B,2,0),"")</f>
      </c>
      <c r="S179" s="89"/>
      <c r="T179" s="90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6"/>
      <c r="AZ179" s="120">
        <f>COUNTIF(U179:AY179,"A")</f>
      </c>
      <c r="BA179" s="121">
        <f>COUNTIF(U179:AY179,"F")</f>
      </c>
      <c r="BB179" s="119">
        <f>COUNTIF(U179:AY179,"E")</f>
      </c>
    </row>
    <row r="180" spans="1:54" x14ac:dyDescent="0.2">
      <c r="A180" s="84"/>
      <c r="B180" s="85"/>
      <c r="C180" s="85"/>
      <c r="D180" s="85"/>
      <c r="E180" s="86"/>
      <c r="F180" s="16">
        <f>IF(E180="","",DATEDIF(E180,$I$7,"Y"))</f>
      </c>
      <c r="G180" s="85"/>
      <c r="H180" s="85"/>
      <c r="I180" s="87"/>
      <c r="J180" s="85"/>
      <c r="K180" s="85"/>
      <c r="L180" s="10"/>
      <c r="M180" s="10"/>
      <c r="N180" s="10"/>
      <c r="O180" s="10"/>
      <c r="P180" s="85"/>
      <c r="Q180" s="88"/>
      <c r="R180" s="3">
        <f>IFERROR(VLOOKUP(TablaDiciembre[[#This Row],[BARRIO]],SECTOR!$A:$B,2,0),"")</f>
      </c>
      <c r="S180" s="89"/>
      <c r="T180" s="90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6"/>
      <c r="AZ180" s="120">
        <f>COUNTIF(U180:AY180,"A")</f>
      </c>
      <c r="BA180" s="121">
        <f>COUNTIF(U180:AY180,"F")</f>
      </c>
      <c r="BB180" s="119">
        <f>COUNTIF(U180:AY180,"E")</f>
      </c>
    </row>
    <row r="181" spans="1:54" x14ac:dyDescent="0.2">
      <c r="A181" s="84"/>
      <c r="B181" s="85"/>
      <c r="C181" s="85"/>
      <c r="D181" s="85"/>
      <c r="E181" s="86"/>
      <c r="F181" s="16">
        <f>IF(E181="","",DATEDIF(E181,$I$7,"Y"))</f>
      </c>
      <c r="G181" s="85"/>
      <c r="H181" s="85"/>
      <c r="I181" s="87"/>
      <c r="J181" s="85"/>
      <c r="K181" s="85"/>
      <c r="L181" s="10"/>
      <c r="M181" s="10"/>
      <c r="N181" s="10"/>
      <c r="O181" s="10"/>
      <c r="P181" s="85"/>
      <c r="Q181" s="88"/>
      <c r="R181" s="3">
        <f>IFERROR(VLOOKUP(TablaDiciembre[[#This Row],[BARRIO]],SECTOR!$A:$B,2,0),"")</f>
      </c>
      <c r="S181" s="89"/>
      <c r="T181" s="90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6"/>
      <c r="AZ181" s="120">
        <f>COUNTIF(U181:AY181,"A")</f>
      </c>
      <c r="BA181" s="121">
        <f>COUNTIF(U181:AY181,"F")</f>
      </c>
      <c r="BB181" s="119">
        <f>COUNTIF(U181:AY181,"E")</f>
      </c>
    </row>
    <row r="182" spans="1:54" x14ac:dyDescent="0.2">
      <c r="A182" s="84"/>
      <c r="B182" s="85"/>
      <c r="C182" s="85"/>
      <c r="D182" s="85"/>
      <c r="E182" s="86"/>
      <c r="F182" s="16">
        <f>IF(E182="","",DATEDIF(E182,$I$7,"Y"))</f>
      </c>
      <c r="G182" s="85"/>
      <c r="H182" s="85"/>
      <c r="I182" s="87"/>
      <c r="J182" s="85"/>
      <c r="K182" s="85"/>
      <c r="L182" s="10"/>
      <c r="M182" s="10"/>
      <c r="N182" s="10"/>
      <c r="O182" s="10"/>
      <c r="P182" s="85"/>
      <c r="Q182" s="88"/>
      <c r="R182" s="3">
        <f>IFERROR(VLOOKUP(TablaDiciembre[[#This Row],[BARRIO]],SECTOR!$A:$B,2,0),"")</f>
      </c>
      <c r="S182" s="89"/>
      <c r="T182" s="90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6"/>
      <c r="AZ182" s="120">
        <f>COUNTIF(U182:AY182,"A")</f>
      </c>
      <c r="BA182" s="121">
        <f>COUNTIF(U182:AY182,"F")</f>
      </c>
      <c r="BB182" s="119">
        <f>COUNTIF(U182:AY182,"E")</f>
      </c>
    </row>
    <row r="183" spans="1:54" x14ac:dyDescent="0.2">
      <c r="A183" s="84"/>
      <c r="B183" s="85"/>
      <c r="C183" s="85"/>
      <c r="D183" s="85"/>
      <c r="E183" s="86"/>
      <c r="F183" s="16">
        <f>IF(E183="","",DATEDIF(E183,$I$7,"Y"))</f>
      </c>
      <c r="G183" s="85"/>
      <c r="H183" s="85"/>
      <c r="I183" s="87"/>
      <c r="J183" s="85"/>
      <c r="K183" s="85"/>
      <c r="L183" s="10"/>
      <c r="M183" s="10"/>
      <c r="N183" s="10"/>
      <c r="O183" s="10"/>
      <c r="P183" s="85"/>
      <c r="Q183" s="88"/>
      <c r="R183" s="3">
        <f>IFERROR(VLOOKUP(TablaDiciembre[[#This Row],[BARRIO]],SECTOR!$A:$B,2,0),"")</f>
      </c>
      <c r="S183" s="89"/>
      <c r="T183" s="90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6"/>
      <c r="AZ183" s="120">
        <f>COUNTIF(U183:AY183,"A")</f>
      </c>
      <c r="BA183" s="121">
        <f>COUNTIF(U183:AY183,"F")</f>
      </c>
      <c r="BB183" s="119">
        <f>COUNTIF(U183:AY183,"E")</f>
      </c>
    </row>
    <row r="184" spans="1:54" x14ac:dyDescent="0.2">
      <c r="A184" s="84"/>
      <c r="B184" s="85"/>
      <c r="C184" s="85"/>
      <c r="D184" s="85"/>
      <c r="E184" s="86"/>
      <c r="F184" s="16">
        <f>IF(E184="","",DATEDIF(E184,$I$7,"Y"))</f>
      </c>
      <c r="G184" s="85"/>
      <c r="H184" s="85"/>
      <c r="I184" s="87"/>
      <c r="J184" s="85"/>
      <c r="K184" s="85"/>
      <c r="L184" s="10"/>
      <c r="M184" s="10"/>
      <c r="N184" s="10"/>
      <c r="O184" s="10"/>
      <c r="P184" s="85"/>
      <c r="Q184" s="88"/>
      <c r="R184" s="3">
        <f>IFERROR(VLOOKUP(TablaDiciembre[[#This Row],[BARRIO]],SECTOR!$A:$B,2,0),"")</f>
      </c>
      <c r="S184" s="89"/>
      <c r="T184" s="90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6"/>
      <c r="AZ184" s="120">
        <f>COUNTIF(U184:AY184,"A")</f>
      </c>
      <c r="BA184" s="121">
        <f>COUNTIF(U184:AY184,"F")</f>
      </c>
      <c r="BB184" s="119">
        <f>COUNTIF(U184:AY184,"E")</f>
      </c>
    </row>
    <row r="185" spans="1:54" x14ac:dyDescent="0.2">
      <c r="A185" s="84"/>
      <c r="B185" s="85"/>
      <c r="C185" s="85"/>
      <c r="D185" s="85"/>
      <c r="E185" s="86"/>
      <c r="F185" s="16">
        <f>IF(E185="","",DATEDIF(E185,$I$7,"Y"))</f>
      </c>
      <c r="G185" s="85"/>
      <c r="H185" s="85"/>
      <c r="I185" s="87"/>
      <c r="J185" s="85"/>
      <c r="K185" s="85"/>
      <c r="L185" s="10"/>
      <c r="M185" s="10"/>
      <c r="N185" s="10"/>
      <c r="O185" s="10"/>
      <c r="P185" s="85"/>
      <c r="Q185" s="88"/>
      <c r="R185" s="3">
        <f>IFERROR(VLOOKUP(TablaDiciembre[[#This Row],[BARRIO]],SECTOR!$A:$B,2,0),"")</f>
      </c>
      <c r="S185" s="89"/>
      <c r="T185" s="90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6"/>
      <c r="AZ185" s="120">
        <f>COUNTIF(U185:AY185,"A")</f>
      </c>
      <c r="BA185" s="121">
        <f>COUNTIF(U185:AY185,"F")</f>
      </c>
      <c r="BB185" s="119">
        <f>COUNTIF(U185:AY185,"E")</f>
      </c>
    </row>
    <row r="186" spans="1:54" x14ac:dyDescent="0.2">
      <c r="A186" s="84"/>
      <c r="B186" s="85"/>
      <c r="C186" s="85"/>
      <c r="D186" s="85"/>
      <c r="E186" s="86"/>
      <c r="F186" s="16">
        <f>IF(E186="","",DATEDIF(E186,$I$7,"Y"))</f>
      </c>
      <c r="G186" s="85"/>
      <c r="H186" s="85"/>
      <c r="I186" s="87"/>
      <c r="J186" s="85"/>
      <c r="K186" s="85"/>
      <c r="L186" s="10"/>
      <c r="M186" s="10"/>
      <c r="N186" s="10"/>
      <c r="O186" s="10"/>
      <c r="P186" s="85"/>
      <c r="Q186" s="88"/>
      <c r="R186" s="3">
        <f>IFERROR(VLOOKUP(TablaDiciembre[[#This Row],[BARRIO]],SECTOR!$A:$B,2,0),"")</f>
      </c>
      <c r="S186" s="89"/>
      <c r="T186" s="90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6"/>
      <c r="AZ186" s="120">
        <f>COUNTIF(U186:AY186,"A")</f>
      </c>
      <c r="BA186" s="121">
        <f>COUNTIF(U186:AY186,"F")</f>
      </c>
      <c r="BB186" s="119">
        <f>COUNTIF(U186:AY186,"E")</f>
      </c>
    </row>
    <row r="187" spans="1:54" x14ac:dyDescent="0.2">
      <c r="A187" s="84"/>
      <c r="B187" s="85"/>
      <c r="C187" s="85"/>
      <c r="D187" s="85"/>
      <c r="E187" s="86"/>
      <c r="F187" s="16">
        <f>IF(E187="","",DATEDIF(E187,$I$7,"Y"))</f>
      </c>
      <c r="G187" s="85"/>
      <c r="H187" s="85"/>
      <c r="I187" s="87"/>
      <c r="J187" s="85"/>
      <c r="K187" s="85"/>
      <c r="L187" s="10"/>
      <c r="M187" s="10"/>
      <c r="N187" s="10"/>
      <c r="O187" s="10"/>
      <c r="P187" s="85"/>
      <c r="Q187" s="88"/>
      <c r="R187" s="3">
        <f>IFERROR(VLOOKUP(TablaDiciembre[[#This Row],[BARRIO]],SECTOR!$A:$B,2,0),"")</f>
      </c>
      <c r="S187" s="89"/>
      <c r="T187" s="90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6"/>
      <c r="AZ187" s="120">
        <f>COUNTIF(U187:AY187,"A")</f>
      </c>
      <c r="BA187" s="121">
        <f>COUNTIF(U187:AY187,"F")</f>
      </c>
      <c r="BB187" s="119">
        <f>COUNTIF(U187:AY187,"E")</f>
      </c>
    </row>
    <row r="188" spans="1:54" x14ac:dyDescent="0.2">
      <c r="A188" s="84"/>
      <c r="B188" s="85"/>
      <c r="C188" s="85"/>
      <c r="D188" s="85"/>
      <c r="E188" s="86"/>
      <c r="F188" s="16">
        <f>IF(E188="","",DATEDIF(E188,$I$7,"Y"))</f>
      </c>
      <c r="G188" s="85"/>
      <c r="H188" s="85"/>
      <c r="I188" s="87"/>
      <c r="J188" s="85"/>
      <c r="K188" s="85"/>
      <c r="L188" s="10"/>
      <c r="M188" s="10"/>
      <c r="N188" s="10"/>
      <c r="O188" s="10"/>
      <c r="P188" s="85"/>
      <c r="Q188" s="88"/>
      <c r="R188" s="3">
        <f>IFERROR(VLOOKUP(TablaDiciembre[[#This Row],[BARRIO]],SECTOR!$A:$B,2,0),"")</f>
      </c>
      <c r="S188" s="89"/>
      <c r="T188" s="90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6"/>
      <c r="AZ188" s="120">
        <f>COUNTIF(U188:AY188,"A")</f>
      </c>
      <c r="BA188" s="121">
        <f>COUNTIF(U188:AY188,"F")</f>
      </c>
      <c r="BB188" s="119">
        <f>COUNTIF(U188:AY188,"E")</f>
      </c>
    </row>
    <row r="189" spans="1:54" x14ac:dyDescent="0.2">
      <c r="A189" s="84"/>
      <c r="B189" s="85"/>
      <c r="C189" s="85"/>
      <c r="D189" s="85"/>
      <c r="E189" s="86"/>
      <c r="F189" s="16">
        <f>IF(E189="","",DATEDIF(E189,$I$7,"Y"))</f>
      </c>
      <c r="G189" s="85"/>
      <c r="H189" s="85"/>
      <c r="I189" s="87"/>
      <c r="J189" s="85"/>
      <c r="K189" s="85"/>
      <c r="L189" s="10"/>
      <c r="M189" s="10"/>
      <c r="N189" s="10"/>
      <c r="O189" s="10"/>
      <c r="P189" s="85"/>
      <c r="Q189" s="88"/>
      <c r="R189" s="3">
        <f>IFERROR(VLOOKUP(TablaDiciembre[[#This Row],[BARRIO]],SECTOR!$A:$B,2,0),"")</f>
      </c>
      <c r="S189" s="89"/>
      <c r="T189" s="90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6"/>
      <c r="AZ189" s="120">
        <f>COUNTIF(U189:AY189,"A")</f>
      </c>
      <c r="BA189" s="121">
        <f>COUNTIF(U189:AY189,"F")</f>
      </c>
      <c r="BB189" s="119">
        <f>COUNTIF(U189:AY189,"E")</f>
      </c>
    </row>
    <row r="190" spans="1:54" x14ac:dyDescent="0.2">
      <c r="A190" s="84"/>
      <c r="B190" s="85"/>
      <c r="C190" s="85"/>
      <c r="D190" s="85"/>
      <c r="E190" s="86"/>
      <c r="F190" s="16">
        <f>IF(E190="","",DATEDIF(E190,$I$7,"Y"))</f>
      </c>
      <c r="G190" s="85"/>
      <c r="H190" s="85"/>
      <c r="I190" s="87"/>
      <c r="J190" s="85"/>
      <c r="K190" s="85"/>
      <c r="L190" s="10"/>
      <c r="M190" s="10"/>
      <c r="N190" s="10"/>
      <c r="O190" s="10"/>
      <c r="P190" s="85"/>
      <c r="Q190" s="88"/>
      <c r="R190" s="3">
        <f>IFERROR(VLOOKUP(TablaDiciembre[[#This Row],[BARRIO]],SECTOR!$A:$B,2,0),"")</f>
      </c>
      <c r="S190" s="89"/>
      <c r="T190" s="90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6"/>
      <c r="AZ190" s="120">
        <f>COUNTIF(U190:AY190,"A")</f>
      </c>
      <c r="BA190" s="121">
        <f>COUNTIF(U190:AY190,"F")</f>
      </c>
      <c r="BB190" s="119">
        <f>COUNTIF(U190:AY190,"E")</f>
      </c>
    </row>
    <row r="191" spans="1:54" x14ac:dyDescent="0.2">
      <c r="A191" s="84"/>
      <c r="B191" s="85"/>
      <c r="C191" s="85"/>
      <c r="D191" s="85"/>
      <c r="E191" s="86"/>
      <c r="F191" s="16">
        <f>IF(E191="","",DATEDIF(E191,$I$7,"Y"))</f>
      </c>
      <c r="G191" s="85"/>
      <c r="H191" s="85"/>
      <c r="I191" s="87"/>
      <c r="J191" s="85"/>
      <c r="K191" s="85"/>
      <c r="L191" s="10"/>
      <c r="M191" s="10"/>
      <c r="N191" s="10"/>
      <c r="O191" s="10"/>
      <c r="P191" s="85"/>
      <c r="Q191" s="88"/>
      <c r="R191" s="3">
        <f>IFERROR(VLOOKUP(TablaDiciembre[[#This Row],[BARRIO]],SECTOR!$A:$B,2,0),"")</f>
      </c>
      <c r="S191" s="89"/>
      <c r="T191" s="90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6"/>
      <c r="AZ191" s="120">
        <f>COUNTIF(U191:AY191,"A")</f>
      </c>
      <c r="BA191" s="121">
        <f>COUNTIF(U191:AY191,"F")</f>
      </c>
      <c r="BB191" s="119">
        <f>COUNTIF(U191:AY191,"E")</f>
      </c>
    </row>
    <row r="192" spans="1:54" x14ac:dyDescent="0.2">
      <c r="A192" s="84"/>
      <c r="B192" s="85"/>
      <c r="C192" s="85"/>
      <c r="D192" s="85"/>
      <c r="E192" s="86"/>
      <c r="F192" s="16">
        <f>IF(E192="","",DATEDIF(E192,$I$7,"Y"))</f>
      </c>
      <c r="G192" s="85"/>
      <c r="H192" s="85"/>
      <c r="I192" s="87"/>
      <c r="J192" s="85"/>
      <c r="K192" s="85"/>
      <c r="L192" s="10"/>
      <c r="M192" s="10"/>
      <c r="N192" s="10"/>
      <c r="O192" s="10"/>
      <c r="P192" s="85"/>
      <c r="Q192" s="88"/>
      <c r="R192" s="3">
        <f>IFERROR(VLOOKUP(TablaDiciembre[[#This Row],[BARRIO]],SECTOR!$A:$B,2,0),"")</f>
      </c>
      <c r="S192" s="89"/>
      <c r="T192" s="90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6"/>
      <c r="AZ192" s="120">
        <f>COUNTIF(U192:AY192,"A")</f>
      </c>
      <c r="BA192" s="121">
        <f>COUNTIF(U192:AY192,"F")</f>
      </c>
      <c r="BB192" s="119">
        <f>COUNTIF(U192:AY192,"E")</f>
      </c>
    </row>
    <row r="193" spans="1:54" x14ac:dyDescent="0.2">
      <c r="A193" s="84"/>
      <c r="B193" s="85"/>
      <c r="C193" s="85"/>
      <c r="D193" s="85"/>
      <c r="E193" s="86"/>
      <c r="F193" s="16">
        <f>IF(E193="","",DATEDIF(E193,$I$7,"Y"))</f>
      </c>
      <c r="G193" s="85"/>
      <c r="H193" s="85"/>
      <c r="I193" s="87"/>
      <c r="J193" s="85"/>
      <c r="K193" s="85"/>
      <c r="L193" s="10"/>
      <c r="M193" s="10"/>
      <c r="N193" s="10"/>
      <c r="O193" s="10"/>
      <c r="P193" s="85"/>
      <c r="Q193" s="88"/>
      <c r="R193" s="3">
        <f>IFERROR(VLOOKUP(TablaDiciembre[[#This Row],[BARRIO]],SECTOR!$A:$B,2,0),"")</f>
      </c>
      <c r="S193" s="89"/>
      <c r="T193" s="90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6"/>
      <c r="AZ193" s="120">
        <f>COUNTIF(U193:AY193,"A")</f>
      </c>
      <c r="BA193" s="121">
        <f>COUNTIF(U193:AY193,"F")</f>
      </c>
      <c r="BB193" s="119">
        <f>COUNTIF(U193:AY193,"E")</f>
      </c>
    </row>
    <row r="194" spans="1:54" x14ac:dyDescent="0.2">
      <c r="A194" s="84"/>
      <c r="B194" s="85"/>
      <c r="C194" s="85"/>
      <c r="D194" s="85"/>
      <c r="E194" s="86"/>
      <c r="F194" s="16">
        <f>IF(E194="","",DATEDIF(E194,$I$7,"Y"))</f>
      </c>
      <c r="G194" s="85"/>
      <c r="H194" s="85"/>
      <c r="I194" s="87"/>
      <c r="J194" s="85"/>
      <c r="K194" s="85"/>
      <c r="L194" s="10"/>
      <c r="M194" s="10"/>
      <c r="N194" s="10"/>
      <c r="O194" s="10"/>
      <c r="P194" s="85"/>
      <c r="Q194" s="88"/>
      <c r="R194" s="3">
        <f>IFERROR(VLOOKUP(TablaDiciembre[[#This Row],[BARRIO]],SECTOR!$A:$B,2,0),"")</f>
      </c>
      <c r="S194" s="89"/>
      <c r="T194" s="90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6"/>
      <c r="AZ194" s="120">
        <f>COUNTIF(U194:AY194,"A")</f>
      </c>
      <c r="BA194" s="121">
        <f>COUNTIF(U194:AY194,"F")</f>
      </c>
      <c r="BB194" s="119">
        <f>COUNTIF(U194:AY194,"E")</f>
      </c>
    </row>
    <row r="195" spans="1:54" x14ac:dyDescent="0.2">
      <c r="A195" s="84"/>
      <c r="B195" s="85"/>
      <c r="C195" s="85"/>
      <c r="D195" s="85"/>
      <c r="E195" s="86"/>
      <c r="F195" s="16">
        <f>IF(E195="","",DATEDIF(E195,$I$7,"Y"))</f>
      </c>
      <c r="G195" s="85"/>
      <c r="H195" s="85"/>
      <c r="I195" s="87"/>
      <c r="J195" s="85"/>
      <c r="K195" s="85"/>
      <c r="L195" s="10"/>
      <c r="M195" s="10"/>
      <c r="N195" s="10"/>
      <c r="O195" s="10"/>
      <c r="P195" s="85"/>
      <c r="Q195" s="88"/>
      <c r="R195" s="3">
        <f>IFERROR(VLOOKUP(TablaDiciembre[[#This Row],[BARRIO]],SECTOR!$A:$B,2,0),"")</f>
      </c>
      <c r="S195" s="89"/>
      <c r="T195" s="90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6"/>
      <c r="AZ195" s="120">
        <f>COUNTIF(U195:AY195,"A")</f>
      </c>
      <c r="BA195" s="121">
        <f>COUNTIF(U195:AY195,"F")</f>
      </c>
      <c r="BB195" s="119">
        <f>COUNTIF(U195:AY195,"E")</f>
      </c>
    </row>
    <row r="196" spans="1:54" x14ac:dyDescent="0.2">
      <c r="A196" s="84"/>
      <c r="B196" s="85"/>
      <c r="C196" s="85"/>
      <c r="D196" s="85"/>
      <c r="E196" s="86"/>
      <c r="F196" s="16">
        <f>IF(E196="","",DATEDIF(E196,$I$7,"Y"))</f>
      </c>
      <c r="G196" s="85"/>
      <c r="H196" s="85"/>
      <c r="I196" s="87"/>
      <c r="J196" s="85"/>
      <c r="K196" s="85"/>
      <c r="L196" s="10"/>
      <c r="M196" s="10"/>
      <c r="N196" s="10"/>
      <c r="O196" s="10"/>
      <c r="P196" s="85"/>
      <c r="Q196" s="88"/>
      <c r="R196" s="3">
        <f>IFERROR(VLOOKUP(TablaDiciembre[[#This Row],[BARRIO]],SECTOR!$A:$B,2,0),"")</f>
      </c>
      <c r="S196" s="89"/>
      <c r="T196" s="90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6"/>
      <c r="AZ196" s="120">
        <f>COUNTIF(U196:AY196,"A")</f>
      </c>
      <c r="BA196" s="121">
        <f>COUNTIF(U196:AY196,"F")</f>
      </c>
      <c r="BB196" s="119">
        <f>COUNTIF(U196:AY196,"E")</f>
      </c>
    </row>
    <row r="197" spans="1:54" x14ac:dyDescent="0.2">
      <c r="A197" s="84"/>
      <c r="B197" s="85"/>
      <c r="C197" s="85"/>
      <c r="D197" s="85"/>
      <c r="E197" s="86"/>
      <c r="F197" s="16">
        <f>IF(E197="","",DATEDIF(E197,$I$7,"Y"))</f>
      </c>
      <c r="G197" s="85"/>
      <c r="H197" s="85"/>
      <c r="I197" s="87"/>
      <c r="J197" s="85"/>
      <c r="K197" s="85"/>
      <c r="L197" s="10"/>
      <c r="M197" s="10"/>
      <c r="N197" s="10"/>
      <c r="O197" s="10"/>
      <c r="P197" s="85"/>
      <c r="Q197" s="88"/>
      <c r="R197" s="3">
        <f>IFERROR(VLOOKUP(TablaDiciembre[[#This Row],[BARRIO]],SECTOR!$A:$B,2,0),"")</f>
      </c>
      <c r="S197" s="89"/>
      <c r="T197" s="90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6"/>
      <c r="AZ197" s="120">
        <f>COUNTIF(U197:AY197,"A")</f>
      </c>
      <c r="BA197" s="121">
        <f>COUNTIF(U197:AY197,"F")</f>
      </c>
      <c r="BB197" s="119">
        <f>COUNTIF(U197:AY197,"E")</f>
      </c>
    </row>
    <row r="198" spans="1:54" x14ac:dyDescent="0.2">
      <c r="A198" s="84"/>
      <c r="B198" s="85"/>
      <c r="C198" s="85"/>
      <c r="D198" s="85"/>
      <c r="E198" s="86"/>
      <c r="F198" s="16">
        <f>IF(E198="","",DATEDIF(E198,$I$7,"Y"))</f>
      </c>
      <c r="G198" s="85"/>
      <c r="H198" s="85"/>
      <c r="I198" s="87"/>
      <c r="J198" s="85"/>
      <c r="K198" s="85"/>
      <c r="L198" s="10"/>
      <c r="M198" s="10"/>
      <c r="N198" s="10"/>
      <c r="O198" s="10"/>
      <c r="P198" s="85"/>
      <c r="Q198" s="88"/>
      <c r="R198" s="3">
        <f>IFERROR(VLOOKUP(TablaDiciembre[[#This Row],[BARRIO]],SECTOR!$A:$B,2,0),"")</f>
      </c>
      <c r="S198" s="89"/>
      <c r="T198" s="90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6"/>
      <c r="AZ198" s="120">
        <f>COUNTIF(U198:AY198,"A")</f>
      </c>
      <c r="BA198" s="121">
        <f>COUNTIF(U198:AY198,"F")</f>
      </c>
      <c r="BB198" s="119">
        <f>COUNTIF(U198:AY198,"E")</f>
      </c>
    </row>
    <row r="199" spans="1:54" x14ac:dyDescent="0.2">
      <c r="A199" s="84"/>
      <c r="B199" s="85"/>
      <c r="C199" s="85"/>
      <c r="D199" s="85"/>
      <c r="E199" s="86"/>
      <c r="F199" s="16">
        <f>IF(E199="","",DATEDIF(E199,$I$7,"Y"))</f>
      </c>
      <c r="G199" s="85"/>
      <c r="H199" s="85"/>
      <c r="I199" s="87"/>
      <c r="J199" s="85"/>
      <c r="K199" s="85"/>
      <c r="L199" s="10"/>
      <c r="M199" s="10"/>
      <c r="N199" s="10"/>
      <c r="O199" s="10"/>
      <c r="P199" s="85"/>
      <c r="Q199" s="88"/>
      <c r="R199" s="3">
        <f>IFERROR(VLOOKUP(TablaDiciembre[[#This Row],[BARRIO]],SECTOR!$A:$B,2,0),"")</f>
      </c>
      <c r="S199" s="89"/>
      <c r="T199" s="90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6"/>
      <c r="AZ199" s="120">
        <f>COUNTIF(U199:AY199,"A")</f>
      </c>
      <c r="BA199" s="121">
        <f>COUNTIF(U199:AY199,"F")</f>
      </c>
      <c r="BB199" s="119">
        <f>COUNTIF(U199:AY199,"E")</f>
      </c>
    </row>
    <row r="200" spans="1:54" x14ac:dyDescent="0.2">
      <c r="A200" s="84"/>
      <c r="B200" s="85"/>
      <c r="C200" s="85"/>
      <c r="D200" s="85"/>
      <c r="E200" s="86"/>
      <c r="F200" s="16">
        <f>IF(E200="","",DATEDIF(E200,$I$7,"Y"))</f>
      </c>
      <c r="G200" s="85"/>
      <c r="H200" s="85"/>
      <c r="I200" s="87"/>
      <c r="J200" s="85"/>
      <c r="K200" s="85"/>
      <c r="L200" s="10"/>
      <c r="M200" s="10"/>
      <c r="N200" s="10"/>
      <c r="O200" s="10"/>
      <c r="P200" s="85"/>
      <c r="Q200" s="88"/>
      <c r="R200" s="3">
        <f>IFERROR(VLOOKUP(TablaDiciembre[[#This Row],[BARRIO]],SECTOR!$A:$B,2,0),"")</f>
      </c>
      <c r="S200" s="89"/>
      <c r="T200" s="90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6"/>
      <c r="AZ200" s="120">
        <f>COUNTIF(U200:AY200,"A")</f>
      </c>
      <c r="BA200" s="121">
        <f>COUNTIF(U200:AY200,"F")</f>
      </c>
      <c r="BB200" s="119">
        <f>COUNTIF(U200:AY200,"E")</f>
      </c>
    </row>
    <row r="201" spans="1:54" x14ac:dyDescent="0.2">
      <c r="A201" s="84"/>
      <c r="B201" s="85"/>
      <c r="C201" s="85"/>
      <c r="D201" s="85"/>
      <c r="E201" s="86"/>
      <c r="F201" s="16">
        <f>IF(E201="","",DATEDIF(E201,$I$7,"Y"))</f>
      </c>
      <c r="G201" s="85"/>
      <c r="H201" s="85"/>
      <c r="I201" s="87"/>
      <c r="J201" s="85"/>
      <c r="K201" s="85"/>
      <c r="L201" s="10"/>
      <c r="M201" s="10"/>
      <c r="N201" s="10"/>
      <c r="O201" s="10"/>
      <c r="P201" s="85"/>
      <c r="Q201" s="88"/>
      <c r="R201" s="3">
        <f>IFERROR(VLOOKUP(TablaDiciembre[[#This Row],[BARRIO]],SECTOR!$A:$B,2,0),"")</f>
      </c>
      <c r="S201" s="89"/>
      <c r="T201" s="90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6"/>
      <c r="AZ201" s="120">
        <f>COUNTIF(U201:AY201,"A")</f>
      </c>
      <c r="BA201" s="121">
        <f>COUNTIF(U201:AY201,"F")</f>
      </c>
      <c r="BB201" s="119">
        <f>COUNTIF(U201:AY201,"E")</f>
      </c>
    </row>
    <row r="202" spans="1:54" x14ac:dyDescent="0.2">
      <c r="A202" s="84"/>
      <c r="B202" s="85"/>
      <c r="C202" s="85"/>
      <c r="D202" s="85"/>
      <c r="E202" s="86"/>
      <c r="F202" s="16">
        <f>IF(E202="","",DATEDIF(E202,$I$7,"Y"))</f>
      </c>
      <c r="G202" s="85"/>
      <c r="H202" s="85"/>
      <c r="I202" s="87"/>
      <c r="J202" s="85"/>
      <c r="K202" s="85"/>
      <c r="L202" s="10"/>
      <c r="M202" s="10"/>
      <c r="N202" s="10"/>
      <c r="O202" s="10"/>
      <c r="P202" s="85"/>
      <c r="Q202" s="88"/>
      <c r="R202" s="3">
        <f>IFERROR(VLOOKUP(TablaDiciembre[[#This Row],[BARRIO]],SECTOR!$A:$B,2,0),"")</f>
      </c>
      <c r="S202" s="89"/>
      <c r="T202" s="90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6"/>
      <c r="AZ202" s="120">
        <f>COUNTIF(U202:AY202,"A")</f>
      </c>
      <c r="BA202" s="121">
        <f>COUNTIF(U202:AY202,"F")</f>
      </c>
      <c r="BB202" s="119">
        <f>COUNTIF(U202:AY202,"E")</f>
      </c>
    </row>
    <row r="203" spans="1:54" x14ac:dyDescent="0.2">
      <c r="A203" s="84"/>
      <c r="B203" s="85"/>
      <c r="C203" s="85"/>
      <c r="D203" s="85"/>
      <c r="E203" s="86"/>
      <c r="F203" s="16">
        <f>IF(E203="","",DATEDIF(E203,$I$7,"Y"))</f>
      </c>
      <c r="G203" s="85"/>
      <c r="H203" s="85"/>
      <c r="I203" s="87"/>
      <c r="J203" s="85"/>
      <c r="K203" s="85"/>
      <c r="L203" s="10"/>
      <c r="M203" s="10"/>
      <c r="N203" s="10"/>
      <c r="O203" s="10"/>
      <c r="P203" s="85"/>
      <c r="Q203" s="88"/>
      <c r="R203" s="3">
        <f>IFERROR(VLOOKUP(TablaDiciembre[[#This Row],[BARRIO]],SECTOR!$A:$B,2,0),"")</f>
      </c>
      <c r="S203" s="89"/>
      <c r="T203" s="90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6"/>
      <c r="AZ203" s="120">
        <f>COUNTIF(U203:AY203,"A")</f>
      </c>
      <c r="BA203" s="121">
        <f>COUNTIF(U203:AY203,"F")</f>
      </c>
      <c r="BB203" s="119">
        <f>COUNTIF(U203:AY203,"E")</f>
      </c>
    </row>
    <row r="204" spans="1:54" x14ac:dyDescent="0.2">
      <c r="A204" s="84"/>
      <c r="B204" s="85"/>
      <c r="C204" s="85"/>
      <c r="D204" s="85"/>
      <c r="E204" s="86"/>
      <c r="F204" s="16">
        <f>IF(E204="","",DATEDIF(E204,$I$7,"Y"))</f>
      </c>
      <c r="G204" s="85"/>
      <c r="H204" s="85"/>
      <c r="I204" s="87"/>
      <c r="J204" s="85"/>
      <c r="K204" s="85"/>
      <c r="L204" s="10"/>
      <c r="M204" s="10"/>
      <c r="N204" s="10"/>
      <c r="O204" s="10"/>
      <c r="P204" s="85"/>
      <c r="Q204" s="88"/>
      <c r="R204" s="3">
        <f>IFERROR(VLOOKUP(TablaDiciembre[[#This Row],[BARRIO]],SECTOR!$A:$B,2,0),"")</f>
      </c>
      <c r="S204" s="89"/>
      <c r="T204" s="90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6"/>
      <c r="AZ204" s="120">
        <f>COUNTIF(U204:AY204,"A")</f>
      </c>
      <c r="BA204" s="121">
        <f>COUNTIF(U204:AY204,"F")</f>
      </c>
      <c r="BB204" s="119">
        <f>COUNTIF(U204:AY204,"E")</f>
      </c>
    </row>
    <row r="205" spans="1:54" x14ac:dyDescent="0.2">
      <c r="A205" s="84"/>
      <c r="B205" s="85"/>
      <c r="C205" s="85"/>
      <c r="D205" s="85"/>
      <c r="E205" s="86"/>
      <c r="F205" s="16">
        <f>IF(E205="","",DATEDIF(E205,$I$7,"Y"))</f>
      </c>
      <c r="G205" s="85"/>
      <c r="H205" s="85"/>
      <c r="I205" s="87"/>
      <c r="J205" s="85"/>
      <c r="K205" s="85"/>
      <c r="L205" s="10"/>
      <c r="M205" s="10"/>
      <c r="N205" s="10"/>
      <c r="O205" s="10"/>
      <c r="P205" s="85"/>
      <c r="Q205" s="88"/>
      <c r="R205" s="3">
        <f>IFERROR(VLOOKUP(TablaDiciembre[[#This Row],[BARRIO]],SECTOR!$A:$B,2,0),"")</f>
      </c>
      <c r="S205" s="89"/>
      <c r="T205" s="90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6"/>
      <c r="AZ205" s="120">
        <f>COUNTIF(U205:AY205,"A")</f>
      </c>
      <c r="BA205" s="121">
        <f>COUNTIF(U205:AY205,"F")</f>
      </c>
      <c r="BB205" s="119">
        <f>COUNTIF(U205:AY205,"E")</f>
      </c>
    </row>
    <row r="206" spans="1:54" x14ac:dyDescent="0.2">
      <c r="A206" s="84"/>
      <c r="B206" s="85"/>
      <c r="C206" s="85"/>
      <c r="D206" s="85"/>
      <c r="E206" s="86"/>
      <c r="F206" s="16">
        <f>IF(E206="","",DATEDIF(E206,$I$7,"Y"))</f>
      </c>
      <c r="G206" s="85"/>
      <c r="H206" s="85"/>
      <c r="I206" s="87"/>
      <c r="J206" s="85"/>
      <c r="K206" s="85"/>
      <c r="L206" s="10"/>
      <c r="M206" s="10"/>
      <c r="N206" s="10"/>
      <c r="O206" s="10"/>
      <c r="P206" s="85"/>
      <c r="Q206" s="88"/>
      <c r="R206" s="3">
        <f>IFERROR(VLOOKUP(TablaDiciembre[[#This Row],[BARRIO]],SECTOR!$A:$B,2,0),"")</f>
      </c>
      <c r="S206" s="89"/>
      <c r="T206" s="90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6"/>
      <c r="AZ206" s="120">
        <f>COUNTIF(U206:AY206,"A")</f>
      </c>
      <c r="BA206" s="121">
        <f>COUNTIF(U206:AY206,"F")</f>
      </c>
      <c r="BB206" s="119">
        <f>COUNTIF(U206:AY206,"E")</f>
      </c>
    </row>
    <row r="207" spans="1:54" x14ac:dyDescent="0.2">
      <c r="A207" s="84"/>
      <c r="B207" s="85"/>
      <c r="C207" s="85"/>
      <c r="D207" s="85"/>
      <c r="E207" s="86"/>
      <c r="F207" s="16">
        <f>IF(E207="","",DATEDIF(E207,$I$7,"Y"))</f>
      </c>
      <c r="G207" s="85"/>
      <c r="H207" s="85"/>
      <c r="I207" s="87"/>
      <c r="J207" s="85"/>
      <c r="K207" s="85"/>
      <c r="L207" s="10"/>
      <c r="M207" s="10"/>
      <c r="N207" s="10"/>
      <c r="O207" s="10"/>
      <c r="P207" s="85"/>
      <c r="Q207" s="88"/>
      <c r="R207" s="3">
        <f>IFERROR(VLOOKUP(TablaDiciembre[[#This Row],[BARRIO]],SECTOR!$A:$B,2,0),"")</f>
      </c>
      <c r="S207" s="89"/>
      <c r="T207" s="90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6"/>
      <c r="AZ207" s="120">
        <f>COUNTIF(U207:AY207,"A")</f>
      </c>
      <c r="BA207" s="121">
        <f>COUNTIF(U207:AY207,"F")</f>
      </c>
      <c r="BB207" s="119">
        <f>COUNTIF(U207:AY207,"E")</f>
      </c>
    </row>
    <row r="208" spans="1:54" x14ac:dyDescent="0.2">
      <c r="A208" s="84"/>
      <c r="B208" s="85"/>
      <c r="C208" s="85"/>
      <c r="D208" s="85"/>
      <c r="E208" s="86"/>
      <c r="F208" s="16">
        <f>IF(E208="","",DATEDIF(E208,$I$7,"Y"))</f>
      </c>
      <c r="G208" s="85"/>
      <c r="H208" s="85"/>
      <c r="I208" s="87"/>
      <c r="J208" s="85"/>
      <c r="K208" s="85"/>
      <c r="L208" s="10"/>
      <c r="M208" s="10"/>
      <c r="N208" s="10"/>
      <c r="O208" s="10"/>
      <c r="P208" s="85"/>
      <c r="Q208" s="88"/>
      <c r="R208" s="3">
        <f>IFERROR(VLOOKUP(TablaDiciembre[[#This Row],[BARRIO]],SECTOR!$A:$B,2,0),"")</f>
      </c>
      <c r="S208" s="89"/>
      <c r="T208" s="90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6"/>
      <c r="AZ208" s="120">
        <f>COUNTIF(U208:AY208,"A")</f>
      </c>
      <c r="BA208" s="121">
        <f>COUNTIF(U208:AY208,"F")</f>
      </c>
      <c r="BB208" s="119">
        <f>COUNTIF(U208:AY208,"E")</f>
      </c>
    </row>
    <row r="209" spans="1:54" x14ac:dyDescent="0.2">
      <c r="A209" s="84"/>
      <c r="B209" s="85"/>
      <c r="C209" s="85"/>
      <c r="D209" s="85"/>
      <c r="E209" s="86"/>
      <c r="F209" s="16">
        <f>IF(E209="","",DATEDIF(E209,$I$7,"Y"))</f>
      </c>
      <c r="G209" s="85"/>
      <c r="H209" s="85"/>
      <c r="I209" s="87"/>
      <c r="J209" s="85"/>
      <c r="K209" s="85"/>
      <c r="L209" s="10"/>
      <c r="M209" s="10"/>
      <c r="N209" s="10"/>
      <c r="O209" s="10"/>
      <c r="P209" s="85"/>
      <c r="Q209" s="88"/>
      <c r="R209" s="3">
        <f>IFERROR(VLOOKUP(TablaDiciembre[[#This Row],[BARRIO]],SECTOR!$A:$B,2,0),"")</f>
      </c>
      <c r="S209" s="89"/>
      <c r="T209" s="90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6"/>
      <c r="AZ209" s="120">
        <f>COUNTIF(U209:AY209,"A")</f>
      </c>
      <c r="BA209" s="121">
        <f>COUNTIF(U209:AY209,"F")</f>
      </c>
      <c r="BB209" s="119">
        <f>COUNTIF(U209:AY209,"E")</f>
      </c>
    </row>
    <row r="210" spans="1:54" x14ac:dyDescent="0.2">
      <c r="A210" s="84"/>
      <c r="B210" s="85"/>
      <c r="C210" s="85"/>
      <c r="D210" s="85"/>
      <c r="E210" s="86"/>
      <c r="F210" s="16">
        <f>IF(E210="","",DATEDIF(E210,$I$7,"Y"))</f>
      </c>
      <c r="G210" s="85"/>
      <c r="H210" s="85"/>
      <c r="I210" s="87"/>
      <c r="J210" s="85"/>
      <c r="K210" s="85"/>
      <c r="L210" s="10"/>
      <c r="M210" s="10"/>
      <c r="N210" s="10"/>
      <c r="O210" s="10"/>
      <c r="P210" s="85"/>
      <c r="Q210" s="88"/>
      <c r="R210" s="3">
        <f>IFERROR(VLOOKUP(TablaDiciembre[[#This Row],[BARRIO]],SECTOR!$A:$B,2,0),"")</f>
      </c>
      <c r="S210" s="89"/>
      <c r="T210" s="90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6"/>
      <c r="AZ210" s="120">
        <f>COUNTIF(U210:AY210,"A")</f>
      </c>
      <c r="BA210" s="121">
        <f>COUNTIF(U210:AY210,"F")</f>
      </c>
      <c r="BB210" s="119">
        <f>COUNTIF(U210:AY210,"E")</f>
      </c>
    </row>
    <row r="211" spans="1:54" x14ac:dyDescent="0.2">
      <c r="A211" s="84"/>
      <c r="B211" s="85"/>
      <c r="C211" s="85"/>
      <c r="D211" s="85"/>
      <c r="E211" s="86"/>
      <c r="F211" s="16">
        <f>IF(E211="","",DATEDIF(E211,$I$7,"Y"))</f>
      </c>
      <c r="G211" s="85"/>
      <c r="H211" s="85"/>
      <c r="I211" s="87"/>
      <c r="J211" s="85"/>
      <c r="K211" s="85"/>
      <c r="L211" s="10"/>
      <c r="M211" s="10"/>
      <c r="N211" s="10"/>
      <c r="O211" s="10"/>
      <c r="P211" s="85"/>
      <c r="Q211" s="88"/>
      <c r="R211" s="3">
        <f>IFERROR(VLOOKUP(TablaDiciembre[[#This Row],[BARRIO]],SECTOR!$A:$B,2,0),"")</f>
      </c>
      <c r="S211" s="89"/>
      <c r="T211" s="90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6"/>
      <c r="AZ211" s="120">
        <f>COUNTIF(U211:AY211,"A")</f>
      </c>
      <c r="BA211" s="121">
        <f>COUNTIF(U211:AY211,"F")</f>
      </c>
      <c r="BB211" s="119">
        <f>COUNTIF(U211:AY211,"E")</f>
      </c>
    </row>
    <row r="212" spans="1:54" x14ac:dyDescent="0.2">
      <c r="A212" s="84"/>
      <c r="B212" s="85"/>
      <c r="C212" s="85"/>
      <c r="D212" s="85"/>
      <c r="E212" s="86"/>
      <c r="F212" s="16">
        <f>IF(E212="","",DATEDIF(E212,$I$7,"Y"))</f>
      </c>
      <c r="G212" s="85"/>
      <c r="H212" s="85"/>
      <c r="I212" s="87"/>
      <c r="J212" s="85"/>
      <c r="K212" s="85"/>
      <c r="L212" s="10"/>
      <c r="M212" s="10"/>
      <c r="N212" s="10"/>
      <c r="O212" s="10"/>
      <c r="P212" s="85"/>
      <c r="Q212" s="88"/>
      <c r="R212" s="3">
        <f>IFERROR(VLOOKUP(TablaDiciembre[[#This Row],[BARRIO]],SECTOR!$A:$B,2,0),"")</f>
      </c>
      <c r="S212" s="89"/>
      <c r="T212" s="90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6"/>
      <c r="AZ212" s="120">
        <f>COUNTIF(U212:AY212,"A")</f>
      </c>
      <c r="BA212" s="121">
        <f>COUNTIF(U212:AY212,"F")</f>
      </c>
      <c r="BB212" s="119">
        <f>COUNTIF(U212:AY212,"E")</f>
      </c>
    </row>
    <row r="213" spans="1:54" x14ac:dyDescent="0.2">
      <c r="A213" s="84"/>
      <c r="B213" s="85"/>
      <c r="C213" s="85"/>
      <c r="D213" s="85"/>
      <c r="E213" s="86"/>
      <c r="F213" s="16">
        <f>IF(E213="","",DATEDIF(E213,$I$7,"Y"))</f>
      </c>
      <c r="G213" s="85"/>
      <c r="H213" s="85"/>
      <c r="I213" s="87"/>
      <c r="J213" s="85"/>
      <c r="K213" s="85"/>
      <c r="L213" s="10"/>
      <c r="M213" s="10"/>
      <c r="N213" s="10"/>
      <c r="O213" s="10"/>
      <c r="P213" s="85"/>
      <c r="Q213" s="88"/>
      <c r="R213" s="3">
        <f>IFERROR(VLOOKUP(TablaDiciembre[[#This Row],[BARRIO]],SECTOR!$A:$B,2,0),"")</f>
      </c>
      <c r="S213" s="89"/>
      <c r="T213" s="90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6"/>
      <c r="AZ213" s="120">
        <f>COUNTIF(U213:AY213,"A")</f>
      </c>
      <c r="BA213" s="121">
        <f>COUNTIF(U213:AY213,"F")</f>
      </c>
      <c r="BB213" s="119">
        <f>COUNTIF(U213:AY213,"E")</f>
      </c>
    </row>
    <row r="214" spans="1:54" x14ac:dyDescent="0.2">
      <c r="A214" s="84"/>
      <c r="B214" s="85"/>
      <c r="C214" s="85"/>
      <c r="D214" s="85"/>
      <c r="E214" s="86"/>
      <c r="F214" s="16">
        <f>IF(E214="","",DATEDIF(E214,$I$7,"Y"))</f>
      </c>
      <c r="G214" s="85"/>
      <c r="H214" s="85"/>
      <c r="I214" s="87"/>
      <c r="J214" s="85"/>
      <c r="K214" s="85"/>
      <c r="L214" s="10"/>
      <c r="M214" s="10"/>
      <c r="N214" s="10"/>
      <c r="O214" s="10"/>
      <c r="P214" s="85"/>
      <c r="Q214" s="88"/>
      <c r="R214" s="3">
        <f>IFERROR(VLOOKUP(TablaDiciembre[[#This Row],[BARRIO]],SECTOR!$A:$B,2,0),"")</f>
      </c>
      <c r="S214" s="89"/>
      <c r="T214" s="90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6"/>
      <c r="AZ214" s="120">
        <f>COUNTIF(U214:AY214,"A")</f>
      </c>
      <c r="BA214" s="121">
        <f>COUNTIF(U214:AY214,"F")</f>
      </c>
      <c r="BB214" s="119">
        <f>COUNTIF(U214:AY214,"E")</f>
      </c>
    </row>
    <row r="215" spans="1:54" x14ac:dyDescent="0.2">
      <c r="A215" s="84"/>
      <c r="B215" s="85"/>
      <c r="C215" s="85"/>
      <c r="D215" s="85"/>
      <c r="E215" s="86"/>
      <c r="F215" s="16">
        <f>IF(E215="","",DATEDIF(E215,$I$7,"Y"))</f>
      </c>
      <c r="G215" s="85"/>
      <c r="H215" s="85"/>
      <c r="I215" s="87"/>
      <c r="J215" s="85"/>
      <c r="K215" s="85"/>
      <c r="L215" s="10"/>
      <c r="M215" s="10"/>
      <c r="N215" s="10"/>
      <c r="O215" s="10"/>
      <c r="P215" s="85"/>
      <c r="Q215" s="88"/>
      <c r="R215" s="3">
        <f>IFERROR(VLOOKUP(TablaDiciembre[[#This Row],[BARRIO]],SECTOR!$A:$B,2,0),"")</f>
      </c>
      <c r="S215" s="89"/>
      <c r="T215" s="90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6"/>
      <c r="AZ215" s="120">
        <f>COUNTIF(U215:AY215,"A")</f>
      </c>
      <c r="BA215" s="121">
        <f>COUNTIF(U215:AY215,"F")</f>
      </c>
      <c r="BB215" s="119">
        <f>COUNTIF(U215:AY215,"E")</f>
      </c>
    </row>
    <row r="216" spans="1:54" x14ac:dyDescent="0.2">
      <c r="A216" s="84"/>
      <c r="B216" s="85"/>
      <c r="C216" s="85"/>
      <c r="D216" s="85"/>
      <c r="E216" s="86"/>
      <c r="F216" s="16">
        <f>IF(E216="","",DATEDIF(E216,$I$7,"Y"))</f>
      </c>
      <c r="G216" s="85"/>
      <c r="H216" s="85"/>
      <c r="I216" s="87"/>
      <c r="J216" s="85"/>
      <c r="K216" s="85"/>
      <c r="L216" s="10"/>
      <c r="M216" s="10"/>
      <c r="N216" s="10"/>
      <c r="O216" s="10"/>
      <c r="P216" s="85"/>
      <c r="Q216" s="88"/>
      <c r="R216" s="3">
        <f>IFERROR(VLOOKUP(TablaDiciembre[[#This Row],[BARRIO]],SECTOR!$A:$B,2,0),"")</f>
      </c>
      <c r="S216" s="89"/>
      <c r="T216" s="90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6"/>
      <c r="AZ216" s="120">
        <f>COUNTIF(U216:AY216,"A")</f>
      </c>
      <c r="BA216" s="121">
        <f>COUNTIF(U216:AY216,"F")</f>
      </c>
      <c r="BB216" s="119">
        <f>COUNTIF(U216:AY216,"E")</f>
      </c>
    </row>
    <row r="217" spans="1:54" x14ac:dyDescent="0.2">
      <c r="A217" s="84"/>
      <c r="B217" s="85"/>
      <c r="C217" s="85"/>
      <c r="D217" s="85"/>
      <c r="E217" s="86"/>
      <c r="F217" s="16">
        <f>IF(E217="","",DATEDIF(E217,$I$7,"Y"))</f>
      </c>
      <c r="G217" s="85"/>
      <c r="H217" s="85"/>
      <c r="I217" s="87"/>
      <c r="J217" s="85"/>
      <c r="K217" s="85"/>
      <c r="L217" s="10"/>
      <c r="M217" s="10"/>
      <c r="N217" s="10"/>
      <c r="O217" s="10"/>
      <c r="P217" s="85"/>
      <c r="Q217" s="88"/>
      <c r="R217" s="3">
        <f>IFERROR(VLOOKUP(TablaDiciembre[[#This Row],[BARRIO]],SECTOR!$A:$B,2,0),"")</f>
      </c>
      <c r="S217" s="89"/>
      <c r="T217" s="90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6"/>
      <c r="AZ217" s="120">
        <f>COUNTIF(U217:AY217,"A")</f>
      </c>
      <c r="BA217" s="121">
        <f>COUNTIF(U217:AY217,"F")</f>
      </c>
      <c r="BB217" s="119">
        <f>COUNTIF(U217:AY217,"E")</f>
      </c>
    </row>
    <row r="218" spans="1:54" x14ac:dyDescent="0.2">
      <c r="A218" s="84"/>
      <c r="B218" s="85"/>
      <c r="C218" s="85"/>
      <c r="D218" s="85"/>
      <c r="E218" s="86"/>
      <c r="F218" s="16">
        <f>IF(E218="","",DATEDIF(E218,$I$7,"Y"))</f>
      </c>
      <c r="G218" s="85"/>
      <c r="H218" s="85"/>
      <c r="I218" s="87"/>
      <c r="J218" s="85"/>
      <c r="K218" s="85"/>
      <c r="L218" s="10"/>
      <c r="M218" s="10"/>
      <c r="N218" s="10"/>
      <c r="O218" s="10"/>
      <c r="P218" s="85"/>
      <c r="Q218" s="88"/>
      <c r="R218" s="3">
        <f>IFERROR(VLOOKUP(TablaDiciembre[[#This Row],[BARRIO]],SECTOR!$A:$B,2,0),"")</f>
      </c>
      <c r="S218" s="89"/>
      <c r="T218" s="90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6"/>
      <c r="AZ218" s="120">
        <f>COUNTIF(U218:AY218,"A")</f>
      </c>
      <c r="BA218" s="121">
        <f>COUNTIF(U218:AY218,"F")</f>
      </c>
      <c r="BB218" s="119">
        <f>COUNTIF(U218:AY218,"E")</f>
      </c>
    </row>
    <row r="219" spans="1:54" x14ac:dyDescent="0.2">
      <c r="A219" s="84"/>
      <c r="B219" s="85"/>
      <c r="C219" s="85"/>
      <c r="D219" s="85"/>
      <c r="E219" s="86"/>
      <c r="F219" s="16">
        <f>IF(E219="","",DATEDIF(E219,$I$7,"Y"))</f>
      </c>
      <c r="G219" s="85"/>
      <c r="H219" s="85"/>
      <c r="I219" s="87"/>
      <c r="J219" s="85"/>
      <c r="K219" s="85"/>
      <c r="L219" s="10"/>
      <c r="M219" s="10"/>
      <c r="N219" s="10"/>
      <c r="O219" s="10"/>
      <c r="P219" s="85"/>
      <c r="Q219" s="88"/>
      <c r="R219" s="3">
        <f>IFERROR(VLOOKUP(TablaDiciembre[[#This Row],[BARRIO]],SECTOR!$A:$B,2,0),"")</f>
      </c>
      <c r="S219" s="89"/>
      <c r="T219" s="90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6"/>
      <c r="AZ219" s="120">
        <f>COUNTIF(U219:AY219,"A")</f>
      </c>
      <c r="BA219" s="121">
        <f>COUNTIF(U219:AY219,"F")</f>
      </c>
      <c r="BB219" s="119">
        <f>COUNTIF(U219:AY219,"E")</f>
      </c>
    </row>
    <row r="220" spans="1:54" x14ac:dyDescent="0.2">
      <c r="A220" s="84"/>
      <c r="B220" s="85"/>
      <c r="C220" s="85"/>
      <c r="D220" s="85"/>
      <c r="E220" s="86"/>
      <c r="F220" s="16">
        <f>IF(E220="","",DATEDIF(E220,$I$7,"Y"))</f>
      </c>
      <c r="G220" s="85"/>
      <c r="H220" s="85"/>
      <c r="I220" s="87"/>
      <c r="J220" s="85"/>
      <c r="K220" s="85"/>
      <c r="L220" s="10"/>
      <c r="M220" s="10"/>
      <c r="N220" s="10"/>
      <c r="O220" s="10"/>
      <c r="P220" s="85"/>
      <c r="Q220" s="88"/>
      <c r="R220" s="3">
        <f>IFERROR(VLOOKUP(TablaDiciembre[[#This Row],[BARRIO]],SECTOR!$A:$B,2,0),"")</f>
      </c>
      <c r="S220" s="89"/>
      <c r="T220" s="90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6"/>
      <c r="AZ220" s="120">
        <f>COUNTIF(U220:AY220,"A")</f>
      </c>
      <c r="BA220" s="121">
        <f>COUNTIF(U220:AY220,"F")</f>
      </c>
      <c r="BB220" s="119">
        <f>COUNTIF(U220:AY220,"E")</f>
      </c>
    </row>
    <row r="221" spans="1:54" x14ac:dyDescent="0.2">
      <c r="A221" s="84"/>
      <c r="B221" s="85"/>
      <c r="C221" s="85"/>
      <c r="D221" s="85"/>
      <c r="E221" s="86"/>
      <c r="F221" s="16">
        <f>IF(E221="","",DATEDIF(E221,$I$7,"Y"))</f>
      </c>
      <c r="G221" s="85"/>
      <c r="H221" s="85"/>
      <c r="I221" s="87"/>
      <c r="J221" s="85"/>
      <c r="K221" s="85"/>
      <c r="L221" s="10"/>
      <c r="M221" s="10"/>
      <c r="N221" s="10"/>
      <c r="O221" s="10"/>
      <c r="P221" s="85"/>
      <c r="Q221" s="88"/>
      <c r="R221" s="3">
        <f>IFERROR(VLOOKUP(TablaDiciembre[[#This Row],[BARRIO]],SECTOR!$A:$B,2,0),"")</f>
      </c>
      <c r="S221" s="89"/>
      <c r="T221" s="90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6"/>
      <c r="AZ221" s="120">
        <f>COUNTIF(U221:AY221,"A")</f>
      </c>
      <c r="BA221" s="121">
        <f>COUNTIF(U221:AY221,"F")</f>
      </c>
      <c r="BB221" s="119">
        <f>COUNTIF(U221:AY221,"E")</f>
      </c>
    </row>
    <row r="222" spans="1:54" x14ac:dyDescent="0.2">
      <c r="A222" s="84"/>
      <c r="B222" s="85"/>
      <c r="C222" s="85"/>
      <c r="D222" s="85"/>
      <c r="E222" s="86"/>
      <c r="F222" s="16">
        <f>IF(E222="","",DATEDIF(E222,$I$7,"Y"))</f>
      </c>
      <c r="G222" s="85"/>
      <c r="H222" s="85"/>
      <c r="I222" s="87"/>
      <c r="J222" s="85"/>
      <c r="K222" s="85"/>
      <c r="L222" s="10"/>
      <c r="M222" s="10"/>
      <c r="N222" s="10"/>
      <c r="O222" s="10"/>
      <c r="P222" s="85"/>
      <c r="Q222" s="88"/>
      <c r="R222" s="3">
        <f>IFERROR(VLOOKUP(TablaDiciembre[[#This Row],[BARRIO]],SECTOR!$A:$B,2,0),"")</f>
      </c>
      <c r="S222" s="89"/>
      <c r="T222" s="90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6"/>
      <c r="AZ222" s="120">
        <f>COUNTIF(U222:AY222,"A")</f>
      </c>
      <c r="BA222" s="121">
        <f>COUNTIF(U222:AY222,"F")</f>
      </c>
      <c r="BB222" s="119">
        <f>COUNTIF(U222:AY222,"E")</f>
      </c>
    </row>
    <row r="223" spans="1:54" x14ac:dyDescent="0.2">
      <c r="A223" s="84"/>
      <c r="B223" s="85"/>
      <c r="C223" s="85"/>
      <c r="D223" s="85"/>
      <c r="E223" s="86"/>
      <c r="F223" s="16">
        <f>IF(E223="","",DATEDIF(E223,$I$7,"Y"))</f>
      </c>
      <c r="G223" s="85"/>
      <c r="H223" s="85"/>
      <c r="I223" s="87"/>
      <c r="J223" s="85"/>
      <c r="K223" s="85"/>
      <c r="L223" s="10"/>
      <c r="M223" s="10"/>
      <c r="N223" s="10"/>
      <c r="O223" s="10"/>
      <c r="P223" s="85"/>
      <c r="Q223" s="88"/>
      <c r="R223" s="3">
        <f>IFERROR(VLOOKUP(TablaDiciembre[[#This Row],[BARRIO]],SECTOR!$A:$B,2,0),"")</f>
      </c>
      <c r="S223" s="89"/>
      <c r="T223" s="90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6"/>
      <c r="AZ223" s="120">
        <f>COUNTIF(U223:AY223,"A")</f>
      </c>
      <c r="BA223" s="121">
        <f>COUNTIF(U223:AY223,"F")</f>
      </c>
      <c r="BB223" s="119">
        <f>COUNTIF(U223:AY223,"E")</f>
      </c>
    </row>
    <row r="224" spans="1:54" x14ac:dyDescent="0.2">
      <c r="A224" s="84"/>
      <c r="B224" s="85"/>
      <c r="C224" s="85"/>
      <c r="D224" s="85"/>
      <c r="E224" s="86"/>
      <c r="F224" s="16">
        <f>IF(E224="","",DATEDIF(E224,$I$7,"Y"))</f>
      </c>
      <c r="G224" s="85"/>
      <c r="H224" s="85"/>
      <c r="I224" s="87"/>
      <c r="J224" s="85"/>
      <c r="K224" s="85"/>
      <c r="L224" s="10"/>
      <c r="M224" s="10"/>
      <c r="N224" s="10"/>
      <c r="O224" s="10"/>
      <c r="P224" s="85"/>
      <c r="Q224" s="88"/>
      <c r="R224" s="3">
        <f>IFERROR(VLOOKUP(TablaDiciembre[[#This Row],[BARRIO]],SECTOR!$A:$B,2,0),"")</f>
      </c>
      <c r="S224" s="89"/>
      <c r="T224" s="90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6"/>
      <c r="AZ224" s="120">
        <f>COUNTIF(U224:AY224,"A")</f>
      </c>
      <c r="BA224" s="121">
        <f>COUNTIF(U224:AY224,"F")</f>
      </c>
      <c r="BB224" s="119">
        <f>COUNTIF(U224:AY224,"E")</f>
      </c>
    </row>
    <row r="225" spans="1:54" x14ac:dyDescent="0.2">
      <c r="A225" s="84"/>
      <c r="B225" s="85"/>
      <c r="C225" s="85"/>
      <c r="D225" s="85"/>
      <c r="E225" s="86"/>
      <c r="F225" s="16">
        <f>IF(E225="","",DATEDIF(E225,$I$7,"Y"))</f>
      </c>
      <c r="G225" s="85"/>
      <c r="H225" s="85"/>
      <c r="I225" s="87"/>
      <c r="J225" s="85"/>
      <c r="K225" s="85"/>
      <c r="L225" s="10"/>
      <c r="M225" s="10"/>
      <c r="N225" s="10"/>
      <c r="O225" s="10"/>
      <c r="P225" s="85"/>
      <c r="Q225" s="88"/>
      <c r="R225" s="3">
        <f>IFERROR(VLOOKUP(TablaDiciembre[[#This Row],[BARRIO]],SECTOR!$A:$B,2,0),"")</f>
      </c>
      <c r="S225" s="89"/>
      <c r="T225" s="90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6"/>
      <c r="AZ225" s="120">
        <f>COUNTIF(U225:AY225,"A")</f>
      </c>
      <c r="BA225" s="121">
        <f>COUNTIF(U225:AY225,"F")</f>
      </c>
      <c r="BB225" s="119">
        <f>COUNTIF(U225:AY225,"E")</f>
      </c>
    </row>
    <row r="226" spans="1:54" x14ac:dyDescent="0.2">
      <c r="A226" s="84"/>
      <c r="B226" s="85"/>
      <c r="C226" s="85"/>
      <c r="D226" s="85"/>
      <c r="E226" s="86"/>
      <c r="F226" s="16">
        <f>IF(E226="","",DATEDIF(E226,$I$7,"Y"))</f>
      </c>
      <c r="G226" s="85"/>
      <c r="H226" s="85"/>
      <c r="I226" s="87"/>
      <c r="J226" s="85"/>
      <c r="K226" s="85"/>
      <c r="L226" s="10"/>
      <c r="M226" s="10"/>
      <c r="N226" s="10"/>
      <c r="O226" s="10"/>
      <c r="P226" s="85"/>
      <c r="Q226" s="88"/>
      <c r="R226" s="3">
        <f>IFERROR(VLOOKUP(TablaDiciembre[[#This Row],[BARRIO]],SECTOR!$A:$B,2,0),"")</f>
      </c>
      <c r="S226" s="89"/>
      <c r="T226" s="90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6"/>
      <c r="AZ226" s="120">
        <f>COUNTIF(U226:AY226,"A")</f>
      </c>
      <c r="BA226" s="121">
        <f>COUNTIF(U226:AY226,"F")</f>
      </c>
      <c r="BB226" s="119">
        <f>COUNTIF(U226:AY226,"E")</f>
      </c>
    </row>
    <row r="227" spans="1:54" x14ac:dyDescent="0.2">
      <c r="A227" s="84"/>
      <c r="B227" s="85"/>
      <c r="C227" s="85"/>
      <c r="D227" s="85"/>
      <c r="E227" s="86"/>
      <c r="F227" s="16">
        <f>IF(E227="","",DATEDIF(E227,$I$7,"Y"))</f>
      </c>
      <c r="G227" s="85"/>
      <c r="H227" s="85"/>
      <c r="I227" s="87"/>
      <c r="J227" s="85"/>
      <c r="K227" s="85"/>
      <c r="L227" s="10"/>
      <c r="M227" s="10"/>
      <c r="N227" s="10"/>
      <c r="O227" s="10"/>
      <c r="P227" s="85"/>
      <c r="Q227" s="88"/>
      <c r="R227" s="3">
        <f>IFERROR(VLOOKUP(TablaDiciembre[[#This Row],[BARRIO]],SECTOR!$A:$B,2,0),"")</f>
      </c>
      <c r="S227" s="89"/>
      <c r="T227" s="90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6"/>
      <c r="AZ227" s="120">
        <f>COUNTIF(U227:AY227,"A")</f>
      </c>
      <c r="BA227" s="121">
        <f>COUNTIF(U227:AY227,"F")</f>
      </c>
      <c r="BB227" s="119">
        <f>COUNTIF(U227:AY227,"E")</f>
      </c>
    </row>
    <row r="228" spans="1:54" x14ac:dyDescent="0.2">
      <c r="A228" s="84"/>
      <c r="B228" s="85"/>
      <c r="C228" s="85"/>
      <c r="D228" s="85"/>
      <c r="E228" s="86"/>
      <c r="F228" s="16">
        <f>IF(E228="","",DATEDIF(E228,$I$7,"Y"))</f>
      </c>
      <c r="G228" s="85"/>
      <c r="H228" s="85"/>
      <c r="I228" s="87"/>
      <c r="J228" s="85"/>
      <c r="K228" s="85"/>
      <c r="L228" s="10"/>
      <c r="M228" s="10"/>
      <c r="N228" s="10"/>
      <c r="O228" s="10"/>
      <c r="P228" s="85"/>
      <c r="Q228" s="88"/>
      <c r="R228" s="3">
        <f>IFERROR(VLOOKUP(TablaDiciembre[[#This Row],[BARRIO]],SECTOR!$A:$B,2,0),"")</f>
      </c>
      <c r="S228" s="89"/>
      <c r="T228" s="90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6"/>
      <c r="AZ228" s="120">
        <f>COUNTIF(U228:AY228,"A")</f>
      </c>
      <c r="BA228" s="121">
        <f>COUNTIF(U228:AY228,"F")</f>
      </c>
      <c r="BB228" s="119">
        <f>COUNTIF(U228:AY228,"E")</f>
      </c>
    </row>
    <row r="229" spans="1:54" x14ac:dyDescent="0.2">
      <c r="A229" s="84"/>
      <c r="B229" s="85"/>
      <c r="C229" s="85"/>
      <c r="D229" s="85"/>
      <c r="E229" s="86"/>
      <c r="F229" s="16">
        <f>IF(E229="","",DATEDIF(E229,$I$7,"Y"))</f>
      </c>
      <c r="G229" s="85"/>
      <c r="H229" s="85"/>
      <c r="I229" s="87"/>
      <c r="J229" s="85"/>
      <c r="K229" s="85"/>
      <c r="L229" s="10"/>
      <c r="M229" s="10"/>
      <c r="N229" s="10"/>
      <c r="O229" s="10"/>
      <c r="P229" s="85"/>
      <c r="Q229" s="88"/>
      <c r="R229" s="3">
        <f>IFERROR(VLOOKUP(TablaDiciembre[[#This Row],[BARRIO]],SECTOR!$A:$B,2,0),"")</f>
      </c>
      <c r="S229" s="89"/>
      <c r="T229" s="90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6"/>
      <c r="AZ229" s="120">
        <f>COUNTIF(U229:AY229,"A")</f>
      </c>
      <c r="BA229" s="121">
        <f>COUNTIF(U229:AY229,"F")</f>
      </c>
      <c r="BB229" s="119">
        <f>COUNTIF(U229:AY229,"E")</f>
      </c>
    </row>
    <row r="230" spans="1:54" x14ac:dyDescent="0.2">
      <c r="A230" s="84"/>
      <c r="B230" s="85"/>
      <c r="C230" s="85"/>
      <c r="D230" s="85"/>
      <c r="E230" s="86"/>
      <c r="F230" s="16">
        <f>IF(E230="","",DATEDIF(E230,$I$7,"Y"))</f>
      </c>
      <c r="G230" s="85"/>
      <c r="H230" s="85"/>
      <c r="I230" s="87"/>
      <c r="J230" s="85"/>
      <c r="K230" s="85"/>
      <c r="L230" s="10"/>
      <c r="M230" s="10"/>
      <c r="N230" s="10"/>
      <c r="O230" s="10"/>
      <c r="P230" s="85"/>
      <c r="Q230" s="88"/>
      <c r="R230" s="3">
        <f>IFERROR(VLOOKUP(TablaDiciembre[[#This Row],[BARRIO]],SECTOR!$A:$B,2,0),"")</f>
      </c>
      <c r="S230" s="89"/>
      <c r="T230" s="90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6"/>
      <c r="AZ230" s="120">
        <f>COUNTIF(U230:AY230,"A")</f>
      </c>
      <c r="BA230" s="121">
        <f>COUNTIF(U230:AY230,"F")</f>
      </c>
      <c r="BB230" s="119">
        <f>COUNTIF(U230:AY230,"E")</f>
      </c>
    </row>
    <row r="231" spans="1:54" x14ac:dyDescent="0.2">
      <c r="A231" s="84"/>
      <c r="B231" s="85"/>
      <c r="C231" s="85"/>
      <c r="D231" s="85"/>
      <c r="E231" s="86"/>
      <c r="F231" s="16">
        <f>IF(E231="","",DATEDIF(E231,$I$7,"Y"))</f>
      </c>
      <c r="G231" s="85"/>
      <c r="H231" s="85"/>
      <c r="I231" s="87"/>
      <c r="J231" s="85"/>
      <c r="K231" s="85"/>
      <c r="L231" s="10"/>
      <c r="M231" s="10"/>
      <c r="N231" s="10"/>
      <c r="O231" s="10"/>
      <c r="P231" s="85"/>
      <c r="Q231" s="88"/>
      <c r="R231" s="3">
        <f>IFERROR(VLOOKUP(TablaDiciembre[[#This Row],[BARRIO]],SECTOR!$A:$B,2,0),"")</f>
      </c>
      <c r="S231" s="89"/>
      <c r="T231" s="90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6"/>
      <c r="AZ231" s="120">
        <f>COUNTIF(U231:AY231,"A")</f>
      </c>
      <c r="BA231" s="121">
        <f>COUNTIF(U231:AY231,"F")</f>
      </c>
      <c r="BB231" s="119">
        <f>COUNTIF(U231:AY231,"E")</f>
      </c>
    </row>
    <row r="232" spans="1:54" x14ac:dyDescent="0.2">
      <c r="A232" s="84"/>
      <c r="B232" s="85"/>
      <c r="C232" s="85"/>
      <c r="D232" s="85"/>
      <c r="E232" s="86"/>
      <c r="F232" s="16">
        <f>IF(E232="","",DATEDIF(E232,$I$7,"Y"))</f>
      </c>
      <c r="G232" s="85"/>
      <c r="H232" s="85"/>
      <c r="I232" s="87"/>
      <c r="J232" s="85"/>
      <c r="K232" s="85"/>
      <c r="L232" s="10"/>
      <c r="M232" s="10"/>
      <c r="N232" s="10"/>
      <c r="O232" s="10"/>
      <c r="P232" s="85"/>
      <c r="Q232" s="88"/>
      <c r="R232" s="3">
        <f>IFERROR(VLOOKUP(TablaDiciembre[[#This Row],[BARRIO]],SECTOR!$A:$B,2,0),"")</f>
      </c>
      <c r="S232" s="89"/>
      <c r="T232" s="90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6"/>
      <c r="AZ232" s="120">
        <f>COUNTIF(U232:AY232,"A")</f>
      </c>
      <c r="BA232" s="121">
        <f>COUNTIF(U232:AY232,"F")</f>
      </c>
      <c r="BB232" s="119">
        <f>COUNTIF(U232:AY232,"E")</f>
      </c>
    </row>
    <row r="233" spans="1:54" x14ac:dyDescent="0.2">
      <c r="A233" s="84"/>
      <c r="B233" s="85"/>
      <c r="C233" s="85"/>
      <c r="D233" s="85"/>
      <c r="E233" s="86"/>
      <c r="F233" s="16">
        <f>IF(E233="","",DATEDIF(E233,$I$7,"Y"))</f>
      </c>
      <c r="G233" s="85"/>
      <c r="H233" s="85"/>
      <c r="I233" s="87"/>
      <c r="J233" s="85"/>
      <c r="K233" s="85"/>
      <c r="L233" s="10"/>
      <c r="M233" s="10"/>
      <c r="N233" s="10"/>
      <c r="O233" s="10"/>
      <c r="P233" s="85"/>
      <c r="Q233" s="88"/>
      <c r="R233" s="3">
        <f>IFERROR(VLOOKUP(TablaDiciembre[[#This Row],[BARRIO]],SECTOR!$A:$B,2,0),"")</f>
      </c>
      <c r="S233" s="89"/>
      <c r="T233" s="90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6"/>
      <c r="AZ233" s="120">
        <f>COUNTIF(U233:AY233,"A")</f>
      </c>
      <c r="BA233" s="121">
        <f>COUNTIF(U233:AY233,"F")</f>
      </c>
      <c r="BB233" s="119">
        <f>COUNTIF(U233:AY233,"E")</f>
      </c>
    </row>
    <row r="234" spans="1:54" x14ac:dyDescent="0.2">
      <c r="A234" s="84"/>
      <c r="B234" s="85"/>
      <c r="C234" s="85"/>
      <c r="D234" s="85"/>
      <c r="E234" s="86"/>
      <c r="F234" s="16">
        <f>IF(E234="","",DATEDIF(E234,$I$7,"Y"))</f>
      </c>
      <c r="G234" s="85"/>
      <c r="H234" s="85"/>
      <c r="I234" s="87"/>
      <c r="J234" s="85"/>
      <c r="K234" s="85"/>
      <c r="L234" s="10"/>
      <c r="M234" s="10"/>
      <c r="N234" s="10"/>
      <c r="O234" s="10"/>
      <c r="P234" s="85"/>
      <c r="Q234" s="88"/>
      <c r="R234" s="3">
        <f>IFERROR(VLOOKUP(TablaDiciembre[[#This Row],[BARRIO]],SECTOR!$A:$B,2,0),"")</f>
      </c>
      <c r="S234" s="89"/>
      <c r="T234" s="90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6"/>
      <c r="AZ234" s="120">
        <f>COUNTIF(U234:AY234,"A")</f>
      </c>
      <c r="BA234" s="121">
        <f>COUNTIF(U234:AY234,"F")</f>
      </c>
      <c r="BB234" s="119">
        <f>COUNTIF(U234:AY234,"E")</f>
      </c>
    </row>
    <row r="235" spans="1:54" x14ac:dyDescent="0.2">
      <c r="A235" s="84"/>
      <c r="B235" s="85"/>
      <c r="C235" s="85"/>
      <c r="D235" s="85"/>
      <c r="E235" s="86"/>
      <c r="F235" s="16">
        <f>IF(E235="","",DATEDIF(E235,$I$7,"Y"))</f>
      </c>
      <c r="G235" s="85"/>
      <c r="H235" s="85"/>
      <c r="I235" s="87"/>
      <c r="J235" s="85"/>
      <c r="K235" s="85"/>
      <c r="L235" s="10"/>
      <c r="M235" s="10"/>
      <c r="N235" s="10"/>
      <c r="O235" s="10"/>
      <c r="P235" s="85"/>
      <c r="Q235" s="88"/>
      <c r="R235" s="3">
        <f>IFERROR(VLOOKUP(TablaDiciembre[[#This Row],[BARRIO]],SECTOR!$A:$B,2,0),"")</f>
      </c>
      <c r="S235" s="89"/>
      <c r="T235" s="90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6"/>
      <c r="AZ235" s="120">
        <f>COUNTIF(U235:AY235,"A")</f>
      </c>
      <c r="BA235" s="121">
        <f>COUNTIF(U235:AY235,"F")</f>
      </c>
      <c r="BB235" s="119">
        <f>COUNTIF(U235:AY235,"E")</f>
      </c>
    </row>
    <row r="236" spans="1:54" x14ac:dyDescent="0.2">
      <c r="A236" s="84"/>
      <c r="B236" s="85"/>
      <c r="C236" s="85"/>
      <c r="D236" s="85"/>
      <c r="E236" s="86"/>
      <c r="F236" s="16">
        <f>IF(E236="","",DATEDIF(E236,$I$7,"Y"))</f>
      </c>
      <c r="G236" s="85"/>
      <c r="H236" s="85"/>
      <c r="I236" s="87"/>
      <c r="J236" s="85"/>
      <c r="K236" s="85"/>
      <c r="L236" s="10"/>
      <c r="M236" s="10"/>
      <c r="N236" s="10"/>
      <c r="O236" s="10"/>
      <c r="P236" s="85"/>
      <c r="Q236" s="88"/>
      <c r="R236" s="3">
        <f>IFERROR(VLOOKUP(TablaDiciembre[[#This Row],[BARRIO]],SECTOR!$A:$B,2,0),"")</f>
      </c>
      <c r="S236" s="89"/>
      <c r="T236" s="90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6"/>
      <c r="AZ236" s="120">
        <f>COUNTIF(U236:AY236,"A")</f>
      </c>
      <c r="BA236" s="121">
        <f>COUNTIF(U236:AY236,"F")</f>
      </c>
      <c r="BB236" s="119">
        <f>COUNTIF(U236:AY236,"E")</f>
      </c>
    </row>
    <row r="237" spans="1:54" x14ac:dyDescent="0.2">
      <c r="A237" s="84"/>
      <c r="B237" s="85"/>
      <c r="C237" s="85"/>
      <c r="D237" s="85"/>
      <c r="E237" s="86"/>
      <c r="F237" s="16">
        <f>IF(E237="","",DATEDIF(E237,$I$7,"Y"))</f>
      </c>
      <c r="G237" s="85"/>
      <c r="H237" s="85"/>
      <c r="I237" s="87"/>
      <c r="J237" s="85"/>
      <c r="K237" s="85"/>
      <c r="L237" s="10"/>
      <c r="M237" s="10"/>
      <c r="N237" s="10"/>
      <c r="O237" s="10"/>
      <c r="P237" s="85"/>
      <c r="Q237" s="88"/>
      <c r="R237" s="3">
        <f>IFERROR(VLOOKUP(TablaDiciembre[[#This Row],[BARRIO]],SECTOR!$A:$B,2,0),"")</f>
      </c>
      <c r="S237" s="89"/>
      <c r="T237" s="90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6"/>
      <c r="AZ237" s="120">
        <f>COUNTIF(U237:AY237,"A")</f>
      </c>
      <c r="BA237" s="121">
        <f>COUNTIF(U237:AY237,"F")</f>
      </c>
      <c r="BB237" s="119">
        <f>COUNTIF(U237:AY237,"E")</f>
      </c>
    </row>
    <row r="238" spans="1:54" x14ac:dyDescent="0.2">
      <c r="A238" s="84"/>
      <c r="B238" s="85"/>
      <c r="C238" s="85"/>
      <c r="D238" s="85"/>
      <c r="E238" s="86"/>
      <c r="F238" s="16">
        <f>IF(E238="","",DATEDIF(E238,$I$7,"Y"))</f>
      </c>
      <c r="G238" s="85"/>
      <c r="H238" s="85"/>
      <c r="I238" s="87"/>
      <c r="J238" s="85"/>
      <c r="K238" s="85"/>
      <c r="L238" s="10"/>
      <c r="M238" s="10"/>
      <c r="N238" s="10"/>
      <c r="O238" s="10"/>
      <c r="P238" s="85"/>
      <c r="Q238" s="88"/>
      <c r="R238" s="3">
        <f>IFERROR(VLOOKUP(TablaDiciembre[[#This Row],[BARRIO]],SECTOR!$A:$B,2,0),"")</f>
      </c>
      <c r="S238" s="89"/>
      <c r="T238" s="90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6"/>
      <c r="AZ238" s="120">
        <f>COUNTIF(U238:AY238,"A")</f>
      </c>
      <c r="BA238" s="121">
        <f>COUNTIF(U238:AY238,"F")</f>
      </c>
      <c r="BB238" s="119">
        <f>COUNTIF(U238:AY238,"E")</f>
      </c>
    </row>
    <row r="239" spans="1:54" x14ac:dyDescent="0.2">
      <c r="A239" s="84"/>
      <c r="B239" s="85"/>
      <c r="C239" s="85"/>
      <c r="D239" s="85"/>
      <c r="E239" s="86"/>
      <c r="F239" s="16">
        <f>IF(E239="","",DATEDIF(E239,$I$7,"Y"))</f>
      </c>
      <c r="G239" s="85"/>
      <c r="H239" s="85"/>
      <c r="I239" s="87"/>
      <c r="J239" s="85"/>
      <c r="K239" s="85"/>
      <c r="L239" s="10"/>
      <c r="M239" s="10"/>
      <c r="N239" s="10"/>
      <c r="O239" s="10"/>
      <c r="P239" s="85"/>
      <c r="Q239" s="88"/>
      <c r="R239" s="3">
        <f>IFERROR(VLOOKUP(TablaDiciembre[[#This Row],[BARRIO]],SECTOR!$A:$B,2,0),"")</f>
      </c>
      <c r="S239" s="89"/>
      <c r="T239" s="90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6"/>
      <c r="AZ239" s="120">
        <f>COUNTIF(U239:AY239,"A")</f>
      </c>
      <c r="BA239" s="121">
        <f>COUNTIF(U239:AY239,"F")</f>
      </c>
      <c r="BB239" s="119">
        <f>COUNTIF(U239:AY239,"E")</f>
      </c>
    </row>
    <row r="240" spans="1:54" x14ac:dyDescent="0.2">
      <c r="A240" s="84"/>
      <c r="B240" s="85"/>
      <c r="C240" s="85"/>
      <c r="D240" s="85"/>
      <c r="E240" s="86"/>
      <c r="F240" s="16">
        <f>IF(E240="","",DATEDIF(E240,$I$7,"Y"))</f>
      </c>
      <c r="G240" s="85"/>
      <c r="H240" s="85"/>
      <c r="I240" s="87"/>
      <c r="J240" s="85"/>
      <c r="K240" s="85"/>
      <c r="L240" s="10"/>
      <c r="M240" s="10"/>
      <c r="N240" s="10"/>
      <c r="O240" s="10"/>
      <c r="P240" s="85"/>
      <c r="Q240" s="88"/>
      <c r="R240" s="3">
        <f>IFERROR(VLOOKUP(TablaDiciembre[[#This Row],[BARRIO]],SECTOR!$A:$B,2,0),"")</f>
      </c>
      <c r="S240" s="89"/>
      <c r="T240" s="90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6"/>
      <c r="AZ240" s="120">
        <f>COUNTIF(U240:AY240,"A")</f>
      </c>
      <c r="BA240" s="121">
        <f>COUNTIF(U240:AY240,"F")</f>
      </c>
      <c r="BB240" s="119">
        <f>COUNTIF(U240:AY240,"E")</f>
      </c>
    </row>
    <row r="241" spans="1:54" x14ac:dyDescent="0.2">
      <c r="A241" s="84"/>
      <c r="B241" s="85"/>
      <c r="C241" s="85"/>
      <c r="D241" s="85"/>
      <c r="E241" s="86"/>
      <c r="F241" s="16">
        <f>IF(E241="","",DATEDIF(E241,$I$7,"Y"))</f>
      </c>
      <c r="G241" s="85"/>
      <c r="H241" s="85"/>
      <c r="I241" s="87"/>
      <c r="J241" s="85"/>
      <c r="K241" s="85"/>
      <c r="L241" s="10"/>
      <c r="M241" s="10"/>
      <c r="N241" s="10"/>
      <c r="O241" s="10"/>
      <c r="P241" s="85"/>
      <c r="Q241" s="88"/>
      <c r="R241" s="3">
        <f>IFERROR(VLOOKUP(TablaDiciembre[[#This Row],[BARRIO]],SECTOR!$A:$B,2,0),"")</f>
      </c>
      <c r="S241" s="89"/>
      <c r="T241" s="90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6"/>
      <c r="AZ241" s="120">
        <f>COUNTIF(U241:AY241,"A")</f>
      </c>
      <c r="BA241" s="121">
        <f>COUNTIF(U241:AY241,"F")</f>
      </c>
      <c r="BB241" s="119">
        <f>COUNTIF(U241:AY241,"E")</f>
      </c>
    </row>
    <row r="242" spans="1:54" x14ac:dyDescent="0.2">
      <c r="A242" s="84"/>
      <c r="B242" s="85"/>
      <c r="C242" s="85"/>
      <c r="D242" s="85"/>
      <c r="E242" s="86"/>
      <c r="F242" s="16">
        <f>IF(E242="","",DATEDIF(E242,$I$7,"Y"))</f>
      </c>
      <c r="G242" s="85"/>
      <c r="H242" s="85"/>
      <c r="I242" s="87"/>
      <c r="J242" s="85"/>
      <c r="K242" s="85"/>
      <c r="L242" s="10"/>
      <c r="M242" s="10"/>
      <c r="N242" s="10"/>
      <c r="O242" s="10"/>
      <c r="P242" s="85"/>
      <c r="Q242" s="88"/>
      <c r="R242" s="3">
        <f>IFERROR(VLOOKUP(TablaDiciembre[[#This Row],[BARRIO]],SECTOR!$A:$B,2,0),"")</f>
      </c>
      <c r="S242" s="89"/>
      <c r="T242" s="90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6"/>
      <c r="AZ242" s="120">
        <f>COUNTIF(U242:AY242,"A")</f>
      </c>
      <c r="BA242" s="121">
        <f>COUNTIF(U242:AY242,"F")</f>
      </c>
      <c r="BB242" s="119">
        <f>COUNTIF(U242:AY242,"E")</f>
      </c>
    </row>
    <row r="243" spans="1:54" x14ac:dyDescent="0.2">
      <c r="A243" s="84"/>
      <c r="B243" s="85"/>
      <c r="C243" s="85"/>
      <c r="D243" s="85"/>
      <c r="E243" s="86"/>
      <c r="F243" s="16">
        <f>IF(E243="","",DATEDIF(E243,$I$7,"Y"))</f>
      </c>
      <c r="G243" s="85"/>
      <c r="H243" s="85"/>
      <c r="I243" s="87"/>
      <c r="J243" s="85"/>
      <c r="K243" s="85"/>
      <c r="L243" s="10"/>
      <c r="M243" s="10"/>
      <c r="N243" s="10"/>
      <c r="O243" s="10"/>
      <c r="P243" s="85"/>
      <c r="Q243" s="88"/>
      <c r="R243" s="3">
        <f>IFERROR(VLOOKUP(TablaDiciembre[[#This Row],[BARRIO]],SECTOR!$A:$B,2,0),"")</f>
      </c>
      <c r="S243" s="89"/>
      <c r="T243" s="90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6"/>
      <c r="AZ243" s="120">
        <f>COUNTIF(U243:AY243,"A")</f>
      </c>
      <c r="BA243" s="121">
        <f>COUNTIF(U243:AY243,"F")</f>
      </c>
      <c r="BB243" s="119">
        <f>COUNTIF(U243:AY243,"E")</f>
      </c>
    </row>
    <row r="244" spans="1:54" x14ac:dyDescent="0.2">
      <c r="A244" s="84"/>
      <c r="B244" s="85"/>
      <c r="C244" s="85"/>
      <c r="D244" s="85"/>
      <c r="E244" s="86"/>
      <c r="F244" s="16">
        <f>IF(E244="","",DATEDIF(E244,$I$7,"Y"))</f>
      </c>
      <c r="G244" s="85"/>
      <c r="H244" s="85"/>
      <c r="I244" s="87"/>
      <c r="J244" s="85"/>
      <c r="K244" s="85"/>
      <c r="L244" s="10"/>
      <c r="M244" s="10"/>
      <c r="N244" s="10"/>
      <c r="O244" s="10"/>
      <c r="P244" s="85"/>
      <c r="Q244" s="88"/>
      <c r="R244" s="3">
        <f>IFERROR(VLOOKUP(TablaDiciembre[[#This Row],[BARRIO]],SECTOR!$A:$B,2,0),"")</f>
      </c>
      <c r="S244" s="89"/>
      <c r="T244" s="90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6"/>
      <c r="AZ244" s="120">
        <f>COUNTIF(U244:AY244,"A")</f>
      </c>
      <c r="BA244" s="121">
        <f>COUNTIF(U244:AY244,"F")</f>
      </c>
      <c r="BB244" s="119">
        <f>COUNTIF(U244:AY244,"E")</f>
      </c>
    </row>
    <row r="245" spans="1:54" x14ac:dyDescent="0.2">
      <c r="A245" s="84"/>
      <c r="B245" s="85"/>
      <c r="C245" s="85"/>
      <c r="D245" s="85"/>
      <c r="E245" s="86"/>
      <c r="F245" s="16">
        <f>IF(E245="","",DATEDIF(E245,$I$7,"Y"))</f>
      </c>
      <c r="G245" s="85"/>
      <c r="H245" s="85"/>
      <c r="I245" s="87"/>
      <c r="J245" s="85"/>
      <c r="K245" s="85"/>
      <c r="L245" s="10"/>
      <c r="M245" s="10"/>
      <c r="N245" s="10"/>
      <c r="O245" s="10"/>
      <c r="P245" s="85"/>
      <c r="Q245" s="88"/>
      <c r="R245" s="3">
        <f>IFERROR(VLOOKUP(TablaDiciembre[[#This Row],[BARRIO]],SECTOR!$A:$B,2,0),"")</f>
      </c>
      <c r="S245" s="89"/>
      <c r="T245" s="90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6"/>
      <c r="AZ245" s="120">
        <f>COUNTIF(U245:AY245,"A")</f>
      </c>
      <c r="BA245" s="121">
        <f>COUNTIF(U245:AY245,"F")</f>
      </c>
      <c r="BB245" s="119">
        <f>COUNTIF(U245:AY245,"E")</f>
      </c>
    </row>
    <row r="246" spans="1:54" x14ac:dyDescent="0.2">
      <c r="A246" s="84"/>
      <c r="B246" s="85"/>
      <c r="C246" s="85"/>
      <c r="D246" s="85"/>
      <c r="E246" s="86"/>
      <c r="F246" s="16">
        <f>IF(E246="","",DATEDIF(E246,$I$7,"Y"))</f>
      </c>
      <c r="G246" s="85"/>
      <c r="H246" s="85"/>
      <c r="I246" s="87"/>
      <c r="J246" s="85"/>
      <c r="K246" s="85"/>
      <c r="L246" s="10"/>
      <c r="M246" s="10"/>
      <c r="N246" s="10"/>
      <c r="O246" s="10"/>
      <c r="P246" s="85"/>
      <c r="Q246" s="88"/>
      <c r="R246" s="3">
        <f>IFERROR(VLOOKUP(TablaDiciembre[[#This Row],[BARRIO]],SECTOR!$A:$B,2,0),"")</f>
      </c>
      <c r="S246" s="89"/>
      <c r="T246" s="90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6"/>
      <c r="AZ246" s="120">
        <f>COUNTIF(U246:AY246,"A")</f>
      </c>
      <c r="BA246" s="121">
        <f>COUNTIF(U246:AY246,"F")</f>
      </c>
      <c r="BB246" s="119">
        <f>COUNTIF(U246:AY246,"E")</f>
      </c>
    </row>
    <row r="247" spans="1:54" x14ac:dyDescent="0.2">
      <c r="A247" s="84"/>
      <c r="B247" s="85"/>
      <c r="C247" s="85"/>
      <c r="D247" s="85"/>
      <c r="E247" s="86"/>
      <c r="F247" s="16">
        <f>IF(E247="","",DATEDIF(E247,$I$7,"Y"))</f>
      </c>
      <c r="G247" s="85"/>
      <c r="H247" s="85"/>
      <c r="I247" s="87"/>
      <c r="J247" s="85"/>
      <c r="K247" s="85"/>
      <c r="L247" s="10"/>
      <c r="M247" s="10"/>
      <c r="N247" s="10"/>
      <c r="O247" s="10"/>
      <c r="P247" s="85"/>
      <c r="Q247" s="88"/>
      <c r="R247" s="3">
        <f>IFERROR(VLOOKUP(TablaDiciembre[[#This Row],[BARRIO]],SECTOR!$A:$B,2,0),"")</f>
      </c>
      <c r="S247" s="89"/>
      <c r="T247" s="90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6"/>
      <c r="AZ247" s="120">
        <f>COUNTIF(U247:AY247,"A")</f>
      </c>
      <c r="BA247" s="121">
        <f>COUNTIF(U247:AY247,"F")</f>
      </c>
      <c r="BB247" s="119">
        <f>COUNTIF(U247:AY247,"E")</f>
      </c>
    </row>
    <row r="248" spans="1:54" x14ac:dyDescent="0.2">
      <c r="A248" s="84"/>
      <c r="B248" s="85"/>
      <c r="C248" s="85"/>
      <c r="D248" s="85"/>
      <c r="E248" s="86"/>
      <c r="F248" s="16">
        <f>IF(E248="","",DATEDIF(E248,$I$7,"Y"))</f>
      </c>
      <c r="G248" s="85"/>
      <c r="H248" s="85"/>
      <c r="I248" s="87"/>
      <c r="J248" s="85"/>
      <c r="K248" s="85"/>
      <c r="L248" s="10"/>
      <c r="M248" s="10"/>
      <c r="N248" s="10"/>
      <c r="O248" s="10"/>
      <c r="P248" s="85"/>
      <c r="Q248" s="88"/>
      <c r="R248" s="3">
        <f>IFERROR(VLOOKUP(TablaDiciembre[[#This Row],[BARRIO]],SECTOR!$A:$B,2,0),"")</f>
      </c>
      <c r="S248" s="89"/>
      <c r="T248" s="90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6"/>
      <c r="AZ248" s="120">
        <f>COUNTIF(U248:AY248,"A")</f>
      </c>
      <c r="BA248" s="121">
        <f>COUNTIF(U248:AY248,"F")</f>
      </c>
      <c r="BB248" s="119">
        <f>COUNTIF(U248:AY248,"E")</f>
      </c>
    </row>
    <row r="249" spans="1:54" x14ac:dyDescent="0.2">
      <c r="A249" s="84"/>
      <c r="B249" s="85"/>
      <c r="C249" s="85"/>
      <c r="D249" s="85"/>
      <c r="E249" s="86"/>
      <c r="F249" s="16">
        <f>IF(E249="","",DATEDIF(E249,$I$7,"Y"))</f>
      </c>
      <c r="G249" s="85"/>
      <c r="H249" s="85"/>
      <c r="I249" s="87"/>
      <c r="J249" s="85"/>
      <c r="K249" s="85"/>
      <c r="L249" s="10"/>
      <c r="M249" s="10"/>
      <c r="N249" s="10"/>
      <c r="O249" s="10"/>
      <c r="P249" s="85"/>
      <c r="Q249" s="88"/>
      <c r="R249" s="3">
        <f>IFERROR(VLOOKUP(TablaDiciembre[[#This Row],[BARRIO]],SECTOR!$A:$B,2,0),"")</f>
      </c>
      <c r="S249" s="89"/>
      <c r="T249" s="90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6"/>
      <c r="AZ249" s="120">
        <f>COUNTIF(U249:AY249,"A")</f>
      </c>
      <c r="BA249" s="121">
        <f>COUNTIF(U249:AY249,"F")</f>
      </c>
      <c r="BB249" s="119">
        <f>COUNTIF(U249:AY249,"E")</f>
      </c>
    </row>
    <row r="250" spans="1:54" x14ac:dyDescent="0.2">
      <c r="A250" s="84"/>
      <c r="B250" s="85"/>
      <c r="C250" s="85"/>
      <c r="D250" s="85"/>
      <c r="E250" s="86"/>
      <c r="F250" s="16">
        <f>IF(E250="","",DATEDIF(E250,$I$7,"Y"))</f>
      </c>
      <c r="G250" s="85"/>
      <c r="H250" s="85"/>
      <c r="I250" s="87"/>
      <c r="J250" s="85"/>
      <c r="K250" s="85"/>
      <c r="L250" s="10"/>
      <c r="M250" s="10"/>
      <c r="N250" s="10"/>
      <c r="O250" s="10"/>
      <c r="P250" s="85"/>
      <c r="Q250" s="88"/>
      <c r="R250" s="3">
        <f>IFERROR(VLOOKUP(TablaDiciembre[[#This Row],[BARRIO]],SECTOR!$A:$B,2,0),"")</f>
      </c>
      <c r="S250" s="89"/>
      <c r="T250" s="90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6"/>
      <c r="AZ250" s="120">
        <f>COUNTIF(U250:AY250,"A")</f>
      </c>
      <c r="BA250" s="121">
        <f>COUNTIF(U250:AY250,"F")</f>
      </c>
      <c r="BB250" s="119">
        <f>COUNTIF(U250:AY250,"E")</f>
      </c>
    </row>
    <row r="251" spans="1:54" x14ac:dyDescent="0.2">
      <c r="A251" s="84"/>
      <c r="B251" s="85"/>
      <c r="C251" s="85"/>
      <c r="D251" s="85"/>
      <c r="E251" s="86"/>
      <c r="F251" s="16">
        <f>IF(E251="","",DATEDIF(E251,$I$7,"Y"))</f>
      </c>
      <c r="G251" s="85"/>
      <c r="H251" s="85"/>
      <c r="I251" s="87"/>
      <c r="J251" s="85"/>
      <c r="K251" s="85"/>
      <c r="L251" s="10"/>
      <c r="M251" s="10"/>
      <c r="N251" s="10"/>
      <c r="O251" s="10"/>
      <c r="P251" s="85"/>
      <c r="Q251" s="88"/>
      <c r="R251" s="3">
        <f>IFERROR(VLOOKUP(TablaDiciembre[[#This Row],[BARRIO]],SECTOR!$A:$B,2,0),"")</f>
      </c>
      <c r="S251" s="89"/>
      <c r="T251" s="90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6"/>
      <c r="AZ251" s="120">
        <f>COUNTIF(U251:AY251,"A")</f>
      </c>
      <c r="BA251" s="121">
        <f>COUNTIF(U251:AY251,"F")</f>
      </c>
      <c r="BB251" s="119">
        <f>COUNTIF(U251:AY251,"E")</f>
      </c>
    </row>
    <row r="252" spans="1:54" x14ac:dyDescent="0.2">
      <c r="A252" s="84"/>
      <c r="B252" s="85"/>
      <c r="C252" s="85"/>
      <c r="D252" s="85"/>
      <c r="E252" s="86"/>
      <c r="F252" s="16">
        <f>IF(E252="","",DATEDIF(E252,$I$7,"Y"))</f>
      </c>
      <c r="G252" s="85"/>
      <c r="H252" s="85"/>
      <c r="I252" s="87"/>
      <c r="J252" s="85"/>
      <c r="K252" s="85"/>
      <c r="L252" s="10"/>
      <c r="M252" s="10"/>
      <c r="N252" s="10"/>
      <c r="O252" s="10"/>
      <c r="P252" s="85"/>
      <c r="Q252" s="88"/>
      <c r="R252" s="3">
        <f>IFERROR(VLOOKUP(TablaDiciembre[[#This Row],[BARRIO]],SECTOR!$A:$B,2,0),"")</f>
      </c>
      <c r="S252" s="89"/>
      <c r="T252" s="90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6"/>
      <c r="AZ252" s="120">
        <f>COUNTIF(U252:AY252,"A")</f>
      </c>
      <c r="BA252" s="121">
        <f>COUNTIF(U252:AY252,"F")</f>
      </c>
      <c r="BB252" s="119">
        <f>COUNTIF(U252:AY252,"E")</f>
      </c>
    </row>
    <row r="253" spans="1:54" x14ac:dyDescent="0.2">
      <c r="A253" s="84"/>
      <c r="B253" s="85"/>
      <c r="C253" s="85"/>
      <c r="D253" s="85"/>
      <c r="E253" s="86"/>
      <c r="F253" s="16">
        <f>IF(E253="","",DATEDIF(E253,$I$7,"Y"))</f>
      </c>
      <c r="G253" s="85"/>
      <c r="H253" s="85"/>
      <c r="I253" s="87"/>
      <c r="J253" s="85"/>
      <c r="K253" s="85"/>
      <c r="L253" s="10"/>
      <c r="M253" s="10"/>
      <c r="N253" s="10"/>
      <c r="O253" s="10"/>
      <c r="P253" s="85"/>
      <c r="Q253" s="88"/>
      <c r="R253" s="3">
        <f>IFERROR(VLOOKUP(TablaDiciembre[[#This Row],[BARRIO]],SECTOR!$A:$B,2,0),"")</f>
      </c>
      <c r="S253" s="89"/>
      <c r="T253" s="90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6"/>
      <c r="AZ253" s="120">
        <f>COUNTIF(U253:AY253,"A")</f>
      </c>
      <c r="BA253" s="121">
        <f>COUNTIF(U253:AY253,"F")</f>
      </c>
      <c r="BB253" s="119">
        <f>COUNTIF(U253:AY253,"E")</f>
      </c>
    </row>
    <row r="254" spans="1:54" x14ac:dyDescent="0.2">
      <c r="A254" s="84"/>
      <c r="B254" s="85"/>
      <c r="C254" s="85"/>
      <c r="D254" s="85"/>
      <c r="E254" s="86"/>
      <c r="F254" s="16">
        <f>IF(E254="","",DATEDIF(E254,$I$7,"Y"))</f>
      </c>
      <c r="G254" s="85"/>
      <c r="H254" s="85"/>
      <c r="I254" s="87"/>
      <c r="J254" s="85"/>
      <c r="K254" s="85"/>
      <c r="L254" s="10"/>
      <c r="M254" s="10"/>
      <c r="N254" s="10"/>
      <c r="O254" s="10"/>
      <c r="P254" s="85"/>
      <c r="Q254" s="88"/>
      <c r="R254" s="3">
        <f>IFERROR(VLOOKUP(TablaDiciembre[[#This Row],[BARRIO]],SECTOR!$A:$B,2,0),"")</f>
      </c>
      <c r="S254" s="89"/>
      <c r="T254" s="90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6"/>
      <c r="AZ254" s="120">
        <f>COUNTIF(U254:AY254,"A")</f>
      </c>
      <c r="BA254" s="121">
        <f>COUNTIF(U254:AY254,"F")</f>
      </c>
      <c r="BB254" s="119">
        <f>COUNTIF(U254:AY254,"E")</f>
      </c>
    </row>
    <row r="255" spans="1:54" x14ac:dyDescent="0.2">
      <c r="A255" s="84"/>
      <c r="B255" s="85"/>
      <c r="C255" s="85"/>
      <c r="D255" s="85"/>
      <c r="E255" s="86"/>
      <c r="F255" s="16">
        <f>IF(E255="","",DATEDIF(E255,$I$7,"Y"))</f>
      </c>
      <c r="G255" s="85"/>
      <c r="H255" s="85"/>
      <c r="I255" s="87"/>
      <c r="J255" s="85"/>
      <c r="K255" s="85"/>
      <c r="L255" s="10"/>
      <c r="M255" s="10"/>
      <c r="N255" s="10"/>
      <c r="O255" s="10"/>
      <c r="P255" s="85"/>
      <c r="Q255" s="88"/>
      <c r="R255" s="3">
        <f>IFERROR(VLOOKUP(TablaDiciembre[[#This Row],[BARRIO]],SECTOR!$A:$B,2,0),"")</f>
      </c>
      <c r="S255" s="89"/>
      <c r="T255" s="90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6"/>
      <c r="AZ255" s="120">
        <f>COUNTIF(U255:AY255,"A")</f>
      </c>
      <c r="BA255" s="121">
        <f>COUNTIF(U255:AY255,"F")</f>
      </c>
      <c r="BB255" s="119">
        <f>COUNTIF(U255:AY255,"E")</f>
      </c>
    </row>
    <row r="256" spans="1:54" x14ac:dyDescent="0.2">
      <c r="A256" s="84"/>
      <c r="B256" s="85"/>
      <c r="C256" s="85"/>
      <c r="D256" s="85"/>
      <c r="E256" s="86"/>
      <c r="F256" s="16">
        <f>IF(E256="","",DATEDIF(E256,$I$7,"Y"))</f>
      </c>
      <c r="G256" s="85"/>
      <c r="H256" s="85"/>
      <c r="I256" s="87"/>
      <c r="J256" s="85"/>
      <c r="K256" s="85"/>
      <c r="L256" s="10"/>
      <c r="M256" s="10"/>
      <c r="N256" s="10"/>
      <c r="O256" s="10"/>
      <c r="P256" s="85"/>
      <c r="Q256" s="88"/>
      <c r="R256" s="3">
        <f>IFERROR(VLOOKUP(TablaDiciembre[[#This Row],[BARRIO]],SECTOR!$A:$B,2,0),"")</f>
      </c>
      <c r="S256" s="89"/>
      <c r="T256" s="90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6"/>
      <c r="AZ256" s="120">
        <f>COUNTIF(U256:AY256,"A")</f>
      </c>
      <c r="BA256" s="121">
        <f>COUNTIF(U256:AY256,"F")</f>
      </c>
      <c r="BB256" s="119">
        <f>COUNTIF(U256:AY256,"E")</f>
      </c>
    </row>
    <row r="257" spans="1:54" x14ac:dyDescent="0.2">
      <c r="A257" s="84"/>
      <c r="B257" s="85"/>
      <c r="C257" s="85"/>
      <c r="D257" s="85"/>
      <c r="E257" s="86"/>
      <c r="F257" s="16">
        <f>IF(E257="","",DATEDIF(E257,$I$7,"Y"))</f>
      </c>
      <c r="G257" s="85"/>
      <c r="H257" s="85"/>
      <c r="I257" s="87"/>
      <c r="J257" s="85"/>
      <c r="K257" s="85"/>
      <c r="L257" s="10"/>
      <c r="M257" s="10"/>
      <c r="N257" s="10"/>
      <c r="O257" s="10"/>
      <c r="P257" s="85"/>
      <c r="Q257" s="88"/>
      <c r="R257" s="3">
        <f>IFERROR(VLOOKUP(TablaDiciembre[[#This Row],[BARRIO]],SECTOR!$A:$B,2,0),"")</f>
      </c>
      <c r="S257" s="89"/>
      <c r="T257" s="90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6"/>
      <c r="AZ257" s="120">
        <f>COUNTIF(U257:AY257,"A")</f>
      </c>
      <c r="BA257" s="121">
        <f>COUNTIF(U257:AY257,"F")</f>
      </c>
      <c r="BB257" s="119">
        <f>COUNTIF(U257:AY257,"E")</f>
      </c>
    </row>
    <row r="258" spans="1:54" x14ac:dyDescent="0.2">
      <c r="A258" s="84"/>
      <c r="B258" s="85"/>
      <c r="C258" s="85"/>
      <c r="D258" s="85"/>
      <c r="E258" s="86"/>
      <c r="F258" s="16">
        <f>IF(E258="","",DATEDIF(E258,$I$7,"Y"))</f>
      </c>
      <c r="G258" s="85"/>
      <c r="H258" s="85"/>
      <c r="I258" s="87"/>
      <c r="J258" s="85"/>
      <c r="K258" s="85"/>
      <c r="L258" s="10"/>
      <c r="M258" s="10"/>
      <c r="N258" s="10"/>
      <c r="O258" s="10"/>
      <c r="P258" s="85"/>
      <c r="Q258" s="88"/>
      <c r="R258" s="3">
        <f>IFERROR(VLOOKUP(TablaDiciembre[[#This Row],[BARRIO]],SECTOR!$A:$B,2,0),"")</f>
      </c>
      <c r="S258" s="89"/>
      <c r="T258" s="90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6"/>
      <c r="AZ258" s="120">
        <f>COUNTIF(U258:AY258,"A")</f>
      </c>
      <c r="BA258" s="121">
        <f>COUNTIF(U258:AY258,"F")</f>
      </c>
      <c r="BB258" s="119">
        <f>COUNTIF(U258:AY258,"E")</f>
      </c>
    </row>
    <row r="259" spans="1:54" x14ac:dyDescent="0.2">
      <c r="A259" s="84"/>
      <c r="B259" s="85"/>
      <c r="C259" s="85"/>
      <c r="D259" s="85"/>
      <c r="E259" s="86"/>
      <c r="F259" s="16">
        <f>IF(E259="","",DATEDIF(E259,$I$7,"Y"))</f>
      </c>
      <c r="G259" s="85"/>
      <c r="H259" s="85"/>
      <c r="I259" s="87"/>
      <c r="J259" s="85"/>
      <c r="K259" s="85"/>
      <c r="L259" s="10"/>
      <c r="M259" s="10"/>
      <c r="N259" s="10"/>
      <c r="O259" s="10"/>
      <c r="P259" s="85"/>
      <c r="Q259" s="88"/>
      <c r="R259" s="3">
        <f>IFERROR(VLOOKUP(TablaDiciembre[[#This Row],[BARRIO]],SECTOR!$A:$B,2,0),"")</f>
      </c>
      <c r="S259" s="89"/>
      <c r="T259" s="90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6"/>
      <c r="AZ259" s="120">
        <f>COUNTIF(U259:AY259,"A")</f>
      </c>
      <c r="BA259" s="121">
        <f>COUNTIF(U259:AY259,"F")</f>
      </c>
      <c r="BB259" s="119">
        <f>COUNTIF(U259:AY259,"E")</f>
      </c>
    </row>
    <row r="260" spans="1:54" x14ac:dyDescent="0.2">
      <c r="A260" s="84"/>
      <c r="B260" s="85"/>
      <c r="C260" s="85"/>
      <c r="D260" s="85"/>
      <c r="E260" s="86"/>
      <c r="F260" s="16">
        <f>IF(E260="","",DATEDIF(E260,$I$7,"Y"))</f>
      </c>
      <c r="G260" s="85"/>
      <c r="H260" s="85"/>
      <c r="I260" s="87"/>
      <c r="J260" s="85"/>
      <c r="K260" s="85"/>
      <c r="L260" s="10"/>
      <c r="M260" s="10"/>
      <c r="N260" s="10"/>
      <c r="O260" s="10"/>
      <c r="P260" s="85"/>
      <c r="Q260" s="88"/>
      <c r="R260" s="3">
        <f>IFERROR(VLOOKUP(TablaDiciembre[[#This Row],[BARRIO]],SECTOR!$A:$B,2,0),"")</f>
      </c>
      <c r="S260" s="89"/>
      <c r="T260" s="90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6"/>
      <c r="AZ260" s="120">
        <f>COUNTIF(U260:AY260,"A")</f>
      </c>
      <c r="BA260" s="121">
        <f>COUNTIF(U260:AY260,"F")</f>
      </c>
      <c r="BB260" s="119">
        <f>COUNTIF(U260:AY260,"E")</f>
      </c>
    </row>
    <row r="261" spans="1:54" x14ac:dyDescent="0.2">
      <c r="A261" s="84"/>
      <c r="B261" s="85"/>
      <c r="C261" s="85"/>
      <c r="D261" s="85"/>
      <c r="E261" s="86"/>
      <c r="F261" s="16">
        <f>IF(E261="","",DATEDIF(E261,$I$7,"Y"))</f>
      </c>
      <c r="G261" s="85"/>
      <c r="H261" s="85"/>
      <c r="I261" s="87"/>
      <c r="J261" s="85"/>
      <c r="K261" s="85"/>
      <c r="L261" s="10"/>
      <c r="M261" s="10"/>
      <c r="N261" s="10"/>
      <c r="O261" s="10"/>
      <c r="P261" s="85"/>
      <c r="Q261" s="88"/>
      <c r="R261" s="3">
        <f>IFERROR(VLOOKUP(TablaDiciembre[[#This Row],[BARRIO]],SECTOR!$A:$B,2,0),"")</f>
      </c>
      <c r="S261" s="89"/>
      <c r="T261" s="90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6"/>
      <c r="AZ261" s="120">
        <f>COUNTIF(U261:AY261,"A")</f>
      </c>
      <c r="BA261" s="121">
        <f>COUNTIF(U261:AY261,"F")</f>
      </c>
      <c r="BB261" s="119">
        <f>COUNTIF(U261:AY261,"E")</f>
      </c>
    </row>
    <row r="262" spans="1:54" x14ac:dyDescent="0.2">
      <c r="A262" s="84"/>
      <c r="B262" s="85"/>
      <c r="C262" s="85"/>
      <c r="D262" s="85"/>
      <c r="E262" s="86"/>
      <c r="F262" s="16">
        <f>IF(E262="","",DATEDIF(E262,$I$7,"Y"))</f>
      </c>
      <c r="G262" s="85"/>
      <c r="H262" s="85"/>
      <c r="I262" s="87"/>
      <c r="J262" s="85"/>
      <c r="K262" s="85"/>
      <c r="L262" s="10"/>
      <c r="M262" s="10"/>
      <c r="N262" s="10"/>
      <c r="O262" s="10"/>
      <c r="P262" s="85"/>
      <c r="Q262" s="88"/>
      <c r="R262" s="3">
        <f>IFERROR(VLOOKUP(TablaDiciembre[[#This Row],[BARRIO]],SECTOR!$A:$B,2,0),"")</f>
      </c>
      <c r="S262" s="89"/>
      <c r="T262" s="90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6"/>
      <c r="AZ262" s="120">
        <f>COUNTIF(U262:AY262,"A")</f>
      </c>
      <c r="BA262" s="121">
        <f>COUNTIF(U262:AY262,"F")</f>
      </c>
      <c r="BB262" s="119">
        <f>COUNTIF(U262:AY262,"E")</f>
      </c>
    </row>
    <row r="263" spans="1:54" x14ac:dyDescent="0.2">
      <c r="A263" s="84"/>
      <c r="B263" s="85"/>
      <c r="C263" s="85"/>
      <c r="D263" s="85"/>
      <c r="E263" s="86"/>
      <c r="F263" s="16">
        <f>IF(E263="","",DATEDIF(E263,$I$7,"Y"))</f>
      </c>
      <c r="G263" s="85"/>
      <c r="H263" s="85"/>
      <c r="I263" s="87"/>
      <c r="J263" s="85"/>
      <c r="K263" s="85"/>
      <c r="L263" s="10"/>
      <c r="M263" s="10"/>
      <c r="N263" s="10"/>
      <c r="O263" s="10"/>
      <c r="P263" s="85"/>
      <c r="Q263" s="88"/>
      <c r="R263" s="3">
        <f>IFERROR(VLOOKUP(TablaDiciembre[[#This Row],[BARRIO]],SECTOR!$A:$B,2,0),"")</f>
      </c>
      <c r="S263" s="89"/>
      <c r="T263" s="90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6"/>
      <c r="AZ263" s="120">
        <f>COUNTIF(U263:AY263,"A")</f>
      </c>
      <c r="BA263" s="121">
        <f>COUNTIF(U263:AY263,"F")</f>
      </c>
      <c r="BB263" s="119">
        <f>COUNTIF(U263:AY263,"E")</f>
      </c>
    </row>
    <row r="264" spans="1:54" x14ac:dyDescent="0.2">
      <c r="A264" s="84"/>
      <c r="B264" s="85"/>
      <c r="C264" s="85"/>
      <c r="D264" s="85"/>
      <c r="E264" s="86"/>
      <c r="F264" s="16">
        <f>IF(E264="","",DATEDIF(E264,$I$7,"Y"))</f>
      </c>
      <c r="G264" s="85"/>
      <c r="H264" s="85"/>
      <c r="I264" s="87"/>
      <c r="J264" s="85"/>
      <c r="K264" s="85"/>
      <c r="L264" s="10"/>
      <c r="M264" s="10"/>
      <c r="N264" s="10"/>
      <c r="O264" s="10"/>
      <c r="P264" s="85"/>
      <c r="Q264" s="88"/>
      <c r="R264" s="3">
        <f>IFERROR(VLOOKUP(TablaDiciembre[[#This Row],[BARRIO]],SECTOR!$A:$B,2,0),"")</f>
      </c>
      <c r="S264" s="89"/>
      <c r="T264" s="90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6"/>
      <c r="AZ264" s="120">
        <f>COUNTIF(U264:AY264,"A")</f>
      </c>
      <c r="BA264" s="121">
        <f>COUNTIF(U264:AY264,"F")</f>
      </c>
      <c r="BB264" s="119">
        <f>COUNTIF(U264:AY264,"E")</f>
      </c>
    </row>
    <row r="265" spans="1:54" x14ac:dyDescent="0.2">
      <c r="A265" s="84"/>
      <c r="B265" s="85"/>
      <c r="C265" s="85"/>
      <c r="D265" s="85"/>
      <c r="E265" s="86"/>
      <c r="F265" s="16">
        <f>IF(E265="","",DATEDIF(E265,$I$7,"Y"))</f>
      </c>
      <c r="G265" s="85"/>
      <c r="H265" s="85"/>
      <c r="I265" s="87"/>
      <c r="J265" s="85"/>
      <c r="K265" s="85"/>
      <c r="L265" s="10"/>
      <c r="M265" s="10"/>
      <c r="N265" s="10"/>
      <c r="O265" s="10"/>
      <c r="P265" s="85"/>
      <c r="Q265" s="88"/>
      <c r="R265" s="3">
        <f>IFERROR(VLOOKUP(TablaDiciembre[[#This Row],[BARRIO]],SECTOR!$A:$B,2,0),"")</f>
      </c>
      <c r="S265" s="89"/>
      <c r="T265" s="90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6"/>
      <c r="AZ265" s="120">
        <f>COUNTIF(U265:AY265,"A")</f>
      </c>
      <c r="BA265" s="121">
        <f>COUNTIF(U265:AY265,"F")</f>
      </c>
      <c r="BB265" s="119">
        <f>COUNTIF(U265:AY265,"E")</f>
      </c>
    </row>
    <row r="266" spans="1:54" x14ac:dyDescent="0.2">
      <c r="A266" s="84"/>
      <c r="B266" s="85"/>
      <c r="C266" s="85"/>
      <c r="D266" s="85"/>
      <c r="E266" s="86"/>
      <c r="F266" s="16">
        <f>IF(E266="","",DATEDIF(E266,$I$7,"Y"))</f>
      </c>
      <c r="G266" s="85"/>
      <c r="H266" s="85"/>
      <c r="I266" s="87"/>
      <c r="J266" s="85"/>
      <c r="K266" s="85"/>
      <c r="L266" s="10"/>
      <c r="M266" s="10"/>
      <c r="N266" s="10"/>
      <c r="O266" s="10"/>
      <c r="P266" s="85"/>
      <c r="Q266" s="88"/>
      <c r="R266" s="3">
        <f>IFERROR(VLOOKUP(TablaDiciembre[[#This Row],[BARRIO]],SECTOR!$A:$B,2,0),"")</f>
      </c>
      <c r="S266" s="89"/>
      <c r="T266" s="90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6"/>
      <c r="AZ266" s="120">
        <f>COUNTIF(U266:AY266,"A")</f>
      </c>
      <c r="BA266" s="121">
        <f>COUNTIF(U266:AY266,"F")</f>
      </c>
      <c r="BB266" s="119">
        <f>COUNTIF(U266:AY266,"E")</f>
      </c>
    </row>
    <row r="267" spans="1:54" x14ac:dyDescent="0.2">
      <c r="A267" s="84"/>
      <c r="B267" s="85"/>
      <c r="C267" s="85"/>
      <c r="D267" s="85"/>
      <c r="E267" s="86"/>
      <c r="F267" s="16">
        <f>IF(E267="","",DATEDIF(E267,$I$7,"Y"))</f>
      </c>
      <c r="G267" s="85"/>
      <c r="H267" s="85"/>
      <c r="I267" s="87"/>
      <c r="J267" s="85"/>
      <c r="K267" s="85"/>
      <c r="L267" s="10"/>
      <c r="M267" s="10"/>
      <c r="N267" s="10"/>
      <c r="O267" s="10"/>
      <c r="P267" s="85"/>
      <c r="Q267" s="88"/>
      <c r="R267" s="3">
        <f>IFERROR(VLOOKUP(TablaDiciembre[[#This Row],[BARRIO]],SECTOR!$A:$B,2,0),"")</f>
      </c>
      <c r="S267" s="89"/>
      <c r="T267" s="90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6"/>
      <c r="AZ267" s="120">
        <f>COUNTIF(U267:AY267,"A")</f>
      </c>
      <c r="BA267" s="121">
        <f>COUNTIF(U267:AY267,"F")</f>
      </c>
      <c r="BB267" s="119">
        <f>COUNTIF(U267:AY267,"E")</f>
      </c>
    </row>
    <row r="268" spans="1:54" x14ac:dyDescent="0.2">
      <c r="A268" s="84"/>
      <c r="B268" s="85"/>
      <c r="C268" s="85"/>
      <c r="D268" s="85"/>
      <c r="E268" s="86"/>
      <c r="F268" s="16">
        <f>IF(E268="","",DATEDIF(E268,$I$7,"Y"))</f>
      </c>
      <c r="G268" s="85"/>
      <c r="H268" s="85"/>
      <c r="I268" s="87"/>
      <c r="J268" s="85"/>
      <c r="K268" s="85"/>
      <c r="L268" s="10"/>
      <c r="M268" s="10"/>
      <c r="N268" s="10"/>
      <c r="O268" s="10"/>
      <c r="P268" s="85"/>
      <c r="Q268" s="88"/>
      <c r="R268" s="3">
        <f>IFERROR(VLOOKUP(TablaDiciembre[[#This Row],[BARRIO]],SECTOR!$A:$B,2,0),"")</f>
      </c>
      <c r="S268" s="89"/>
      <c r="T268" s="90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6"/>
      <c r="AZ268" s="120">
        <f>COUNTIF(U268:AY268,"A")</f>
      </c>
      <c r="BA268" s="121">
        <f>COUNTIF(U268:AY268,"F")</f>
      </c>
      <c r="BB268" s="119">
        <f>COUNTIF(U268:AY268,"E")</f>
      </c>
    </row>
    <row r="269" spans="1:54" x14ac:dyDescent="0.2">
      <c r="A269" s="84"/>
      <c r="B269" s="85"/>
      <c r="C269" s="85"/>
      <c r="D269" s="85"/>
      <c r="E269" s="86"/>
      <c r="F269" s="16">
        <f>IF(E269="","",DATEDIF(E269,$I$7,"Y"))</f>
      </c>
      <c r="G269" s="85"/>
      <c r="H269" s="85"/>
      <c r="I269" s="87"/>
      <c r="J269" s="85"/>
      <c r="K269" s="85"/>
      <c r="L269" s="10"/>
      <c r="M269" s="10"/>
      <c r="N269" s="10"/>
      <c r="O269" s="10"/>
      <c r="P269" s="85"/>
      <c r="Q269" s="88"/>
      <c r="R269" s="3">
        <f>IFERROR(VLOOKUP(TablaDiciembre[[#This Row],[BARRIO]],SECTOR!$A:$B,2,0),"")</f>
      </c>
      <c r="S269" s="89"/>
      <c r="T269" s="90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6"/>
      <c r="AZ269" s="120">
        <f>COUNTIF(U269:AY269,"A")</f>
      </c>
      <c r="BA269" s="121">
        <f>COUNTIF(U269:AY269,"F")</f>
      </c>
      <c r="BB269" s="119">
        <f>COUNTIF(U269:AY269,"E")</f>
      </c>
    </row>
    <row r="270" spans="1:54" x14ac:dyDescent="0.2">
      <c r="A270" s="84"/>
      <c r="B270" s="85"/>
      <c r="C270" s="85"/>
      <c r="D270" s="85"/>
      <c r="E270" s="86"/>
      <c r="F270" s="16">
        <f>IF(E270="","",DATEDIF(E270,$I$7,"Y"))</f>
      </c>
      <c r="G270" s="85"/>
      <c r="H270" s="85"/>
      <c r="I270" s="87"/>
      <c r="J270" s="85"/>
      <c r="K270" s="85"/>
      <c r="L270" s="10"/>
      <c r="M270" s="10"/>
      <c r="N270" s="10"/>
      <c r="O270" s="10"/>
      <c r="P270" s="85"/>
      <c r="Q270" s="88"/>
      <c r="R270" s="3">
        <f>IFERROR(VLOOKUP(TablaDiciembre[[#This Row],[BARRIO]],SECTOR!$A:$B,2,0),"")</f>
      </c>
      <c r="S270" s="89"/>
      <c r="T270" s="90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6"/>
      <c r="AZ270" s="120">
        <f>COUNTIF(U270:AY270,"A")</f>
      </c>
      <c r="BA270" s="121">
        <f>COUNTIF(U270:AY270,"F")</f>
      </c>
      <c r="BB270" s="119">
        <f>COUNTIF(U270:AY270,"E")</f>
      </c>
    </row>
    <row r="271" spans="1:54" x14ac:dyDescent="0.2">
      <c r="A271" s="84"/>
      <c r="B271" s="85"/>
      <c r="C271" s="85"/>
      <c r="D271" s="85"/>
      <c r="E271" s="86"/>
      <c r="F271" s="16">
        <f>IF(E271="","",DATEDIF(E271,$I$7,"Y"))</f>
      </c>
      <c r="G271" s="85"/>
      <c r="H271" s="85"/>
      <c r="I271" s="87"/>
      <c r="J271" s="85"/>
      <c r="K271" s="85"/>
      <c r="L271" s="10"/>
      <c r="M271" s="10"/>
      <c r="N271" s="10"/>
      <c r="O271" s="10"/>
      <c r="P271" s="85"/>
      <c r="Q271" s="88"/>
      <c r="R271" s="3">
        <f>IFERROR(VLOOKUP(TablaDiciembre[[#This Row],[BARRIO]],SECTOR!$A:$B,2,0),"")</f>
      </c>
      <c r="S271" s="89"/>
      <c r="T271" s="90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6"/>
      <c r="AZ271" s="120">
        <f>COUNTIF(U271:AY271,"A")</f>
      </c>
      <c r="BA271" s="121">
        <f>COUNTIF(U271:AY271,"F")</f>
      </c>
      <c r="BB271" s="119">
        <f>COUNTIF(U271:AY271,"E")</f>
      </c>
    </row>
    <row r="272" spans="1:54" x14ac:dyDescent="0.2">
      <c r="A272" s="84"/>
      <c r="B272" s="85"/>
      <c r="C272" s="85"/>
      <c r="D272" s="85"/>
      <c r="E272" s="86"/>
      <c r="F272" s="16">
        <f>IF(E272="","",DATEDIF(E272,$I$7,"Y"))</f>
      </c>
      <c r="G272" s="85"/>
      <c r="H272" s="85"/>
      <c r="I272" s="87"/>
      <c r="J272" s="85"/>
      <c r="K272" s="85"/>
      <c r="L272" s="10"/>
      <c r="M272" s="10"/>
      <c r="N272" s="10"/>
      <c r="O272" s="10"/>
      <c r="P272" s="85"/>
      <c r="Q272" s="88"/>
      <c r="R272" s="3">
        <f>IFERROR(VLOOKUP(TablaDiciembre[[#This Row],[BARRIO]],SECTOR!$A:$B,2,0),"")</f>
      </c>
      <c r="S272" s="89"/>
      <c r="T272" s="90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6"/>
      <c r="AZ272" s="120">
        <f>COUNTIF(U272:AY272,"A")</f>
      </c>
      <c r="BA272" s="121">
        <f>COUNTIF(U272:AY272,"F")</f>
      </c>
      <c r="BB272" s="119">
        <f>COUNTIF(U272:AY272,"E")</f>
      </c>
    </row>
    <row r="273" spans="1:54" x14ac:dyDescent="0.2">
      <c r="A273" s="84"/>
      <c r="B273" s="85"/>
      <c r="C273" s="85"/>
      <c r="D273" s="85"/>
      <c r="E273" s="86"/>
      <c r="F273" s="16">
        <f>IF(E273="","",DATEDIF(E273,$I$7,"Y"))</f>
      </c>
      <c r="G273" s="85"/>
      <c r="H273" s="85"/>
      <c r="I273" s="87"/>
      <c r="J273" s="85"/>
      <c r="K273" s="85"/>
      <c r="L273" s="10"/>
      <c r="M273" s="10"/>
      <c r="N273" s="10"/>
      <c r="O273" s="10"/>
      <c r="P273" s="85"/>
      <c r="Q273" s="88"/>
      <c r="R273" s="3">
        <f>IFERROR(VLOOKUP(TablaDiciembre[[#This Row],[BARRIO]],SECTOR!$A:$B,2,0),"")</f>
      </c>
      <c r="S273" s="89"/>
      <c r="T273" s="90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6"/>
      <c r="AZ273" s="120">
        <f>COUNTIF(U273:AY273,"A")</f>
      </c>
      <c r="BA273" s="121">
        <f>COUNTIF(U273:AY273,"F")</f>
      </c>
      <c r="BB273" s="119">
        <f>COUNTIF(U273:AY273,"E")</f>
      </c>
    </row>
    <row r="274" spans="1:54" x14ac:dyDescent="0.2">
      <c r="A274" s="84"/>
      <c r="B274" s="85"/>
      <c r="C274" s="85"/>
      <c r="D274" s="85"/>
      <c r="E274" s="86"/>
      <c r="F274" s="16">
        <f>IF(E274="","",DATEDIF(E274,$I$7,"Y"))</f>
      </c>
      <c r="G274" s="85"/>
      <c r="H274" s="85"/>
      <c r="I274" s="87"/>
      <c r="J274" s="85"/>
      <c r="K274" s="85"/>
      <c r="L274" s="10"/>
      <c r="M274" s="10"/>
      <c r="N274" s="10"/>
      <c r="O274" s="10"/>
      <c r="P274" s="85"/>
      <c r="Q274" s="88"/>
      <c r="R274" s="3">
        <f>IFERROR(VLOOKUP(TablaDiciembre[[#This Row],[BARRIO]],SECTOR!$A:$B,2,0),"")</f>
      </c>
      <c r="S274" s="89"/>
      <c r="T274" s="90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6"/>
      <c r="AZ274" s="120">
        <f>COUNTIF(U274:AY274,"A")</f>
      </c>
      <c r="BA274" s="121">
        <f>COUNTIF(U274:AY274,"F")</f>
      </c>
      <c r="BB274" s="119">
        <f>COUNTIF(U274:AY274,"E")</f>
      </c>
    </row>
    <row r="275" spans="1:54" x14ac:dyDescent="0.2">
      <c r="A275" s="84"/>
      <c r="B275" s="85"/>
      <c r="C275" s="85"/>
      <c r="D275" s="85"/>
      <c r="E275" s="86"/>
      <c r="F275" s="16">
        <f>IF(E275="","",DATEDIF(E275,$I$7,"Y"))</f>
      </c>
      <c r="G275" s="85"/>
      <c r="H275" s="85"/>
      <c r="I275" s="87"/>
      <c r="J275" s="85"/>
      <c r="K275" s="85"/>
      <c r="L275" s="10"/>
      <c r="M275" s="10"/>
      <c r="N275" s="10"/>
      <c r="O275" s="10"/>
      <c r="P275" s="85"/>
      <c r="Q275" s="88"/>
      <c r="R275" s="3">
        <f>IFERROR(VLOOKUP(TablaDiciembre[[#This Row],[BARRIO]],SECTOR!$A:$B,2,0),"")</f>
      </c>
      <c r="S275" s="89"/>
      <c r="T275" s="90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6"/>
      <c r="AZ275" s="120">
        <f>COUNTIF(U275:AY275,"A")</f>
      </c>
      <c r="BA275" s="121">
        <f>COUNTIF(U275:AY275,"F")</f>
      </c>
      <c r="BB275" s="119">
        <f>COUNTIF(U275:AY275,"E")</f>
      </c>
    </row>
    <row r="276" spans="1:54" x14ac:dyDescent="0.2">
      <c r="A276" s="84"/>
      <c r="B276" s="85"/>
      <c r="C276" s="85"/>
      <c r="D276" s="85"/>
      <c r="E276" s="86"/>
      <c r="F276" s="16">
        <f>IF(E276="","",DATEDIF(E276,$I$7,"Y"))</f>
      </c>
      <c r="G276" s="85"/>
      <c r="H276" s="85"/>
      <c r="I276" s="87"/>
      <c r="J276" s="85"/>
      <c r="K276" s="85"/>
      <c r="L276" s="10"/>
      <c r="M276" s="10"/>
      <c r="N276" s="10"/>
      <c r="O276" s="10"/>
      <c r="P276" s="85"/>
      <c r="Q276" s="88"/>
      <c r="R276" s="3">
        <f>IFERROR(VLOOKUP(TablaDiciembre[[#This Row],[BARRIO]],SECTOR!$A:$B,2,0),"")</f>
      </c>
      <c r="S276" s="89"/>
      <c r="T276" s="90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6"/>
      <c r="AZ276" s="120">
        <f>COUNTIF(U276:AY276,"A")</f>
      </c>
      <c r="BA276" s="121">
        <f>COUNTIF(U276:AY276,"F")</f>
      </c>
      <c r="BB276" s="119">
        <f>COUNTIF(U276:AY276,"E")</f>
      </c>
    </row>
    <row r="277" spans="1:54" x14ac:dyDescent="0.2">
      <c r="A277" s="84"/>
      <c r="B277" s="85"/>
      <c r="C277" s="85"/>
      <c r="D277" s="85"/>
      <c r="E277" s="86"/>
      <c r="F277" s="16">
        <f>IF(E277="","",DATEDIF(E277,$I$7,"Y"))</f>
      </c>
      <c r="G277" s="85"/>
      <c r="H277" s="85"/>
      <c r="I277" s="87"/>
      <c r="J277" s="85"/>
      <c r="K277" s="85"/>
      <c r="L277" s="10"/>
      <c r="M277" s="10"/>
      <c r="N277" s="10"/>
      <c r="O277" s="10"/>
      <c r="P277" s="85"/>
      <c r="Q277" s="88"/>
      <c r="R277" s="3">
        <f>IFERROR(VLOOKUP(TablaDiciembre[[#This Row],[BARRIO]],SECTOR!$A:$B,2,0),"")</f>
      </c>
      <c r="S277" s="89"/>
      <c r="T277" s="90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6"/>
      <c r="AZ277" s="120">
        <f>COUNTIF(U277:AY277,"A")</f>
      </c>
      <c r="BA277" s="121">
        <f>COUNTIF(U277:AY277,"F")</f>
      </c>
      <c r="BB277" s="119">
        <f>COUNTIF(U277:AY277,"E")</f>
      </c>
    </row>
    <row r="278" spans="1:54" x14ac:dyDescent="0.2">
      <c r="A278" s="84"/>
      <c r="B278" s="85"/>
      <c r="C278" s="85"/>
      <c r="D278" s="85"/>
      <c r="E278" s="86"/>
      <c r="F278" s="16">
        <f>IF(E278="","",DATEDIF(E278,$I$7,"Y"))</f>
      </c>
      <c r="G278" s="85"/>
      <c r="H278" s="85"/>
      <c r="I278" s="87"/>
      <c r="J278" s="85"/>
      <c r="K278" s="85"/>
      <c r="L278" s="10"/>
      <c r="M278" s="10"/>
      <c r="N278" s="10"/>
      <c r="O278" s="10"/>
      <c r="P278" s="85"/>
      <c r="Q278" s="88"/>
      <c r="R278" s="3">
        <f>IFERROR(VLOOKUP(TablaDiciembre[[#This Row],[BARRIO]],SECTOR!$A:$B,2,0),"")</f>
      </c>
      <c r="S278" s="89"/>
      <c r="T278" s="90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6"/>
      <c r="AZ278" s="120">
        <f>COUNTIF(U278:AY278,"A")</f>
      </c>
      <c r="BA278" s="121">
        <f>COUNTIF(U278:AY278,"F")</f>
      </c>
      <c r="BB278" s="119">
        <f>COUNTIF(U278:AY278,"E")</f>
      </c>
    </row>
    <row r="279" spans="1:54" x14ac:dyDescent="0.2">
      <c r="A279" s="84"/>
      <c r="B279" s="85"/>
      <c r="C279" s="85"/>
      <c r="D279" s="85"/>
      <c r="E279" s="86"/>
      <c r="F279" s="16">
        <f>IF(E279="","",DATEDIF(E279,$I$7,"Y"))</f>
      </c>
      <c r="G279" s="85"/>
      <c r="H279" s="85"/>
      <c r="I279" s="87"/>
      <c r="J279" s="85"/>
      <c r="K279" s="85"/>
      <c r="L279" s="10"/>
      <c r="M279" s="10"/>
      <c r="N279" s="10"/>
      <c r="O279" s="10"/>
      <c r="P279" s="85"/>
      <c r="Q279" s="88"/>
      <c r="R279" s="3">
        <f>IFERROR(VLOOKUP(TablaDiciembre[[#This Row],[BARRIO]],SECTOR!$A:$B,2,0),"")</f>
      </c>
      <c r="S279" s="89"/>
      <c r="T279" s="90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6"/>
      <c r="AZ279" s="120">
        <f>COUNTIF(U279:AY279,"A")</f>
      </c>
      <c r="BA279" s="121">
        <f>COUNTIF(U279:AY279,"F")</f>
      </c>
      <c r="BB279" s="119">
        <f>COUNTIF(U279:AY279,"E")</f>
      </c>
    </row>
    <row r="280" spans="1:54" x14ac:dyDescent="0.2">
      <c r="A280" s="84"/>
      <c r="B280" s="85"/>
      <c r="C280" s="85"/>
      <c r="D280" s="85"/>
      <c r="E280" s="86"/>
      <c r="F280" s="16">
        <f>IF(E280="","",DATEDIF(E280,$I$7,"Y"))</f>
      </c>
      <c r="G280" s="85"/>
      <c r="H280" s="85"/>
      <c r="I280" s="87"/>
      <c r="J280" s="85"/>
      <c r="K280" s="85"/>
      <c r="L280" s="10"/>
      <c r="M280" s="10"/>
      <c r="N280" s="10"/>
      <c r="O280" s="10"/>
      <c r="P280" s="85"/>
      <c r="Q280" s="88"/>
      <c r="R280" s="3">
        <f>IFERROR(VLOOKUP(TablaDiciembre[[#This Row],[BARRIO]],SECTOR!$A:$B,2,0),"")</f>
      </c>
      <c r="S280" s="89"/>
      <c r="T280" s="90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6"/>
      <c r="AZ280" s="120">
        <f>COUNTIF(U280:AY280,"A")</f>
      </c>
      <c r="BA280" s="121">
        <f>COUNTIF(U280:AY280,"F")</f>
      </c>
      <c r="BB280" s="119">
        <f>COUNTIF(U280:AY280,"E")</f>
      </c>
    </row>
    <row r="281" spans="1:54" x14ac:dyDescent="0.2">
      <c r="A281" s="84"/>
      <c r="B281" s="85"/>
      <c r="C281" s="85"/>
      <c r="D281" s="85"/>
      <c r="E281" s="86"/>
      <c r="F281" s="16">
        <f>IF(E281="","",DATEDIF(E281,$I$7,"Y"))</f>
      </c>
      <c r="G281" s="85"/>
      <c r="H281" s="85"/>
      <c r="I281" s="87"/>
      <c r="J281" s="85"/>
      <c r="K281" s="85"/>
      <c r="L281" s="10"/>
      <c r="M281" s="10"/>
      <c r="N281" s="10"/>
      <c r="O281" s="10"/>
      <c r="P281" s="85"/>
      <c r="Q281" s="88"/>
      <c r="R281" s="3">
        <f>IFERROR(VLOOKUP(TablaDiciembre[[#This Row],[BARRIO]],SECTOR!$A:$B,2,0),"")</f>
      </c>
      <c r="S281" s="89"/>
      <c r="T281" s="90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6"/>
      <c r="AZ281" s="120">
        <f>COUNTIF(U281:AY281,"A")</f>
      </c>
      <c r="BA281" s="121">
        <f>COUNTIF(U281:AY281,"F")</f>
      </c>
      <c r="BB281" s="119">
        <f>COUNTIF(U281:AY281,"E")</f>
      </c>
    </row>
    <row r="282" spans="1:54" x14ac:dyDescent="0.2">
      <c r="A282" s="84"/>
      <c r="B282" s="85"/>
      <c r="C282" s="85"/>
      <c r="D282" s="85"/>
      <c r="E282" s="86"/>
      <c r="F282" s="16">
        <f>IF(E282="","",DATEDIF(E282,$I$7,"Y"))</f>
      </c>
      <c r="G282" s="85"/>
      <c r="H282" s="85"/>
      <c r="I282" s="87"/>
      <c r="J282" s="85"/>
      <c r="K282" s="85"/>
      <c r="L282" s="10"/>
      <c r="M282" s="10"/>
      <c r="N282" s="10"/>
      <c r="O282" s="10"/>
      <c r="P282" s="85"/>
      <c r="Q282" s="88"/>
      <c r="R282" s="3">
        <f>IFERROR(VLOOKUP(TablaDiciembre[[#This Row],[BARRIO]],SECTOR!$A:$B,2,0),"")</f>
      </c>
      <c r="S282" s="89"/>
      <c r="T282" s="90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6"/>
      <c r="AZ282" s="120">
        <f>COUNTIF(U282:AY282,"A")</f>
      </c>
      <c r="BA282" s="121">
        <f>COUNTIF(U282:AY282,"F")</f>
      </c>
      <c r="BB282" s="119">
        <f>COUNTIF(U282:AY282,"E")</f>
      </c>
    </row>
    <row r="283" spans="1:54" x14ac:dyDescent="0.2">
      <c r="A283" s="84"/>
      <c r="B283" s="85"/>
      <c r="C283" s="85"/>
      <c r="D283" s="85"/>
      <c r="E283" s="86"/>
      <c r="F283" s="16">
        <f>IF(E283="","",DATEDIF(E283,$I$7,"Y"))</f>
      </c>
      <c r="G283" s="85"/>
      <c r="H283" s="85"/>
      <c r="I283" s="87"/>
      <c r="J283" s="85"/>
      <c r="K283" s="85"/>
      <c r="L283" s="10"/>
      <c r="M283" s="10"/>
      <c r="N283" s="10"/>
      <c r="O283" s="10"/>
      <c r="P283" s="85"/>
      <c r="Q283" s="88"/>
      <c r="R283" s="3">
        <f>IFERROR(VLOOKUP(TablaDiciembre[[#This Row],[BARRIO]],SECTOR!$A:$B,2,0),"")</f>
      </c>
      <c r="S283" s="89"/>
      <c r="T283" s="90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6"/>
      <c r="AZ283" s="120">
        <f>COUNTIF(U283:AY283,"A")</f>
      </c>
      <c r="BA283" s="121">
        <f>COUNTIF(U283:AY283,"F")</f>
      </c>
      <c r="BB283" s="119">
        <f>COUNTIF(U283:AY283,"E")</f>
      </c>
    </row>
    <row r="284" spans="1:54" x14ac:dyDescent="0.2">
      <c r="A284" s="84"/>
      <c r="B284" s="85"/>
      <c r="C284" s="85"/>
      <c r="D284" s="85"/>
      <c r="E284" s="86"/>
      <c r="F284" s="16">
        <f>IF(E284="","",DATEDIF(E284,$I$7,"Y"))</f>
      </c>
      <c r="G284" s="85"/>
      <c r="H284" s="85"/>
      <c r="I284" s="87"/>
      <c r="J284" s="85"/>
      <c r="K284" s="85"/>
      <c r="L284" s="10"/>
      <c r="M284" s="10"/>
      <c r="N284" s="10"/>
      <c r="O284" s="10"/>
      <c r="P284" s="85"/>
      <c r="Q284" s="88"/>
      <c r="R284" s="3">
        <f>IFERROR(VLOOKUP(TablaDiciembre[[#This Row],[BARRIO]],SECTOR!$A:$B,2,0),"")</f>
      </c>
      <c r="S284" s="89"/>
      <c r="T284" s="90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6"/>
      <c r="AZ284" s="120">
        <f>COUNTIF(U284:AY284,"A")</f>
      </c>
      <c r="BA284" s="121">
        <f>COUNTIF(U284:AY284,"F")</f>
      </c>
      <c r="BB284" s="119">
        <f>COUNTIF(U284:AY284,"E")</f>
      </c>
    </row>
    <row r="285" spans="1:54" x14ac:dyDescent="0.2">
      <c r="A285" s="84"/>
      <c r="B285" s="85"/>
      <c r="C285" s="85"/>
      <c r="D285" s="85"/>
      <c r="E285" s="86"/>
      <c r="F285" s="16">
        <f>IF(E285="","",DATEDIF(E285,$I$7,"Y"))</f>
      </c>
      <c r="G285" s="85"/>
      <c r="H285" s="85"/>
      <c r="I285" s="87"/>
      <c r="J285" s="85"/>
      <c r="K285" s="85"/>
      <c r="L285" s="10"/>
      <c r="M285" s="10"/>
      <c r="N285" s="10"/>
      <c r="O285" s="10"/>
      <c r="P285" s="85"/>
      <c r="Q285" s="88"/>
      <c r="R285" s="3">
        <f>IFERROR(VLOOKUP(TablaDiciembre[[#This Row],[BARRIO]],SECTOR!$A:$B,2,0),"")</f>
      </c>
      <c r="S285" s="89"/>
      <c r="T285" s="90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6"/>
      <c r="AZ285" s="120">
        <f>COUNTIF(U285:AY285,"A")</f>
      </c>
      <c r="BA285" s="121">
        <f>COUNTIF(U285:AY285,"F")</f>
      </c>
      <c r="BB285" s="119">
        <f>COUNTIF(U285:AY285,"E")</f>
      </c>
    </row>
    <row r="286" spans="1:54" x14ac:dyDescent="0.2">
      <c r="A286" s="84"/>
      <c r="B286" s="85"/>
      <c r="C286" s="85"/>
      <c r="D286" s="85"/>
      <c r="E286" s="86"/>
      <c r="F286" s="16">
        <f>IF(E286="","",DATEDIF(E286,$I$7,"Y"))</f>
      </c>
      <c r="G286" s="85"/>
      <c r="H286" s="85"/>
      <c r="I286" s="87"/>
      <c r="J286" s="85"/>
      <c r="K286" s="85"/>
      <c r="L286" s="10"/>
      <c r="M286" s="10"/>
      <c r="N286" s="10"/>
      <c r="O286" s="10"/>
      <c r="P286" s="85"/>
      <c r="Q286" s="88"/>
      <c r="R286" s="3">
        <f>IFERROR(VLOOKUP(TablaDiciembre[[#This Row],[BARRIO]],SECTOR!$A:$B,2,0),"")</f>
      </c>
      <c r="S286" s="89"/>
      <c r="T286" s="90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6"/>
      <c r="AZ286" s="120">
        <f>COUNTIF(U286:AY286,"A")</f>
      </c>
      <c r="BA286" s="121">
        <f>COUNTIF(U286:AY286,"F")</f>
      </c>
      <c r="BB286" s="119">
        <f>COUNTIF(U286:AY286,"E")</f>
      </c>
    </row>
    <row r="287" spans="1:54" x14ac:dyDescent="0.2">
      <c r="A287" s="84"/>
      <c r="B287" s="85"/>
      <c r="C287" s="85"/>
      <c r="D287" s="85"/>
      <c r="E287" s="86"/>
      <c r="F287" s="16">
        <f>IF(E287="","",DATEDIF(E287,$I$7,"Y"))</f>
      </c>
      <c r="G287" s="85"/>
      <c r="H287" s="85"/>
      <c r="I287" s="87"/>
      <c r="J287" s="85"/>
      <c r="K287" s="85"/>
      <c r="L287" s="10"/>
      <c r="M287" s="10"/>
      <c r="N287" s="10"/>
      <c r="O287" s="10"/>
      <c r="P287" s="85"/>
      <c r="Q287" s="88"/>
      <c r="R287" s="3">
        <f>IFERROR(VLOOKUP(TablaDiciembre[[#This Row],[BARRIO]],SECTOR!$A:$B,2,0),"")</f>
      </c>
      <c r="S287" s="89"/>
      <c r="T287" s="90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6"/>
      <c r="AZ287" s="120">
        <f>COUNTIF(U287:AY287,"A")</f>
      </c>
      <c r="BA287" s="121">
        <f>COUNTIF(U287:AY287,"F")</f>
      </c>
      <c r="BB287" s="119">
        <f>COUNTIF(U287:AY287,"E")</f>
      </c>
    </row>
    <row r="288" spans="1:54" x14ac:dyDescent="0.2">
      <c r="A288" s="84"/>
      <c r="B288" s="85"/>
      <c r="C288" s="85"/>
      <c r="D288" s="85"/>
      <c r="E288" s="86"/>
      <c r="F288" s="16">
        <f>IF(E288="","",DATEDIF(E288,$I$7,"Y"))</f>
      </c>
      <c r="G288" s="85"/>
      <c r="H288" s="85"/>
      <c r="I288" s="87"/>
      <c r="J288" s="85"/>
      <c r="K288" s="85"/>
      <c r="L288" s="10"/>
      <c r="M288" s="10"/>
      <c r="N288" s="10"/>
      <c r="O288" s="10"/>
      <c r="P288" s="85"/>
      <c r="Q288" s="88"/>
      <c r="R288" s="3">
        <f>IFERROR(VLOOKUP(TablaDiciembre[[#This Row],[BARRIO]],SECTOR!$A:$B,2,0),"")</f>
      </c>
      <c r="S288" s="89"/>
      <c r="T288" s="90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6"/>
      <c r="AZ288" s="120">
        <f>COUNTIF(U288:AY288,"A")</f>
      </c>
      <c r="BA288" s="121">
        <f>COUNTIF(U288:AY288,"F")</f>
      </c>
      <c r="BB288" s="119">
        <f>COUNTIF(U288:AY288,"E")</f>
      </c>
    </row>
    <row r="289" spans="1:54" x14ac:dyDescent="0.2">
      <c r="A289" s="84"/>
      <c r="B289" s="85"/>
      <c r="C289" s="85"/>
      <c r="D289" s="85"/>
      <c r="E289" s="86"/>
      <c r="F289" s="16">
        <f>IF(E289="","",DATEDIF(E289,$I$7,"Y"))</f>
      </c>
      <c r="G289" s="85"/>
      <c r="H289" s="85"/>
      <c r="I289" s="87"/>
      <c r="J289" s="85"/>
      <c r="K289" s="85"/>
      <c r="L289" s="10"/>
      <c r="M289" s="10"/>
      <c r="N289" s="10"/>
      <c r="O289" s="10"/>
      <c r="P289" s="85"/>
      <c r="Q289" s="88"/>
      <c r="R289" s="3">
        <f>IFERROR(VLOOKUP(TablaDiciembre[[#This Row],[BARRIO]],SECTOR!$A:$B,2,0),"")</f>
      </c>
      <c r="S289" s="89"/>
      <c r="T289" s="90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6"/>
      <c r="AZ289" s="120">
        <f>COUNTIF(U289:AY289,"A")</f>
      </c>
      <c r="BA289" s="121">
        <f>COUNTIF(U289:AY289,"F")</f>
      </c>
      <c r="BB289" s="119">
        <f>COUNTIF(U289:AY289,"E")</f>
      </c>
    </row>
    <row r="290" spans="1:54" x14ac:dyDescent="0.2">
      <c r="A290" s="84"/>
      <c r="B290" s="85"/>
      <c r="C290" s="85"/>
      <c r="D290" s="85"/>
      <c r="E290" s="86"/>
      <c r="F290" s="16">
        <f>IF(E290="","",DATEDIF(E290,$I$7,"Y"))</f>
      </c>
      <c r="G290" s="85"/>
      <c r="H290" s="85"/>
      <c r="I290" s="87"/>
      <c r="J290" s="85"/>
      <c r="K290" s="85"/>
      <c r="L290" s="10"/>
      <c r="M290" s="10"/>
      <c r="N290" s="10"/>
      <c r="O290" s="10"/>
      <c r="P290" s="85"/>
      <c r="Q290" s="88"/>
      <c r="R290" s="3">
        <f>IFERROR(VLOOKUP(TablaDiciembre[[#This Row],[BARRIO]],SECTOR!$A:$B,2,0),"")</f>
      </c>
      <c r="S290" s="89"/>
      <c r="T290" s="90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6"/>
      <c r="AZ290" s="120">
        <f>COUNTIF(U290:AY290,"A")</f>
      </c>
      <c r="BA290" s="121">
        <f>COUNTIF(U290:AY290,"F")</f>
      </c>
      <c r="BB290" s="119">
        <f>COUNTIF(U290:AY290,"E")</f>
      </c>
    </row>
    <row r="291" spans="1:54" x14ac:dyDescent="0.2">
      <c r="A291" s="84"/>
      <c r="B291" s="85"/>
      <c r="C291" s="85"/>
      <c r="D291" s="85"/>
      <c r="E291" s="86"/>
      <c r="F291" s="16">
        <f>IF(E291="","",DATEDIF(E291,$I$7,"Y"))</f>
      </c>
      <c r="G291" s="85"/>
      <c r="H291" s="85"/>
      <c r="I291" s="87"/>
      <c r="J291" s="85"/>
      <c r="K291" s="85"/>
      <c r="L291" s="10"/>
      <c r="M291" s="10"/>
      <c r="N291" s="10"/>
      <c r="O291" s="10"/>
      <c r="P291" s="85"/>
      <c r="Q291" s="88"/>
      <c r="R291" s="3">
        <f>IFERROR(VLOOKUP(TablaDiciembre[[#This Row],[BARRIO]],SECTOR!$A:$B,2,0),"")</f>
      </c>
      <c r="S291" s="89"/>
      <c r="T291" s="90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6"/>
      <c r="AZ291" s="120">
        <f>COUNTIF(U291:AY291,"A")</f>
      </c>
      <c r="BA291" s="121">
        <f>COUNTIF(U291:AY291,"F")</f>
      </c>
      <c r="BB291" s="119">
        <f>COUNTIF(U291:AY291,"E")</f>
      </c>
    </row>
    <row r="292" spans="1:54" x14ac:dyDescent="0.2">
      <c r="A292" s="84"/>
      <c r="B292" s="85"/>
      <c r="C292" s="85"/>
      <c r="D292" s="85"/>
      <c r="E292" s="86"/>
      <c r="F292" s="16">
        <f>IF(E292="","",DATEDIF(E292,$I$7,"Y"))</f>
      </c>
      <c r="G292" s="85"/>
      <c r="H292" s="85"/>
      <c r="I292" s="87"/>
      <c r="J292" s="85"/>
      <c r="K292" s="85"/>
      <c r="L292" s="10"/>
      <c r="M292" s="10"/>
      <c r="N292" s="10"/>
      <c r="O292" s="10"/>
      <c r="P292" s="85"/>
      <c r="Q292" s="88"/>
      <c r="R292" s="3">
        <f>IFERROR(VLOOKUP(TablaDiciembre[[#This Row],[BARRIO]],SECTOR!$A:$B,2,0),"")</f>
      </c>
      <c r="S292" s="89"/>
      <c r="T292" s="90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6"/>
      <c r="AZ292" s="120">
        <f>COUNTIF(U292:AY292,"A")</f>
      </c>
      <c r="BA292" s="121">
        <f>COUNTIF(U292:AY292,"F")</f>
      </c>
      <c r="BB292" s="119">
        <f>COUNTIF(U292:AY292,"E")</f>
      </c>
    </row>
    <row r="293" spans="1:54" x14ac:dyDescent="0.2">
      <c r="A293" s="84"/>
      <c r="B293" s="85"/>
      <c r="C293" s="85"/>
      <c r="D293" s="85"/>
      <c r="E293" s="86"/>
      <c r="F293" s="16">
        <f>IF(E293="","",DATEDIF(E293,$I$7,"Y"))</f>
      </c>
      <c r="G293" s="85"/>
      <c r="H293" s="85"/>
      <c r="I293" s="87"/>
      <c r="J293" s="85"/>
      <c r="K293" s="85"/>
      <c r="L293" s="10"/>
      <c r="M293" s="10"/>
      <c r="N293" s="10"/>
      <c r="O293" s="10"/>
      <c r="P293" s="85"/>
      <c r="Q293" s="88"/>
      <c r="R293" s="3">
        <f>IFERROR(VLOOKUP(TablaDiciembre[[#This Row],[BARRIO]],SECTOR!$A:$B,2,0),"")</f>
      </c>
      <c r="S293" s="89"/>
      <c r="T293" s="90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6"/>
      <c r="AZ293" s="120">
        <f>COUNTIF(U293:AY293,"A")</f>
      </c>
      <c r="BA293" s="121">
        <f>COUNTIF(U293:AY293,"F")</f>
      </c>
      <c r="BB293" s="119">
        <f>COUNTIF(U293:AY293,"E")</f>
      </c>
    </row>
    <row r="294" spans="1:54" x14ac:dyDescent="0.2">
      <c r="A294" s="84"/>
      <c r="B294" s="85"/>
      <c r="C294" s="85"/>
      <c r="D294" s="85"/>
      <c r="E294" s="86"/>
      <c r="F294" s="16">
        <f>IF(E294="","",DATEDIF(E294,$I$7,"Y"))</f>
      </c>
      <c r="G294" s="85"/>
      <c r="H294" s="85"/>
      <c r="I294" s="87"/>
      <c r="J294" s="85"/>
      <c r="K294" s="85"/>
      <c r="L294" s="10"/>
      <c r="M294" s="10"/>
      <c r="N294" s="10"/>
      <c r="O294" s="10"/>
      <c r="P294" s="85"/>
      <c r="Q294" s="88"/>
      <c r="R294" s="3">
        <f>IFERROR(VLOOKUP(TablaDiciembre[[#This Row],[BARRIO]],SECTOR!$A:$B,2,0),"")</f>
      </c>
      <c r="S294" s="89"/>
      <c r="T294" s="90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6"/>
      <c r="AZ294" s="120">
        <f>COUNTIF(U294:AY294,"A")</f>
      </c>
      <c r="BA294" s="121">
        <f>COUNTIF(U294:AY294,"F")</f>
      </c>
      <c r="BB294" s="119">
        <f>COUNTIF(U294:AY294,"E")</f>
      </c>
    </row>
    <row r="295" spans="1:54" x14ac:dyDescent="0.2">
      <c r="A295" s="84"/>
      <c r="B295" s="85"/>
      <c r="C295" s="85"/>
      <c r="D295" s="85"/>
      <c r="E295" s="86"/>
      <c r="F295" s="16">
        <f>IF(E295="","",DATEDIF(E295,$I$7,"Y"))</f>
      </c>
      <c r="G295" s="85"/>
      <c r="H295" s="85"/>
      <c r="I295" s="87"/>
      <c r="J295" s="85"/>
      <c r="K295" s="85"/>
      <c r="L295" s="10"/>
      <c r="M295" s="10"/>
      <c r="N295" s="10"/>
      <c r="O295" s="10"/>
      <c r="P295" s="85"/>
      <c r="Q295" s="88"/>
      <c r="R295" s="3">
        <f>IFERROR(VLOOKUP(TablaDiciembre[[#This Row],[BARRIO]],SECTOR!$A:$B,2,0),"")</f>
      </c>
      <c r="S295" s="89"/>
      <c r="T295" s="90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6"/>
      <c r="AZ295" s="120">
        <f>COUNTIF(U295:AY295,"A")</f>
      </c>
      <c r="BA295" s="121">
        <f>COUNTIF(U295:AY295,"F")</f>
      </c>
      <c r="BB295" s="119">
        <f>COUNTIF(U295:AY295,"E")</f>
      </c>
    </row>
    <row r="296" spans="1:54" x14ac:dyDescent="0.2">
      <c r="A296" s="84"/>
      <c r="B296" s="85"/>
      <c r="C296" s="85"/>
      <c r="D296" s="85"/>
      <c r="E296" s="86"/>
      <c r="F296" s="16">
        <f>IF(E296="","",DATEDIF(E296,$I$7,"Y"))</f>
      </c>
      <c r="G296" s="85"/>
      <c r="H296" s="85"/>
      <c r="I296" s="87"/>
      <c r="J296" s="85"/>
      <c r="K296" s="85"/>
      <c r="L296" s="10"/>
      <c r="M296" s="10"/>
      <c r="N296" s="10"/>
      <c r="O296" s="10"/>
      <c r="P296" s="85"/>
      <c r="Q296" s="88"/>
      <c r="R296" s="3">
        <f>IFERROR(VLOOKUP(TablaDiciembre[[#This Row],[BARRIO]],SECTOR!$A:$B,2,0),"")</f>
      </c>
      <c r="S296" s="89"/>
      <c r="T296" s="90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6"/>
      <c r="AZ296" s="120">
        <f>COUNTIF(U296:AY296,"A")</f>
      </c>
      <c r="BA296" s="121">
        <f>COUNTIF(U296:AY296,"F")</f>
      </c>
      <c r="BB296" s="119">
        <f>COUNTIF(U296:AY296,"E")</f>
      </c>
    </row>
    <row r="297" spans="1:54" x14ac:dyDescent="0.2">
      <c r="A297" s="84"/>
      <c r="B297" s="85"/>
      <c r="C297" s="85"/>
      <c r="D297" s="85"/>
      <c r="E297" s="86"/>
      <c r="F297" s="16">
        <f>IF(E297="","",DATEDIF(E297,$I$7,"Y"))</f>
      </c>
      <c r="G297" s="85"/>
      <c r="H297" s="85"/>
      <c r="I297" s="87"/>
      <c r="J297" s="85"/>
      <c r="K297" s="85"/>
      <c r="L297" s="10"/>
      <c r="M297" s="10"/>
      <c r="N297" s="10"/>
      <c r="O297" s="10"/>
      <c r="P297" s="85"/>
      <c r="Q297" s="88"/>
      <c r="R297" s="3">
        <f>IFERROR(VLOOKUP(TablaDiciembre[[#This Row],[BARRIO]],SECTOR!$A:$B,2,0),"")</f>
      </c>
      <c r="S297" s="89"/>
      <c r="T297" s="90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6"/>
      <c r="AZ297" s="120">
        <f>COUNTIF(U297:AY297,"A")</f>
      </c>
      <c r="BA297" s="121">
        <f>COUNTIF(U297:AY297,"F")</f>
      </c>
      <c r="BB297" s="119">
        <f>COUNTIF(U297:AY297,"E")</f>
      </c>
    </row>
    <row r="298" spans="1:54" x14ac:dyDescent="0.2">
      <c r="A298" s="84"/>
      <c r="B298" s="85"/>
      <c r="C298" s="85"/>
      <c r="D298" s="85"/>
      <c r="E298" s="86"/>
      <c r="F298" s="16">
        <f>IF(E298="","",DATEDIF(E298,$I$7,"Y"))</f>
      </c>
      <c r="G298" s="85"/>
      <c r="H298" s="85"/>
      <c r="I298" s="87"/>
      <c r="J298" s="85"/>
      <c r="K298" s="85"/>
      <c r="L298" s="10"/>
      <c r="M298" s="10"/>
      <c r="N298" s="10"/>
      <c r="O298" s="10"/>
      <c r="P298" s="85"/>
      <c r="Q298" s="88"/>
      <c r="R298" s="3">
        <f>IFERROR(VLOOKUP(TablaDiciembre[[#This Row],[BARRIO]],SECTOR!$A:$B,2,0),"")</f>
      </c>
      <c r="S298" s="89"/>
      <c r="T298" s="90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6"/>
      <c r="AZ298" s="120">
        <f>COUNTIF(U298:AY298,"A")</f>
      </c>
      <c r="BA298" s="121">
        <f>COUNTIF(U298:AY298,"F")</f>
      </c>
      <c r="BB298" s="119">
        <f>COUNTIF(U298:AY298,"E")</f>
      </c>
    </row>
    <row r="299" spans="1:54" x14ac:dyDescent="0.2">
      <c r="A299" s="84"/>
      <c r="B299" s="85"/>
      <c r="C299" s="85"/>
      <c r="D299" s="85"/>
      <c r="E299" s="86"/>
      <c r="F299" s="16">
        <f>IF(E299="","",DATEDIF(E299,$I$7,"Y"))</f>
      </c>
      <c r="G299" s="85"/>
      <c r="H299" s="85"/>
      <c r="I299" s="87"/>
      <c r="J299" s="85"/>
      <c r="K299" s="85"/>
      <c r="L299" s="10"/>
      <c r="M299" s="10"/>
      <c r="N299" s="10"/>
      <c r="O299" s="10"/>
      <c r="P299" s="85"/>
      <c r="Q299" s="88"/>
      <c r="R299" s="3">
        <f>IFERROR(VLOOKUP(TablaDiciembre[[#This Row],[BARRIO]],SECTOR!$A:$B,2,0),"")</f>
      </c>
      <c r="S299" s="89"/>
      <c r="T299" s="90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6"/>
      <c r="AZ299" s="120">
        <f>COUNTIF(U299:AY299,"A")</f>
      </c>
      <c r="BA299" s="121">
        <f>COUNTIF(U299:AY299,"F")</f>
      </c>
      <c r="BB299" s="119">
        <f>COUNTIF(U299:AY299,"E")</f>
      </c>
    </row>
    <row r="300" spans="1:54" x14ac:dyDescent="0.2">
      <c r="A300" s="84"/>
      <c r="B300" s="85"/>
      <c r="C300" s="85"/>
      <c r="D300" s="85"/>
      <c r="E300" s="86"/>
      <c r="F300" s="16">
        <f>IF(E300="","",DATEDIF(E300,$I$7,"Y"))</f>
      </c>
      <c r="G300" s="85"/>
      <c r="H300" s="85"/>
      <c r="I300" s="87"/>
      <c r="J300" s="85"/>
      <c r="K300" s="85"/>
      <c r="L300" s="10"/>
      <c r="M300" s="10"/>
      <c r="N300" s="10"/>
      <c r="O300" s="10"/>
      <c r="P300" s="85"/>
      <c r="Q300" s="88"/>
      <c r="R300" s="3">
        <f>IFERROR(VLOOKUP(TablaDiciembre[[#This Row],[BARRIO]],SECTOR!$A:$B,2,0),"")</f>
      </c>
      <c r="S300" s="89"/>
      <c r="T300" s="90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6"/>
      <c r="AZ300" s="120">
        <f>COUNTIF(U300:AY300,"A")</f>
      </c>
      <c r="BA300" s="121">
        <f>COUNTIF(U300:AY300,"F")</f>
      </c>
      <c r="BB300" s="119">
        <f>COUNTIF(U300:AY300,"E")</f>
      </c>
    </row>
    <row r="301" spans="1:54" x14ac:dyDescent="0.2">
      <c r="A301" s="84"/>
      <c r="B301" s="85"/>
      <c r="C301" s="85"/>
      <c r="D301" s="85"/>
      <c r="E301" s="86"/>
      <c r="F301" s="16">
        <f>IF(E301="","",DATEDIF(E301,$I$7,"Y"))</f>
      </c>
      <c r="G301" s="85"/>
      <c r="H301" s="85"/>
      <c r="I301" s="87"/>
      <c r="J301" s="85"/>
      <c r="K301" s="85"/>
      <c r="L301" s="10"/>
      <c r="M301" s="10"/>
      <c r="N301" s="10"/>
      <c r="O301" s="10"/>
      <c r="P301" s="85"/>
      <c r="Q301" s="88"/>
      <c r="R301" s="3">
        <f>IFERROR(VLOOKUP(TablaDiciembre[[#This Row],[BARRIO]],SECTOR!$A:$B,2,0),"")</f>
      </c>
      <c r="S301" s="89"/>
      <c r="T301" s="90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6"/>
      <c r="AZ301" s="120">
        <f>COUNTIF(U301:AY301,"A")</f>
      </c>
      <c r="BA301" s="121">
        <f>COUNTIF(U301:AY301,"F")</f>
      </c>
      <c r="BB301" s="119">
        <f>COUNTIF(U301:AY301,"E")</f>
      </c>
    </row>
    <row r="302" spans="1:54" x14ac:dyDescent="0.2">
      <c r="A302" s="84"/>
      <c r="B302" s="85"/>
      <c r="C302" s="85"/>
      <c r="D302" s="85"/>
      <c r="E302" s="86"/>
      <c r="F302" s="16">
        <f>IF(E302="","",DATEDIF(E302,$I$7,"Y"))</f>
      </c>
      <c r="G302" s="85"/>
      <c r="H302" s="85"/>
      <c r="I302" s="87"/>
      <c r="J302" s="85"/>
      <c r="K302" s="85"/>
      <c r="L302" s="10"/>
      <c r="M302" s="10"/>
      <c r="N302" s="10"/>
      <c r="O302" s="10"/>
      <c r="P302" s="85"/>
      <c r="Q302" s="88"/>
      <c r="R302" s="3">
        <f>IFERROR(VLOOKUP(TablaDiciembre[[#This Row],[BARRIO]],SECTOR!$A:$B,2,0),"")</f>
      </c>
      <c r="S302" s="89"/>
      <c r="T302" s="90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6"/>
      <c r="AZ302" s="120">
        <f>COUNTIF(U302:AY302,"A")</f>
      </c>
      <c r="BA302" s="121">
        <f>COUNTIF(U302:AY302,"F")</f>
      </c>
      <c r="BB302" s="119">
        <f>COUNTIF(U302:AY302,"E")</f>
      </c>
    </row>
    <row r="303" spans="1:54" x14ac:dyDescent="0.2">
      <c r="A303" s="84"/>
      <c r="B303" s="85"/>
      <c r="C303" s="85"/>
      <c r="D303" s="85"/>
      <c r="E303" s="86"/>
      <c r="F303" s="16">
        <f>IF(E303="","",DATEDIF(E303,$I$7,"Y"))</f>
      </c>
      <c r="G303" s="85"/>
      <c r="H303" s="85"/>
      <c r="I303" s="87"/>
      <c r="J303" s="85"/>
      <c r="K303" s="85"/>
      <c r="L303" s="10"/>
      <c r="M303" s="10"/>
      <c r="N303" s="10"/>
      <c r="O303" s="10"/>
      <c r="P303" s="85"/>
      <c r="Q303" s="88"/>
      <c r="R303" s="3">
        <f>IFERROR(VLOOKUP(TablaDiciembre[[#This Row],[BARRIO]],SECTOR!$A:$B,2,0),"")</f>
      </c>
      <c r="S303" s="89"/>
      <c r="T303" s="90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6"/>
      <c r="AZ303" s="120">
        <f>COUNTIF(U303:AY303,"A")</f>
      </c>
      <c r="BA303" s="121">
        <f>COUNTIF(U303:AY303,"F")</f>
      </c>
      <c r="BB303" s="119">
        <f>COUNTIF(U303:AY303,"E")</f>
      </c>
    </row>
    <row r="304" spans="1:54" x14ac:dyDescent="0.2">
      <c r="A304" s="84"/>
      <c r="B304" s="85"/>
      <c r="C304" s="85"/>
      <c r="D304" s="85"/>
      <c r="E304" s="86"/>
      <c r="F304" s="16">
        <f>IF(E304="","",DATEDIF(E304,$I$7,"Y"))</f>
      </c>
      <c r="G304" s="85"/>
      <c r="H304" s="85"/>
      <c r="I304" s="87"/>
      <c r="J304" s="85"/>
      <c r="K304" s="85"/>
      <c r="L304" s="10"/>
      <c r="M304" s="10"/>
      <c r="N304" s="10"/>
      <c r="O304" s="10"/>
      <c r="P304" s="85"/>
      <c r="Q304" s="88"/>
      <c r="R304" s="3">
        <f>IFERROR(VLOOKUP(TablaDiciembre[[#This Row],[BARRIO]],SECTOR!$A:$B,2,0),"")</f>
      </c>
      <c r="S304" s="89"/>
      <c r="T304" s="90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6"/>
      <c r="AZ304" s="120">
        <f>COUNTIF(U304:AY304,"A")</f>
      </c>
      <c r="BA304" s="121">
        <f>COUNTIF(U304:AY304,"F")</f>
      </c>
      <c r="BB304" s="119">
        <f>COUNTIF(U304:AY304,"E")</f>
      </c>
    </row>
    <row r="305" spans="1:54" x14ac:dyDescent="0.2">
      <c r="A305" s="84"/>
      <c r="B305" s="85"/>
      <c r="C305" s="85"/>
      <c r="D305" s="85"/>
      <c r="E305" s="86"/>
      <c r="F305" s="16">
        <f>IF(E305="","",DATEDIF(E305,$I$7,"Y"))</f>
      </c>
      <c r="G305" s="85"/>
      <c r="H305" s="85"/>
      <c r="I305" s="87"/>
      <c r="J305" s="85"/>
      <c r="K305" s="85"/>
      <c r="L305" s="10"/>
      <c r="M305" s="10"/>
      <c r="N305" s="10"/>
      <c r="O305" s="10"/>
      <c r="P305" s="85"/>
      <c r="Q305" s="88"/>
      <c r="R305" s="3">
        <f>IFERROR(VLOOKUP(TablaDiciembre[[#This Row],[BARRIO]],SECTOR!$A:$B,2,0),"")</f>
      </c>
      <c r="S305" s="89"/>
      <c r="T305" s="90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6"/>
      <c r="AZ305" s="120">
        <f>COUNTIF(U305:AY305,"A")</f>
      </c>
      <c r="BA305" s="121">
        <f>COUNTIF(U305:AY305,"F")</f>
      </c>
      <c r="BB305" s="119">
        <f>COUNTIF(U305:AY305,"E")</f>
      </c>
    </row>
    <row r="306" spans="1:54" x14ac:dyDescent="0.2">
      <c r="A306" s="84"/>
      <c r="B306" s="85"/>
      <c r="C306" s="85"/>
      <c r="D306" s="85"/>
      <c r="E306" s="86"/>
      <c r="F306" s="16">
        <f>IF(E306="","",DATEDIF(E306,$I$7,"Y"))</f>
      </c>
      <c r="G306" s="85"/>
      <c r="H306" s="85"/>
      <c r="I306" s="87"/>
      <c r="J306" s="85"/>
      <c r="K306" s="85"/>
      <c r="L306" s="10"/>
      <c r="M306" s="10"/>
      <c r="N306" s="10"/>
      <c r="O306" s="10"/>
      <c r="P306" s="85"/>
      <c r="Q306" s="88"/>
      <c r="R306" s="3">
        <f>IFERROR(VLOOKUP(TablaDiciembre[[#This Row],[BARRIO]],SECTOR!$A:$B,2,0),"")</f>
      </c>
      <c r="S306" s="89"/>
      <c r="T306" s="90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6"/>
      <c r="AZ306" s="120">
        <f>COUNTIF(U306:AY306,"A")</f>
      </c>
      <c r="BA306" s="121">
        <f>COUNTIF(U306:AY306,"F")</f>
      </c>
      <c r="BB306" s="119">
        <f>COUNTIF(U306:AY306,"E")</f>
      </c>
    </row>
    <row r="307" spans="1:54" x14ac:dyDescent="0.2">
      <c r="A307" s="84"/>
      <c r="B307" s="85"/>
      <c r="C307" s="85"/>
      <c r="D307" s="85"/>
      <c r="E307" s="86"/>
      <c r="F307" s="16">
        <f>IF(E307="","",DATEDIF(E307,$I$7,"Y"))</f>
      </c>
      <c r="G307" s="85"/>
      <c r="H307" s="85"/>
      <c r="I307" s="87"/>
      <c r="J307" s="85"/>
      <c r="K307" s="85"/>
      <c r="L307" s="10"/>
      <c r="M307" s="10"/>
      <c r="N307" s="10"/>
      <c r="O307" s="10"/>
      <c r="P307" s="85"/>
      <c r="Q307" s="88"/>
      <c r="R307" s="3">
        <f>IFERROR(VLOOKUP(TablaDiciembre[[#This Row],[BARRIO]],SECTOR!$A:$B,2,0),"")</f>
      </c>
      <c r="S307" s="89"/>
      <c r="T307" s="90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6"/>
      <c r="AZ307" s="120">
        <f>COUNTIF(U307:AY307,"A")</f>
      </c>
      <c r="BA307" s="121">
        <f>COUNTIF(U307:AY307,"F")</f>
      </c>
      <c r="BB307" s="119">
        <f>COUNTIF(U307:AY307,"E")</f>
      </c>
    </row>
    <row r="308" spans="1:54" x14ac:dyDescent="0.2">
      <c r="A308" s="84"/>
      <c r="B308" s="85"/>
      <c r="C308" s="85"/>
      <c r="D308" s="85"/>
      <c r="E308" s="86"/>
      <c r="F308" s="16">
        <f>IF(E308="","",DATEDIF(E308,$I$7,"Y"))</f>
      </c>
      <c r="G308" s="85"/>
      <c r="H308" s="85"/>
      <c r="I308" s="87"/>
      <c r="J308" s="85"/>
      <c r="K308" s="85"/>
      <c r="L308" s="10"/>
      <c r="M308" s="10"/>
      <c r="N308" s="10"/>
      <c r="O308" s="10"/>
      <c r="P308" s="85"/>
      <c r="Q308" s="88"/>
      <c r="R308" s="3">
        <f>IFERROR(VLOOKUP(TablaDiciembre[[#This Row],[BARRIO]],SECTOR!$A:$B,2,0),"")</f>
      </c>
      <c r="S308" s="89"/>
      <c r="T308" s="90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6"/>
      <c r="AZ308" s="120">
        <f>COUNTIF(U308:AY308,"A")</f>
      </c>
      <c r="BA308" s="121">
        <f>COUNTIF(U308:AY308,"F")</f>
      </c>
      <c r="BB308" s="119">
        <f>COUNTIF(U308:AY308,"E")</f>
      </c>
    </row>
    <row r="309" spans="1:54" x14ac:dyDescent="0.2">
      <c r="A309" s="84"/>
      <c r="B309" s="85"/>
      <c r="C309" s="85"/>
      <c r="D309" s="85"/>
      <c r="E309" s="86"/>
      <c r="F309" s="16">
        <f>IF(E309="","",DATEDIF(E309,$I$7,"Y"))</f>
      </c>
      <c r="G309" s="85"/>
      <c r="H309" s="85"/>
      <c r="I309" s="87"/>
      <c r="J309" s="85"/>
      <c r="K309" s="85"/>
      <c r="L309" s="10"/>
      <c r="M309" s="10"/>
      <c r="N309" s="10"/>
      <c r="O309" s="10"/>
      <c r="P309" s="85"/>
      <c r="Q309" s="88"/>
      <c r="R309" s="3">
        <f>IFERROR(VLOOKUP(TablaDiciembre[[#This Row],[BARRIO]],SECTOR!$A:$B,2,0),"")</f>
      </c>
      <c r="S309" s="89"/>
      <c r="T309" s="90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6"/>
      <c r="AZ309" s="120">
        <f>COUNTIF(U309:AY309,"A")</f>
      </c>
      <c r="BA309" s="121">
        <f>COUNTIF(U309:AY309,"F")</f>
      </c>
      <c r="BB309" s="119">
        <f>COUNTIF(U309:AY309,"E")</f>
      </c>
    </row>
    <row r="310" spans="1:54" x14ac:dyDescent="0.2">
      <c r="A310" s="84"/>
      <c r="B310" s="85"/>
      <c r="C310" s="85"/>
      <c r="D310" s="85"/>
      <c r="E310" s="86"/>
      <c r="F310" s="16">
        <f>IF(E310="","",DATEDIF(E310,$I$7,"Y"))</f>
      </c>
      <c r="G310" s="85"/>
      <c r="H310" s="85"/>
      <c r="I310" s="87"/>
      <c r="J310" s="85"/>
      <c r="K310" s="85"/>
      <c r="L310" s="10"/>
      <c r="M310" s="10"/>
      <c r="N310" s="10"/>
      <c r="O310" s="10"/>
      <c r="P310" s="85"/>
      <c r="Q310" s="88"/>
      <c r="R310" s="3">
        <f>IFERROR(VLOOKUP(TablaDiciembre[[#This Row],[BARRIO]],SECTOR!$A:$B,2,0),"")</f>
      </c>
      <c r="S310" s="89"/>
      <c r="T310" s="90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6"/>
      <c r="AZ310" s="120">
        <f>COUNTIF(U310:AY310,"A")</f>
      </c>
      <c r="BA310" s="121">
        <f>COUNTIF(U310:AY310,"F")</f>
      </c>
      <c r="BB310" s="119">
        <f>COUNTIF(U310:AY310,"E")</f>
      </c>
    </row>
    <row r="311" spans="1:54" x14ac:dyDescent="0.2">
      <c r="A311" s="84"/>
      <c r="B311" s="85"/>
      <c r="C311" s="85"/>
      <c r="D311" s="85"/>
      <c r="E311" s="86"/>
      <c r="F311" s="16">
        <f>IF(E311="","",DATEDIF(E311,$I$7,"Y"))</f>
      </c>
      <c r="G311" s="85"/>
      <c r="H311" s="85"/>
      <c r="I311" s="87"/>
      <c r="J311" s="85"/>
      <c r="K311" s="85"/>
      <c r="L311" s="10"/>
      <c r="M311" s="10"/>
      <c r="N311" s="10"/>
      <c r="O311" s="10"/>
      <c r="P311" s="85"/>
      <c r="Q311" s="88"/>
      <c r="R311" s="3">
        <f>IFERROR(VLOOKUP(TablaDiciembre[[#This Row],[BARRIO]],SECTOR!$A:$B,2,0),"")</f>
      </c>
      <c r="S311" s="89"/>
      <c r="T311" s="90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6"/>
      <c r="AZ311" s="120">
        <f>COUNTIF(U311:AY311,"A")</f>
      </c>
      <c r="BA311" s="121">
        <f>COUNTIF(U311:AY311,"F")</f>
      </c>
      <c r="BB311" s="119">
        <f>COUNTIF(U311:AY311,"E")</f>
      </c>
    </row>
    <row r="312" spans="1:54" x14ac:dyDescent="0.2">
      <c r="A312" s="84"/>
      <c r="B312" s="85"/>
      <c r="C312" s="85"/>
      <c r="D312" s="85"/>
      <c r="E312" s="86"/>
      <c r="F312" s="16">
        <f>IF(E312="","",DATEDIF(E312,$I$7,"Y"))</f>
      </c>
      <c r="G312" s="85"/>
      <c r="H312" s="85"/>
      <c r="I312" s="87"/>
      <c r="J312" s="85"/>
      <c r="K312" s="85"/>
      <c r="L312" s="10"/>
      <c r="M312" s="10"/>
      <c r="N312" s="10"/>
      <c r="O312" s="10"/>
      <c r="P312" s="85"/>
      <c r="Q312" s="88"/>
      <c r="R312" s="3">
        <f>IFERROR(VLOOKUP(TablaDiciembre[[#This Row],[BARRIO]],SECTOR!$A:$B,2,0),"")</f>
      </c>
      <c r="S312" s="89"/>
      <c r="T312" s="90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6"/>
      <c r="AZ312" s="120">
        <f>COUNTIF(U312:AY312,"A")</f>
      </c>
      <c r="BA312" s="121">
        <f>COUNTIF(U312:AY312,"F")</f>
      </c>
      <c r="BB312" s="119">
        <f>COUNTIF(U312:AY312,"E")</f>
      </c>
    </row>
    <row r="313" spans="1:54" x14ac:dyDescent="0.2">
      <c r="A313" s="84"/>
      <c r="B313" s="85"/>
      <c r="C313" s="85"/>
      <c r="D313" s="85"/>
      <c r="E313" s="86"/>
      <c r="F313" s="16">
        <f>IF(E313="","",DATEDIF(E313,$I$7,"Y"))</f>
      </c>
      <c r="G313" s="85"/>
      <c r="H313" s="85"/>
      <c r="I313" s="87"/>
      <c r="J313" s="85"/>
      <c r="K313" s="85"/>
      <c r="L313" s="10"/>
      <c r="M313" s="10"/>
      <c r="N313" s="10"/>
      <c r="O313" s="10"/>
      <c r="P313" s="85"/>
      <c r="Q313" s="88"/>
      <c r="R313" s="3">
        <f>IFERROR(VLOOKUP(TablaDiciembre[[#This Row],[BARRIO]],SECTOR!$A:$B,2,0),"")</f>
      </c>
      <c r="S313" s="89"/>
      <c r="T313" s="90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6"/>
      <c r="AZ313" s="120">
        <f>COUNTIF(U313:AY313,"A")</f>
      </c>
      <c r="BA313" s="121">
        <f>COUNTIF(U313:AY313,"F")</f>
      </c>
      <c r="BB313" s="119">
        <f>COUNTIF(U313:AY313,"E")</f>
      </c>
    </row>
    <row r="314" spans="1:54" x14ac:dyDescent="0.2">
      <c r="A314" s="84"/>
      <c r="B314" s="85"/>
      <c r="C314" s="85"/>
      <c r="D314" s="85"/>
      <c r="E314" s="86"/>
      <c r="F314" s="16">
        <f>IF(E314="","",DATEDIF(E314,$I$7,"Y"))</f>
      </c>
      <c r="G314" s="85"/>
      <c r="H314" s="85"/>
      <c r="I314" s="87"/>
      <c r="J314" s="85"/>
      <c r="K314" s="85"/>
      <c r="L314" s="10"/>
      <c r="M314" s="10"/>
      <c r="N314" s="10"/>
      <c r="O314" s="10"/>
      <c r="P314" s="85"/>
      <c r="Q314" s="88"/>
      <c r="R314" s="3">
        <f>IFERROR(VLOOKUP(TablaDiciembre[[#This Row],[BARRIO]],SECTOR!$A:$B,2,0),"")</f>
      </c>
      <c r="S314" s="89"/>
      <c r="T314" s="90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6"/>
      <c r="AZ314" s="120">
        <f>COUNTIF(U314:AY314,"A")</f>
      </c>
      <c r="BA314" s="121">
        <f>COUNTIF(U314:AY314,"F")</f>
      </c>
      <c r="BB314" s="119">
        <f>COUNTIF(U314:AY314,"E")</f>
      </c>
    </row>
    <row r="315" spans="1:54" x14ac:dyDescent="0.2">
      <c r="A315" s="84"/>
      <c r="B315" s="85"/>
      <c r="C315" s="85"/>
      <c r="D315" s="85"/>
      <c r="E315" s="86"/>
      <c r="F315" s="16">
        <f>IF(E315="","",DATEDIF(E315,$I$7,"Y"))</f>
      </c>
      <c r="G315" s="85"/>
      <c r="H315" s="85"/>
      <c r="I315" s="87"/>
      <c r="J315" s="85"/>
      <c r="K315" s="85"/>
      <c r="L315" s="10"/>
      <c r="M315" s="10"/>
      <c r="N315" s="10"/>
      <c r="O315" s="10"/>
      <c r="P315" s="85"/>
      <c r="Q315" s="88"/>
      <c r="R315" s="3">
        <f>IFERROR(VLOOKUP(TablaDiciembre[[#This Row],[BARRIO]],SECTOR!$A:$B,2,0),"")</f>
      </c>
      <c r="S315" s="89"/>
      <c r="T315" s="90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6"/>
      <c r="AZ315" s="120">
        <f>COUNTIF(U315:AY315,"A")</f>
      </c>
      <c r="BA315" s="121">
        <f>COUNTIF(U315:AY315,"F")</f>
      </c>
      <c r="BB315" s="119">
        <f>COUNTIF(U315:AY315,"E")</f>
      </c>
    </row>
    <row r="316" spans="1:54" x14ac:dyDescent="0.2">
      <c r="A316" s="84"/>
      <c r="B316" s="85"/>
      <c r="C316" s="85"/>
      <c r="D316" s="85"/>
      <c r="E316" s="86"/>
      <c r="F316" s="16">
        <f>IF(E316="","",DATEDIF(E316,$I$7,"Y"))</f>
      </c>
      <c r="G316" s="85"/>
      <c r="H316" s="85"/>
      <c r="I316" s="87"/>
      <c r="J316" s="85"/>
      <c r="K316" s="85"/>
      <c r="L316" s="10"/>
      <c r="M316" s="10"/>
      <c r="N316" s="10"/>
      <c r="O316" s="10"/>
      <c r="P316" s="85"/>
      <c r="Q316" s="88"/>
      <c r="R316" s="3">
        <f>IFERROR(VLOOKUP(TablaDiciembre[[#This Row],[BARRIO]],SECTOR!$A:$B,2,0),"")</f>
      </c>
      <c r="S316" s="89"/>
      <c r="T316" s="90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6"/>
      <c r="AZ316" s="120">
        <f>COUNTIF(U316:AY316,"A")</f>
      </c>
      <c r="BA316" s="121">
        <f>COUNTIF(U316:AY316,"F")</f>
      </c>
      <c r="BB316" s="119">
        <f>COUNTIF(U316:AY316,"E")</f>
      </c>
    </row>
    <row r="317" spans="1:54" x14ac:dyDescent="0.2">
      <c r="A317" s="84"/>
      <c r="B317" s="85"/>
      <c r="C317" s="85"/>
      <c r="D317" s="85"/>
      <c r="E317" s="86"/>
      <c r="F317" s="16">
        <f>IF(E317="","",DATEDIF(E317,$I$7,"Y"))</f>
      </c>
      <c r="G317" s="85"/>
      <c r="H317" s="85"/>
      <c r="I317" s="87"/>
      <c r="J317" s="85"/>
      <c r="K317" s="85"/>
      <c r="L317" s="10"/>
      <c r="M317" s="10"/>
      <c r="N317" s="10"/>
      <c r="O317" s="10"/>
      <c r="P317" s="85"/>
      <c r="Q317" s="88"/>
      <c r="R317" s="3">
        <f>IFERROR(VLOOKUP(TablaDiciembre[[#This Row],[BARRIO]],SECTOR!$A:$B,2,0),"")</f>
      </c>
      <c r="S317" s="89"/>
      <c r="T317" s="90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6"/>
      <c r="AZ317" s="120">
        <f>COUNTIF(U317:AY317,"A")</f>
      </c>
      <c r="BA317" s="121">
        <f>COUNTIF(U317:AY317,"F")</f>
      </c>
      <c r="BB317" s="119">
        <f>COUNTIF(U317:AY317,"E")</f>
      </c>
    </row>
    <row r="318" spans="1:54" x14ac:dyDescent="0.2">
      <c r="A318" s="84"/>
      <c r="B318" s="85"/>
      <c r="C318" s="85"/>
      <c r="D318" s="85"/>
      <c r="E318" s="86"/>
      <c r="F318" s="16">
        <f>IF(E318="","",DATEDIF(E318,$I$7,"Y"))</f>
      </c>
      <c r="G318" s="85"/>
      <c r="H318" s="85"/>
      <c r="I318" s="87"/>
      <c r="J318" s="85"/>
      <c r="K318" s="85"/>
      <c r="L318" s="10"/>
      <c r="M318" s="10"/>
      <c r="N318" s="10"/>
      <c r="O318" s="10"/>
      <c r="P318" s="85"/>
      <c r="Q318" s="88"/>
      <c r="R318" s="3">
        <f>IFERROR(VLOOKUP(TablaDiciembre[[#This Row],[BARRIO]],SECTOR!$A:$B,2,0),"")</f>
      </c>
      <c r="S318" s="89"/>
      <c r="T318" s="90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6"/>
      <c r="AZ318" s="120">
        <f>COUNTIF(U318:AY318,"A")</f>
      </c>
      <c r="BA318" s="121">
        <f>COUNTIF(U318:AY318,"F")</f>
      </c>
      <c r="BB318" s="119">
        <f>COUNTIF(U318:AY318,"E")</f>
      </c>
    </row>
    <row r="319" spans="1:54" x14ac:dyDescent="0.2">
      <c r="A319" s="84"/>
      <c r="B319" s="85"/>
      <c r="C319" s="85"/>
      <c r="D319" s="85"/>
      <c r="E319" s="86"/>
      <c r="F319" s="16">
        <f>IF(E319="","",DATEDIF(E319,$I$7,"Y"))</f>
      </c>
      <c r="G319" s="85"/>
      <c r="H319" s="85"/>
      <c r="I319" s="87"/>
      <c r="J319" s="85"/>
      <c r="K319" s="85"/>
      <c r="L319" s="10"/>
      <c r="M319" s="10"/>
      <c r="N319" s="10"/>
      <c r="O319" s="10"/>
      <c r="P319" s="85"/>
      <c r="Q319" s="88"/>
      <c r="R319" s="3">
        <f>IFERROR(VLOOKUP(TablaDiciembre[[#This Row],[BARRIO]],SECTOR!$A:$B,2,0),"")</f>
      </c>
      <c r="S319" s="89"/>
      <c r="T319" s="90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6"/>
      <c r="AZ319" s="120">
        <f>COUNTIF(U319:AY319,"A")</f>
      </c>
      <c r="BA319" s="121">
        <f>COUNTIF(U319:AY319,"F")</f>
      </c>
      <c r="BB319" s="119">
        <f>COUNTIF(U319:AY319,"E")</f>
      </c>
    </row>
    <row r="320" spans="1:54" x14ac:dyDescent="0.2">
      <c r="A320" s="84"/>
      <c r="B320" s="85"/>
      <c r="C320" s="85"/>
      <c r="D320" s="85"/>
      <c r="E320" s="86"/>
      <c r="F320" s="16">
        <f>IF(E320="","",DATEDIF(E320,$I$7,"Y"))</f>
      </c>
      <c r="G320" s="85"/>
      <c r="H320" s="85"/>
      <c r="I320" s="87"/>
      <c r="J320" s="85"/>
      <c r="K320" s="85"/>
      <c r="L320" s="10"/>
      <c r="M320" s="10"/>
      <c r="N320" s="10"/>
      <c r="O320" s="10"/>
      <c r="P320" s="85"/>
      <c r="Q320" s="88"/>
      <c r="R320" s="3">
        <f>IFERROR(VLOOKUP(TablaDiciembre[[#This Row],[BARRIO]],SECTOR!$A:$B,2,0),"")</f>
      </c>
      <c r="S320" s="89"/>
      <c r="T320" s="90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6"/>
      <c r="AZ320" s="120">
        <f>COUNTIF(U320:AY320,"A")</f>
      </c>
      <c r="BA320" s="121">
        <f>COUNTIF(U320:AY320,"F")</f>
      </c>
      <c r="BB320" s="119">
        <f>COUNTIF(U320:AY320,"E")</f>
      </c>
    </row>
    <row r="321" spans="1:54" x14ac:dyDescent="0.2">
      <c r="A321" s="84"/>
      <c r="B321" s="85"/>
      <c r="C321" s="85"/>
      <c r="D321" s="85"/>
      <c r="E321" s="86"/>
      <c r="F321" s="16">
        <f>IF(E321="","",DATEDIF(E321,$I$7,"Y"))</f>
      </c>
      <c r="G321" s="85"/>
      <c r="H321" s="85"/>
      <c r="I321" s="87"/>
      <c r="J321" s="85"/>
      <c r="K321" s="85"/>
      <c r="L321" s="10"/>
      <c r="M321" s="10"/>
      <c r="N321" s="10"/>
      <c r="O321" s="10"/>
      <c r="P321" s="85"/>
      <c r="Q321" s="88"/>
      <c r="R321" s="3">
        <f>IFERROR(VLOOKUP(TablaDiciembre[[#This Row],[BARRIO]],SECTOR!$A:$B,2,0),"")</f>
      </c>
      <c r="S321" s="89"/>
      <c r="T321" s="90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6"/>
      <c r="AZ321" s="120">
        <f>COUNTIF(U321:AY321,"A")</f>
      </c>
      <c r="BA321" s="121">
        <f>COUNTIF(U321:AY321,"F")</f>
      </c>
      <c r="BB321" s="119">
        <f>COUNTIF(U321:AY321,"E")</f>
      </c>
    </row>
    <row r="322" spans="1:54" x14ac:dyDescent="0.2">
      <c r="A322" s="84"/>
      <c r="B322" s="85"/>
      <c r="C322" s="85"/>
      <c r="D322" s="85"/>
      <c r="E322" s="86"/>
      <c r="F322" s="16">
        <f>IF(E322="","",DATEDIF(E322,$I$7,"Y"))</f>
      </c>
      <c r="G322" s="85"/>
      <c r="H322" s="85"/>
      <c r="I322" s="87"/>
      <c r="J322" s="85"/>
      <c r="K322" s="85"/>
      <c r="L322" s="10"/>
      <c r="M322" s="10"/>
      <c r="N322" s="10"/>
      <c r="O322" s="10"/>
      <c r="P322" s="85"/>
      <c r="Q322" s="88"/>
      <c r="R322" s="3">
        <f>IFERROR(VLOOKUP(TablaDiciembre[[#This Row],[BARRIO]],SECTOR!$A:$B,2,0),"")</f>
      </c>
      <c r="S322" s="89"/>
      <c r="T322" s="90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6"/>
      <c r="AZ322" s="120">
        <f>COUNTIF(U322:AY322,"A")</f>
      </c>
      <c r="BA322" s="121">
        <f>COUNTIF(U322:AY322,"F")</f>
      </c>
      <c r="BB322" s="119">
        <f>COUNTIF(U322:AY322,"E")</f>
      </c>
    </row>
    <row r="323" spans="1:54" x14ac:dyDescent="0.2">
      <c r="A323" s="84"/>
      <c r="B323" s="85"/>
      <c r="C323" s="85"/>
      <c r="D323" s="85"/>
      <c r="E323" s="86"/>
      <c r="F323" s="16">
        <f>IF(E323="","",DATEDIF(E323,$I$7,"Y"))</f>
      </c>
      <c r="G323" s="85"/>
      <c r="H323" s="85"/>
      <c r="I323" s="87"/>
      <c r="J323" s="85"/>
      <c r="K323" s="85"/>
      <c r="L323" s="10"/>
      <c r="M323" s="10"/>
      <c r="N323" s="10"/>
      <c r="O323" s="10"/>
      <c r="P323" s="85"/>
      <c r="Q323" s="88"/>
      <c r="R323" s="3">
        <f>IFERROR(VLOOKUP(TablaDiciembre[[#This Row],[BARRIO]],SECTOR!$A:$B,2,0),"")</f>
      </c>
      <c r="S323" s="89"/>
      <c r="T323" s="90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6"/>
      <c r="AZ323" s="120">
        <f>COUNTIF(U323:AY323,"A")</f>
      </c>
      <c r="BA323" s="121">
        <f>COUNTIF(U323:AY323,"F")</f>
      </c>
      <c r="BB323" s="119">
        <f>COUNTIF(U323:AY323,"E")</f>
      </c>
    </row>
    <row r="324" spans="1:54" x14ac:dyDescent="0.2">
      <c r="A324" s="84"/>
      <c r="B324" s="85"/>
      <c r="C324" s="85"/>
      <c r="D324" s="85"/>
      <c r="E324" s="86"/>
      <c r="F324" s="16">
        <f>IF(E324="","",DATEDIF(E324,$I$7,"Y"))</f>
      </c>
      <c r="G324" s="85"/>
      <c r="H324" s="85"/>
      <c r="I324" s="87"/>
      <c r="J324" s="85"/>
      <c r="K324" s="85"/>
      <c r="L324" s="10"/>
      <c r="M324" s="10"/>
      <c r="N324" s="10"/>
      <c r="O324" s="10"/>
      <c r="P324" s="85"/>
      <c r="Q324" s="88"/>
      <c r="R324" s="3">
        <f>IFERROR(VLOOKUP(TablaDiciembre[[#This Row],[BARRIO]],SECTOR!$A:$B,2,0),"")</f>
      </c>
      <c r="S324" s="89"/>
      <c r="T324" s="90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6"/>
      <c r="AZ324" s="120">
        <f>COUNTIF(U324:AY324,"A")</f>
      </c>
      <c r="BA324" s="121">
        <f>COUNTIF(U324:AY324,"F")</f>
      </c>
      <c r="BB324" s="119">
        <f>COUNTIF(U324:AY324,"E")</f>
      </c>
    </row>
    <row r="325" spans="1:54" x14ac:dyDescent="0.2">
      <c r="A325" s="84"/>
      <c r="B325" s="85"/>
      <c r="C325" s="85"/>
      <c r="D325" s="85"/>
      <c r="E325" s="86"/>
      <c r="F325" s="16">
        <f>IF(E325="","",DATEDIF(E325,$I$7,"Y"))</f>
      </c>
      <c r="G325" s="85"/>
      <c r="H325" s="85"/>
      <c r="I325" s="87"/>
      <c r="J325" s="85"/>
      <c r="K325" s="85"/>
      <c r="L325" s="10"/>
      <c r="M325" s="10"/>
      <c r="N325" s="10"/>
      <c r="O325" s="10"/>
      <c r="P325" s="85"/>
      <c r="Q325" s="88"/>
      <c r="R325" s="3">
        <f>IFERROR(VLOOKUP(TablaDiciembre[[#This Row],[BARRIO]],SECTOR!$A:$B,2,0),"")</f>
      </c>
      <c r="S325" s="89"/>
      <c r="T325" s="90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6"/>
      <c r="AZ325" s="120">
        <f>COUNTIF(U325:AY325,"A")</f>
      </c>
      <c r="BA325" s="121">
        <f>COUNTIF(U325:AY325,"F")</f>
      </c>
      <c r="BB325" s="119">
        <f>COUNTIF(U325:AY325,"E")</f>
      </c>
    </row>
    <row r="326" spans="1:54" x14ac:dyDescent="0.2">
      <c r="A326" s="84"/>
      <c r="B326" s="85"/>
      <c r="C326" s="85"/>
      <c r="D326" s="85"/>
      <c r="E326" s="86"/>
      <c r="F326" s="16">
        <f>IF(E326="","",DATEDIF(E326,$I$7,"Y"))</f>
      </c>
      <c r="G326" s="85"/>
      <c r="H326" s="85"/>
      <c r="I326" s="87"/>
      <c r="J326" s="85"/>
      <c r="K326" s="85"/>
      <c r="L326" s="10"/>
      <c r="M326" s="10"/>
      <c r="N326" s="10"/>
      <c r="O326" s="10"/>
      <c r="P326" s="85"/>
      <c r="Q326" s="88"/>
      <c r="R326" s="3">
        <f>IFERROR(VLOOKUP(TablaDiciembre[[#This Row],[BARRIO]],SECTOR!$A:$B,2,0),"")</f>
      </c>
      <c r="S326" s="89"/>
      <c r="T326" s="90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6"/>
      <c r="AZ326" s="120">
        <f>COUNTIF(U326:AY326,"A")</f>
      </c>
      <c r="BA326" s="121">
        <f>COUNTIF(U326:AY326,"F")</f>
      </c>
      <c r="BB326" s="119">
        <f>COUNTIF(U326:AY326,"E")</f>
      </c>
    </row>
    <row r="327" spans="1:54" x14ac:dyDescent="0.2">
      <c r="A327" s="84"/>
      <c r="B327" s="85"/>
      <c r="C327" s="85"/>
      <c r="D327" s="85"/>
      <c r="E327" s="86"/>
      <c r="F327" s="16">
        <f>IF(E327="","",DATEDIF(E327,$I$7,"Y"))</f>
      </c>
      <c r="G327" s="85"/>
      <c r="H327" s="85"/>
      <c r="I327" s="87"/>
      <c r="J327" s="85"/>
      <c r="K327" s="85"/>
      <c r="L327" s="10"/>
      <c r="M327" s="10"/>
      <c r="N327" s="10"/>
      <c r="O327" s="10"/>
      <c r="P327" s="85"/>
      <c r="Q327" s="88"/>
      <c r="R327" s="3">
        <f>IFERROR(VLOOKUP(TablaDiciembre[[#This Row],[BARRIO]],SECTOR!$A:$B,2,0),"")</f>
      </c>
      <c r="S327" s="89"/>
      <c r="T327" s="90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6"/>
      <c r="AZ327" s="120">
        <f>COUNTIF(U327:AY327,"A")</f>
      </c>
      <c r="BA327" s="121">
        <f>COUNTIF(U327:AY327,"F")</f>
      </c>
      <c r="BB327" s="119">
        <f>COUNTIF(U327:AY327,"E")</f>
      </c>
    </row>
    <row r="328" spans="1:54" x14ac:dyDescent="0.2">
      <c r="A328" s="84"/>
      <c r="B328" s="85"/>
      <c r="C328" s="85"/>
      <c r="D328" s="85"/>
      <c r="E328" s="86"/>
      <c r="F328" s="16">
        <f>IF(E328="","",DATEDIF(E328,$I$7,"Y"))</f>
      </c>
      <c r="G328" s="85"/>
      <c r="H328" s="85"/>
      <c r="I328" s="87"/>
      <c r="J328" s="85"/>
      <c r="K328" s="85"/>
      <c r="L328" s="10"/>
      <c r="M328" s="10"/>
      <c r="N328" s="10"/>
      <c r="O328" s="10"/>
      <c r="P328" s="85"/>
      <c r="Q328" s="88"/>
      <c r="R328" s="3">
        <f>IFERROR(VLOOKUP(TablaDiciembre[[#This Row],[BARRIO]],SECTOR!$A:$B,2,0),"")</f>
      </c>
      <c r="S328" s="89"/>
      <c r="T328" s="90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6"/>
      <c r="AZ328" s="120">
        <f>COUNTIF(U328:AY328,"A")</f>
      </c>
      <c r="BA328" s="121">
        <f>COUNTIF(U328:AY328,"F")</f>
      </c>
      <c r="BB328" s="119">
        <f>COUNTIF(U328:AY328,"E")</f>
      </c>
    </row>
    <row r="329" spans="1:54" x14ac:dyDescent="0.2">
      <c r="A329" s="84"/>
      <c r="B329" s="85"/>
      <c r="C329" s="85"/>
      <c r="D329" s="85"/>
      <c r="E329" s="86"/>
      <c r="F329" s="16">
        <f>IF(E329="","",DATEDIF(E329,$I$7,"Y"))</f>
      </c>
      <c r="G329" s="85"/>
      <c r="H329" s="85"/>
      <c r="I329" s="87"/>
      <c r="J329" s="85"/>
      <c r="K329" s="85"/>
      <c r="L329" s="10"/>
      <c r="M329" s="10"/>
      <c r="N329" s="10"/>
      <c r="O329" s="10"/>
      <c r="P329" s="85"/>
      <c r="Q329" s="88"/>
      <c r="R329" s="3">
        <f>IFERROR(VLOOKUP(TablaDiciembre[[#This Row],[BARRIO]],SECTOR!$A:$B,2,0),"")</f>
      </c>
      <c r="S329" s="89"/>
      <c r="T329" s="90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6"/>
      <c r="AZ329" s="120">
        <f>COUNTIF(U329:AY329,"A")</f>
      </c>
      <c r="BA329" s="121">
        <f>COUNTIF(U329:AY329,"F")</f>
      </c>
      <c r="BB329" s="119">
        <f>COUNTIF(U329:AY329,"E")</f>
      </c>
    </row>
    <row r="330" spans="1:54" x14ac:dyDescent="0.2">
      <c r="A330" s="84"/>
      <c r="B330" s="85"/>
      <c r="C330" s="85"/>
      <c r="D330" s="85"/>
      <c r="E330" s="86"/>
      <c r="F330" s="16">
        <f>IF(E330="","",DATEDIF(E330,$I$7,"Y"))</f>
      </c>
      <c r="G330" s="85"/>
      <c r="H330" s="85"/>
      <c r="I330" s="87"/>
      <c r="J330" s="85"/>
      <c r="K330" s="85"/>
      <c r="L330" s="10"/>
      <c r="M330" s="10"/>
      <c r="N330" s="10"/>
      <c r="O330" s="10"/>
      <c r="P330" s="85"/>
      <c r="Q330" s="88"/>
      <c r="R330" s="3">
        <f>IFERROR(VLOOKUP(TablaDiciembre[[#This Row],[BARRIO]],SECTOR!$A:$B,2,0),"")</f>
      </c>
      <c r="S330" s="89"/>
      <c r="T330" s="90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6"/>
      <c r="AZ330" s="120">
        <f>COUNTIF(U330:AY330,"A")</f>
      </c>
      <c r="BA330" s="121">
        <f>COUNTIF(U330:AY330,"F")</f>
      </c>
      <c r="BB330" s="119">
        <f>COUNTIF(U330:AY330,"E")</f>
      </c>
    </row>
    <row r="331" spans="1:54" x14ac:dyDescent="0.2">
      <c r="A331" s="84"/>
      <c r="B331" s="85"/>
      <c r="C331" s="85"/>
      <c r="D331" s="85"/>
      <c r="E331" s="86"/>
      <c r="F331" s="16">
        <f>IF(E331="","",DATEDIF(E331,$I$7,"Y"))</f>
      </c>
      <c r="G331" s="85"/>
      <c r="H331" s="85"/>
      <c r="I331" s="87"/>
      <c r="J331" s="85"/>
      <c r="K331" s="85"/>
      <c r="L331" s="10"/>
      <c r="M331" s="10"/>
      <c r="N331" s="10"/>
      <c r="O331" s="10"/>
      <c r="P331" s="85"/>
      <c r="Q331" s="88"/>
      <c r="R331" s="3">
        <f>IFERROR(VLOOKUP(TablaDiciembre[[#This Row],[BARRIO]],SECTOR!$A:$B,2,0),"")</f>
      </c>
      <c r="S331" s="89"/>
      <c r="T331" s="90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6"/>
      <c r="AZ331" s="120">
        <f>COUNTIF(U331:AY331,"A")</f>
      </c>
      <c r="BA331" s="121">
        <f>COUNTIF(U331:AY331,"F")</f>
      </c>
      <c r="BB331" s="119">
        <f>COUNTIF(U331:AY331,"E")</f>
      </c>
    </row>
    <row r="332" spans="1:54" x14ac:dyDescent="0.2">
      <c r="A332" s="84"/>
      <c r="B332" s="85"/>
      <c r="C332" s="85"/>
      <c r="D332" s="85"/>
      <c r="E332" s="86"/>
      <c r="F332" s="16">
        <f>IF(E332="","",DATEDIF(E332,$I$7,"Y"))</f>
      </c>
      <c r="G332" s="85"/>
      <c r="H332" s="85"/>
      <c r="I332" s="87"/>
      <c r="J332" s="85"/>
      <c r="K332" s="85"/>
      <c r="L332" s="10"/>
      <c r="M332" s="10"/>
      <c r="N332" s="10"/>
      <c r="O332" s="10"/>
      <c r="P332" s="85"/>
      <c r="Q332" s="88"/>
      <c r="R332" s="3">
        <f>IFERROR(VLOOKUP(TablaDiciembre[[#This Row],[BARRIO]],SECTOR!$A:$B,2,0),"")</f>
      </c>
      <c r="S332" s="89"/>
      <c r="T332" s="90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6"/>
      <c r="AZ332" s="120">
        <f>COUNTIF(U332:AY332,"A")</f>
      </c>
      <c r="BA332" s="121">
        <f>COUNTIF(U332:AY332,"F")</f>
      </c>
      <c r="BB332" s="119">
        <f>COUNTIF(U332:AY332,"E")</f>
      </c>
    </row>
    <row r="333" spans="1:54" x14ac:dyDescent="0.2">
      <c r="A333" s="84"/>
      <c r="B333" s="85"/>
      <c r="C333" s="85"/>
      <c r="D333" s="85"/>
      <c r="E333" s="86"/>
      <c r="F333" s="16">
        <f>IF(E333="","",DATEDIF(E333,$I$7,"Y"))</f>
      </c>
      <c r="G333" s="85"/>
      <c r="H333" s="85"/>
      <c r="I333" s="87"/>
      <c r="J333" s="85"/>
      <c r="K333" s="85"/>
      <c r="L333" s="10"/>
      <c r="M333" s="10"/>
      <c r="N333" s="10"/>
      <c r="O333" s="10"/>
      <c r="P333" s="85"/>
      <c r="Q333" s="88"/>
      <c r="R333" s="3">
        <f>IFERROR(VLOOKUP(TablaDiciembre[[#This Row],[BARRIO]],SECTOR!$A:$B,2,0),"")</f>
      </c>
      <c r="S333" s="89"/>
      <c r="T333" s="90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6"/>
      <c r="AZ333" s="120">
        <f>COUNTIF(U333:AY333,"A")</f>
      </c>
      <c r="BA333" s="121">
        <f>COUNTIF(U333:AY333,"F")</f>
      </c>
      <c r="BB333" s="119">
        <f>COUNTIF(U333:AY333,"E")</f>
      </c>
    </row>
    <row r="334" spans="1:54" x14ac:dyDescent="0.2">
      <c r="A334" s="84"/>
      <c r="B334" s="85"/>
      <c r="C334" s="85"/>
      <c r="D334" s="85"/>
      <c r="E334" s="86"/>
      <c r="F334" s="16">
        <f>IF(E334="","",DATEDIF(E334,$I$7,"Y"))</f>
      </c>
      <c r="G334" s="85"/>
      <c r="H334" s="85"/>
      <c r="I334" s="87"/>
      <c r="J334" s="85"/>
      <c r="K334" s="85"/>
      <c r="L334" s="10"/>
      <c r="M334" s="10"/>
      <c r="N334" s="10"/>
      <c r="O334" s="10"/>
      <c r="P334" s="85"/>
      <c r="Q334" s="88"/>
      <c r="R334" s="3">
        <f>IFERROR(VLOOKUP(TablaDiciembre[[#This Row],[BARRIO]],SECTOR!$A:$B,2,0),"")</f>
      </c>
      <c r="S334" s="89"/>
      <c r="T334" s="90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6"/>
      <c r="AZ334" s="120">
        <f>COUNTIF(U334:AY334,"A")</f>
      </c>
      <c r="BA334" s="121">
        <f>COUNTIF(U334:AY334,"F")</f>
      </c>
      <c r="BB334" s="119">
        <f>COUNTIF(U334:AY334,"E")</f>
      </c>
    </row>
    <row r="335" spans="1:54" x14ac:dyDescent="0.2">
      <c r="A335" s="84"/>
      <c r="B335" s="85"/>
      <c r="C335" s="85"/>
      <c r="D335" s="85"/>
      <c r="E335" s="86"/>
      <c r="F335" s="16">
        <f>IF(E335="","",DATEDIF(E335,$I$7,"Y"))</f>
      </c>
      <c r="G335" s="85"/>
      <c r="H335" s="85"/>
      <c r="I335" s="87"/>
      <c r="J335" s="85"/>
      <c r="K335" s="85"/>
      <c r="L335" s="10"/>
      <c r="M335" s="10"/>
      <c r="N335" s="10"/>
      <c r="O335" s="10"/>
      <c r="P335" s="85"/>
      <c r="Q335" s="88"/>
      <c r="R335" s="3">
        <f>IFERROR(VLOOKUP(TablaDiciembre[[#This Row],[BARRIO]],SECTOR!$A:$B,2,0),"")</f>
      </c>
      <c r="S335" s="89"/>
      <c r="T335" s="90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6"/>
      <c r="AZ335" s="120">
        <f>COUNTIF(U335:AY335,"A")</f>
      </c>
      <c r="BA335" s="121">
        <f>COUNTIF(U335:AY335,"F")</f>
      </c>
      <c r="BB335" s="119">
        <f>COUNTIF(U335:AY335,"E")</f>
      </c>
    </row>
    <row r="336" spans="1:54" x14ac:dyDescent="0.2">
      <c r="A336" s="84"/>
      <c r="B336" s="85"/>
      <c r="C336" s="85"/>
      <c r="D336" s="85"/>
      <c r="E336" s="86"/>
      <c r="F336" s="16">
        <f>IF(E336="","",DATEDIF(E336,$I$7,"Y"))</f>
      </c>
      <c r="G336" s="85"/>
      <c r="H336" s="85"/>
      <c r="I336" s="87"/>
      <c r="J336" s="85"/>
      <c r="K336" s="85"/>
      <c r="L336" s="10"/>
      <c r="M336" s="10"/>
      <c r="N336" s="10"/>
      <c r="O336" s="10"/>
      <c r="P336" s="85"/>
      <c r="Q336" s="88"/>
      <c r="R336" s="3">
        <f>IFERROR(VLOOKUP(TablaDiciembre[[#This Row],[BARRIO]],SECTOR!$A:$B,2,0),"")</f>
      </c>
      <c r="S336" s="89"/>
      <c r="T336" s="90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6"/>
      <c r="AZ336" s="120">
        <f>COUNTIF(U336:AY336,"A")</f>
      </c>
      <c r="BA336" s="121">
        <f>COUNTIF(U336:AY336,"F")</f>
      </c>
      <c r="BB336" s="119">
        <f>COUNTIF(U336:AY336,"E")</f>
      </c>
    </row>
    <row r="337" spans="1:54" x14ac:dyDescent="0.2">
      <c r="A337" s="84"/>
      <c r="B337" s="85"/>
      <c r="C337" s="85"/>
      <c r="D337" s="85"/>
      <c r="E337" s="86"/>
      <c r="F337" s="16">
        <f>IF(E337="","",DATEDIF(E337,$I$7,"Y"))</f>
      </c>
      <c r="G337" s="85"/>
      <c r="H337" s="85"/>
      <c r="I337" s="87"/>
      <c r="J337" s="85"/>
      <c r="K337" s="85"/>
      <c r="L337" s="10"/>
      <c r="M337" s="10"/>
      <c r="N337" s="10"/>
      <c r="O337" s="10"/>
      <c r="P337" s="85"/>
      <c r="Q337" s="88"/>
      <c r="R337" s="3">
        <f>IFERROR(VLOOKUP(TablaDiciembre[[#This Row],[BARRIO]],SECTOR!$A:$B,2,0),"")</f>
      </c>
      <c r="S337" s="89"/>
      <c r="T337" s="90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6"/>
      <c r="AZ337" s="120">
        <f>COUNTIF(U337:AY337,"A")</f>
      </c>
      <c r="BA337" s="121">
        <f>COUNTIF(U337:AY337,"F")</f>
      </c>
      <c r="BB337" s="119">
        <f>COUNTIF(U337:AY337,"E")</f>
      </c>
    </row>
    <row r="338" spans="1:54" x14ac:dyDescent="0.2">
      <c r="A338" s="84"/>
      <c r="B338" s="85"/>
      <c r="C338" s="85"/>
      <c r="D338" s="85"/>
      <c r="E338" s="86"/>
      <c r="F338" s="16">
        <f>IF(E338="","",DATEDIF(E338,$I$7,"Y"))</f>
      </c>
      <c r="G338" s="85"/>
      <c r="H338" s="85"/>
      <c r="I338" s="87"/>
      <c r="J338" s="85"/>
      <c r="K338" s="85"/>
      <c r="L338" s="10"/>
      <c r="M338" s="10"/>
      <c r="N338" s="10"/>
      <c r="O338" s="10"/>
      <c r="P338" s="85"/>
      <c r="Q338" s="88"/>
      <c r="R338" s="3">
        <f>IFERROR(VLOOKUP(TablaDiciembre[[#This Row],[BARRIO]],SECTOR!$A:$B,2,0),"")</f>
      </c>
      <c r="S338" s="89"/>
      <c r="T338" s="90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6"/>
      <c r="AZ338" s="120">
        <f>COUNTIF(U338:AY338,"A")</f>
      </c>
      <c r="BA338" s="121">
        <f>COUNTIF(U338:AY338,"F")</f>
      </c>
      <c r="BB338" s="119">
        <f>COUNTIF(U338:AY338,"E")</f>
      </c>
    </row>
    <row r="339" spans="1:54" x14ac:dyDescent="0.2">
      <c r="A339" s="84"/>
      <c r="B339" s="85"/>
      <c r="C339" s="85"/>
      <c r="D339" s="85"/>
      <c r="E339" s="86"/>
      <c r="F339" s="16">
        <f>IF(E339="","",DATEDIF(E339,$I$7,"Y"))</f>
      </c>
      <c r="G339" s="85"/>
      <c r="H339" s="85"/>
      <c r="I339" s="87"/>
      <c r="J339" s="85"/>
      <c r="K339" s="85"/>
      <c r="L339" s="10"/>
      <c r="M339" s="10"/>
      <c r="N339" s="10"/>
      <c r="O339" s="10"/>
      <c r="P339" s="85"/>
      <c r="Q339" s="88"/>
      <c r="R339" s="3">
        <f>IFERROR(VLOOKUP(TablaDiciembre[[#This Row],[BARRIO]],SECTOR!$A:$B,2,0),"")</f>
      </c>
      <c r="S339" s="89"/>
      <c r="T339" s="90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6"/>
      <c r="AZ339" s="120">
        <f>COUNTIF(U339:AY339,"A")</f>
      </c>
      <c r="BA339" s="121">
        <f>COUNTIF(U339:AY339,"F")</f>
      </c>
      <c r="BB339" s="119">
        <f>COUNTIF(U339:AY339,"E")</f>
      </c>
    </row>
    <row r="340" spans="1:54" x14ac:dyDescent="0.2">
      <c r="A340" s="84"/>
      <c r="B340" s="85"/>
      <c r="C340" s="85"/>
      <c r="D340" s="85"/>
      <c r="E340" s="86"/>
      <c r="F340" s="16">
        <f>IF(E340="","",DATEDIF(E340,$I$7,"Y"))</f>
      </c>
      <c r="G340" s="85"/>
      <c r="H340" s="85"/>
      <c r="I340" s="87"/>
      <c r="J340" s="85"/>
      <c r="K340" s="85"/>
      <c r="L340" s="10"/>
      <c r="M340" s="10"/>
      <c r="N340" s="10"/>
      <c r="O340" s="10"/>
      <c r="P340" s="85"/>
      <c r="Q340" s="88"/>
      <c r="R340" s="3">
        <f>IFERROR(VLOOKUP(TablaDiciembre[[#This Row],[BARRIO]],SECTOR!$A:$B,2,0),"")</f>
      </c>
      <c r="S340" s="89"/>
      <c r="T340" s="90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6"/>
      <c r="AZ340" s="120">
        <f>COUNTIF(U340:AY340,"A")</f>
      </c>
      <c r="BA340" s="121">
        <f>COUNTIF(U340:AY340,"F")</f>
      </c>
      <c r="BB340" s="119">
        <f>COUNTIF(U340:AY340,"E")</f>
      </c>
    </row>
    <row r="341" spans="1:54" x14ac:dyDescent="0.2">
      <c r="A341" s="84"/>
      <c r="B341" s="85"/>
      <c r="C341" s="85"/>
      <c r="D341" s="85"/>
      <c r="E341" s="86"/>
      <c r="F341" s="16">
        <f>IF(E341="","",DATEDIF(E341,$I$7,"Y"))</f>
      </c>
      <c r="G341" s="85"/>
      <c r="H341" s="85"/>
      <c r="I341" s="87"/>
      <c r="J341" s="85"/>
      <c r="K341" s="85"/>
      <c r="L341" s="10"/>
      <c r="M341" s="10"/>
      <c r="N341" s="10"/>
      <c r="O341" s="10"/>
      <c r="P341" s="85"/>
      <c r="Q341" s="88"/>
      <c r="R341" s="3">
        <f>IFERROR(VLOOKUP(TablaDiciembre[[#This Row],[BARRIO]],SECTOR!$A:$B,2,0),"")</f>
      </c>
      <c r="S341" s="89"/>
      <c r="T341" s="90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6"/>
      <c r="AZ341" s="120">
        <f>COUNTIF(U341:AY341,"A")</f>
      </c>
      <c r="BA341" s="121">
        <f>COUNTIF(U341:AY341,"F")</f>
      </c>
      <c r="BB341" s="119">
        <f>COUNTIF(U341:AY341,"E")</f>
      </c>
    </row>
    <row r="342" spans="1:54" x14ac:dyDescent="0.2">
      <c r="A342" s="84"/>
      <c r="B342" s="85"/>
      <c r="C342" s="85"/>
      <c r="D342" s="85"/>
      <c r="E342" s="86"/>
      <c r="F342" s="16">
        <f>IF(E342="","",DATEDIF(E342,$I$7,"Y"))</f>
      </c>
      <c r="G342" s="85"/>
      <c r="H342" s="85"/>
      <c r="I342" s="87"/>
      <c r="J342" s="85"/>
      <c r="K342" s="85"/>
      <c r="L342" s="10"/>
      <c r="M342" s="10"/>
      <c r="N342" s="10"/>
      <c r="O342" s="10"/>
      <c r="P342" s="85"/>
      <c r="Q342" s="88"/>
      <c r="R342" s="3">
        <f>IFERROR(VLOOKUP(TablaDiciembre[[#This Row],[BARRIO]],SECTOR!$A:$B,2,0),"")</f>
      </c>
      <c r="S342" s="89"/>
      <c r="T342" s="90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6"/>
      <c r="AZ342" s="120">
        <f>COUNTIF(U342:AY342,"A")</f>
      </c>
      <c r="BA342" s="121">
        <f>COUNTIF(U342:AY342,"F")</f>
      </c>
      <c r="BB342" s="119">
        <f>COUNTIF(U342:AY342,"E")</f>
      </c>
    </row>
    <row r="343" spans="1:54" x14ac:dyDescent="0.2">
      <c r="A343" s="84"/>
      <c r="B343" s="85"/>
      <c r="C343" s="85"/>
      <c r="D343" s="85"/>
      <c r="E343" s="86"/>
      <c r="F343" s="16">
        <f>IF(E343="","",DATEDIF(E343,$I$7,"Y"))</f>
      </c>
      <c r="G343" s="85"/>
      <c r="H343" s="85"/>
      <c r="I343" s="87"/>
      <c r="J343" s="85"/>
      <c r="K343" s="85"/>
      <c r="L343" s="10"/>
      <c r="M343" s="10"/>
      <c r="N343" s="10"/>
      <c r="O343" s="10"/>
      <c r="P343" s="85"/>
      <c r="Q343" s="88"/>
      <c r="R343" s="3">
        <f>IFERROR(VLOOKUP(TablaDiciembre[[#This Row],[BARRIO]],SECTOR!$A:$B,2,0),"")</f>
      </c>
      <c r="S343" s="89"/>
      <c r="T343" s="90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6"/>
      <c r="AZ343" s="120">
        <f>COUNTIF(U343:AY343,"A")</f>
      </c>
      <c r="BA343" s="121">
        <f>COUNTIF(U343:AY343,"F")</f>
      </c>
      <c r="BB343" s="119">
        <f>COUNTIF(U343:AY343,"E")</f>
      </c>
    </row>
    <row r="344" spans="1:54" x14ac:dyDescent="0.2">
      <c r="A344" s="84"/>
      <c r="B344" s="85"/>
      <c r="C344" s="85"/>
      <c r="D344" s="85"/>
      <c r="E344" s="86"/>
      <c r="F344" s="16">
        <f>IF(E344="","",DATEDIF(E344,$I$7,"Y"))</f>
      </c>
      <c r="G344" s="85"/>
      <c r="H344" s="85"/>
      <c r="I344" s="87"/>
      <c r="J344" s="85"/>
      <c r="K344" s="85"/>
      <c r="L344" s="10"/>
      <c r="M344" s="10"/>
      <c r="N344" s="10"/>
      <c r="O344" s="10"/>
      <c r="P344" s="85"/>
      <c r="Q344" s="88"/>
      <c r="R344" s="3">
        <f>IFERROR(VLOOKUP(TablaDiciembre[[#This Row],[BARRIO]],SECTOR!$A:$B,2,0),"")</f>
      </c>
      <c r="S344" s="89"/>
      <c r="T344" s="90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6"/>
      <c r="AZ344" s="120">
        <f>COUNTIF(U344:AY344,"A")</f>
      </c>
      <c r="BA344" s="121">
        <f>COUNTIF(U344:AY344,"F")</f>
      </c>
      <c r="BB344" s="119">
        <f>COUNTIF(U344:AY344,"E")</f>
      </c>
    </row>
    <row r="345" spans="1:54" x14ac:dyDescent="0.2">
      <c r="A345" s="84"/>
      <c r="B345" s="85"/>
      <c r="C345" s="85"/>
      <c r="D345" s="85"/>
      <c r="E345" s="86"/>
      <c r="F345" s="16">
        <f>IF(E345="","",DATEDIF(E345,$I$7,"Y"))</f>
      </c>
      <c r="G345" s="85"/>
      <c r="H345" s="85"/>
      <c r="I345" s="87"/>
      <c r="J345" s="85"/>
      <c r="K345" s="85"/>
      <c r="L345" s="10"/>
      <c r="M345" s="10"/>
      <c r="N345" s="10"/>
      <c r="O345" s="10"/>
      <c r="P345" s="85"/>
      <c r="Q345" s="88"/>
      <c r="R345" s="3">
        <f>IFERROR(VLOOKUP(TablaDiciembre[[#This Row],[BARRIO]],SECTOR!$A:$B,2,0),"")</f>
      </c>
      <c r="S345" s="89"/>
      <c r="T345" s="90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6"/>
      <c r="AZ345" s="120">
        <f>COUNTIF(U345:AY345,"A")</f>
      </c>
      <c r="BA345" s="121">
        <f>COUNTIF(U345:AY345,"F")</f>
      </c>
      <c r="BB345" s="119">
        <f>COUNTIF(U345:AY345,"E")</f>
      </c>
    </row>
    <row r="346" spans="1:54" x14ac:dyDescent="0.2">
      <c r="A346" s="84"/>
      <c r="B346" s="85"/>
      <c r="C346" s="85"/>
      <c r="D346" s="85"/>
      <c r="E346" s="86"/>
      <c r="F346" s="16">
        <f>IF(E346="","",DATEDIF(E346,$I$7,"Y"))</f>
      </c>
      <c r="G346" s="85"/>
      <c r="H346" s="85"/>
      <c r="I346" s="87"/>
      <c r="J346" s="85"/>
      <c r="K346" s="85"/>
      <c r="L346" s="10"/>
      <c r="M346" s="10"/>
      <c r="N346" s="10"/>
      <c r="O346" s="10"/>
      <c r="P346" s="85"/>
      <c r="Q346" s="88"/>
      <c r="R346" s="3">
        <f>IFERROR(VLOOKUP(TablaDiciembre[[#This Row],[BARRIO]],SECTOR!$A:$B,2,0),"")</f>
      </c>
      <c r="S346" s="89"/>
      <c r="T346" s="90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6"/>
      <c r="AZ346" s="120">
        <f>COUNTIF(U346:AY346,"A")</f>
      </c>
      <c r="BA346" s="121">
        <f>COUNTIF(U346:AY346,"F")</f>
      </c>
      <c r="BB346" s="119">
        <f>COUNTIF(U346:AY346,"E")</f>
      </c>
    </row>
    <row r="347" spans="1:54" x14ac:dyDescent="0.2">
      <c r="A347" s="84"/>
      <c r="B347" s="85"/>
      <c r="C347" s="85"/>
      <c r="D347" s="85"/>
      <c r="E347" s="86"/>
      <c r="F347" s="16">
        <f>IF(E347="","",DATEDIF(E347,$I$7,"Y"))</f>
      </c>
      <c r="G347" s="85"/>
      <c r="H347" s="85"/>
      <c r="I347" s="87"/>
      <c r="J347" s="85"/>
      <c r="K347" s="85"/>
      <c r="L347" s="10"/>
      <c r="M347" s="10"/>
      <c r="N347" s="10"/>
      <c r="O347" s="10"/>
      <c r="P347" s="85"/>
      <c r="Q347" s="88"/>
      <c r="R347" s="3">
        <f>IFERROR(VLOOKUP(TablaDiciembre[[#This Row],[BARRIO]],SECTOR!$A:$B,2,0),"")</f>
      </c>
      <c r="S347" s="89"/>
      <c r="T347" s="90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6"/>
      <c r="AZ347" s="120">
        <f>COUNTIF(U347:AY347,"A")</f>
      </c>
      <c r="BA347" s="121">
        <f>COUNTIF(U347:AY347,"F")</f>
      </c>
      <c r="BB347" s="119">
        <f>COUNTIF(U347:AY347,"E")</f>
      </c>
    </row>
    <row r="348" spans="1:54" x14ac:dyDescent="0.2">
      <c r="A348" s="84"/>
      <c r="B348" s="85"/>
      <c r="C348" s="85"/>
      <c r="D348" s="85"/>
      <c r="E348" s="86"/>
      <c r="F348" s="16">
        <f>IF(E348="","",DATEDIF(E348,$I$7,"Y"))</f>
      </c>
      <c r="G348" s="85"/>
      <c r="H348" s="85"/>
      <c r="I348" s="87"/>
      <c r="J348" s="85"/>
      <c r="K348" s="85"/>
      <c r="L348" s="10"/>
      <c r="M348" s="10"/>
      <c r="N348" s="10"/>
      <c r="O348" s="10"/>
      <c r="P348" s="85"/>
      <c r="Q348" s="88"/>
      <c r="R348" s="3">
        <f>IFERROR(VLOOKUP(TablaDiciembre[[#This Row],[BARRIO]],SECTOR!$A:$B,2,0),"")</f>
      </c>
      <c r="S348" s="89"/>
      <c r="T348" s="90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6"/>
      <c r="AZ348" s="120">
        <f>COUNTIF(U348:AY348,"A")</f>
      </c>
      <c r="BA348" s="121">
        <f>COUNTIF(U348:AY348,"F")</f>
      </c>
      <c r="BB348" s="119">
        <f>COUNTIF(U348:AY348,"E")</f>
      </c>
    </row>
    <row r="349" spans="1:54" x14ac:dyDescent="0.2">
      <c r="A349" s="84"/>
      <c r="B349" s="85"/>
      <c r="C349" s="85"/>
      <c r="D349" s="85"/>
      <c r="E349" s="86"/>
      <c r="F349" s="16">
        <f>IF(E349="","",DATEDIF(E349,$I$7,"Y"))</f>
      </c>
      <c r="G349" s="85"/>
      <c r="H349" s="85"/>
      <c r="I349" s="87"/>
      <c r="J349" s="85"/>
      <c r="K349" s="85"/>
      <c r="L349" s="10"/>
      <c r="M349" s="10"/>
      <c r="N349" s="10"/>
      <c r="O349" s="10"/>
      <c r="P349" s="85"/>
      <c r="Q349" s="88"/>
      <c r="R349" s="3">
        <f>IFERROR(VLOOKUP(TablaDiciembre[[#This Row],[BARRIO]],SECTOR!$A:$B,2,0),"")</f>
      </c>
      <c r="S349" s="89"/>
      <c r="T349" s="90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6"/>
      <c r="AZ349" s="120">
        <f>COUNTIF(U349:AY349,"A")</f>
      </c>
      <c r="BA349" s="121">
        <f>COUNTIF(U349:AY349,"F")</f>
      </c>
      <c r="BB349" s="119">
        <f>COUNTIF(U349:AY349,"E")</f>
      </c>
    </row>
    <row r="350" spans="1:54" x14ac:dyDescent="0.2">
      <c r="A350" s="84"/>
      <c r="B350" s="85"/>
      <c r="C350" s="85"/>
      <c r="D350" s="85"/>
      <c r="E350" s="86"/>
      <c r="F350" s="16">
        <f>IF(E350="","",DATEDIF(E350,$I$7,"Y"))</f>
      </c>
      <c r="G350" s="85"/>
      <c r="H350" s="85"/>
      <c r="I350" s="87"/>
      <c r="J350" s="85"/>
      <c r="K350" s="85"/>
      <c r="L350" s="10"/>
      <c r="M350" s="10"/>
      <c r="N350" s="10"/>
      <c r="O350" s="10"/>
      <c r="P350" s="85"/>
      <c r="Q350" s="88"/>
      <c r="R350" s="3">
        <f>IFERROR(VLOOKUP(TablaDiciembre[[#This Row],[BARRIO]],SECTOR!$A:$B,2,0),"")</f>
      </c>
      <c r="S350" s="89"/>
      <c r="T350" s="90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6"/>
      <c r="AZ350" s="120">
        <f>COUNTIF(U350:AY350,"A")</f>
      </c>
      <c r="BA350" s="121">
        <f>COUNTIF(U350:AY350,"F")</f>
      </c>
      <c r="BB350" s="119">
        <f>COUNTIF(U350:AY350,"E")</f>
      </c>
    </row>
    <row r="351" spans="1:54" x14ac:dyDescent="0.2">
      <c r="A351" s="84"/>
      <c r="B351" s="85"/>
      <c r="C351" s="85"/>
      <c r="D351" s="85"/>
      <c r="E351" s="86"/>
      <c r="F351" s="16">
        <f>IF(E351="","",DATEDIF(E351,$I$7,"Y"))</f>
      </c>
      <c r="G351" s="85"/>
      <c r="H351" s="85"/>
      <c r="I351" s="87"/>
      <c r="J351" s="85"/>
      <c r="K351" s="85"/>
      <c r="L351" s="10"/>
      <c r="M351" s="10"/>
      <c r="N351" s="10"/>
      <c r="O351" s="10"/>
      <c r="P351" s="85"/>
      <c r="Q351" s="88"/>
      <c r="R351" s="3">
        <f>IFERROR(VLOOKUP(TablaDiciembre[[#This Row],[BARRIO]],SECTOR!$A:$B,2,0),"")</f>
      </c>
      <c r="S351" s="89"/>
      <c r="T351" s="90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6"/>
      <c r="AZ351" s="120">
        <f>COUNTIF(U351:AY351,"A")</f>
      </c>
      <c r="BA351" s="121">
        <f>COUNTIF(U351:AY351,"F")</f>
      </c>
      <c r="BB351" s="119">
        <f>COUNTIF(U351:AY351,"E")</f>
      </c>
    </row>
    <row r="352" spans="1:54" x14ac:dyDescent="0.2">
      <c r="A352" s="84"/>
      <c r="B352" s="85"/>
      <c r="C352" s="85"/>
      <c r="D352" s="85"/>
      <c r="E352" s="86"/>
      <c r="F352" s="16">
        <f>IF(E352="","",DATEDIF(E352,$I$7,"Y"))</f>
      </c>
      <c r="G352" s="85"/>
      <c r="H352" s="85"/>
      <c r="I352" s="87"/>
      <c r="J352" s="85"/>
      <c r="K352" s="85"/>
      <c r="L352" s="10"/>
      <c r="M352" s="10"/>
      <c r="N352" s="10"/>
      <c r="O352" s="10"/>
      <c r="P352" s="85"/>
      <c r="Q352" s="88"/>
      <c r="R352" s="3">
        <f>IFERROR(VLOOKUP(TablaDiciembre[[#This Row],[BARRIO]],SECTOR!$A:$B,2,0),"")</f>
      </c>
      <c r="S352" s="89"/>
      <c r="T352" s="90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6"/>
      <c r="AZ352" s="120">
        <f>COUNTIF(U352:AY352,"A")</f>
      </c>
      <c r="BA352" s="121">
        <f>COUNTIF(U352:AY352,"F")</f>
      </c>
      <c r="BB352" s="119">
        <f>COUNTIF(U352:AY352,"E")</f>
      </c>
    </row>
    <row r="353" spans="1:54" x14ac:dyDescent="0.2">
      <c r="A353" s="84"/>
      <c r="B353" s="85"/>
      <c r="C353" s="85"/>
      <c r="D353" s="85"/>
      <c r="E353" s="86"/>
      <c r="F353" s="16">
        <f>IF(E353="","",DATEDIF(E353,$I$7,"Y"))</f>
      </c>
      <c r="G353" s="85"/>
      <c r="H353" s="85"/>
      <c r="I353" s="87"/>
      <c r="J353" s="85"/>
      <c r="K353" s="85"/>
      <c r="L353" s="10"/>
      <c r="M353" s="10"/>
      <c r="N353" s="10"/>
      <c r="O353" s="10"/>
      <c r="P353" s="85"/>
      <c r="Q353" s="88"/>
      <c r="R353" s="3">
        <f>IFERROR(VLOOKUP(TablaDiciembre[[#This Row],[BARRIO]],SECTOR!$A:$B,2,0),"")</f>
      </c>
      <c r="S353" s="89"/>
      <c r="T353" s="90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6"/>
      <c r="AZ353" s="120">
        <f>COUNTIF(U353:AY353,"A")</f>
      </c>
      <c r="BA353" s="121">
        <f>COUNTIF(U353:AY353,"F")</f>
      </c>
      <c r="BB353" s="119">
        <f>COUNTIF(U353:AY353,"E")</f>
      </c>
    </row>
    <row r="354" spans="1:54" x14ac:dyDescent="0.2">
      <c r="A354" s="84"/>
      <c r="B354" s="85"/>
      <c r="C354" s="85"/>
      <c r="D354" s="85"/>
      <c r="E354" s="86"/>
      <c r="F354" s="16">
        <f>IF(E354="","",DATEDIF(E354,$I$7,"Y"))</f>
      </c>
      <c r="G354" s="85"/>
      <c r="H354" s="85"/>
      <c r="I354" s="87"/>
      <c r="J354" s="85"/>
      <c r="K354" s="85"/>
      <c r="L354" s="10"/>
      <c r="M354" s="10"/>
      <c r="N354" s="10"/>
      <c r="O354" s="10"/>
      <c r="P354" s="85"/>
      <c r="Q354" s="88"/>
      <c r="R354" s="3">
        <f>IFERROR(VLOOKUP(TablaDiciembre[[#This Row],[BARRIO]],SECTOR!$A:$B,2,0),"")</f>
      </c>
      <c r="S354" s="89"/>
      <c r="T354" s="90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6"/>
      <c r="AZ354" s="120">
        <f>COUNTIF(U354:AY354,"A")</f>
      </c>
      <c r="BA354" s="121">
        <f>COUNTIF(U354:AY354,"F")</f>
      </c>
      <c r="BB354" s="119">
        <f>COUNTIF(U354:AY354,"E")</f>
      </c>
    </row>
    <row r="355" spans="1:54" x14ac:dyDescent="0.2">
      <c r="A355" s="84"/>
      <c r="B355" s="85"/>
      <c r="C355" s="85"/>
      <c r="D355" s="85"/>
      <c r="E355" s="86"/>
      <c r="F355" s="16">
        <f>IF(E355="","",DATEDIF(E355,$I$7,"Y"))</f>
      </c>
      <c r="G355" s="85"/>
      <c r="H355" s="85"/>
      <c r="I355" s="87"/>
      <c r="J355" s="85"/>
      <c r="K355" s="85"/>
      <c r="L355" s="10"/>
      <c r="M355" s="10"/>
      <c r="N355" s="10"/>
      <c r="O355" s="10"/>
      <c r="P355" s="85"/>
      <c r="Q355" s="88"/>
      <c r="R355" s="3">
        <f>IFERROR(VLOOKUP(TablaDiciembre[[#This Row],[BARRIO]],SECTOR!$A:$B,2,0),"")</f>
      </c>
      <c r="S355" s="89"/>
      <c r="T355" s="90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6"/>
      <c r="AZ355" s="120">
        <f>COUNTIF(U355:AY355,"A")</f>
      </c>
      <c r="BA355" s="121">
        <f>COUNTIF(U355:AY355,"F")</f>
      </c>
      <c r="BB355" s="119">
        <f>COUNTIF(U355:AY355,"E")</f>
      </c>
    </row>
    <row r="356" spans="1:54" x14ac:dyDescent="0.2">
      <c r="A356" s="84"/>
      <c r="B356" s="85"/>
      <c r="C356" s="85"/>
      <c r="D356" s="85"/>
      <c r="E356" s="86"/>
      <c r="F356" s="16">
        <f>IF(E356="","",DATEDIF(E356,$I$7,"Y"))</f>
      </c>
      <c r="G356" s="85"/>
      <c r="H356" s="85"/>
      <c r="I356" s="87"/>
      <c r="J356" s="85"/>
      <c r="K356" s="85"/>
      <c r="L356" s="10"/>
      <c r="M356" s="10"/>
      <c r="N356" s="10"/>
      <c r="O356" s="10"/>
      <c r="P356" s="85"/>
      <c r="Q356" s="88"/>
      <c r="R356" s="3">
        <f>IFERROR(VLOOKUP(TablaDiciembre[[#This Row],[BARRIO]],SECTOR!$A:$B,2,0),"")</f>
      </c>
      <c r="S356" s="89"/>
      <c r="T356" s="90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6"/>
      <c r="AZ356" s="120">
        <f>COUNTIF(U356:AY356,"A")</f>
      </c>
      <c r="BA356" s="121">
        <f>COUNTIF(U356:AY356,"F")</f>
      </c>
      <c r="BB356" s="119">
        <f>COUNTIF(U356:AY356,"E")</f>
      </c>
    </row>
    <row r="357" spans="1:54" x14ac:dyDescent="0.2">
      <c r="A357" s="84"/>
      <c r="B357" s="85"/>
      <c r="C357" s="85"/>
      <c r="D357" s="85"/>
      <c r="E357" s="86"/>
      <c r="F357" s="16">
        <f>IF(E357="","",DATEDIF(E357,$I$7,"Y"))</f>
      </c>
      <c r="G357" s="85"/>
      <c r="H357" s="85"/>
      <c r="I357" s="87"/>
      <c r="J357" s="85"/>
      <c r="K357" s="85"/>
      <c r="L357" s="10"/>
      <c r="M357" s="10"/>
      <c r="N357" s="10"/>
      <c r="O357" s="10"/>
      <c r="P357" s="85"/>
      <c r="Q357" s="88"/>
      <c r="R357" s="3">
        <f>IFERROR(VLOOKUP(TablaDiciembre[[#This Row],[BARRIO]],SECTOR!$A:$B,2,0),"")</f>
      </c>
      <c r="S357" s="89"/>
      <c r="T357" s="90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6"/>
      <c r="AZ357" s="120">
        <f>COUNTIF(U357:AY357,"A")</f>
      </c>
      <c r="BA357" s="121">
        <f>COUNTIF(U357:AY357,"F")</f>
      </c>
      <c r="BB357" s="119">
        <f>COUNTIF(U357:AY357,"E")</f>
      </c>
    </row>
    <row r="358" spans="1:54" x14ac:dyDescent="0.2">
      <c r="A358" s="84"/>
      <c r="B358" s="85"/>
      <c r="C358" s="85"/>
      <c r="D358" s="85"/>
      <c r="E358" s="86"/>
      <c r="F358" s="16">
        <f>IF(E358="","",DATEDIF(E358,$I$7,"Y"))</f>
      </c>
      <c r="G358" s="85"/>
      <c r="H358" s="85"/>
      <c r="I358" s="87"/>
      <c r="J358" s="85"/>
      <c r="K358" s="85"/>
      <c r="L358" s="10"/>
      <c r="M358" s="10"/>
      <c r="N358" s="10"/>
      <c r="O358" s="10"/>
      <c r="P358" s="85"/>
      <c r="Q358" s="88"/>
      <c r="R358" s="3">
        <f>IFERROR(VLOOKUP(TablaDiciembre[[#This Row],[BARRIO]],SECTOR!$A:$B,2,0),"")</f>
      </c>
      <c r="S358" s="89"/>
      <c r="T358" s="90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6"/>
      <c r="AZ358" s="120">
        <f>COUNTIF(U358:AY358,"A")</f>
      </c>
      <c r="BA358" s="121">
        <f>COUNTIF(U358:AY358,"F")</f>
      </c>
      <c r="BB358" s="119">
        <f>COUNTIF(U358:AY358,"E")</f>
      </c>
    </row>
    <row r="359" spans="1:54" x14ac:dyDescent="0.2">
      <c r="A359" s="84"/>
      <c r="B359" s="85"/>
      <c r="C359" s="85"/>
      <c r="D359" s="85"/>
      <c r="E359" s="86"/>
      <c r="F359" s="16">
        <f>IF(E359="","",DATEDIF(E359,$I$7,"Y"))</f>
      </c>
      <c r="G359" s="85"/>
      <c r="H359" s="85"/>
      <c r="I359" s="87"/>
      <c r="J359" s="85"/>
      <c r="K359" s="85"/>
      <c r="L359" s="10"/>
      <c r="M359" s="10"/>
      <c r="N359" s="10"/>
      <c r="O359" s="10"/>
      <c r="P359" s="85"/>
      <c r="Q359" s="88"/>
      <c r="R359" s="3">
        <f>IFERROR(VLOOKUP(TablaDiciembre[[#This Row],[BARRIO]],SECTOR!$A:$B,2,0),"")</f>
      </c>
      <c r="S359" s="89"/>
      <c r="T359" s="90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6"/>
      <c r="AZ359" s="120">
        <f>COUNTIF(U359:AY359,"A")</f>
      </c>
      <c r="BA359" s="121">
        <f>COUNTIF(U359:AY359,"F")</f>
      </c>
      <c r="BB359" s="119">
        <f>COUNTIF(U359:AY359,"E")</f>
      </c>
    </row>
    <row r="360" spans="1:54" x14ac:dyDescent="0.2">
      <c r="A360" s="84"/>
      <c r="B360" s="85"/>
      <c r="C360" s="85"/>
      <c r="D360" s="85"/>
      <c r="E360" s="86"/>
      <c r="F360" s="16">
        <f>IF(E360="","",DATEDIF(E360,$I$7,"Y"))</f>
      </c>
      <c r="G360" s="85"/>
      <c r="H360" s="85"/>
      <c r="I360" s="87"/>
      <c r="J360" s="85"/>
      <c r="K360" s="85"/>
      <c r="L360" s="10"/>
      <c r="M360" s="10"/>
      <c r="N360" s="10"/>
      <c r="O360" s="10"/>
      <c r="P360" s="85"/>
      <c r="Q360" s="88"/>
      <c r="R360" s="3">
        <f>IFERROR(VLOOKUP(TablaDiciembre[[#This Row],[BARRIO]],SECTOR!$A:$B,2,0),"")</f>
      </c>
      <c r="S360" s="89"/>
      <c r="T360" s="90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6"/>
      <c r="AZ360" s="120">
        <f>COUNTIF(U360:AY360,"A")</f>
      </c>
      <c r="BA360" s="121">
        <f>COUNTIF(U360:AY360,"F")</f>
      </c>
      <c r="BB360" s="119">
        <f>COUNTIF(U360:AY360,"E")</f>
      </c>
    </row>
    <row r="361" spans="1:54" x14ac:dyDescent="0.2">
      <c r="A361" s="84"/>
      <c r="B361" s="85"/>
      <c r="C361" s="85"/>
      <c r="D361" s="85"/>
      <c r="E361" s="86"/>
      <c r="F361" s="16">
        <f>IF(E361="","",DATEDIF(E361,$I$7,"Y"))</f>
      </c>
      <c r="G361" s="85"/>
      <c r="H361" s="85"/>
      <c r="I361" s="87"/>
      <c r="J361" s="85"/>
      <c r="K361" s="85"/>
      <c r="L361" s="10"/>
      <c r="M361" s="10"/>
      <c r="N361" s="10"/>
      <c r="O361" s="10"/>
      <c r="P361" s="85"/>
      <c r="Q361" s="88"/>
      <c r="R361" s="3">
        <f>IFERROR(VLOOKUP(TablaDiciembre[[#This Row],[BARRIO]],SECTOR!$A:$B,2,0),"")</f>
      </c>
      <c r="S361" s="89"/>
      <c r="T361" s="90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6"/>
      <c r="AZ361" s="120">
        <f>COUNTIF(U361:AY361,"A")</f>
      </c>
      <c r="BA361" s="121">
        <f>COUNTIF(U361:AY361,"F")</f>
      </c>
      <c r="BB361" s="119">
        <f>COUNTIF(U361:AY361,"E")</f>
      </c>
    </row>
    <row r="362" spans="1:54" x14ac:dyDescent="0.2">
      <c r="A362" s="84"/>
      <c r="B362" s="85"/>
      <c r="C362" s="85"/>
      <c r="D362" s="85"/>
      <c r="E362" s="86"/>
      <c r="F362" s="16">
        <f>IF(E362="","",DATEDIF(E362,$I$7,"Y"))</f>
      </c>
      <c r="G362" s="85"/>
      <c r="H362" s="85"/>
      <c r="I362" s="87"/>
      <c r="J362" s="85"/>
      <c r="K362" s="85"/>
      <c r="L362" s="10"/>
      <c r="M362" s="10"/>
      <c r="N362" s="10"/>
      <c r="O362" s="10"/>
      <c r="P362" s="85"/>
      <c r="Q362" s="88"/>
      <c r="R362" s="3">
        <f>IFERROR(VLOOKUP(TablaDiciembre[[#This Row],[BARRIO]],SECTOR!$A:$B,2,0),"")</f>
      </c>
      <c r="S362" s="89"/>
      <c r="T362" s="90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6"/>
      <c r="AZ362" s="120">
        <f>COUNTIF(U362:AY362,"A")</f>
      </c>
      <c r="BA362" s="121">
        <f>COUNTIF(U362:AY362,"F")</f>
      </c>
      <c r="BB362" s="119">
        <f>COUNTIF(U362:AY362,"E")</f>
      </c>
    </row>
    <row r="363" spans="1:54" x14ac:dyDescent="0.2">
      <c r="A363" s="84"/>
      <c r="B363" s="85"/>
      <c r="C363" s="85"/>
      <c r="D363" s="85"/>
      <c r="E363" s="86"/>
      <c r="F363" s="16">
        <f>IF(E363="","",DATEDIF(E363,$I$7,"Y"))</f>
      </c>
      <c r="G363" s="85"/>
      <c r="H363" s="85"/>
      <c r="I363" s="87"/>
      <c r="J363" s="85"/>
      <c r="K363" s="85"/>
      <c r="L363" s="10"/>
      <c r="M363" s="10"/>
      <c r="N363" s="10"/>
      <c r="O363" s="10"/>
      <c r="P363" s="85"/>
      <c r="Q363" s="88"/>
      <c r="R363" s="3">
        <f>IFERROR(VLOOKUP(TablaDiciembre[[#This Row],[BARRIO]],SECTOR!$A:$B,2,0),"")</f>
      </c>
      <c r="S363" s="89"/>
      <c r="T363" s="90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6"/>
      <c r="AZ363" s="120">
        <f>COUNTIF(U363:AY363,"A")</f>
      </c>
      <c r="BA363" s="121">
        <f>COUNTIF(U363:AY363,"F")</f>
      </c>
      <c r="BB363" s="119">
        <f>COUNTIF(U363:AY363,"E")</f>
      </c>
    </row>
    <row r="364" spans="1:54" x14ac:dyDescent="0.2">
      <c r="A364" s="84"/>
      <c r="B364" s="85"/>
      <c r="C364" s="85"/>
      <c r="D364" s="85"/>
      <c r="E364" s="86"/>
      <c r="F364" s="16">
        <f>IF(E364="","",DATEDIF(E364,$I$7,"Y"))</f>
      </c>
      <c r="G364" s="85"/>
      <c r="H364" s="85"/>
      <c r="I364" s="87"/>
      <c r="J364" s="85"/>
      <c r="K364" s="85"/>
      <c r="L364" s="10"/>
      <c r="M364" s="10"/>
      <c r="N364" s="10"/>
      <c r="O364" s="10"/>
      <c r="P364" s="85"/>
      <c r="Q364" s="88"/>
      <c r="R364" s="3">
        <f>IFERROR(VLOOKUP(TablaDiciembre[[#This Row],[BARRIO]],SECTOR!$A:$B,2,0),"")</f>
      </c>
      <c r="S364" s="89"/>
      <c r="T364" s="90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6"/>
      <c r="AZ364" s="120">
        <f>COUNTIF(U364:AY364,"A")</f>
      </c>
      <c r="BA364" s="121">
        <f>COUNTIF(U364:AY364,"F")</f>
      </c>
      <c r="BB364" s="119">
        <f>COUNTIF(U364:AY364,"E")</f>
      </c>
    </row>
    <row r="365" spans="1:54" x14ac:dyDescent="0.2">
      <c r="A365" s="84"/>
      <c r="B365" s="85"/>
      <c r="C365" s="85"/>
      <c r="D365" s="85"/>
      <c r="E365" s="86"/>
      <c r="F365" s="16">
        <f>IF(E365="","",DATEDIF(E365,$I$7,"Y"))</f>
      </c>
      <c r="G365" s="85"/>
      <c r="H365" s="85"/>
      <c r="I365" s="87"/>
      <c r="J365" s="85"/>
      <c r="K365" s="85"/>
      <c r="L365" s="10"/>
      <c r="M365" s="10"/>
      <c r="N365" s="10"/>
      <c r="O365" s="10"/>
      <c r="P365" s="85"/>
      <c r="Q365" s="88"/>
      <c r="R365" s="3">
        <f>IFERROR(VLOOKUP(TablaDiciembre[[#This Row],[BARRIO]],SECTOR!$A:$B,2,0),"")</f>
      </c>
      <c r="S365" s="89"/>
      <c r="T365" s="90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6"/>
      <c r="AZ365" s="120">
        <f>COUNTIF(U365:AY365,"A")</f>
      </c>
      <c r="BA365" s="121">
        <f>COUNTIF(U365:AY365,"F")</f>
      </c>
      <c r="BB365" s="119">
        <f>COUNTIF(U365:AY365,"E")</f>
      </c>
    </row>
    <row r="366" spans="1:54" x14ac:dyDescent="0.2">
      <c r="A366" s="84"/>
      <c r="B366" s="85"/>
      <c r="C366" s="85"/>
      <c r="D366" s="85"/>
      <c r="E366" s="86"/>
      <c r="F366" s="16">
        <f>IF(E366="","",DATEDIF(E366,$I$7,"Y"))</f>
      </c>
      <c r="G366" s="85"/>
      <c r="H366" s="85"/>
      <c r="I366" s="87"/>
      <c r="J366" s="85"/>
      <c r="K366" s="85"/>
      <c r="L366" s="10"/>
      <c r="M366" s="10"/>
      <c r="N366" s="10"/>
      <c r="O366" s="10"/>
      <c r="P366" s="85"/>
      <c r="Q366" s="88"/>
      <c r="R366" s="3">
        <f>IFERROR(VLOOKUP(TablaDiciembre[[#This Row],[BARRIO]],SECTOR!$A:$B,2,0),"")</f>
      </c>
      <c r="S366" s="89"/>
      <c r="T366" s="90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6"/>
      <c r="AZ366" s="120">
        <f>COUNTIF(U366:AY366,"A")</f>
      </c>
      <c r="BA366" s="121">
        <f>COUNTIF(U366:AY366,"F")</f>
      </c>
      <c r="BB366" s="119">
        <f>COUNTIF(U366:AY366,"E")</f>
      </c>
    </row>
    <row r="367" spans="1:54" x14ac:dyDescent="0.2">
      <c r="A367" s="84"/>
      <c r="B367" s="85"/>
      <c r="C367" s="85"/>
      <c r="D367" s="85"/>
      <c r="E367" s="86"/>
      <c r="F367" s="16">
        <f>IF(E367="","",DATEDIF(E367,$I$7,"Y"))</f>
      </c>
      <c r="G367" s="85"/>
      <c r="H367" s="85"/>
      <c r="I367" s="87"/>
      <c r="J367" s="85"/>
      <c r="K367" s="85"/>
      <c r="L367" s="10"/>
      <c r="M367" s="10"/>
      <c r="N367" s="10"/>
      <c r="O367" s="10"/>
      <c r="P367" s="85"/>
      <c r="Q367" s="88"/>
      <c r="R367" s="3">
        <f>IFERROR(VLOOKUP(TablaDiciembre[[#This Row],[BARRIO]],SECTOR!$A:$B,2,0),"")</f>
      </c>
      <c r="S367" s="89"/>
      <c r="T367" s="90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6"/>
      <c r="AZ367" s="120">
        <f>COUNTIF(U367:AY367,"A")</f>
      </c>
      <c r="BA367" s="121">
        <f>COUNTIF(U367:AY367,"F")</f>
      </c>
      <c r="BB367" s="119">
        <f>COUNTIF(U367:AY367,"E")</f>
      </c>
    </row>
    <row r="368" spans="1:54" x14ac:dyDescent="0.2">
      <c r="A368" s="84"/>
      <c r="B368" s="85"/>
      <c r="C368" s="85"/>
      <c r="D368" s="85"/>
      <c r="E368" s="86"/>
      <c r="F368" s="16">
        <f>IF(E368="","",DATEDIF(E368,$I$7,"Y"))</f>
      </c>
      <c r="G368" s="85"/>
      <c r="H368" s="85"/>
      <c r="I368" s="87"/>
      <c r="J368" s="85"/>
      <c r="K368" s="85"/>
      <c r="L368" s="10"/>
      <c r="M368" s="10"/>
      <c r="N368" s="10"/>
      <c r="O368" s="10"/>
      <c r="P368" s="85"/>
      <c r="Q368" s="88"/>
      <c r="R368" s="3">
        <f>IFERROR(VLOOKUP(TablaDiciembre[[#This Row],[BARRIO]],SECTOR!$A:$B,2,0),"")</f>
      </c>
      <c r="S368" s="89"/>
      <c r="T368" s="90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6"/>
      <c r="AZ368" s="120">
        <f>COUNTIF(U368:AY368,"A")</f>
      </c>
      <c r="BA368" s="121">
        <f>COUNTIF(U368:AY368,"F")</f>
      </c>
      <c r="BB368" s="119">
        <f>COUNTIF(U368:AY368,"E")</f>
      </c>
    </row>
    <row r="369" spans="1:54" x14ac:dyDescent="0.2">
      <c r="A369" s="84"/>
      <c r="B369" s="85"/>
      <c r="C369" s="85"/>
      <c r="D369" s="85"/>
      <c r="E369" s="86"/>
      <c r="F369" s="16">
        <f>IF(E369="","",DATEDIF(E369,$I$7,"Y"))</f>
      </c>
      <c r="G369" s="85"/>
      <c r="H369" s="85"/>
      <c r="I369" s="87"/>
      <c r="J369" s="85"/>
      <c r="K369" s="85"/>
      <c r="L369" s="10"/>
      <c r="M369" s="10"/>
      <c r="N369" s="10"/>
      <c r="O369" s="10"/>
      <c r="P369" s="85"/>
      <c r="Q369" s="88"/>
      <c r="R369" s="3">
        <f>IFERROR(VLOOKUP(TablaDiciembre[[#This Row],[BARRIO]],SECTOR!$A:$B,2,0),"")</f>
      </c>
      <c r="S369" s="89"/>
      <c r="T369" s="90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6"/>
      <c r="AZ369" s="120">
        <f>COUNTIF(U369:AY369,"A")</f>
      </c>
      <c r="BA369" s="121">
        <f>COUNTIF(U369:AY369,"F")</f>
      </c>
      <c r="BB369" s="119">
        <f>COUNTIF(U369:AY369,"E")</f>
      </c>
    </row>
    <row r="370" spans="1:54" x14ac:dyDescent="0.2">
      <c r="A370" s="84"/>
      <c r="B370" s="85"/>
      <c r="C370" s="85"/>
      <c r="D370" s="85"/>
      <c r="E370" s="86"/>
      <c r="F370" s="16">
        <f>IF(E370="","",DATEDIF(E370,$I$7,"Y"))</f>
      </c>
      <c r="G370" s="85"/>
      <c r="H370" s="85"/>
      <c r="I370" s="87"/>
      <c r="J370" s="85"/>
      <c r="K370" s="85"/>
      <c r="L370" s="10"/>
      <c r="M370" s="10"/>
      <c r="N370" s="10"/>
      <c r="O370" s="10"/>
      <c r="P370" s="85"/>
      <c r="Q370" s="88"/>
      <c r="R370" s="3">
        <f>IFERROR(VLOOKUP(TablaDiciembre[[#This Row],[BARRIO]],SECTOR!$A:$B,2,0),"")</f>
      </c>
      <c r="S370" s="89"/>
      <c r="T370" s="90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6"/>
      <c r="AZ370" s="120">
        <f>COUNTIF(U370:AY370,"A")</f>
      </c>
      <c r="BA370" s="121">
        <f>COUNTIF(U370:AY370,"F")</f>
      </c>
      <c r="BB370" s="119">
        <f>COUNTIF(U370:AY370,"E")</f>
      </c>
    </row>
    <row r="371" spans="1:54" x14ac:dyDescent="0.2">
      <c r="A371" s="84"/>
      <c r="B371" s="85"/>
      <c r="C371" s="85"/>
      <c r="D371" s="85"/>
      <c r="E371" s="86"/>
      <c r="F371" s="16">
        <f>IF(E371="","",DATEDIF(E371,$I$7,"Y"))</f>
      </c>
      <c r="G371" s="85"/>
      <c r="H371" s="85"/>
      <c r="I371" s="87"/>
      <c r="J371" s="85"/>
      <c r="K371" s="85"/>
      <c r="L371" s="10"/>
      <c r="M371" s="10"/>
      <c r="N371" s="10"/>
      <c r="O371" s="10"/>
      <c r="P371" s="85"/>
      <c r="Q371" s="88"/>
      <c r="R371" s="3">
        <f>IFERROR(VLOOKUP(TablaDiciembre[[#This Row],[BARRIO]],SECTOR!$A:$B,2,0),"")</f>
      </c>
      <c r="S371" s="89"/>
      <c r="T371" s="90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6"/>
      <c r="AZ371" s="120">
        <f>COUNTIF(U371:AY371,"A")</f>
      </c>
      <c r="BA371" s="121">
        <f>COUNTIF(U371:AY371,"F")</f>
      </c>
      <c r="BB371" s="119">
        <f>COUNTIF(U371:AY371,"E")</f>
      </c>
    </row>
    <row r="372" spans="1:54" x14ac:dyDescent="0.2">
      <c r="A372" s="84"/>
      <c r="B372" s="85"/>
      <c r="C372" s="85"/>
      <c r="D372" s="85"/>
      <c r="E372" s="86"/>
      <c r="F372" s="16">
        <f>IF(E372="","",DATEDIF(E372,$I$7,"Y"))</f>
      </c>
      <c r="G372" s="85"/>
      <c r="H372" s="85"/>
      <c r="I372" s="87"/>
      <c r="J372" s="85"/>
      <c r="K372" s="85"/>
      <c r="L372" s="10"/>
      <c r="M372" s="10"/>
      <c r="N372" s="10"/>
      <c r="O372" s="10"/>
      <c r="P372" s="85"/>
      <c r="Q372" s="88"/>
      <c r="R372" s="3">
        <f>IFERROR(VLOOKUP(TablaDiciembre[[#This Row],[BARRIO]],SECTOR!$A:$B,2,0),"")</f>
      </c>
      <c r="S372" s="89"/>
      <c r="T372" s="90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6"/>
      <c r="AZ372" s="120">
        <f>COUNTIF(U372:AY372,"A")</f>
      </c>
      <c r="BA372" s="121">
        <f>COUNTIF(U372:AY372,"F")</f>
      </c>
      <c r="BB372" s="119">
        <f>COUNTIF(U372:AY372,"E")</f>
      </c>
    </row>
    <row r="373" spans="1:54" x14ac:dyDescent="0.2">
      <c r="A373" s="84"/>
      <c r="B373" s="85"/>
      <c r="C373" s="85"/>
      <c r="D373" s="85"/>
      <c r="E373" s="86"/>
      <c r="F373" s="16">
        <f>IF(E373="","",DATEDIF(E373,$I$7,"Y"))</f>
      </c>
      <c r="G373" s="85"/>
      <c r="H373" s="85"/>
      <c r="I373" s="87"/>
      <c r="J373" s="85"/>
      <c r="K373" s="85"/>
      <c r="L373" s="10"/>
      <c r="M373" s="10"/>
      <c r="N373" s="10"/>
      <c r="O373" s="10"/>
      <c r="P373" s="85"/>
      <c r="Q373" s="88"/>
      <c r="R373" s="3">
        <f>IFERROR(VLOOKUP(TablaDiciembre[[#This Row],[BARRIO]],SECTOR!$A:$B,2,0),"")</f>
      </c>
      <c r="S373" s="89"/>
      <c r="T373" s="90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6"/>
      <c r="AZ373" s="120">
        <f>COUNTIF(U373:AY373,"A")</f>
      </c>
      <c r="BA373" s="121">
        <f>COUNTIF(U373:AY373,"F")</f>
      </c>
      <c r="BB373" s="119">
        <f>COUNTIF(U373:AY373,"E")</f>
      </c>
    </row>
    <row r="374" spans="1:54" x14ac:dyDescent="0.2">
      <c r="A374" s="84"/>
      <c r="B374" s="85"/>
      <c r="C374" s="85"/>
      <c r="D374" s="85"/>
      <c r="E374" s="86"/>
      <c r="F374" s="16">
        <f>IF(E374="","",DATEDIF(E374,$I$7,"Y"))</f>
      </c>
      <c r="G374" s="85"/>
      <c r="H374" s="85"/>
      <c r="I374" s="87"/>
      <c r="J374" s="85"/>
      <c r="K374" s="85"/>
      <c r="L374" s="10"/>
      <c r="M374" s="10"/>
      <c r="N374" s="10"/>
      <c r="O374" s="10"/>
      <c r="P374" s="85"/>
      <c r="Q374" s="88"/>
      <c r="R374" s="3">
        <f>IFERROR(VLOOKUP(TablaDiciembre[[#This Row],[BARRIO]],SECTOR!$A:$B,2,0),"")</f>
      </c>
      <c r="S374" s="89"/>
      <c r="T374" s="90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6"/>
      <c r="AZ374" s="120">
        <f>COUNTIF(U374:AY374,"A")</f>
      </c>
      <c r="BA374" s="121">
        <f>COUNTIF(U374:AY374,"F")</f>
      </c>
      <c r="BB374" s="119">
        <f>COUNTIF(U374:AY374,"E")</f>
      </c>
    </row>
    <row r="375" spans="1:54" x14ac:dyDescent="0.2">
      <c r="A375" s="84"/>
      <c r="B375" s="85"/>
      <c r="C375" s="85"/>
      <c r="D375" s="85"/>
      <c r="E375" s="86"/>
      <c r="F375" s="16">
        <f>IF(E375="","",DATEDIF(E375,$I$7,"Y"))</f>
      </c>
      <c r="G375" s="85"/>
      <c r="H375" s="85"/>
      <c r="I375" s="87"/>
      <c r="J375" s="85"/>
      <c r="K375" s="85"/>
      <c r="L375" s="10"/>
      <c r="M375" s="10"/>
      <c r="N375" s="10"/>
      <c r="O375" s="10"/>
      <c r="P375" s="85"/>
      <c r="Q375" s="88"/>
      <c r="R375" s="3">
        <f>IFERROR(VLOOKUP(TablaDiciembre[[#This Row],[BARRIO]],SECTOR!$A:$B,2,0),"")</f>
      </c>
      <c r="S375" s="89"/>
      <c r="T375" s="90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6"/>
      <c r="AZ375" s="120">
        <f>COUNTIF(U375:AY375,"A")</f>
      </c>
      <c r="BA375" s="121">
        <f>COUNTIF(U375:AY375,"F")</f>
      </c>
      <c r="BB375" s="119">
        <f>COUNTIF(U375:AY375,"E")</f>
      </c>
    </row>
    <row r="376" spans="1:54" x14ac:dyDescent="0.2">
      <c r="A376" s="84"/>
      <c r="B376" s="85"/>
      <c r="C376" s="85"/>
      <c r="D376" s="85"/>
      <c r="E376" s="86"/>
      <c r="F376" s="16">
        <f>IF(E376="","",DATEDIF(E376,$I$7,"Y"))</f>
      </c>
      <c r="G376" s="85"/>
      <c r="H376" s="85"/>
      <c r="I376" s="87"/>
      <c r="J376" s="85"/>
      <c r="K376" s="85"/>
      <c r="L376" s="10"/>
      <c r="M376" s="10"/>
      <c r="N376" s="10"/>
      <c r="O376" s="10"/>
      <c r="P376" s="85"/>
      <c r="Q376" s="88"/>
      <c r="R376" s="3">
        <f>IFERROR(VLOOKUP(TablaDiciembre[[#This Row],[BARRIO]],SECTOR!$A:$B,2,0),"")</f>
      </c>
      <c r="S376" s="89"/>
      <c r="T376" s="90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6"/>
      <c r="AZ376" s="120">
        <f>COUNTIF(U376:AY376,"A")</f>
      </c>
      <c r="BA376" s="121">
        <f>COUNTIF(U376:AY376,"F")</f>
      </c>
      <c r="BB376" s="119">
        <f>COUNTIF(U376:AY376,"E")</f>
      </c>
    </row>
    <row r="377" spans="1:54" x14ac:dyDescent="0.2">
      <c r="A377" s="84"/>
      <c r="B377" s="85"/>
      <c r="C377" s="85"/>
      <c r="D377" s="85"/>
      <c r="E377" s="86"/>
      <c r="F377" s="16">
        <f>IF(E377="","",DATEDIF(E377,$I$7,"Y"))</f>
      </c>
      <c r="G377" s="85"/>
      <c r="H377" s="85"/>
      <c r="I377" s="87"/>
      <c r="J377" s="85"/>
      <c r="K377" s="85"/>
      <c r="L377" s="10"/>
      <c r="M377" s="10"/>
      <c r="N377" s="10"/>
      <c r="O377" s="10"/>
      <c r="P377" s="85"/>
      <c r="Q377" s="88"/>
      <c r="R377" s="3">
        <f>IFERROR(VLOOKUP(TablaDiciembre[[#This Row],[BARRIO]],SECTOR!$A:$B,2,0),"")</f>
      </c>
      <c r="S377" s="89"/>
      <c r="T377" s="90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6"/>
      <c r="AZ377" s="120">
        <f>COUNTIF(U377:AY377,"A")</f>
      </c>
      <c r="BA377" s="121">
        <f>COUNTIF(U377:AY377,"F")</f>
      </c>
      <c r="BB377" s="119">
        <f>COUNTIF(U377:AY377,"E")</f>
      </c>
    </row>
    <row r="378" spans="1:54" x14ac:dyDescent="0.2">
      <c r="A378" s="84"/>
      <c r="B378" s="85"/>
      <c r="C378" s="85"/>
      <c r="D378" s="85"/>
      <c r="E378" s="86"/>
      <c r="F378" s="16">
        <f>IF(E378="","",DATEDIF(E378,$I$7,"Y"))</f>
      </c>
      <c r="G378" s="85"/>
      <c r="H378" s="85"/>
      <c r="I378" s="87"/>
      <c r="J378" s="85"/>
      <c r="K378" s="85"/>
      <c r="L378" s="10"/>
      <c r="M378" s="10"/>
      <c r="N378" s="10"/>
      <c r="O378" s="10"/>
      <c r="P378" s="85"/>
      <c r="Q378" s="88"/>
      <c r="R378" s="3">
        <f>IFERROR(VLOOKUP(TablaDiciembre[[#This Row],[BARRIO]],SECTOR!$A:$B,2,0),"")</f>
      </c>
      <c r="S378" s="89"/>
      <c r="T378" s="90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6"/>
      <c r="AZ378" s="120">
        <f>COUNTIF(U378:AY378,"A")</f>
      </c>
      <c r="BA378" s="121">
        <f>COUNTIF(U378:AY378,"F")</f>
      </c>
      <c r="BB378" s="119">
        <f>COUNTIF(U378:AY378,"E")</f>
      </c>
    </row>
    <row r="379" spans="1:54" x14ac:dyDescent="0.2">
      <c r="A379" s="84"/>
      <c r="B379" s="85"/>
      <c r="C379" s="85"/>
      <c r="D379" s="85"/>
      <c r="E379" s="86"/>
      <c r="F379" s="16">
        <f>IF(E379="","",DATEDIF(E379,$I$7,"Y"))</f>
      </c>
      <c r="G379" s="85"/>
      <c r="H379" s="85"/>
      <c r="I379" s="87"/>
      <c r="J379" s="85"/>
      <c r="K379" s="85"/>
      <c r="L379" s="10"/>
      <c r="M379" s="10"/>
      <c r="N379" s="10"/>
      <c r="O379" s="10"/>
      <c r="P379" s="85"/>
      <c r="Q379" s="88"/>
      <c r="R379" s="3">
        <f>IFERROR(VLOOKUP(TablaDiciembre[[#This Row],[BARRIO]],SECTOR!$A:$B,2,0),"")</f>
      </c>
      <c r="S379" s="89"/>
      <c r="T379" s="90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6"/>
      <c r="AZ379" s="120">
        <f>COUNTIF(U379:AY379,"A")</f>
      </c>
      <c r="BA379" s="121">
        <f>COUNTIF(U379:AY379,"F")</f>
      </c>
      <c r="BB379" s="119">
        <f>COUNTIF(U379:AY379,"E")</f>
      </c>
    </row>
    <row r="380" spans="1:54" x14ac:dyDescent="0.2">
      <c r="A380" s="84"/>
      <c r="B380" s="85"/>
      <c r="C380" s="85"/>
      <c r="D380" s="85"/>
      <c r="E380" s="86"/>
      <c r="F380" s="16">
        <f>IF(E380="","",DATEDIF(E380,$I$7,"Y"))</f>
      </c>
      <c r="G380" s="85"/>
      <c r="H380" s="85"/>
      <c r="I380" s="87"/>
      <c r="J380" s="85"/>
      <c r="K380" s="85"/>
      <c r="L380" s="10"/>
      <c r="M380" s="10"/>
      <c r="N380" s="10"/>
      <c r="O380" s="10"/>
      <c r="P380" s="85"/>
      <c r="Q380" s="88"/>
      <c r="R380" s="3">
        <f>IFERROR(VLOOKUP(TablaDiciembre[[#This Row],[BARRIO]],SECTOR!$A:$B,2,0),"")</f>
      </c>
      <c r="S380" s="89"/>
      <c r="T380" s="90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6"/>
      <c r="AZ380" s="120">
        <f>COUNTIF(U380:AY380,"A")</f>
      </c>
      <c r="BA380" s="121">
        <f>COUNTIF(U380:AY380,"F")</f>
      </c>
      <c r="BB380" s="119">
        <f>COUNTIF(U380:AY380,"E")</f>
      </c>
    </row>
    <row r="381" spans="1:54" x14ac:dyDescent="0.2">
      <c r="A381" s="84"/>
      <c r="B381" s="85"/>
      <c r="C381" s="85"/>
      <c r="D381" s="85"/>
      <c r="E381" s="86"/>
      <c r="F381" s="16">
        <f>IF(E381="","",DATEDIF(E381,$I$7,"Y"))</f>
      </c>
      <c r="G381" s="85"/>
      <c r="H381" s="85"/>
      <c r="I381" s="87"/>
      <c r="J381" s="85"/>
      <c r="K381" s="85"/>
      <c r="L381" s="10"/>
      <c r="M381" s="10"/>
      <c r="N381" s="10"/>
      <c r="O381" s="10"/>
      <c r="P381" s="85"/>
      <c r="Q381" s="88"/>
      <c r="R381" s="3">
        <f>IFERROR(VLOOKUP(TablaDiciembre[[#This Row],[BARRIO]],SECTOR!$A:$B,2,0),"")</f>
      </c>
      <c r="S381" s="89"/>
      <c r="T381" s="90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6"/>
      <c r="AZ381" s="120">
        <f>COUNTIF(U381:AY381,"A")</f>
      </c>
      <c r="BA381" s="121">
        <f>COUNTIF(U381:AY381,"F")</f>
      </c>
      <c r="BB381" s="119">
        <f>COUNTIF(U381:AY381,"E")</f>
      </c>
    </row>
    <row r="382" spans="1:54" x14ac:dyDescent="0.2">
      <c r="A382" s="84"/>
      <c r="B382" s="85"/>
      <c r="C382" s="85"/>
      <c r="D382" s="85"/>
      <c r="E382" s="86"/>
      <c r="F382" s="16">
        <f>IF(E382="","",DATEDIF(E382,$I$7,"Y"))</f>
      </c>
      <c r="G382" s="85"/>
      <c r="H382" s="85"/>
      <c r="I382" s="87"/>
      <c r="J382" s="85"/>
      <c r="K382" s="85"/>
      <c r="L382" s="10"/>
      <c r="M382" s="10"/>
      <c r="N382" s="10"/>
      <c r="O382" s="10"/>
      <c r="P382" s="85"/>
      <c r="Q382" s="88"/>
      <c r="R382" s="3">
        <f>IFERROR(VLOOKUP(TablaDiciembre[[#This Row],[BARRIO]],SECTOR!$A:$B,2,0),"")</f>
      </c>
      <c r="S382" s="89"/>
      <c r="T382" s="90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6"/>
      <c r="AZ382" s="120">
        <f>COUNTIF(U382:AY382,"A")</f>
      </c>
      <c r="BA382" s="121">
        <f>COUNTIF(U382:AY382,"F")</f>
      </c>
      <c r="BB382" s="119">
        <f>COUNTIF(U382:AY382,"E")</f>
      </c>
    </row>
    <row r="383" spans="1:54" x14ac:dyDescent="0.2">
      <c r="A383" s="84"/>
      <c r="B383" s="85"/>
      <c r="C383" s="85"/>
      <c r="D383" s="85"/>
      <c r="E383" s="86"/>
      <c r="F383" s="16">
        <f>IF(E383="","",DATEDIF(E383,$I$7,"Y"))</f>
      </c>
      <c r="G383" s="85"/>
      <c r="H383" s="85"/>
      <c r="I383" s="87"/>
      <c r="J383" s="85"/>
      <c r="K383" s="85"/>
      <c r="L383" s="10"/>
      <c r="M383" s="10"/>
      <c r="N383" s="10"/>
      <c r="O383" s="10"/>
      <c r="P383" s="85"/>
      <c r="Q383" s="88"/>
      <c r="R383" s="3">
        <f>IFERROR(VLOOKUP(TablaDiciembre[[#This Row],[BARRIO]],SECTOR!$A:$B,2,0),"")</f>
      </c>
      <c r="S383" s="89"/>
      <c r="T383" s="90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6"/>
      <c r="AZ383" s="120">
        <f>COUNTIF(U383:AY383,"A")</f>
      </c>
      <c r="BA383" s="121">
        <f>COUNTIF(U383:AY383,"F")</f>
      </c>
      <c r="BB383" s="119">
        <f>COUNTIF(U383:AY383,"E")</f>
      </c>
    </row>
    <row r="384" spans="1:54" x14ac:dyDescent="0.2">
      <c r="A384" s="84"/>
      <c r="B384" s="85"/>
      <c r="C384" s="85"/>
      <c r="D384" s="85"/>
      <c r="E384" s="86"/>
      <c r="F384" s="16">
        <f>IF(E384="","",DATEDIF(E384,$I$7,"Y"))</f>
      </c>
      <c r="G384" s="85"/>
      <c r="H384" s="85"/>
      <c r="I384" s="87"/>
      <c r="J384" s="85"/>
      <c r="K384" s="85"/>
      <c r="L384" s="10"/>
      <c r="M384" s="10"/>
      <c r="N384" s="10"/>
      <c r="O384" s="10"/>
      <c r="P384" s="85"/>
      <c r="Q384" s="88"/>
      <c r="R384" s="3">
        <f>IFERROR(VLOOKUP(TablaDiciembre[[#This Row],[BARRIO]],SECTOR!$A:$B,2,0),"")</f>
      </c>
      <c r="S384" s="89"/>
      <c r="T384" s="90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6"/>
      <c r="AZ384" s="120">
        <f>COUNTIF(U384:AY384,"A")</f>
      </c>
      <c r="BA384" s="121">
        <f>COUNTIF(U384:AY384,"F")</f>
      </c>
      <c r="BB384" s="119">
        <f>COUNTIF(U384:AY384,"E")</f>
      </c>
    </row>
    <row r="385" spans="1:54" x14ac:dyDescent="0.2">
      <c r="A385" s="84"/>
      <c r="B385" s="85"/>
      <c r="C385" s="85"/>
      <c r="D385" s="85"/>
      <c r="E385" s="86"/>
      <c r="F385" s="16">
        <f>IF(E385="","",DATEDIF(E385,$I$7,"Y"))</f>
      </c>
      <c r="G385" s="85"/>
      <c r="H385" s="85"/>
      <c r="I385" s="87"/>
      <c r="J385" s="85"/>
      <c r="K385" s="85"/>
      <c r="L385" s="10"/>
      <c r="M385" s="10"/>
      <c r="N385" s="10"/>
      <c r="O385" s="10"/>
      <c r="P385" s="85"/>
      <c r="Q385" s="88"/>
      <c r="R385" s="3">
        <f>IFERROR(VLOOKUP(TablaDiciembre[[#This Row],[BARRIO]],SECTOR!$A:$B,2,0),"")</f>
      </c>
      <c r="S385" s="89"/>
      <c r="T385" s="90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6"/>
      <c r="AZ385" s="120">
        <f>COUNTIF(U385:AY385,"A")</f>
      </c>
      <c r="BA385" s="121">
        <f>COUNTIF(U385:AY385,"F")</f>
      </c>
      <c r="BB385" s="119">
        <f>COUNTIF(U385:AY385,"E")</f>
      </c>
    </row>
    <row r="386" spans="1:54" x14ac:dyDescent="0.2">
      <c r="A386" s="84"/>
      <c r="B386" s="85"/>
      <c r="C386" s="85"/>
      <c r="D386" s="85"/>
      <c r="E386" s="86"/>
      <c r="F386" s="16">
        <f>IF(E386="","",DATEDIF(E386,$I$7,"Y"))</f>
      </c>
      <c r="G386" s="85"/>
      <c r="H386" s="85"/>
      <c r="I386" s="87"/>
      <c r="J386" s="85"/>
      <c r="K386" s="85"/>
      <c r="L386" s="10"/>
      <c r="M386" s="10"/>
      <c r="N386" s="10"/>
      <c r="O386" s="10"/>
      <c r="P386" s="85"/>
      <c r="Q386" s="88"/>
      <c r="R386" s="3">
        <f>IFERROR(VLOOKUP(TablaDiciembre[[#This Row],[BARRIO]],SECTOR!$A:$B,2,0),"")</f>
      </c>
      <c r="S386" s="89"/>
      <c r="T386" s="90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6"/>
      <c r="AZ386" s="120">
        <f>COUNTIF(U386:AY386,"A")</f>
      </c>
      <c r="BA386" s="121">
        <f>COUNTIF(U386:AY386,"F")</f>
      </c>
      <c r="BB386" s="119">
        <f>COUNTIF(U386:AY386,"E")</f>
      </c>
    </row>
    <row r="387" spans="1:54" x14ac:dyDescent="0.2">
      <c r="A387" s="84"/>
      <c r="B387" s="85"/>
      <c r="C387" s="85"/>
      <c r="D387" s="85"/>
      <c r="E387" s="86"/>
      <c r="F387" s="16">
        <f>IF(E387="","",DATEDIF(E387,$I$7,"Y"))</f>
      </c>
      <c r="G387" s="85"/>
      <c r="H387" s="85"/>
      <c r="I387" s="87"/>
      <c r="J387" s="85"/>
      <c r="K387" s="85"/>
      <c r="L387" s="10"/>
      <c r="M387" s="10"/>
      <c r="N387" s="10"/>
      <c r="O387" s="10"/>
      <c r="P387" s="85"/>
      <c r="Q387" s="88"/>
      <c r="R387" s="3">
        <f>IFERROR(VLOOKUP(TablaDiciembre[[#This Row],[BARRIO]],SECTOR!$A:$B,2,0),"")</f>
      </c>
      <c r="S387" s="89"/>
      <c r="T387" s="90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6"/>
      <c r="AZ387" s="120">
        <f>COUNTIF(U387:AY387,"A")</f>
      </c>
      <c r="BA387" s="121">
        <f>COUNTIF(U387:AY387,"F")</f>
      </c>
      <c r="BB387" s="119">
        <f>COUNTIF(U387:AY387,"E")</f>
      </c>
    </row>
    <row r="388" spans="1:54" x14ac:dyDescent="0.2">
      <c r="A388" s="84"/>
      <c r="B388" s="85"/>
      <c r="C388" s="85"/>
      <c r="D388" s="85"/>
      <c r="E388" s="86"/>
      <c r="F388" s="16">
        <f>IF(E388="","",DATEDIF(E388,$I$7,"Y"))</f>
      </c>
      <c r="G388" s="85"/>
      <c r="H388" s="85"/>
      <c r="I388" s="87"/>
      <c r="J388" s="85"/>
      <c r="K388" s="85"/>
      <c r="L388" s="10"/>
      <c r="M388" s="10"/>
      <c r="N388" s="10"/>
      <c r="O388" s="10"/>
      <c r="P388" s="85"/>
      <c r="Q388" s="88"/>
      <c r="R388" s="3">
        <f>IFERROR(VLOOKUP(TablaDiciembre[[#This Row],[BARRIO]],SECTOR!$A:$B,2,0),"")</f>
      </c>
      <c r="S388" s="89"/>
      <c r="T388" s="90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6"/>
      <c r="AZ388" s="120">
        <f>COUNTIF(U388:AY388,"A")</f>
      </c>
      <c r="BA388" s="121">
        <f>COUNTIF(U388:AY388,"F")</f>
      </c>
      <c r="BB388" s="119">
        <f>COUNTIF(U388:AY388,"E")</f>
      </c>
    </row>
    <row r="389" spans="1:54" x14ac:dyDescent="0.2">
      <c r="A389" s="84"/>
      <c r="B389" s="85"/>
      <c r="C389" s="85"/>
      <c r="D389" s="85"/>
      <c r="E389" s="86"/>
      <c r="F389" s="16">
        <f>IF(E389="","",DATEDIF(E389,$I$7,"Y"))</f>
      </c>
      <c r="G389" s="85"/>
      <c r="H389" s="85"/>
      <c r="I389" s="87"/>
      <c r="J389" s="85"/>
      <c r="K389" s="85"/>
      <c r="L389" s="10"/>
      <c r="M389" s="10"/>
      <c r="N389" s="10"/>
      <c r="O389" s="10"/>
      <c r="P389" s="85"/>
      <c r="Q389" s="88"/>
      <c r="R389" s="3">
        <f>IFERROR(VLOOKUP(TablaDiciembre[[#This Row],[BARRIO]],SECTOR!$A:$B,2,0),"")</f>
      </c>
      <c r="S389" s="89"/>
      <c r="T389" s="90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6"/>
      <c r="AZ389" s="120">
        <f>COUNTIF(U389:AY389,"A")</f>
      </c>
      <c r="BA389" s="121">
        <f>COUNTIF(U389:AY389,"F")</f>
      </c>
      <c r="BB389" s="119">
        <f>COUNTIF(U389:AY389,"E")</f>
      </c>
    </row>
    <row r="390" spans="1:54" x14ac:dyDescent="0.2">
      <c r="A390" s="84"/>
      <c r="B390" s="85"/>
      <c r="C390" s="85"/>
      <c r="D390" s="85"/>
      <c r="E390" s="86"/>
      <c r="F390" s="16">
        <f>IF(E390="","",DATEDIF(E390,$I$7,"Y"))</f>
      </c>
      <c r="G390" s="85"/>
      <c r="H390" s="85"/>
      <c r="I390" s="87"/>
      <c r="J390" s="85"/>
      <c r="K390" s="85"/>
      <c r="L390" s="10"/>
      <c r="M390" s="10"/>
      <c r="N390" s="10"/>
      <c r="O390" s="10"/>
      <c r="P390" s="85"/>
      <c r="Q390" s="88"/>
      <c r="R390" s="3">
        <f>IFERROR(VLOOKUP(TablaDiciembre[[#This Row],[BARRIO]],SECTOR!$A:$B,2,0),"")</f>
      </c>
      <c r="S390" s="89"/>
      <c r="T390" s="90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6"/>
      <c r="AZ390" s="120">
        <f>COUNTIF(U390:AY390,"A")</f>
      </c>
      <c r="BA390" s="121">
        <f>COUNTIF(U390:AY390,"F")</f>
      </c>
      <c r="BB390" s="119">
        <f>COUNTIF(U390:AY390,"E")</f>
      </c>
    </row>
    <row r="391" spans="1:54" x14ac:dyDescent="0.2">
      <c r="A391" s="84"/>
      <c r="B391" s="85"/>
      <c r="C391" s="85"/>
      <c r="D391" s="85"/>
      <c r="E391" s="86"/>
      <c r="F391" s="16">
        <f>IF(E391="","",DATEDIF(E391,$I$7,"Y"))</f>
      </c>
      <c r="G391" s="85"/>
      <c r="H391" s="85"/>
      <c r="I391" s="87"/>
      <c r="J391" s="85"/>
      <c r="K391" s="85"/>
      <c r="L391" s="10"/>
      <c r="M391" s="10"/>
      <c r="N391" s="10"/>
      <c r="O391" s="10"/>
      <c r="P391" s="85"/>
      <c r="Q391" s="88"/>
      <c r="R391" s="3">
        <f>IFERROR(VLOOKUP(TablaDiciembre[[#This Row],[BARRIO]],SECTOR!$A:$B,2,0),"")</f>
      </c>
      <c r="S391" s="89"/>
      <c r="T391" s="90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6"/>
      <c r="AZ391" s="120">
        <f>COUNTIF(U391:AY391,"A")</f>
      </c>
      <c r="BA391" s="121">
        <f>COUNTIF(U391:AY391,"F")</f>
      </c>
      <c r="BB391" s="119">
        <f>COUNTIF(U391:AY391,"E")</f>
      </c>
    </row>
    <row r="392" spans="1:54" x14ac:dyDescent="0.2">
      <c r="A392" s="84"/>
      <c r="B392" s="85"/>
      <c r="C392" s="85"/>
      <c r="D392" s="85"/>
      <c r="E392" s="86"/>
      <c r="F392" s="16">
        <f>IF(E392="","",DATEDIF(E392,$I$7,"Y"))</f>
      </c>
      <c r="G392" s="85"/>
      <c r="H392" s="85"/>
      <c r="I392" s="87"/>
      <c r="J392" s="85"/>
      <c r="K392" s="85"/>
      <c r="L392" s="10"/>
      <c r="M392" s="10"/>
      <c r="N392" s="10"/>
      <c r="O392" s="10"/>
      <c r="P392" s="85"/>
      <c r="Q392" s="88"/>
      <c r="R392" s="3">
        <f>IFERROR(VLOOKUP(TablaDiciembre[[#This Row],[BARRIO]],SECTOR!$A:$B,2,0),"")</f>
      </c>
      <c r="S392" s="89"/>
      <c r="T392" s="90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6"/>
      <c r="AZ392" s="120">
        <f>COUNTIF(U392:AY392,"A")</f>
      </c>
      <c r="BA392" s="121">
        <f>COUNTIF(U392:AY392,"F")</f>
      </c>
      <c r="BB392" s="119">
        <f>COUNTIF(U392:AY392,"E")</f>
      </c>
    </row>
    <row r="393" spans="1:54" x14ac:dyDescent="0.2">
      <c r="A393" s="84"/>
      <c r="B393" s="85"/>
      <c r="C393" s="85"/>
      <c r="D393" s="85"/>
      <c r="E393" s="86"/>
      <c r="F393" s="16">
        <f>IF(E393="","",DATEDIF(E393,$I$7,"Y"))</f>
      </c>
      <c r="G393" s="85"/>
      <c r="H393" s="85"/>
      <c r="I393" s="87"/>
      <c r="J393" s="85"/>
      <c r="K393" s="85"/>
      <c r="L393" s="10"/>
      <c r="M393" s="10"/>
      <c r="N393" s="10"/>
      <c r="O393" s="10"/>
      <c r="P393" s="85"/>
      <c r="Q393" s="88"/>
      <c r="R393" s="3">
        <f>IFERROR(VLOOKUP(TablaDiciembre[[#This Row],[BARRIO]],SECTOR!$A:$B,2,0),"")</f>
      </c>
      <c r="S393" s="89"/>
      <c r="T393" s="90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6"/>
      <c r="AZ393" s="120">
        <f>COUNTIF(U393:AY393,"A")</f>
      </c>
      <c r="BA393" s="121">
        <f>COUNTIF(U393:AY393,"F")</f>
      </c>
      <c r="BB393" s="119">
        <f>COUNTIF(U393:AY393,"E")</f>
      </c>
    </row>
    <row r="394" spans="1:54" x14ac:dyDescent="0.2">
      <c r="A394" s="84"/>
      <c r="B394" s="85"/>
      <c r="C394" s="85"/>
      <c r="D394" s="85"/>
      <c r="E394" s="86"/>
      <c r="F394" s="16">
        <f>IF(E394="","",DATEDIF(E394,$I$7,"Y"))</f>
      </c>
      <c r="G394" s="85"/>
      <c r="H394" s="85"/>
      <c r="I394" s="87"/>
      <c r="J394" s="85"/>
      <c r="K394" s="85"/>
      <c r="L394" s="10"/>
      <c r="M394" s="10"/>
      <c r="N394" s="10"/>
      <c r="O394" s="10"/>
      <c r="P394" s="85"/>
      <c r="Q394" s="88"/>
      <c r="R394" s="3">
        <f>IFERROR(VLOOKUP(TablaDiciembre[[#This Row],[BARRIO]],SECTOR!$A:$B,2,0),"")</f>
      </c>
      <c r="S394" s="89"/>
      <c r="T394" s="90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6"/>
      <c r="AZ394" s="120">
        <f>COUNTIF(U394:AY394,"A")</f>
      </c>
      <c r="BA394" s="121">
        <f>COUNTIF(U394:AY394,"F")</f>
      </c>
      <c r="BB394" s="119">
        <f>COUNTIF(U394:AY394,"E")</f>
      </c>
    </row>
    <row r="395" spans="1:54" x14ac:dyDescent="0.2">
      <c r="A395" s="84"/>
      <c r="B395" s="85"/>
      <c r="C395" s="85"/>
      <c r="D395" s="85"/>
      <c r="E395" s="86"/>
      <c r="F395" s="16">
        <f>IF(E395="","",DATEDIF(E395,$I$7,"Y"))</f>
      </c>
      <c r="G395" s="85"/>
      <c r="H395" s="85"/>
      <c r="I395" s="87"/>
      <c r="J395" s="85"/>
      <c r="K395" s="85"/>
      <c r="L395" s="10"/>
      <c r="M395" s="10"/>
      <c r="N395" s="10"/>
      <c r="O395" s="10"/>
      <c r="P395" s="85"/>
      <c r="Q395" s="88"/>
      <c r="R395" s="3">
        <f>IFERROR(VLOOKUP(TablaDiciembre[[#This Row],[BARRIO]],SECTOR!$A:$B,2,0),"")</f>
      </c>
      <c r="S395" s="89"/>
      <c r="T395" s="90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6"/>
      <c r="AZ395" s="120">
        <f>COUNTIF(U395:AY395,"A")</f>
      </c>
      <c r="BA395" s="121">
        <f>COUNTIF(U395:AY395,"F")</f>
      </c>
      <c r="BB395" s="119">
        <f>COUNTIF(U395:AY395,"E")</f>
      </c>
    </row>
    <row r="396" spans="1:54" x14ac:dyDescent="0.2">
      <c r="A396" s="84"/>
      <c r="B396" s="85"/>
      <c r="C396" s="85"/>
      <c r="D396" s="85"/>
      <c r="E396" s="86"/>
      <c r="F396" s="16">
        <f>IF(E396="","",DATEDIF(E396,$I$7,"Y"))</f>
      </c>
      <c r="G396" s="85"/>
      <c r="H396" s="85"/>
      <c r="I396" s="87"/>
      <c r="J396" s="85"/>
      <c r="K396" s="85"/>
      <c r="L396" s="10"/>
      <c r="M396" s="10"/>
      <c r="N396" s="10"/>
      <c r="O396" s="10"/>
      <c r="P396" s="85"/>
      <c r="Q396" s="88"/>
      <c r="R396" s="3">
        <f>IFERROR(VLOOKUP(TablaDiciembre[[#This Row],[BARRIO]],SECTOR!$A:$B,2,0),"")</f>
      </c>
      <c r="S396" s="89"/>
      <c r="T396" s="90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6"/>
      <c r="AZ396" s="120">
        <f>COUNTIF(U396:AY396,"A")</f>
      </c>
      <c r="BA396" s="121">
        <f>COUNTIF(U396:AY396,"F")</f>
      </c>
      <c r="BB396" s="119">
        <f>COUNTIF(U396:AY396,"E")</f>
      </c>
    </row>
    <row r="397" spans="1:54" x14ac:dyDescent="0.2">
      <c r="A397" s="84"/>
      <c r="B397" s="85"/>
      <c r="C397" s="85"/>
      <c r="D397" s="85"/>
      <c r="E397" s="86"/>
      <c r="F397" s="16">
        <f>IF(E397="","",DATEDIF(E397,$I$7,"Y"))</f>
      </c>
      <c r="G397" s="85"/>
      <c r="H397" s="85"/>
      <c r="I397" s="87"/>
      <c r="J397" s="85"/>
      <c r="K397" s="85"/>
      <c r="L397" s="10"/>
      <c r="M397" s="10"/>
      <c r="N397" s="10"/>
      <c r="O397" s="10"/>
      <c r="P397" s="85"/>
      <c r="Q397" s="88"/>
      <c r="R397" s="3">
        <f>IFERROR(VLOOKUP(TablaDiciembre[[#This Row],[BARRIO]],SECTOR!$A:$B,2,0),"")</f>
      </c>
      <c r="S397" s="89"/>
      <c r="T397" s="90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6"/>
      <c r="AZ397" s="120">
        <f>COUNTIF(U397:AY397,"A")</f>
      </c>
      <c r="BA397" s="121">
        <f>COUNTIF(U397:AY397,"F")</f>
      </c>
      <c r="BB397" s="119">
        <f>COUNTIF(U397:AY397,"E")</f>
      </c>
    </row>
    <row r="398" spans="1:54" x14ac:dyDescent="0.2">
      <c r="A398" s="84"/>
      <c r="B398" s="85"/>
      <c r="C398" s="85"/>
      <c r="D398" s="85"/>
      <c r="E398" s="86"/>
      <c r="F398" s="16">
        <f>IF(E398="","",DATEDIF(E398,$I$7,"Y"))</f>
      </c>
      <c r="G398" s="85"/>
      <c r="H398" s="85"/>
      <c r="I398" s="87"/>
      <c r="J398" s="85"/>
      <c r="K398" s="85"/>
      <c r="L398" s="10"/>
      <c r="M398" s="10"/>
      <c r="N398" s="10"/>
      <c r="O398" s="10"/>
      <c r="P398" s="85"/>
      <c r="Q398" s="88"/>
      <c r="R398" s="3">
        <f>IFERROR(VLOOKUP(TablaDiciembre[[#This Row],[BARRIO]],SECTOR!$A:$B,2,0),"")</f>
      </c>
      <c r="S398" s="89"/>
      <c r="T398" s="90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6"/>
      <c r="AZ398" s="120">
        <f>COUNTIF(U398:AY398,"A")</f>
      </c>
      <c r="BA398" s="121">
        <f>COUNTIF(U398:AY398,"F")</f>
      </c>
      <c r="BB398" s="119">
        <f>COUNTIF(U398:AY398,"E")</f>
      </c>
    </row>
    <row r="399" spans="1:54" x14ac:dyDescent="0.2">
      <c r="A399" s="84"/>
      <c r="B399" s="85"/>
      <c r="C399" s="85"/>
      <c r="D399" s="85"/>
      <c r="E399" s="86"/>
      <c r="F399" s="16">
        <f>IF(E399="","",DATEDIF(E399,$I$7,"Y"))</f>
      </c>
      <c r="G399" s="85"/>
      <c r="H399" s="85"/>
      <c r="I399" s="87"/>
      <c r="J399" s="85"/>
      <c r="K399" s="85"/>
      <c r="L399" s="10"/>
      <c r="M399" s="10"/>
      <c r="N399" s="10"/>
      <c r="O399" s="10"/>
      <c r="P399" s="85"/>
      <c r="Q399" s="88"/>
      <c r="R399" s="3">
        <f>IFERROR(VLOOKUP(TablaDiciembre[[#This Row],[BARRIO]],SECTOR!$A:$B,2,0),"")</f>
      </c>
      <c r="S399" s="89"/>
      <c r="T399" s="90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6"/>
      <c r="AZ399" s="120">
        <f>COUNTIF(U399:AY399,"A")</f>
      </c>
      <c r="BA399" s="121">
        <f>COUNTIF(U399:AY399,"F")</f>
      </c>
      <c r="BB399" s="119">
        <f>COUNTIF(U399:AY399,"E")</f>
      </c>
    </row>
    <row r="400" spans="1:54" x14ac:dyDescent="0.2">
      <c r="A400" s="84"/>
      <c r="B400" s="85"/>
      <c r="C400" s="85"/>
      <c r="D400" s="85"/>
      <c r="E400" s="86"/>
      <c r="F400" s="16">
        <f>IF(E400="","",DATEDIF(E400,$I$7,"Y"))</f>
      </c>
      <c r="G400" s="85"/>
      <c r="H400" s="85"/>
      <c r="I400" s="87"/>
      <c r="J400" s="85"/>
      <c r="K400" s="85"/>
      <c r="L400" s="10"/>
      <c r="M400" s="10"/>
      <c r="N400" s="10"/>
      <c r="O400" s="10"/>
      <c r="P400" s="85"/>
      <c r="Q400" s="88"/>
      <c r="R400" s="3">
        <f>IFERROR(VLOOKUP(TablaDiciembre[[#This Row],[BARRIO]],SECTOR!$A:$B,2,0),"")</f>
      </c>
      <c r="S400" s="89"/>
      <c r="T400" s="90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6"/>
      <c r="AZ400" s="120">
        <f>COUNTIF(U400:AY400,"A")</f>
      </c>
      <c r="BA400" s="121">
        <f>COUNTIF(U400:AY400,"F")</f>
      </c>
      <c r="BB400" s="119">
        <f>COUNTIF(U400:AY400,"E")</f>
      </c>
    </row>
    <row r="401" spans="1:54" x14ac:dyDescent="0.2">
      <c r="A401" s="84"/>
      <c r="B401" s="85"/>
      <c r="C401" s="85"/>
      <c r="D401" s="85"/>
      <c r="E401" s="86"/>
      <c r="F401" s="16">
        <f>IF(E401="","",DATEDIF(E401,$I$7,"Y"))</f>
      </c>
      <c r="G401" s="85"/>
      <c r="H401" s="85"/>
      <c r="I401" s="87"/>
      <c r="J401" s="85"/>
      <c r="K401" s="85"/>
      <c r="L401" s="10"/>
      <c r="M401" s="10"/>
      <c r="N401" s="10"/>
      <c r="O401" s="10"/>
      <c r="P401" s="85"/>
      <c r="Q401" s="88"/>
      <c r="R401" s="3">
        <f>IFERROR(VLOOKUP(TablaDiciembre[[#This Row],[BARRIO]],SECTOR!$A:$B,2,0),"")</f>
      </c>
      <c r="S401" s="89"/>
      <c r="T401" s="90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6"/>
      <c r="AZ401" s="120">
        <f>COUNTIF(U401:AY401,"A")</f>
      </c>
      <c r="BA401" s="121">
        <f>COUNTIF(U401:AY401,"F")</f>
      </c>
      <c r="BB401" s="119">
        <f>COUNTIF(U401:AY401,"E")</f>
      </c>
    </row>
    <row r="402" spans="1:54" x14ac:dyDescent="0.2">
      <c r="A402" s="84"/>
      <c r="B402" s="85"/>
      <c r="C402" s="85"/>
      <c r="D402" s="85"/>
      <c r="E402" s="86"/>
      <c r="F402" s="16">
        <f>IF(E402="","",DATEDIF(E402,$I$7,"Y"))</f>
      </c>
      <c r="G402" s="85"/>
      <c r="H402" s="85"/>
      <c r="I402" s="87"/>
      <c r="J402" s="85"/>
      <c r="K402" s="85"/>
      <c r="L402" s="10"/>
      <c r="M402" s="10"/>
      <c r="N402" s="10"/>
      <c r="O402" s="10"/>
      <c r="P402" s="85"/>
      <c r="Q402" s="88"/>
      <c r="R402" s="3">
        <f>IFERROR(VLOOKUP(TablaDiciembre[[#This Row],[BARRIO]],SECTOR!$A:$B,2,0),"")</f>
      </c>
      <c r="S402" s="89"/>
      <c r="T402" s="90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6"/>
      <c r="AZ402" s="120">
        <f>COUNTIF(U402:AY402,"A")</f>
      </c>
      <c r="BA402" s="121">
        <f>COUNTIF(U402:AY402,"F")</f>
      </c>
      <c r="BB402" s="119">
        <f>COUNTIF(U402:AY402,"E")</f>
      </c>
    </row>
    <row r="403" spans="1:54" x14ac:dyDescent="0.2">
      <c r="A403" s="84"/>
      <c r="B403" s="85"/>
      <c r="C403" s="85"/>
      <c r="D403" s="85"/>
      <c r="E403" s="86"/>
      <c r="F403" s="16">
        <f>IF(E403="","",DATEDIF(E403,$I$7,"Y"))</f>
      </c>
      <c r="G403" s="85"/>
      <c r="H403" s="85"/>
      <c r="I403" s="87"/>
      <c r="J403" s="85"/>
      <c r="K403" s="85"/>
      <c r="L403" s="10"/>
      <c r="M403" s="10"/>
      <c r="N403" s="10"/>
      <c r="O403" s="10"/>
      <c r="P403" s="85"/>
      <c r="Q403" s="88"/>
      <c r="R403" s="3">
        <f>IFERROR(VLOOKUP(TablaDiciembre[[#This Row],[BARRIO]],SECTOR!$A:$B,2,0),"")</f>
      </c>
      <c r="S403" s="89"/>
      <c r="T403" s="90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6"/>
      <c r="AZ403" s="120">
        <f>COUNTIF(U403:AY403,"A")</f>
      </c>
      <c r="BA403" s="121">
        <f>COUNTIF(U403:AY403,"F")</f>
      </c>
      <c r="BB403" s="119">
        <f>COUNTIF(U403:AY403,"E")</f>
      </c>
    </row>
    <row r="404" spans="1:54" x14ac:dyDescent="0.2">
      <c r="A404" s="84"/>
      <c r="B404" s="85"/>
      <c r="C404" s="85"/>
      <c r="D404" s="85"/>
      <c r="E404" s="86"/>
      <c r="F404" s="16">
        <f>IF(E404="","",DATEDIF(E404,$I$7,"Y"))</f>
      </c>
      <c r="G404" s="85"/>
      <c r="H404" s="85"/>
      <c r="I404" s="87"/>
      <c r="J404" s="85"/>
      <c r="K404" s="85"/>
      <c r="L404" s="10"/>
      <c r="M404" s="10"/>
      <c r="N404" s="10"/>
      <c r="O404" s="10"/>
      <c r="P404" s="85"/>
      <c r="Q404" s="88"/>
      <c r="R404" s="3">
        <f>IFERROR(VLOOKUP(TablaDiciembre[[#This Row],[BARRIO]],SECTOR!$A:$B,2,0),"")</f>
      </c>
      <c r="S404" s="89"/>
      <c r="T404" s="90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6"/>
      <c r="AZ404" s="120">
        <f>COUNTIF(U404:AY404,"A")</f>
      </c>
      <c r="BA404" s="121">
        <f>COUNTIF(U404:AY404,"F")</f>
      </c>
      <c r="BB404" s="119">
        <f>COUNTIF(U404:AY404,"E")</f>
      </c>
    </row>
    <row r="405" spans="1:54" x14ac:dyDescent="0.2">
      <c r="A405" s="84"/>
      <c r="B405" s="85"/>
      <c r="C405" s="85"/>
      <c r="D405" s="85"/>
      <c r="E405" s="86"/>
      <c r="F405" s="16">
        <f>IF(E405="","",DATEDIF(E405,$I$7,"Y"))</f>
      </c>
      <c r="G405" s="85"/>
      <c r="H405" s="85"/>
      <c r="I405" s="87"/>
      <c r="J405" s="85"/>
      <c r="K405" s="85"/>
      <c r="L405" s="10"/>
      <c r="M405" s="10"/>
      <c r="N405" s="10"/>
      <c r="O405" s="10"/>
      <c r="P405" s="85"/>
      <c r="Q405" s="88"/>
      <c r="R405" s="3">
        <f>IFERROR(VLOOKUP(TablaDiciembre[[#This Row],[BARRIO]],SECTOR!$A:$B,2,0),"")</f>
      </c>
      <c r="S405" s="89"/>
      <c r="T405" s="90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6"/>
      <c r="AZ405" s="120">
        <f>COUNTIF(U405:AY405,"A")</f>
      </c>
      <c r="BA405" s="121">
        <f>COUNTIF(U405:AY405,"F")</f>
      </c>
      <c r="BB405" s="119">
        <f>COUNTIF(U405:AY405,"E")</f>
      </c>
    </row>
    <row r="406" spans="1:54" x14ac:dyDescent="0.2">
      <c r="A406" s="84"/>
      <c r="B406" s="85"/>
      <c r="C406" s="85"/>
      <c r="D406" s="85"/>
      <c r="E406" s="86"/>
      <c r="F406" s="16">
        <f>IF(E406="","",DATEDIF(E406,$I$7,"Y"))</f>
      </c>
      <c r="G406" s="85"/>
      <c r="H406" s="85"/>
      <c r="I406" s="87"/>
      <c r="J406" s="85"/>
      <c r="K406" s="85"/>
      <c r="L406" s="10"/>
      <c r="M406" s="10"/>
      <c r="N406" s="10"/>
      <c r="O406" s="10"/>
      <c r="P406" s="85"/>
      <c r="Q406" s="88"/>
      <c r="R406" s="3">
        <f>IFERROR(VLOOKUP(TablaDiciembre[[#This Row],[BARRIO]],SECTOR!$A:$B,2,0),"")</f>
      </c>
      <c r="S406" s="89"/>
      <c r="T406" s="90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6"/>
      <c r="AZ406" s="120">
        <f>COUNTIF(U406:AY406,"A")</f>
      </c>
      <c r="BA406" s="121">
        <f>COUNTIF(U406:AY406,"F")</f>
      </c>
      <c r="BB406" s="119">
        <f>COUNTIF(U406:AY406,"E")</f>
      </c>
    </row>
    <row r="407" spans="1:54" x14ac:dyDescent="0.2">
      <c r="A407" s="84"/>
      <c r="B407" s="85"/>
      <c r="C407" s="85"/>
      <c r="D407" s="85"/>
      <c r="E407" s="86"/>
      <c r="F407" s="16">
        <f>IF(E407="","",DATEDIF(E407,$I$7,"Y"))</f>
      </c>
      <c r="G407" s="85"/>
      <c r="H407" s="85"/>
      <c r="I407" s="87"/>
      <c r="J407" s="85"/>
      <c r="K407" s="85"/>
      <c r="L407" s="10"/>
      <c r="M407" s="10"/>
      <c r="N407" s="10"/>
      <c r="O407" s="10"/>
      <c r="P407" s="85"/>
      <c r="Q407" s="88"/>
      <c r="R407" s="3">
        <f>IFERROR(VLOOKUP(TablaDiciembre[[#This Row],[BARRIO]],SECTOR!$A:$B,2,0),"")</f>
      </c>
      <c r="S407" s="89"/>
      <c r="T407" s="90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6"/>
      <c r="AZ407" s="120">
        <f>COUNTIF(U407:AY407,"A")</f>
      </c>
      <c r="BA407" s="121">
        <f>COUNTIF(U407:AY407,"F")</f>
      </c>
      <c r="BB407" s="119">
        <f>COUNTIF(U407:AY407,"E")</f>
      </c>
    </row>
    <row r="408" spans="1:54" x14ac:dyDescent="0.2">
      <c r="A408" s="84"/>
      <c r="B408" s="85"/>
      <c r="C408" s="85"/>
      <c r="D408" s="85"/>
      <c r="E408" s="86"/>
      <c r="F408" s="16">
        <f>IF(E408="","",DATEDIF(E408,$I$7,"Y"))</f>
      </c>
      <c r="G408" s="85"/>
      <c r="H408" s="85"/>
      <c r="I408" s="87"/>
      <c r="J408" s="85"/>
      <c r="K408" s="85"/>
      <c r="L408" s="10"/>
      <c r="M408" s="10"/>
      <c r="N408" s="10"/>
      <c r="O408" s="10"/>
      <c r="P408" s="85"/>
      <c r="Q408" s="88"/>
      <c r="R408" s="3">
        <f>IFERROR(VLOOKUP(TablaDiciembre[[#This Row],[BARRIO]],SECTOR!$A:$B,2,0),"")</f>
      </c>
      <c r="S408" s="89"/>
      <c r="T408" s="90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6"/>
      <c r="AZ408" s="120">
        <f>COUNTIF(U408:AY408,"A")</f>
      </c>
      <c r="BA408" s="121">
        <f>COUNTIF(U408:AY408,"F")</f>
      </c>
      <c r="BB408" s="119">
        <f>COUNTIF(U408:AY408,"E")</f>
      </c>
    </row>
    <row r="409" spans="1:54" x14ac:dyDescent="0.2">
      <c r="A409" s="84"/>
      <c r="B409" s="85"/>
      <c r="C409" s="85"/>
      <c r="D409" s="85"/>
      <c r="E409" s="86"/>
      <c r="F409" s="16">
        <f>IF(E409="","",DATEDIF(E409,$I$7,"Y"))</f>
      </c>
      <c r="G409" s="85"/>
      <c r="H409" s="85"/>
      <c r="I409" s="87"/>
      <c r="J409" s="85"/>
      <c r="K409" s="85"/>
      <c r="L409" s="10"/>
      <c r="M409" s="10"/>
      <c r="N409" s="10"/>
      <c r="O409" s="10"/>
      <c r="P409" s="85"/>
      <c r="Q409" s="88"/>
      <c r="R409" s="3">
        <f>IFERROR(VLOOKUP(TablaDiciembre[[#This Row],[BARRIO]],SECTOR!$A:$B,2,0),"")</f>
      </c>
      <c r="S409" s="89"/>
      <c r="T409" s="90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6"/>
      <c r="AZ409" s="120">
        <f>COUNTIF(U409:AY409,"A")</f>
      </c>
      <c r="BA409" s="121">
        <f>COUNTIF(U409:AY409,"F")</f>
      </c>
      <c r="BB409" s="119">
        <f>COUNTIF(U409:AY409,"E")</f>
      </c>
    </row>
    <row r="410" spans="1:54" x14ac:dyDescent="0.2">
      <c r="A410" s="84"/>
      <c r="B410" s="85"/>
      <c r="C410" s="85"/>
      <c r="D410" s="85"/>
      <c r="E410" s="86"/>
      <c r="F410" s="16">
        <f>IF(E410="","",DATEDIF(E410,$I$7,"Y"))</f>
      </c>
      <c r="G410" s="85"/>
      <c r="H410" s="85"/>
      <c r="I410" s="87"/>
      <c r="J410" s="85"/>
      <c r="K410" s="85"/>
      <c r="L410" s="10"/>
      <c r="M410" s="10"/>
      <c r="N410" s="10"/>
      <c r="O410" s="10"/>
      <c r="P410" s="85"/>
      <c r="Q410" s="88"/>
      <c r="R410" s="3">
        <f>IFERROR(VLOOKUP(TablaDiciembre[[#This Row],[BARRIO]],SECTOR!$A:$B,2,0),"")</f>
      </c>
      <c r="S410" s="89"/>
      <c r="T410" s="90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6"/>
      <c r="AZ410" s="120">
        <f>COUNTIF(U410:AY410,"A")</f>
      </c>
      <c r="BA410" s="121">
        <f>COUNTIF(U410:AY410,"F")</f>
      </c>
      <c r="BB410" s="119">
        <f>COUNTIF(U410:AY410,"E")</f>
      </c>
    </row>
    <row r="411" spans="1:54" x14ac:dyDescent="0.2">
      <c r="A411" s="84"/>
      <c r="B411" s="85"/>
      <c r="C411" s="85"/>
      <c r="D411" s="85"/>
      <c r="E411" s="86"/>
      <c r="F411" s="16">
        <f>IF(E411="","",DATEDIF(E411,$I$7,"Y"))</f>
      </c>
      <c r="G411" s="85"/>
      <c r="H411" s="85"/>
      <c r="I411" s="87"/>
      <c r="J411" s="85"/>
      <c r="K411" s="85"/>
      <c r="L411" s="10"/>
      <c r="M411" s="10"/>
      <c r="N411" s="10"/>
      <c r="O411" s="10"/>
      <c r="P411" s="85"/>
      <c r="Q411" s="88"/>
      <c r="R411" s="3">
        <f>IFERROR(VLOOKUP(TablaDiciembre[[#This Row],[BARRIO]],SECTOR!$A:$B,2,0),"")</f>
      </c>
      <c r="S411" s="89"/>
      <c r="T411" s="90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6"/>
      <c r="AZ411" s="120">
        <f>COUNTIF(U411:AY411,"A")</f>
      </c>
      <c r="BA411" s="121">
        <f>COUNTIF(U411:AY411,"F")</f>
      </c>
      <c r="BB411" s="119">
        <f>COUNTIF(U411:AY411,"E")</f>
      </c>
    </row>
    <row r="412" spans="1:54" x14ac:dyDescent="0.2">
      <c r="A412" s="84"/>
      <c r="B412" s="85"/>
      <c r="C412" s="85"/>
      <c r="D412" s="85"/>
      <c r="E412" s="86"/>
      <c r="F412" s="16">
        <f>IF(E412="","",DATEDIF(E412,$I$7,"Y"))</f>
      </c>
      <c r="G412" s="85"/>
      <c r="H412" s="85"/>
      <c r="I412" s="87"/>
      <c r="J412" s="85"/>
      <c r="K412" s="85"/>
      <c r="L412" s="10"/>
      <c r="M412" s="10"/>
      <c r="N412" s="10"/>
      <c r="O412" s="10"/>
      <c r="P412" s="85"/>
      <c r="Q412" s="88"/>
      <c r="R412" s="3">
        <f>IFERROR(VLOOKUP(TablaDiciembre[[#This Row],[BARRIO]],SECTOR!$A:$B,2,0),"")</f>
      </c>
      <c r="S412" s="89"/>
      <c r="T412" s="90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6"/>
      <c r="AZ412" s="120">
        <f>COUNTIF(U412:AY412,"A")</f>
      </c>
      <c r="BA412" s="121">
        <f>COUNTIF(U412:AY412,"F")</f>
      </c>
      <c r="BB412" s="119">
        <f>COUNTIF(U412:AY412,"E")</f>
      </c>
    </row>
    <row r="413" spans="1:54" x14ac:dyDescent="0.2">
      <c r="A413" s="84"/>
      <c r="B413" s="85"/>
      <c r="C413" s="85"/>
      <c r="D413" s="85"/>
      <c r="E413" s="86"/>
      <c r="F413" s="16">
        <f>IF(E413="","",DATEDIF(E413,$I$7,"Y"))</f>
      </c>
      <c r="G413" s="85"/>
      <c r="H413" s="85"/>
      <c r="I413" s="87"/>
      <c r="J413" s="85"/>
      <c r="K413" s="85"/>
      <c r="L413" s="10"/>
      <c r="M413" s="10"/>
      <c r="N413" s="10"/>
      <c r="O413" s="10"/>
      <c r="P413" s="85"/>
      <c r="Q413" s="88"/>
      <c r="R413" s="3">
        <f>IFERROR(VLOOKUP(TablaDiciembre[[#This Row],[BARRIO]],SECTOR!$A:$B,2,0),"")</f>
      </c>
      <c r="S413" s="89"/>
      <c r="T413" s="90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6"/>
      <c r="AZ413" s="120">
        <f>COUNTIF(U413:AY413,"A")</f>
      </c>
      <c r="BA413" s="121">
        <f>COUNTIF(U413:AY413,"F")</f>
      </c>
      <c r="BB413" s="119">
        <f>COUNTIF(U413:AY413,"E")</f>
      </c>
    </row>
    <row r="414" spans="1:54" x14ac:dyDescent="0.2">
      <c r="A414" s="84"/>
      <c r="B414" s="85"/>
      <c r="C414" s="85"/>
      <c r="D414" s="85"/>
      <c r="E414" s="86"/>
      <c r="F414" s="16">
        <f>IF(E414="","",DATEDIF(E414,$I$7,"Y"))</f>
      </c>
      <c r="G414" s="85"/>
      <c r="H414" s="85"/>
      <c r="I414" s="87"/>
      <c r="J414" s="85"/>
      <c r="K414" s="85"/>
      <c r="L414" s="10"/>
      <c r="M414" s="10"/>
      <c r="N414" s="10"/>
      <c r="O414" s="10"/>
      <c r="P414" s="85"/>
      <c r="Q414" s="88"/>
      <c r="R414" s="3">
        <f>IFERROR(VLOOKUP(TablaDiciembre[[#This Row],[BARRIO]],SECTOR!$A:$B,2,0),"")</f>
      </c>
      <c r="S414" s="89"/>
      <c r="T414" s="90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6"/>
      <c r="AZ414" s="120">
        <f>COUNTIF(U414:AY414,"A")</f>
      </c>
      <c r="BA414" s="121">
        <f>COUNTIF(U414:AY414,"F")</f>
      </c>
      <c r="BB414" s="119">
        <f>COUNTIF(U414:AY414,"E")</f>
      </c>
    </row>
    <row r="415" spans="1:54" x14ac:dyDescent="0.2">
      <c r="A415" s="84"/>
      <c r="B415" s="85"/>
      <c r="C415" s="85"/>
      <c r="D415" s="85"/>
      <c r="E415" s="86"/>
      <c r="F415" s="16">
        <f>IF(E415="","",DATEDIF(E415,$I$7,"Y"))</f>
      </c>
      <c r="G415" s="85"/>
      <c r="H415" s="85"/>
      <c r="I415" s="87"/>
      <c r="J415" s="85"/>
      <c r="K415" s="85"/>
      <c r="L415" s="10"/>
      <c r="M415" s="10"/>
      <c r="N415" s="10"/>
      <c r="O415" s="10"/>
      <c r="P415" s="85"/>
      <c r="Q415" s="88"/>
      <c r="R415" s="3">
        <f>IFERROR(VLOOKUP(TablaDiciembre[[#This Row],[BARRIO]],SECTOR!$A:$B,2,0),"")</f>
      </c>
      <c r="S415" s="89"/>
      <c r="T415" s="90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6"/>
      <c r="AZ415" s="120">
        <f>COUNTIF(U415:AY415,"A")</f>
      </c>
      <c r="BA415" s="121">
        <f>COUNTIF(U415:AY415,"F")</f>
      </c>
      <c r="BB415" s="119">
        <f>COUNTIF(U415:AY415,"E")</f>
      </c>
    </row>
    <row r="416" spans="1:54" x14ac:dyDescent="0.2">
      <c r="A416" s="84"/>
      <c r="B416" s="85"/>
      <c r="C416" s="85"/>
      <c r="D416" s="85"/>
      <c r="E416" s="86"/>
      <c r="F416" s="16">
        <f>IF(E416="","",DATEDIF(E416,$I$7,"Y"))</f>
      </c>
      <c r="G416" s="85"/>
      <c r="H416" s="85"/>
      <c r="I416" s="87"/>
      <c r="J416" s="85"/>
      <c r="K416" s="85"/>
      <c r="L416" s="10"/>
      <c r="M416" s="10"/>
      <c r="N416" s="10"/>
      <c r="O416" s="10"/>
      <c r="P416" s="85"/>
      <c r="Q416" s="88"/>
      <c r="R416" s="3">
        <f>IFERROR(VLOOKUP(TablaDiciembre[[#This Row],[BARRIO]],SECTOR!$A:$B,2,0),"")</f>
      </c>
      <c r="S416" s="89"/>
      <c r="T416" s="90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6"/>
      <c r="AZ416" s="120">
        <f>COUNTIF(U416:AY416,"A")</f>
      </c>
      <c r="BA416" s="121">
        <f>COUNTIF(U416:AY416,"F")</f>
      </c>
      <c r="BB416" s="119">
        <f>COUNTIF(U416:AY416,"E")</f>
      </c>
    </row>
    <row r="417" spans="1:54" x14ac:dyDescent="0.2">
      <c r="A417" s="84"/>
      <c r="B417" s="85"/>
      <c r="C417" s="85"/>
      <c r="D417" s="85"/>
      <c r="E417" s="86"/>
      <c r="F417" s="16">
        <f>IF(E417="","",DATEDIF(E417,$I$7,"Y"))</f>
      </c>
      <c r="G417" s="85"/>
      <c r="H417" s="85"/>
      <c r="I417" s="87"/>
      <c r="J417" s="85"/>
      <c r="K417" s="85"/>
      <c r="L417" s="10"/>
      <c r="M417" s="10"/>
      <c r="N417" s="10"/>
      <c r="O417" s="10"/>
      <c r="P417" s="85"/>
      <c r="Q417" s="88"/>
      <c r="R417" s="3">
        <f>IFERROR(VLOOKUP(TablaDiciembre[[#This Row],[BARRIO]],SECTOR!$A:$B,2,0),"")</f>
      </c>
      <c r="S417" s="89"/>
      <c r="T417" s="90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6"/>
      <c r="AZ417" s="120">
        <f>COUNTIF(U417:AY417,"A")</f>
      </c>
      <c r="BA417" s="121">
        <f>COUNTIF(U417:AY417,"F")</f>
      </c>
      <c r="BB417" s="119">
        <f>COUNTIF(U417:AY417,"E")</f>
      </c>
    </row>
    <row r="418" spans="1:54" x14ac:dyDescent="0.2">
      <c r="A418" s="84"/>
      <c r="B418" s="85"/>
      <c r="C418" s="85"/>
      <c r="D418" s="85"/>
      <c r="E418" s="86"/>
      <c r="F418" s="16">
        <f>IF(E418="","",DATEDIF(E418,$I$7,"Y"))</f>
      </c>
      <c r="G418" s="85"/>
      <c r="H418" s="85"/>
      <c r="I418" s="87"/>
      <c r="J418" s="85"/>
      <c r="K418" s="85"/>
      <c r="L418" s="10"/>
      <c r="M418" s="10"/>
      <c r="N418" s="10"/>
      <c r="O418" s="10"/>
      <c r="P418" s="85"/>
      <c r="Q418" s="88"/>
      <c r="R418" s="3">
        <f>IFERROR(VLOOKUP(TablaDiciembre[[#This Row],[BARRIO]],SECTOR!$A:$B,2,0),"")</f>
      </c>
      <c r="S418" s="89"/>
      <c r="T418" s="90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6"/>
      <c r="AZ418" s="120">
        <f>COUNTIF(U418:AY418,"A")</f>
      </c>
      <c r="BA418" s="121">
        <f>COUNTIF(U418:AY418,"F")</f>
      </c>
      <c r="BB418" s="119">
        <f>COUNTIF(U418:AY418,"E")</f>
      </c>
    </row>
    <row r="419" spans="1:54" x14ac:dyDescent="0.2">
      <c r="A419" s="84"/>
      <c r="B419" s="85"/>
      <c r="C419" s="85"/>
      <c r="D419" s="85"/>
      <c r="E419" s="86"/>
      <c r="F419" s="16">
        <f>IF(E419="","",DATEDIF(E419,$I$7,"Y"))</f>
      </c>
      <c r="G419" s="85"/>
      <c r="H419" s="85"/>
      <c r="I419" s="87"/>
      <c r="J419" s="85"/>
      <c r="K419" s="85"/>
      <c r="L419" s="10"/>
      <c r="M419" s="10"/>
      <c r="N419" s="10"/>
      <c r="O419" s="10"/>
      <c r="P419" s="85"/>
      <c r="Q419" s="88"/>
      <c r="R419" s="3">
        <f>IFERROR(VLOOKUP(TablaDiciembre[[#This Row],[BARRIO]],SECTOR!$A:$B,2,0),"")</f>
      </c>
      <c r="S419" s="89"/>
      <c r="T419" s="90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6"/>
      <c r="AZ419" s="120">
        <f>COUNTIF(U419:AY419,"A")</f>
      </c>
      <c r="BA419" s="121">
        <f>COUNTIF(U419:AY419,"F")</f>
      </c>
      <c r="BB419" s="119">
        <f>COUNTIF(U419:AY419,"E")</f>
      </c>
    </row>
    <row r="420" spans="1:54" x14ac:dyDescent="0.2">
      <c r="A420" s="84"/>
      <c r="B420" s="85"/>
      <c r="C420" s="85"/>
      <c r="D420" s="85"/>
      <c r="E420" s="86"/>
      <c r="F420" s="16">
        <f>IF(E420="","",DATEDIF(E420,$I$7,"Y"))</f>
      </c>
      <c r="G420" s="85"/>
      <c r="H420" s="85"/>
      <c r="I420" s="87"/>
      <c r="J420" s="85"/>
      <c r="K420" s="85"/>
      <c r="L420" s="10"/>
      <c r="M420" s="10"/>
      <c r="N420" s="10"/>
      <c r="O420" s="10"/>
      <c r="P420" s="85"/>
      <c r="Q420" s="88"/>
      <c r="R420" s="3">
        <f>IFERROR(VLOOKUP(TablaDiciembre[[#This Row],[BARRIO]],SECTOR!$A:$B,2,0),"")</f>
      </c>
      <c r="S420" s="89"/>
      <c r="T420" s="90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6"/>
      <c r="AZ420" s="120">
        <f>COUNTIF(U420:AY420,"A")</f>
      </c>
      <c r="BA420" s="121">
        <f>COUNTIF(U420:AY420,"F")</f>
      </c>
      <c r="BB420" s="119">
        <f>COUNTIF(U420:AY420,"E")</f>
      </c>
    </row>
    <row r="421" spans="1:54" x14ac:dyDescent="0.2">
      <c r="A421" s="84"/>
      <c r="B421" s="85"/>
      <c r="C421" s="85"/>
      <c r="D421" s="85"/>
      <c r="E421" s="86"/>
      <c r="F421" s="16">
        <f>IF(E421="","",DATEDIF(E421,$I$7,"Y"))</f>
      </c>
      <c r="G421" s="85"/>
      <c r="H421" s="85"/>
      <c r="I421" s="87"/>
      <c r="J421" s="85"/>
      <c r="K421" s="85"/>
      <c r="L421" s="10"/>
      <c r="M421" s="10"/>
      <c r="N421" s="10"/>
      <c r="O421" s="10"/>
      <c r="P421" s="85"/>
      <c r="Q421" s="88"/>
      <c r="R421" s="3">
        <f>IFERROR(VLOOKUP(TablaDiciembre[[#This Row],[BARRIO]],SECTOR!$A:$B,2,0),"")</f>
      </c>
      <c r="S421" s="89"/>
      <c r="T421" s="90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6"/>
      <c r="AZ421" s="120">
        <f>COUNTIF(U421:AY421,"A")</f>
      </c>
      <c r="BA421" s="121">
        <f>COUNTIF(U421:AY421,"F")</f>
      </c>
      <c r="BB421" s="119">
        <f>COUNTIF(U421:AY421,"E")</f>
      </c>
    </row>
    <row r="422" spans="1:54" x14ac:dyDescent="0.2">
      <c r="A422" s="84"/>
      <c r="B422" s="85"/>
      <c r="C422" s="85"/>
      <c r="D422" s="85"/>
      <c r="E422" s="86"/>
      <c r="F422" s="16">
        <f>IF(E422="","",DATEDIF(E422,$I$7,"Y"))</f>
      </c>
      <c r="G422" s="85"/>
      <c r="H422" s="85"/>
      <c r="I422" s="87"/>
      <c r="J422" s="85"/>
      <c r="K422" s="85"/>
      <c r="L422" s="10"/>
      <c r="M422" s="10"/>
      <c r="N422" s="10"/>
      <c r="O422" s="10"/>
      <c r="P422" s="85"/>
      <c r="Q422" s="88"/>
      <c r="R422" s="3">
        <f>IFERROR(VLOOKUP(TablaDiciembre[[#This Row],[BARRIO]],SECTOR!$A:$B,2,0),"")</f>
      </c>
      <c r="S422" s="89"/>
      <c r="T422" s="90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6"/>
      <c r="AZ422" s="120">
        <f>COUNTIF(U422:AY422,"A")</f>
      </c>
      <c r="BA422" s="121">
        <f>COUNTIF(U422:AY422,"F")</f>
      </c>
      <c r="BB422" s="119">
        <f>COUNTIF(U422:AY422,"E")</f>
      </c>
    </row>
    <row r="423" spans="1:54" x14ac:dyDescent="0.2">
      <c r="A423" s="84"/>
      <c r="B423" s="85"/>
      <c r="C423" s="85"/>
      <c r="D423" s="85"/>
      <c r="E423" s="86"/>
      <c r="F423" s="16">
        <f>IF(E423="","",DATEDIF(E423,$I$7,"Y"))</f>
      </c>
      <c r="G423" s="85"/>
      <c r="H423" s="85"/>
      <c r="I423" s="87"/>
      <c r="J423" s="85"/>
      <c r="K423" s="85"/>
      <c r="L423" s="10"/>
      <c r="M423" s="10"/>
      <c r="N423" s="10"/>
      <c r="O423" s="10"/>
      <c r="P423" s="85"/>
      <c r="Q423" s="88"/>
      <c r="R423" s="3">
        <f>IFERROR(VLOOKUP(TablaDiciembre[[#This Row],[BARRIO]],SECTOR!$A:$B,2,0),"")</f>
      </c>
      <c r="S423" s="89"/>
      <c r="T423" s="90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6"/>
      <c r="AZ423" s="120">
        <f>COUNTIF(U423:AY423,"A")</f>
      </c>
      <c r="BA423" s="121">
        <f>COUNTIF(U423:AY423,"F")</f>
      </c>
      <c r="BB423" s="119">
        <f>COUNTIF(U423:AY423,"E")</f>
      </c>
    </row>
    <row r="424" spans="1:54" x14ac:dyDescent="0.2">
      <c r="A424" s="84"/>
      <c r="B424" s="85"/>
      <c r="C424" s="85"/>
      <c r="D424" s="85"/>
      <c r="E424" s="86"/>
      <c r="F424" s="16">
        <f>IF(E424="","",DATEDIF(E424,$I$7,"Y"))</f>
      </c>
      <c r="G424" s="85"/>
      <c r="H424" s="85"/>
      <c r="I424" s="87"/>
      <c r="J424" s="85"/>
      <c r="K424" s="85"/>
      <c r="L424" s="10"/>
      <c r="M424" s="10"/>
      <c r="N424" s="10"/>
      <c r="O424" s="10"/>
      <c r="P424" s="85"/>
      <c r="Q424" s="88"/>
      <c r="R424" s="3">
        <f>IFERROR(VLOOKUP(TablaDiciembre[[#This Row],[BARRIO]],SECTOR!$A:$B,2,0),"")</f>
      </c>
      <c r="S424" s="89"/>
      <c r="T424" s="90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6"/>
      <c r="AZ424" s="120">
        <f>COUNTIF(U424:AY424,"A")</f>
      </c>
      <c r="BA424" s="121">
        <f>COUNTIF(U424:AY424,"F")</f>
      </c>
      <c r="BB424" s="119">
        <f>COUNTIF(U424:AY424,"E")</f>
      </c>
    </row>
    <row r="425" spans="1:54" x14ac:dyDescent="0.2">
      <c r="A425" s="84"/>
      <c r="B425" s="85"/>
      <c r="C425" s="85"/>
      <c r="D425" s="85"/>
      <c r="E425" s="86"/>
      <c r="F425" s="16">
        <f>IF(E425="","",DATEDIF(E425,$I$7,"Y"))</f>
      </c>
      <c r="G425" s="85"/>
      <c r="H425" s="85"/>
      <c r="I425" s="87"/>
      <c r="J425" s="85"/>
      <c r="K425" s="85"/>
      <c r="L425" s="10"/>
      <c r="M425" s="10"/>
      <c r="N425" s="10"/>
      <c r="O425" s="10"/>
      <c r="P425" s="85"/>
      <c r="Q425" s="88"/>
      <c r="R425" s="3">
        <f>IFERROR(VLOOKUP(TablaDiciembre[[#This Row],[BARRIO]],SECTOR!$A:$B,2,0),"")</f>
      </c>
      <c r="S425" s="89"/>
      <c r="T425" s="90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6"/>
      <c r="AZ425" s="120">
        <f>COUNTIF(U425:AY425,"A")</f>
      </c>
      <c r="BA425" s="121">
        <f>COUNTIF(U425:AY425,"F")</f>
      </c>
      <c r="BB425" s="119">
        <f>COUNTIF(U425:AY425,"E")</f>
      </c>
    </row>
    <row r="426" spans="1:54" x14ac:dyDescent="0.2">
      <c r="A426" s="84"/>
      <c r="B426" s="85"/>
      <c r="C426" s="85"/>
      <c r="D426" s="85"/>
      <c r="E426" s="86"/>
      <c r="F426" s="16">
        <f>IF(E426="","",DATEDIF(E426,$I$7,"Y"))</f>
      </c>
      <c r="G426" s="85"/>
      <c r="H426" s="85"/>
      <c r="I426" s="87"/>
      <c r="J426" s="85"/>
      <c r="K426" s="85"/>
      <c r="L426" s="10"/>
      <c r="M426" s="10"/>
      <c r="N426" s="10"/>
      <c r="O426" s="10"/>
      <c r="P426" s="85"/>
      <c r="Q426" s="88"/>
      <c r="R426" s="3">
        <f>IFERROR(VLOOKUP(TablaDiciembre[[#This Row],[BARRIO]],SECTOR!$A:$B,2,0),"")</f>
      </c>
      <c r="S426" s="89"/>
      <c r="T426" s="90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6"/>
      <c r="AZ426" s="120">
        <f>COUNTIF(U426:AY426,"A")</f>
      </c>
      <c r="BA426" s="121">
        <f>COUNTIF(U426:AY426,"F")</f>
      </c>
      <c r="BB426" s="119">
        <f>COUNTIF(U426:AY426,"E")</f>
      </c>
    </row>
    <row r="427" spans="1:54" x14ac:dyDescent="0.2">
      <c r="A427" s="84"/>
      <c r="B427" s="85"/>
      <c r="C427" s="85"/>
      <c r="D427" s="85"/>
      <c r="E427" s="86"/>
      <c r="F427" s="16">
        <f>IF(E427="","",DATEDIF(E427,$I$7,"Y"))</f>
      </c>
      <c r="G427" s="85"/>
      <c r="H427" s="85"/>
      <c r="I427" s="87"/>
      <c r="J427" s="85"/>
      <c r="K427" s="85"/>
      <c r="L427" s="10"/>
      <c r="M427" s="10"/>
      <c r="N427" s="10"/>
      <c r="O427" s="10"/>
      <c r="P427" s="85"/>
      <c r="Q427" s="88"/>
      <c r="R427" s="3">
        <f>IFERROR(VLOOKUP(TablaDiciembre[[#This Row],[BARRIO]],SECTOR!$A:$B,2,0),"")</f>
      </c>
      <c r="S427" s="89"/>
      <c r="T427" s="90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6"/>
      <c r="AZ427" s="120">
        <f>COUNTIF(U427:AY427,"A")</f>
      </c>
      <c r="BA427" s="121">
        <f>COUNTIF(U427:AY427,"F")</f>
      </c>
      <c r="BB427" s="119">
        <f>COUNTIF(U427:AY427,"E")</f>
      </c>
    </row>
    <row r="428" spans="1:54" x14ac:dyDescent="0.2">
      <c r="A428" s="84"/>
      <c r="B428" s="85"/>
      <c r="C428" s="85"/>
      <c r="D428" s="85"/>
      <c r="E428" s="86"/>
      <c r="F428" s="16">
        <f>IF(E428="","",DATEDIF(E428,$I$7,"Y"))</f>
      </c>
      <c r="G428" s="85"/>
      <c r="H428" s="85"/>
      <c r="I428" s="87"/>
      <c r="J428" s="85"/>
      <c r="K428" s="85"/>
      <c r="L428" s="10"/>
      <c r="M428" s="10"/>
      <c r="N428" s="10"/>
      <c r="O428" s="10"/>
      <c r="P428" s="85"/>
      <c r="Q428" s="88"/>
      <c r="R428" s="3">
        <f>IFERROR(VLOOKUP(TablaDiciembre[[#This Row],[BARRIO]],SECTOR!$A:$B,2,0),"")</f>
      </c>
      <c r="S428" s="89"/>
      <c r="T428" s="90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6"/>
      <c r="AZ428" s="120">
        <f>COUNTIF(U428:AY428,"A")</f>
      </c>
      <c r="BA428" s="121">
        <f>COUNTIF(U428:AY428,"F")</f>
      </c>
      <c r="BB428" s="119">
        <f>COUNTIF(U428:AY428,"E")</f>
      </c>
    </row>
    <row r="429" spans="1:54" x14ac:dyDescent="0.2">
      <c r="A429" s="84"/>
      <c r="B429" s="85"/>
      <c r="C429" s="85"/>
      <c r="D429" s="85"/>
      <c r="E429" s="86"/>
      <c r="F429" s="16">
        <f>IF(E429="","",DATEDIF(E429,$I$7,"Y"))</f>
      </c>
      <c r="G429" s="85"/>
      <c r="H429" s="85"/>
      <c r="I429" s="87"/>
      <c r="J429" s="85"/>
      <c r="K429" s="85"/>
      <c r="L429" s="10"/>
      <c r="M429" s="10"/>
      <c r="N429" s="10"/>
      <c r="O429" s="10"/>
      <c r="P429" s="85"/>
      <c r="Q429" s="88"/>
      <c r="R429" s="3">
        <f>IFERROR(VLOOKUP(TablaDiciembre[[#This Row],[BARRIO]],SECTOR!$A:$B,2,0),"")</f>
      </c>
      <c r="S429" s="89"/>
      <c r="T429" s="90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6"/>
      <c r="AZ429" s="120">
        <f>COUNTIF(U429:AY429,"A")</f>
      </c>
      <c r="BA429" s="121">
        <f>COUNTIF(U429:AY429,"F")</f>
      </c>
      <c r="BB429" s="119">
        <f>COUNTIF(U429:AY429,"E")</f>
      </c>
    </row>
    <row r="430" spans="1:54" x14ac:dyDescent="0.2">
      <c r="A430" s="84"/>
      <c r="B430" s="85"/>
      <c r="C430" s="85"/>
      <c r="D430" s="85"/>
      <c r="E430" s="86"/>
      <c r="F430" s="16">
        <f>IF(E430="","",DATEDIF(E430,$I$7,"Y"))</f>
      </c>
      <c r="G430" s="85"/>
      <c r="H430" s="85"/>
      <c r="I430" s="87"/>
      <c r="J430" s="85"/>
      <c r="K430" s="85"/>
      <c r="L430" s="10"/>
      <c r="M430" s="10"/>
      <c r="N430" s="10"/>
      <c r="O430" s="10"/>
      <c r="P430" s="85"/>
      <c r="Q430" s="88"/>
      <c r="R430" s="3">
        <f>IFERROR(VLOOKUP(TablaDiciembre[[#This Row],[BARRIO]],SECTOR!$A:$B,2,0),"")</f>
      </c>
      <c r="S430" s="89"/>
      <c r="T430" s="90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6"/>
      <c r="AZ430" s="120">
        <f>COUNTIF(U430:AY430,"A")</f>
      </c>
      <c r="BA430" s="121">
        <f>COUNTIF(U430:AY430,"F")</f>
      </c>
      <c r="BB430" s="119">
        <f>COUNTIF(U430:AY430,"E")</f>
      </c>
    </row>
    <row r="431" spans="1:54" x14ac:dyDescent="0.2">
      <c r="A431" s="84"/>
      <c r="B431" s="85"/>
      <c r="C431" s="85"/>
      <c r="D431" s="85"/>
      <c r="E431" s="86"/>
      <c r="F431" s="16">
        <f>IF(E431="","",DATEDIF(E431,$I$7,"Y"))</f>
      </c>
      <c r="G431" s="85"/>
      <c r="H431" s="85"/>
      <c r="I431" s="87"/>
      <c r="J431" s="85"/>
      <c r="K431" s="85"/>
      <c r="L431" s="10"/>
      <c r="M431" s="10"/>
      <c r="N431" s="10"/>
      <c r="O431" s="10"/>
      <c r="P431" s="85"/>
      <c r="Q431" s="88"/>
      <c r="R431" s="3">
        <f>IFERROR(VLOOKUP(TablaDiciembre[[#This Row],[BARRIO]],SECTOR!$A:$B,2,0),"")</f>
      </c>
      <c r="S431" s="89"/>
      <c r="T431" s="90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6"/>
      <c r="AZ431" s="120">
        <f>COUNTIF(U431:AY431,"A")</f>
      </c>
      <c r="BA431" s="121">
        <f>COUNTIF(U431:AY431,"F")</f>
      </c>
      <c r="BB431" s="119">
        <f>COUNTIF(U431:AY431,"E")</f>
      </c>
    </row>
    <row r="432" spans="1:54" x14ac:dyDescent="0.2">
      <c r="A432" s="84"/>
      <c r="B432" s="85"/>
      <c r="C432" s="85"/>
      <c r="D432" s="85"/>
      <c r="E432" s="86"/>
      <c r="F432" s="16">
        <f>IF(E432="","",DATEDIF(E432,$I$7,"Y"))</f>
      </c>
      <c r="G432" s="85"/>
      <c r="H432" s="85"/>
      <c r="I432" s="87"/>
      <c r="J432" s="85"/>
      <c r="K432" s="85"/>
      <c r="L432" s="10"/>
      <c r="M432" s="10"/>
      <c r="N432" s="10"/>
      <c r="O432" s="10"/>
      <c r="P432" s="85"/>
      <c r="Q432" s="88"/>
      <c r="R432" s="3">
        <f>IFERROR(VLOOKUP(TablaDiciembre[[#This Row],[BARRIO]],SECTOR!$A:$B,2,0),"")</f>
      </c>
      <c r="S432" s="89"/>
      <c r="T432" s="90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6"/>
      <c r="AZ432" s="120">
        <f>COUNTIF(U432:AY432,"A")</f>
      </c>
      <c r="BA432" s="121">
        <f>COUNTIF(U432:AY432,"F")</f>
      </c>
      <c r="BB432" s="119">
        <f>COUNTIF(U432:AY432,"E")</f>
      </c>
    </row>
    <row r="433" spans="1:54" x14ac:dyDescent="0.2">
      <c r="A433" s="84"/>
      <c r="B433" s="85"/>
      <c r="C433" s="85"/>
      <c r="D433" s="85"/>
      <c r="E433" s="86"/>
      <c r="F433" s="16">
        <f>IF(E433="","",DATEDIF(E433,$I$7,"Y"))</f>
      </c>
      <c r="G433" s="85"/>
      <c r="H433" s="85"/>
      <c r="I433" s="87"/>
      <c r="J433" s="85"/>
      <c r="K433" s="85"/>
      <c r="L433" s="10"/>
      <c r="M433" s="10"/>
      <c r="N433" s="10"/>
      <c r="O433" s="10"/>
      <c r="P433" s="85"/>
      <c r="Q433" s="88"/>
      <c r="R433" s="3">
        <f>IFERROR(VLOOKUP(TablaDiciembre[[#This Row],[BARRIO]],SECTOR!$A:$B,2,0),"")</f>
      </c>
      <c r="S433" s="89"/>
      <c r="T433" s="90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6"/>
      <c r="AZ433" s="120">
        <f>COUNTIF(U433:AY433,"A")</f>
      </c>
      <c r="BA433" s="121">
        <f>COUNTIF(U433:AY433,"F")</f>
      </c>
      <c r="BB433" s="119">
        <f>COUNTIF(U433:AY433,"E")</f>
      </c>
    </row>
    <row r="434" spans="1:54" x14ac:dyDescent="0.2">
      <c r="A434" s="84"/>
      <c r="B434" s="85"/>
      <c r="C434" s="85"/>
      <c r="D434" s="85"/>
      <c r="E434" s="86"/>
      <c r="F434" s="16">
        <f>IF(E434="","",DATEDIF(E434,$I$7,"Y"))</f>
      </c>
      <c r="G434" s="85"/>
      <c r="H434" s="85"/>
      <c r="I434" s="87"/>
      <c r="J434" s="85"/>
      <c r="K434" s="85"/>
      <c r="L434" s="10"/>
      <c r="M434" s="10"/>
      <c r="N434" s="10"/>
      <c r="O434" s="10"/>
      <c r="P434" s="85"/>
      <c r="Q434" s="88"/>
      <c r="R434" s="3">
        <f>IFERROR(VLOOKUP(TablaDiciembre[[#This Row],[BARRIO]],SECTOR!$A:$B,2,0),"")</f>
      </c>
      <c r="S434" s="89"/>
      <c r="T434" s="90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6"/>
      <c r="AZ434" s="120">
        <f>COUNTIF(U434:AY434,"A")</f>
      </c>
      <c r="BA434" s="121">
        <f>COUNTIF(U434:AY434,"F")</f>
      </c>
      <c r="BB434" s="119">
        <f>COUNTIF(U434:AY434,"E")</f>
      </c>
    </row>
    <row r="435" spans="1:54" x14ac:dyDescent="0.2">
      <c r="A435" s="84"/>
      <c r="B435" s="85"/>
      <c r="C435" s="85"/>
      <c r="D435" s="85"/>
      <c r="E435" s="86"/>
      <c r="F435" s="16">
        <f>IF(E435="","",DATEDIF(E435,$I$7,"Y"))</f>
      </c>
      <c r="G435" s="85"/>
      <c r="H435" s="85"/>
      <c r="I435" s="87"/>
      <c r="J435" s="85"/>
      <c r="K435" s="85"/>
      <c r="L435" s="10"/>
      <c r="M435" s="10"/>
      <c r="N435" s="10"/>
      <c r="O435" s="10"/>
      <c r="P435" s="85"/>
      <c r="Q435" s="88"/>
      <c r="R435" s="3">
        <f>IFERROR(VLOOKUP(TablaDiciembre[[#This Row],[BARRIO]],SECTOR!$A:$B,2,0),"")</f>
      </c>
      <c r="S435" s="89"/>
      <c r="T435" s="90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6"/>
      <c r="AZ435" s="120">
        <f>COUNTIF(U435:AY435,"A")</f>
      </c>
      <c r="BA435" s="121">
        <f>COUNTIF(U435:AY435,"F")</f>
      </c>
      <c r="BB435" s="119">
        <f>COUNTIF(U435:AY435,"E")</f>
      </c>
    </row>
    <row r="436" spans="1:54" x14ac:dyDescent="0.2">
      <c r="A436" s="84"/>
      <c r="B436" s="85"/>
      <c r="C436" s="85"/>
      <c r="D436" s="85"/>
      <c r="E436" s="86"/>
      <c r="F436" s="16">
        <f>IF(E436="","",DATEDIF(E436,$I$7,"Y"))</f>
      </c>
      <c r="G436" s="85"/>
      <c r="H436" s="85"/>
      <c r="I436" s="87"/>
      <c r="J436" s="85"/>
      <c r="K436" s="85"/>
      <c r="L436" s="10"/>
      <c r="M436" s="10"/>
      <c r="N436" s="10"/>
      <c r="O436" s="10"/>
      <c r="P436" s="85"/>
      <c r="Q436" s="88"/>
      <c r="R436" s="3">
        <f>IFERROR(VLOOKUP(TablaDiciembre[[#This Row],[BARRIO]],SECTOR!$A:$B,2,0),"")</f>
      </c>
      <c r="S436" s="89"/>
      <c r="T436" s="90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6"/>
      <c r="AZ436" s="120">
        <f>COUNTIF(U436:AY436,"A")</f>
      </c>
      <c r="BA436" s="121">
        <f>COUNTIF(U436:AY436,"F")</f>
      </c>
      <c r="BB436" s="119">
        <f>COUNTIF(U436:AY436,"E")</f>
      </c>
    </row>
    <row r="437" spans="1:54" x14ac:dyDescent="0.2">
      <c r="A437" s="84"/>
      <c r="B437" s="85"/>
      <c r="C437" s="85"/>
      <c r="D437" s="85"/>
      <c r="E437" s="86"/>
      <c r="F437" s="16">
        <f>IF(E437="","",DATEDIF(E437,$I$7,"Y"))</f>
      </c>
      <c r="G437" s="85"/>
      <c r="H437" s="85"/>
      <c r="I437" s="87"/>
      <c r="J437" s="85"/>
      <c r="K437" s="85"/>
      <c r="L437" s="10"/>
      <c r="M437" s="10"/>
      <c r="N437" s="10"/>
      <c r="O437" s="10"/>
      <c r="P437" s="85"/>
      <c r="Q437" s="88"/>
      <c r="R437" s="3">
        <f>IFERROR(VLOOKUP(TablaDiciembre[[#This Row],[BARRIO]],SECTOR!$A:$B,2,0),"")</f>
      </c>
      <c r="S437" s="89"/>
      <c r="T437" s="90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6"/>
      <c r="AZ437" s="120">
        <f>COUNTIF(U437:AY437,"A")</f>
      </c>
      <c r="BA437" s="121">
        <f>COUNTIF(U437:AY437,"F")</f>
      </c>
      <c r="BB437" s="119">
        <f>COUNTIF(U437:AY437,"E")</f>
      </c>
    </row>
    <row r="438" spans="1:54" x14ac:dyDescent="0.2">
      <c r="A438" s="84"/>
      <c r="B438" s="85"/>
      <c r="C438" s="85"/>
      <c r="D438" s="85"/>
      <c r="E438" s="86"/>
      <c r="F438" s="16">
        <f>IF(E438="","",DATEDIF(E438,$I$7,"Y"))</f>
      </c>
      <c r="G438" s="85"/>
      <c r="H438" s="85"/>
      <c r="I438" s="87"/>
      <c r="J438" s="85"/>
      <c r="K438" s="85"/>
      <c r="L438" s="10"/>
      <c r="M438" s="10"/>
      <c r="N438" s="10"/>
      <c r="O438" s="10"/>
      <c r="P438" s="85"/>
      <c r="Q438" s="88"/>
      <c r="R438" s="3">
        <f>IFERROR(VLOOKUP(TablaDiciembre[[#This Row],[BARRIO]],SECTOR!$A:$B,2,0),"")</f>
      </c>
      <c r="S438" s="89"/>
      <c r="T438" s="90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6"/>
      <c r="AZ438" s="120">
        <f>COUNTIF(U438:AY438,"A")</f>
      </c>
      <c r="BA438" s="121">
        <f>COUNTIF(U438:AY438,"F")</f>
      </c>
      <c r="BB438" s="119">
        <f>COUNTIF(U438:AY438,"E")</f>
      </c>
    </row>
    <row r="439" spans="1:54" x14ac:dyDescent="0.2">
      <c r="A439" s="84"/>
      <c r="B439" s="85"/>
      <c r="C439" s="85"/>
      <c r="D439" s="85"/>
      <c r="E439" s="86"/>
      <c r="F439" s="16">
        <f>IF(E439="","",DATEDIF(E439,$I$7,"Y"))</f>
      </c>
      <c r="G439" s="85"/>
      <c r="H439" s="85"/>
      <c r="I439" s="87"/>
      <c r="J439" s="85"/>
      <c r="K439" s="85"/>
      <c r="L439" s="10"/>
      <c r="M439" s="10"/>
      <c r="N439" s="10"/>
      <c r="O439" s="10"/>
      <c r="P439" s="85"/>
      <c r="Q439" s="88"/>
      <c r="R439" s="3">
        <f>IFERROR(VLOOKUP(TablaDiciembre[[#This Row],[BARRIO]],SECTOR!$A:$B,2,0),"")</f>
      </c>
      <c r="S439" s="89"/>
      <c r="T439" s="90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6"/>
      <c r="AZ439" s="120">
        <f>COUNTIF(U439:AY439,"A")</f>
      </c>
      <c r="BA439" s="121">
        <f>COUNTIF(U439:AY439,"F")</f>
      </c>
      <c r="BB439" s="119">
        <f>COUNTIF(U439:AY439,"E")</f>
      </c>
    </row>
    <row r="440" spans="1:54" x14ac:dyDescent="0.2">
      <c r="A440" s="84"/>
      <c r="B440" s="85"/>
      <c r="C440" s="85"/>
      <c r="D440" s="85"/>
      <c r="E440" s="86"/>
      <c r="F440" s="16">
        <f>IF(E440="","",DATEDIF(E440,$I$7,"Y"))</f>
      </c>
      <c r="G440" s="85"/>
      <c r="H440" s="85"/>
      <c r="I440" s="87"/>
      <c r="J440" s="85"/>
      <c r="K440" s="85"/>
      <c r="L440" s="10"/>
      <c r="M440" s="10"/>
      <c r="N440" s="10"/>
      <c r="O440" s="10"/>
      <c r="P440" s="85"/>
      <c r="Q440" s="88"/>
      <c r="R440" s="3">
        <f>IFERROR(VLOOKUP(TablaDiciembre[[#This Row],[BARRIO]],SECTOR!$A:$B,2,0),"")</f>
      </c>
      <c r="S440" s="89"/>
      <c r="T440" s="90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6"/>
      <c r="AZ440" s="120">
        <f>COUNTIF(U440:AY440,"A")</f>
      </c>
      <c r="BA440" s="121">
        <f>COUNTIF(U440:AY440,"F")</f>
      </c>
      <c r="BB440" s="119">
        <f>COUNTIF(U440:AY440,"E")</f>
      </c>
    </row>
    <row r="441" spans="1:54" x14ac:dyDescent="0.2">
      <c r="A441" s="84"/>
      <c r="B441" s="85"/>
      <c r="C441" s="85"/>
      <c r="D441" s="85"/>
      <c r="E441" s="86"/>
      <c r="F441" s="16">
        <f>IF(E441="","",DATEDIF(E441,$I$7,"Y"))</f>
      </c>
      <c r="G441" s="85"/>
      <c r="H441" s="85"/>
      <c r="I441" s="87"/>
      <c r="J441" s="85"/>
      <c r="K441" s="85"/>
      <c r="L441" s="10"/>
      <c r="M441" s="10"/>
      <c r="N441" s="10"/>
      <c r="O441" s="10"/>
      <c r="P441" s="85"/>
      <c r="Q441" s="88"/>
      <c r="R441" s="3">
        <f>IFERROR(VLOOKUP(TablaDiciembre[[#This Row],[BARRIO]],SECTOR!$A:$B,2,0),"")</f>
      </c>
      <c r="S441" s="89"/>
      <c r="T441" s="90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6"/>
      <c r="AZ441" s="120">
        <f>COUNTIF(U441:AY441,"A")</f>
      </c>
      <c r="BA441" s="121">
        <f>COUNTIF(U441:AY441,"F")</f>
      </c>
      <c r="BB441" s="119">
        <f>COUNTIF(U441:AY441,"E")</f>
      </c>
    </row>
    <row r="442" spans="1:54" x14ac:dyDescent="0.2">
      <c r="A442" s="84"/>
      <c r="B442" s="85"/>
      <c r="C442" s="85"/>
      <c r="D442" s="85"/>
      <c r="E442" s="86"/>
      <c r="F442" s="16">
        <f>IF(E442="","",DATEDIF(E442,$I$7,"Y"))</f>
      </c>
      <c r="G442" s="85"/>
      <c r="H442" s="85"/>
      <c r="I442" s="87"/>
      <c r="J442" s="85"/>
      <c r="K442" s="85"/>
      <c r="L442" s="10"/>
      <c r="M442" s="10"/>
      <c r="N442" s="10"/>
      <c r="O442" s="10"/>
      <c r="P442" s="85"/>
      <c r="Q442" s="88"/>
      <c r="R442" s="3">
        <f>IFERROR(VLOOKUP(TablaDiciembre[[#This Row],[BARRIO]],SECTOR!$A:$B,2,0),"")</f>
      </c>
      <c r="S442" s="89"/>
      <c r="T442" s="90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6"/>
      <c r="AZ442" s="120">
        <f>COUNTIF(U442:AY442,"A")</f>
      </c>
      <c r="BA442" s="121">
        <f>COUNTIF(U442:AY442,"F")</f>
      </c>
      <c r="BB442" s="119">
        <f>COUNTIF(U442:AY442,"E")</f>
      </c>
    </row>
    <row r="443" spans="1:54" x14ac:dyDescent="0.2">
      <c r="A443" s="84"/>
      <c r="B443" s="85"/>
      <c r="C443" s="85"/>
      <c r="D443" s="85"/>
      <c r="E443" s="86"/>
      <c r="F443" s="16">
        <f>IF(E443="","",DATEDIF(E443,$I$7,"Y"))</f>
      </c>
      <c r="G443" s="85"/>
      <c r="H443" s="85"/>
      <c r="I443" s="87"/>
      <c r="J443" s="85"/>
      <c r="K443" s="85"/>
      <c r="L443" s="10"/>
      <c r="M443" s="10"/>
      <c r="N443" s="10"/>
      <c r="O443" s="10"/>
      <c r="P443" s="85"/>
      <c r="Q443" s="88"/>
      <c r="R443" s="3">
        <f>IFERROR(VLOOKUP(TablaDiciembre[[#This Row],[BARRIO]],SECTOR!$A:$B,2,0),"")</f>
      </c>
      <c r="S443" s="89"/>
      <c r="T443" s="90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6"/>
      <c r="AZ443" s="120">
        <f>COUNTIF(U443:AY443,"A")</f>
      </c>
      <c r="BA443" s="121">
        <f>COUNTIF(U443:AY443,"F")</f>
      </c>
      <c r="BB443" s="119">
        <f>COUNTIF(U443:AY443,"E")</f>
      </c>
    </row>
    <row r="444" spans="1:54" x14ac:dyDescent="0.2">
      <c r="A444" s="84"/>
      <c r="B444" s="85"/>
      <c r="C444" s="85"/>
      <c r="D444" s="85"/>
      <c r="E444" s="86"/>
      <c r="F444" s="16">
        <f>IF(E444="","",DATEDIF(E444,$I$7,"Y"))</f>
      </c>
      <c r="G444" s="85"/>
      <c r="H444" s="85"/>
      <c r="I444" s="87"/>
      <c r="J444" s="85"/>
      <c r="K444" s="85"/>
      <c r="L444" s="10"/>
      <c r="M444" s="10"/>
      <c r="N444" s="10"/>
      <c r="O444" s="10"/>
      <c r="P444" s="85"/>
      <c r="Q444" s="88"/>
      <c r="R444" s="3">
        <f>IFERROR(VLOOKUP(TablaDiciembre[[#This Row],[BARRIO]],SECTOR!$A:$B,2,0),"")</f>
      </c>
      <c r="S444" s="89"/>
      <c r="T444" s="90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6"/>
      <c r="AZ444" s="120">
        <f>COUNTIF(U444:AY444,"A")</f>
      </c>
      <c r="BA444" s="121">
        <f>COUNTIF(U444:AY444,"F")</f>
      </c>
      <c r="BB444" s="119">
        <f>COUNTIF(U444:AY444,"E")</f>
      </c>
    </row>
    <row r="445" spans="1:54" x14ac:dyDescent="0.2">
      <c r="A445" s="84"/>
      <c r="B445" s="85"/>
      <c r="C445" s="85"/>
      <c r="D445" s="85"/>
      <c r="E445" s="86"/>
      <c r="F445" s="16">
        <f>IF(E445="","",DATEDIF(E445,$I$7,"Y"))</f>
      </c>
      <c r="G445" s="85"/>
      <c r="H445" s="85"/>
      <c r="I445" s="87"/>
      <c r="J445" s="85"/>
      <c r="K445" s="85"/>
      <c r="L445" s="10"/>
      <c r="M445" s="10"/>
      <c r="N445" s="10"/>
      <c r="O445" s="10"/>
      <c r="P445" s="85"/>
      <c r="Q445" s="88"/>
      <c r="R445" s="3">
        <f>IFERROR(VLOOKUP(TablaDiciembre[[#This Row],[BARRIO]],SECTOR!$A:$B,2,0),"")</f>
      </c>
      <c r="S445" s="89"/>
      <c r="T445" s="90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6"/>
      <c r="AZ445" s="120">
        <f>COUNTIF(U445:AY445,"A")</f>
      </c>
      <c r="BA445" s="121">
        <f>COUNTIF(U445:AY445,"F")</f>
      </c>
      <c r="BB445" s="119">
        <f>COUNTIF(U445:AY445,"E")</f>
      </c>
    </row>
    <row r="446" spans="1:54" x14ac:dyDescent="0.2">
      <c r="A446" s="84"/>
      <c r="B446" s="85"/>
      <c r="C446" s="85"/>
      <c r="D446" s="85"/>
      <c r="E446" s="86"/>
      <c r="F446" s="16">
        <f>IF(E446="","",DATEDIF(E446,$I$7,"Y"))</f>
      </c>
      <c r="G446" s="85"/>
      <c r="H446" s="85"/>
      <c r="I446" s="87"/>
      <c r="J446" s="85"/>
      <c r="K446" s="85"/>
      <c r="L446" s="10"/>
      <c r="M446" s="10"/>
      <c r="N446" s="10"/>
      <c r="O446" s="10"/>
      <c r="P446" s="85"/>
      <c r="Q446" s="88"/>
      <c r="R446" s="3">
        <f>IFERROR(VLOOKUP(TablaDiciembre[[#This Row],[BARRIO]],SECTOR!$A:$B,2,0),"")</f>
      </c>
      <c r="S446" s="89"/>
      <c r="T446" s="90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6"/>
      <c r="AZ446" s="120">
        <f>COUNTIF(U446:AY446,"A")</f>
      </c>
      <c r="BA446" s="121">
        <f>COUNTIF(U446:AY446,"F")</f>
      </c>
      <c r="BB446" s="119">
        <f>COUNTIF(U446:AY446,"E")</f>
      </c>
    </row>
    <row r="447" spans="1:54" x14ac:dyDescent="0.2">
      <c r="A447" s="84"/>
      <c r="B447" s="85"/>
      <c r="C447" s="85"/>
      <c r="D447" s="85"/>
      <c r="E447" s="86"/>
      <c r="F447" s="16">
        <f>IF(E447="","",DATEDIF(E447,$I$7,"Y"))</f>
      </c>
      <c r="G447" s="85"/>
      <c r="H447" s="85"/>
      <c r="I447" s="87"/>
      <c r="J447" s="85"/>
      <c r="K447" s="85"/>
      <c r="L447" s="10"/>
      <c r="M447" s="10"/>
      <c r="N447" s="10"/>
      <c r="O447" s="10"/>
      <c r="P447" s="85"/>
      <c r="Q447" s="88"/>
      <c r="R447" s="3">
        <f>IFERROR(VLOOKUP(TablaDiciembre[[#This Row],[BARRIO]],SECTOR!$A:$B,2,0),"")</f>
      </c>
      <c r="S447" s="89"/>
      <c r="T447" s="90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6"/>
      <c r="AZ447" s="120">
        <f>COUNTIF(U447:AY447,"A")</f>
      </c>
      <c r="BA447" s="121">
        <f>COUNTIF(U447:AY447,"F")</f>
      </c>
      <c r="BB447" s="119">
        <f>COUNTIF(U447:AY447,"E")</f>
      </c>
    </row>
    <row r="448" spans="1:54" x14ac:dyDescent="0.2">
      <c r="A448" s="84"/>
      <c r="B448" s="85"/>
      <c r="C448" s="85"/>
      <c r="D448" s="85"/>
      <c r="E448" s="86"/>
      <c r="F448" s="16">
        <f>IF(E448="","",DATEDIF(E448,$I$7,"Y"))</f>
      </c>
      <c r="G448" s="85"/>
      <c r="H448" s="85"/>
      <c r="I448" s="87"/>
      <c r="J448" s="85"/>
      <c r="K448" s="85"/>
      <c r="L448" s="10"/>
      <c r="M448" s="10"/>
      <c r="N448" s="10"/>
      <c r="O448" s="10"/>
      <c r="P448" s="85"/>
      <c r="Q448" s="88"/>
      <c r="R448" s="3">
        <f>IFERROR(VLOOKUP(TablaDiciembre[[#This Row],[BARRIO]],SECTOR!$A:$B,2,0),"")</f>
      </c>
      <c r="S448" s="89"/>
      <c r="T448" s="90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6"/>
      <c r="AZ448" s="120">
        <f>COUNTIF(U448:AY448,"A")</f>
      </c>
      <c r="BA448" s="121">
        <f>COUNTIF(U448:AY448,"F")</f>
      </c>
      <c r="BB448" s="119">
        <f>COUNTIF(U448:AY448,"E")</f>
      </c>
    </row>
    <row r="449" spans="1:54" x14ac:dyDescent="0.2">
      <c r="A449" s="84"/>
      <c r="B449" s="85"/>
      <c r="C449" s="85"/>
      <c r="D449" s="85"/>
      <c r="E449" s="86"/>
      <c r="F449" s="16">
        <f>IF(E449="","",DATEDIF(E449,$I$7,"Y"))</f>
      </c>
      <c r="G449" s="85"/>
      <c r="H449" s="85"/>
      <c r="I449" s="87"/>
      <c r="J449" s="85"/>
      <c r="K449" s="85"/>
      <c r="L449" s="10"/>
      <c r="M449" s="10"/>
      <c r="N449" s="10"/>
      <c r="O449" s="10"/>
      <c r="P449" s="85"/>
      <c r="Q449" s="88"/>
      <c r="R449" s="3">
        <f>IFERROR(VLOOKUP(TablaDiciembre[[#This Row],[BARRIO]],SECTOR!$A:$B,2,0),"")</f>
      </c>
      <c r="S449" s="89"/>
      <c r="T449" s="90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6"/>
      <c r="AZ449" s="120">
        <f>COUNTIF(U449:AY449,"A")</f>
      </c>
      <c r="BA449" s="121">
        <f>COUNTIF(U449:AY449,"F")</f>
      </c>
      <c r="BB449" s="119">
        <f>COUNTIF(U449:AY449,"E")</f>
      </c>
    </row>
    <row r="450" spans="1:54" x14ac:dyDescent="0.2">
      <c r="A450" s="84"/>
      <c r="B450" s="85"/>
      <c r="C450" s="85"/>
      <c r="D450" s="85"/>
      <c r="E450" s="86"/>
      <c r="F450" s="16">
        <f>IF(E450="","",DATEDIF(E450,$I$7,"Y"))</f>
      </c>
      <c r="G450" s="85"/>
      <c r="H450" s="85"/>
      <c r="I450" s="87"/>
      <c r="J450" s="85"/>
      <c r="K450" s="85"/>
      <c r="L450" s="10"/>
      <c r="M450" s="10"/>
      <c r="N450" s="10"/>
      <c r="O450" s="10"/>
      <c r="P450" s="85"/>
      <c r="Q450" s="88"/>
      <c r="R450" s="3">
        <f>IFERROR(VLOOKUP(TablaDiciembre[[#This Row],[BARRIO]],SECTOR!$A:$B,2,0),"")</f>
      </c>
      <c r="S450" s="89"/>
      <c r="T450" s="90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6"/>
      <c r="AZ450" s="120">
        <f>COUNTIF(U450:AY450,"A")</f>
      </c>
      <c r="BA450" s="121">
        <f>COUNTIF(U450:AY450,"F")</f>
      </c>
      <c r="BB450" s="119">
        <f>COUNTIF(U450:AY450,"E")</f>
      </c>
    </row>
    <row r="451" spans="1:54" x14ac:dyDescent="0.2">
      <c r="A451" s="84"/>
      <c r="B451" s="85"/>
      <c r="C451" s="85"/>
      <c r="D451" s="85"/>
      <c r="E451" s="86"/>
      <c r="F451" s="16">
        <f>IF(E451="","",DATEDIF(E451,$I$7,"Y"))</f>
      </c>
      <c r="G451" s="85"/>
      <c r="H451" s="85"/>
      <c r="I451" s="87"/>
      <c r="J451" s="85"/>
      <c r="K451" s="85"/>
      <c r="L451" s="10"/>
      <c r="M451" s="10"/>
      <c r="N451" s="10"/>
      <c r="O451" s="10"/>
      <c r="P451" s="85"/>
      <c r="Q451" s="88"/>
      <c r="R451" s="3">
        <f>IFERROR(VLOOKUP(TablaDiciembre[[#This Row],[BARRIO]],SECTOR!$A:$B,2,0),"")</f>
      </c>
      <c r="S451" s="89"/>
      <c r="T451" s="90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6"/>
      <c r="AZ451" s="120">
        <f>COUNTIF(U451:AY451,"A")</f>
      </c>
      <c r="BA451" s="121">
        <f>COUNTIF(U451:AY451,"F")</f>
      </c>
      <c r="BB451" s="119">
        <f>COUNTIF(U451:AY451,"E")</f>
      </c>
    </row>
    <row r="452" spans="1:54" x14ac:dyDescent="0.2">
      <c r="A452" s="84"/>
      <c r="B452" s="85"/>
      <c r="C452" s="85"/>
      <c r="D452" s="85"/>
      <c r="E452" s="86"/>
      <c r="F452" s="16">
        <f>IF(E452="","",DATEDIF(E452,$I$7,"Y"))</f>
      </c>
      <c r="G452" s="85"/>
      <c r="H452" s="85"/>
      <c r="I452" s="87"/>
      <c r="J452" s="85"/>
      <c r="K452" s="85"/>
      <c r="L452" s="10"/>
      <c r="M452" s="10"/>
      <c r="N452" s="10"/>
      <c r="O452" s="10"/>
      <c r="P452" s="85"/>
      <c r="Q452" s="88"/>
      <c r="R452" s="3">
        <f>IFERROR(VLOOKUP(TablaDiciembre[[#This Row],[BARRIO]],SECTOR!$A:$B,2,0),"")</f>
      </c>
      <c r="S452" s="89"/>
      <c r="T452" s="90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6"/>
      <c r="AZ452" s="120">
        <f>COUNTIF(U452:AY452,"A")</f>
      </c>
      <c r="BA452" s="121">
        <f>COUNTIF(U452:AY452,"F")</f>
      </c>
      <c r="BB452" s="119">
        <f>COUNTIF(U452:AY452,"E")</f>
      </c>
    </row>
    <row r="453" spans="1:54" x14ac:dyDescent="0.2">
      <c r="A453" s="84"/>
      <c r="B453" s="85"/>
      <c r="C453" s="85"/>
      <c r="D453" s="85"/>
      <c r="E453" s="86"/>
      <c r="F453" s="16">
        <f>IF(E453="","",DATEDIF(E453,$I$7,"Y"))</f>
      </c>
      <c r="G453" s="85"/>
      <c r="H453" s="85"/>
      <c r="I453" s="87"/>
      <c r="J453" s="85"/>
      <c r="K453" s="85"/>
      <c r="L453" s="10"/>
      <c r="M453" s="10"/>
      <c r="N453" s="10"/>
      <c r="O453" s="10"/>
      <c r="P453" s="85"/>
      <c r="Q453" s="88"/>
      <c r="R453" s="3">
        <f>IFERROR(VLOOKUP(TablaDiciembre[[#This Row],[BARRIO]],SECTOR!$A:$B,2,0),"")</f>
      </c>
      <c r="S453" s="89"/>
      <c r="T453" s="90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6"/>
      <c r="AZ453" s="120">
        <f>COUNTIF(U453:AY453,"A")</f>
      </c>
      <c r="BA453" s="121">
        <f>COUNTIF(U453:AY453,"F")</f>
      </c>
      <c r="BB453" s="119">
        <f>COUNTIF(U453:AY453,"E")</f>
      </c>
    </row>
    <row r="454" spans="1:54" x14ac:dyDescent="0.2">
      <c r="A454" s="84"/>
      <c r="B454" s="85"/>
      <c r="C454" s="85"/>
      <c r="D454" s="85"/>
      <c r="E454" s="86"/>
      <c r="F454" s="16">
        <f>IF(E454="","",DATEDIF(E454,$I$7,"Y"))</f>
      </c>
      <c r="G454" s="85"/>
      <c r="H454" s="85"/>
      <c r="I454" s="87"/>
      <c r="J454" s="85"/>
      <c r="K454" s="85"/>
      <c r="L454" s="10"/>
      <c r="M454" s="10"/>
      <c r="N454" s="10"/>
      <c r="O454" s="10"/>
      <c r="P454" s="85"/>
      <c r="Q454" s="88"/>
      <c r="R454" s="3">
        <f>IFERROR(VLOOKUP(TablaDiciembre[[#This Row],[BARRIO]],SECTOR!$A:$B,2,0),"")</f>
      </c>
      <c r="S454" s="89"/>
      <c r="T454" s="90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6"/>
      <c r="AZ454" s="120">
        <f>COUNTIF(U454:AY454,"A")</f>
      </c>
      <c r="BA454" s="121">
        <f>COUNTIF(U454:AY454,"F")</f>
      </c>
      <c r="BB454" s="119">
        <f>COUNTIF(U454:AY454,"E")</f>
      </c>
    </row>
    <row r="455" spans="1:54" x14ac:dyDescent="0.2">
      <c r="A455" s="84"/>
      <c r="B455" s="85"/>
      <c r="C455" s="85"/>
      <c r="D455" s="85"/>
      <c r="E455" s="86"/>
      <c r="F455" s="16">
        <f>IF(E455="","",DATEDIF(E455,$I$7,"Y"))</f>
      </c>
      <c r="G455" s="85"/>
      <c r="H455" s="85"/>
      <c r="I455" s="87"/>
      <c r="J455" s="85"/>
      <c r="K455" s="85"/>
      <c r="L455" s="10"/>
      <c r="M455" s="10"/>
      <c r="N455" s="10"/>
      <c r="O455" s="10"/>
      <c r="P455" s="85"/>
      <c r="Q455" s="88"/>
      <c r="R455" s="3">
        <f>IFERROR(VLOOKUP(TablaDiciembre[[#This Row],[BARRIO]],SECTOR!$A:$B,2,0),"")</f>
      </c>
      <c r="S455" s="89"/>
      <c r="T455" s="90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6"/>
      <c r="AZ455" s="120">
        <f>COUNTIF(U455:AY455,"A")</f>
      </c>
      <c r="BA455" s="121">
        <f>COUNTIF(U455:AY455,"F")</f>
      </c>
      <c r="BB455" s="119">
        <f>COUNTIF(U455:AY455,"E")</f>
      </c>
    </row>
    <row r="456" spans="1:54" x14ac:dyDescent="0.2">
      <c r="A456" s="84"/>
      <c r="B456" s="85"/>
      <c r="C456" s="85"/>
      <c r="D456" s="85"/>
      <c r="E456" s="86"/>
      <c r="F456" s="16">
        <f>IF(E456="","",DATEDIF(E456,$I$7,"Y"))</f>
      </c>
      <c r="G456" s="85"/>
      <c r="H456" s="85"/>
      <c r="I456" s="87"/>
      <c r="J456" s="85"/>
      <c r="K456" s="85"/>
      <c r="L456" s="10"/>
      <c r="M456" s="10"/>
      <c r="N456" s="10"/>
      <c r="O456" s="10"/>
      <c r="P456" s="85"/>
      <c r="Q456" s="88"/>
      <c r="R456" s="3">
        <f>IFERROR(VLOOKUP(TablaDiciembre[[#This Row],[BARRIO]],SECTOR!$A:$B,2,0),"")</f>
      </c>
      <c r="S456" s="89"/>
      <c r="T456" s="90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6"/>
      <c r="AZ456" s="120">
        <f>COUNTIF(U456:AY456,"A")</f>
      </c>
      <c r="BA456" s="121">
        <f>COUNTIF(U456:AY456,"F")</f>
      </c>
      <c r="BB456" s="119">
        <f>COUNTIF(U456:AY456,"E")</f>
      </c>
    </row>
    <row r="457" spans="1:54" x14ac:dyDescent="0.2">
      <c r="A457" s="84"/>
      <c r="B457" s="85"/>
      <c r="C457" s="85"/>
      <c r="D457" s="85"/>
      <c r="E457" s="86"/>
      <c r="F457" s="16">
        <f>IF(E457="","",DATEDIF(E457,$I$7,"Y"))</f>
      </c>
      <c r="G457" s="85"/>
      <c r="H457" s="85"/>
      <c r="I457" s="87"/>
      <c r="J457" s="85"/>
      <c r="K457" s="85"/>
      <c r="L457" s="10"/>
      <c r="M457" s="10"/>
      <c r="N457" s="10"/>
      <c r="O457" s="10"/>
      <c r="P457" s="85"/>
      <c r="Q457" s="88"/>
      <c r="R457" s="3">
        <f>IFERROR(VLOOKUP(TablaDiciembre[[#This Row],[BARRIO]],SECTOR!$A:$B,2,0),"")</f>
      </c>
      <c r="S457" s="89"/>
      <c r="T457" s="90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6"/>
      <c r="AZ457" s="120">
        <f>COUNTIF(U457:AY457,"A")</f>
      </c>
      <c r="BA457" s="121">
        <f>COUNTIF(U457:AY457,"F")</f>
      </c>
      <c r="BB457" s="119">
        <f>COUNTIF(U457:AY457,"E")</f>
      </c>
    </row>
    <row r="458" spans="1:54" x14ac:dyDescent="0.2">
      <c r="A458" s="84"/>
      <c r="B458" s="85"/>
      <c r="C458" s="85"/>
      <c r="D458" s="85"/>
      <c r="E458" s="86"/>
      <c r="F458" s="16">
        <f>IF(E458="","",DATEDIF(E458,$I$7,"Y"))</f>
      </c>
      <c r="G458" s="85"/>
      <c r="H458" s="85"/>
      <c r="I458" s="87"/>
      <c r="J458" s="85"/>
      <c r="K458" s="85"/>
      <c r="L458" s="10"/>
      <c r="M458" s="10"/>
      <c r="N458" s="10"/>
      <c r="O458" s="10"/>
      <c r="P458" s="85"/>
      <c r="Q458" s="88"/>
      <c r="R458" s="3">
        <f>IFERROR(VLOOKUP(TablaDiciembre[[#This Row],[BARRIO]],SECTOR!$A:$B,2,0),"")</f>
      </c>
      <c r="S458" s="89"/>
      <c r="T458" s="90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6"/>
      <c r="AZ458" s="120">
        <f>COUNTIF(U458:AY458,"A")</f>
      </c>
      <c r="BA458" s="121">
        <f>COUNTIF(U458:AY458,"F")</f>
      </c>
      <c r="BB458" s="119">
        <f>COUNTIF(U458:AY458,"E")</f>
      </c>
    </row>
    <row r="459" spans="1:54" x14ac:dyDescent="0.2">
      <c r="A459" s="84"/>
      <c r="B459" s="85"/>
      <c r="C459" s="85"/>
      <c r="D459" s="85"/>
      <c r="E459" s="86"/>
      <c r="F459" s="16">
        <f>IF(E459="","",DATEDIF(E459,$I$7,"Y"))</f>
      </c>
      <c r="G459" s="85"/>
      <c r="H459" s="85"/>
      <c r="I459" s="87"/>
      <c r="J459" s="85"/>
      <c r="K459" s="85"/>
      <c r="L459" s="10"/>
      <c r="M459" s="10"/>
      <c r="N459" s="10"/>
      <c r="O459" s="10"/>
      <c r="P459" s="85"/>
      <c r="Q459" s="88"/>
      <c r="R459" s="3">
        <f>IFERROR(VLOOKUP(TablaDiciembre[[#This Row],[BARRIO]],SECTOR!$A:$B,2,0),"")</f>
      </c>
      <c r="S459" s="89"/>
      <c r="T459" s="90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6"/>
      <c r="AZ459" s="120">
        <f>COUNTIF(U459:AY459,"A")</f>
      </c>
      <c r="BA459" s="121">
        <f>COUNTIF(U459:AY459,"F")</f>
      </c>
      <c r="BB459" s="119">
        <f>COUNTIF(U459:AY459,"E")</f>
      </c>
    </row>
    <row r="460" spans="1:54" x14ac:dyDescent="0.2">
      <c r="A460" s="84"/>
      <c r="B460" s="85"/>
      <c r="C460" s="85"/>
      <c r="D460" s="85"/>
      <c r="E460" s="86"/>
      <c r="F460" s="16">
        <f>IF(E460="","",DATEDIF(E460,$I$7,"Y"))</f>
      </c>
      <c r="G460" s="85"/>
      <c r="H460" s="85"/>
      <c r="I460" s="87"/>
      <c r="J460" s="85"/>
      <c r="K460" s="85"/>
      <c r="L460" s="10"/>
      <c r="M460" s="10"/>
      <c r="N460" s="10"/>
      <c r="O460" s="10"/>
      <c r="P460" s="85"/>
      <c r="Q460" s="88"/>
      <c r="R460" s="3">
        <f>IFERROR(VLOOKUP(TablaDiciembre[[#This Row],[BARRIO]],SECTOR!$A:$B,2,0),"")</f>
      </c>
      <c r="S460" s="89"/>
      <c r="T460" s="90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6"/>
      <c r="AZ460" s="120">
        <f>COUNTIF(U460:AY460,"A")</f>
      </c>
      <c r="BA460" s="121">
        <f>COUNTIF(U460:AY460,"F")</f>
      </c>
      <c r="BB460" s="119">
        <f>COUNTIF(U460:AY460,"E")</f>
      </c>
    </row>
    <row r="461" spans="1:54" x14ac:dyDescent="0.2">
      <c r="A461" s="84"/>
      <c r="B461" s="85"/>
      <c r="C461" s="85"/>
      <c r="D461" s="85"/>
      <c r="E461" s="86"/>
      <c r="F461" s="16">
        <f>IF(E461="","",DATEDIF(E461,$I$7,"Y"))</f>
      </c>
      <c r="G461" s="85"/>
      <c r="H461" s="85"/>
      <c r="I461" s="87"/>
      <c r="J461" s="85"/>
      <c r="K461" s="85"/>
      <c r="L461" s="10"/>
      <c r="M461" s="10"/>
      <c r="N461" s="10"/>
      <c r="O461" s="10"/>
      <c r="P461" s="85"/>
      <c r="Q461" s="88"/>
      <c r="R461" s="3">
        <f>IFERROR(VLOOKUP(TablaDiciembre[[#This Row],[BARRIO]],SECTOR!$A:$B,2,0),"")</f>
      </c>
      <c r="S461" s="89"/>
      <c r="T461" s="90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6"/>
      <c r="AZ461" s="120">
        <f>COUNTIF(U461:AY461,"A")</f>
      </c>
      <c r="BA461" s="121">
        <f>COUNTIF(U461:AY461,"F")</f>
      </c>
      <c r="BB461" s="119">
        <f>COUNTIF(U461:AY461,"E")</f>
      </c>
    </row>
    <row r="462" spans="1:54" x14ac:dyDescent="0.2">
      <c r="A462" s="84"/>
      <c r="B462" s="85"/>
      <c r="C462" s="85"/>
      <c r="D462" s="85"/>
      <c r="E462" s="86"/>
      <c r="F462" s="16">
        <f>IF(E462="","",DATEDIF(E462,$I$7,"Y"))</f>
      </c>
      <c r="G462" s="85"/>
      <c r="H462" s="85"/>
      <c r="I462" s="87"/>
      <c r="J462" s="85"/>
      <c r="K462" s="85"/>
      <c r="L462" s="10"/>
      <c r="M462" s="10"/>
      <c r="N462" s="10"/>
      <c r="O462" s="10"/>
      <c r="P462" s="85"/>
      <c r="Q462" s="88"/>
      <c r="R462" s="3">
        <f>IFERROR(VLOOKUP(TablaDiciembre[[#This Row],[BARRIO]],SECTOR!$A:$B,2,0),"")</f>
      </c>
      <c r="S462" s="89"/>
      <c r="T462" s="90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6"/>
      <c r="AZ462" s="120">
        <f>COUNTIF(U462:AY462,"A")</f>
      </c>
      <c r="BA462" s="121">
        <f>COUNTIF(U462:AY462,"F")</f>
      </c>
      <c r="BB462" s="119">
        <f>COUNTIF(U462:AY462,"E")</f>
      </c>
    </row>
    <row r="463" spans="1:54" x14ac:dyDescent="0.2">
      <c r="A463" s="84"/>
      <c r="B463" s="85"/>
      <c r="C463" s="85"/>
      <c r="D463" s="85"/>
      <c r="E463" s="86"/>
      <c r="F463" s="16">
        <f>IF(E463="","",DATEDIF(E463,$I$7,"Y"))</f>
      </c>
      <c r="G463" s="85"/>
      <c r="H463" s="85"/>
      <c r="I463" s="87"/>
      <c r="J463" s="85"/>
      <c r="K463" s="85"/>
      <c r="L463" s="10"/>
      <c r="M463" s="10"/>
      <c r="N463" s="10"/>
      <c r="O463" s="10"/>
      <c r="P463" s="85"/>
      <c r="Q463" s="88"/>
      <c r="R463" s="3">
        <f>IFERROR(VLOOKUP(TablaDiciembre[[#This Row],[BARRIO]],SECTOR!$A:$B,2,0),"")</f>
      </c>
      <c r="S463" s="89"/>
      <c r="T463" s="90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6"/>
      <c r="AZ463" s="120">
        <f>COUNTIF(U463:AY463,"A")</f>
      </c>
      <c r="BA463" s="121">
        <f>COUNTIF(U463:AY463,"F")</f>
      </c>
      <c r="BB463" s="119">
        <f>COUNTIF(U463:AY463,"E")</f>
      </c>
    </row>
    <row r="464" spans="1:54" x14ac:dyDescent="0.2">
      <c r="A464" s="84"/>
      <c r="B464" s="85"/>
      <c r="C464" s="85"/>
      <c r="D464" s="85"/>
      <c r="E464" s="86"/>
      <c r="F464" s="16">
        <f>IF(E464="","",DATEDIF(E464,$I$7,"Y"))</f>
      </c>
      <c r="G464" s="85"/>
      <c r="H464" s="85"/>
      <c r="I464" s="87"/>
      <c r="J464" s="85"/>
      <c r="K464" s="85"/>
      <c r="L464" s="10"/>
      <c r="M464" s="10"/>
      <c r="N464" s="10"/>
      <c r="O464" s="10"/>
      <c r="P464" s="85"/>
      <c r="Q464" s="88"/>
      <c r="R464" s="3">
        <f>IFERROR(VLOOKUP(TablaDiciembre[[#This Row],[BARRIO]],SECTOR!$A:$B,2,0),"")</f>
      </c>
      <c r="S464" s="89"/>
      <c r="T464" s="90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6"/>
      <c r="AZ464" s="120">
        <f>COUNTIF(U464:AY464,"A")</f>
      </c>
      <c r="BA464" s="121">
        <f>COUNTIF(U464:AY464,"F")</f>
      </c>
      <c r="BB464" s="119">
        <f>COUNTIF(U464:AY464,"E")</f>
      </c>
    </row>
    <row r="465" spans="1:54" x14ac:dyDescent="0.2">
      <c r="A465" s="84"/>
      <c r="B465" s="85"/>
      <c r="C465" s="85"/>
      <c r="D465" s="85"/>
      <c r="E465" s="86"/>
      <c r="F465" s="16">
        <f>IF(E465="","",DATEDIF(E465,$I$7,"Y"))</f>
      </c>
      <c r="G465" s="85"/>
      <c r="H465" s="85"/>
      <c r="I465" s="87"/>
      <c r="J465" s="85"/>
      <c r="K465" s="85"/>
      <c r="L465" s="10"/>
      <c r="M465" s="10"/>
      <c r="N465" s="10"/>
      <c r="O465" s="10"/>
      <c r="P465" s="85"/>
      <c r="Q465" s="88"/>
      <c r="R465" s="3">
        <f>IFERROR(VLOOKUP(TablaDiciembre[[#This Row],[BARRIO]],SECTOR!$A:$B,2,0),"")</f>
      </c>
      <c r="S465" s="89"/>
      <c r="T465" s="90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6"/>
      <c r="AZ465" s="120">
        <f>COUNTIF(U465:AY465,"A")</f>
      </c>
      <c r="BA465" s="121">
        <f>COUNTIF(U465:AY465,"F")</f>
      </c>
      <c r="BB465" s="119">
        <f>COUNTIF(U465:AY465,"E")</f>
      </c>
    </row>
    <row r="466" spans="1:54" x14ac:dyDescent="0.2">
      <c r="A466" s="84"/>
      <c r="B466" s="85"/>
      <c r="C466" s="85"/>
      <c r="D466" s="85"/>
      <c r="E466" s="86"/>
      <c r="F466" s="16">
        <f>IF(E466="","",DATEDIF(E466,$I$7,"Y"))</f>
      </c>
      <c r="G466" s="85"/>
      <c r="H466" s="85"/>
      <c r="I466" s="87"/>
      <c r="J466" s="85"/>
      <c r="K466" s="85"/>
      <c r="L466" s="10"/>
      <c r="M466" s="10"/>
      <c r="N466" s="10"/>
      <c r="O466" s="10"/>
      <c r="P466" s="85"/>
      <c r="Q466" s="88"/>
      <c r="R466" s="3">
        <f>IFERROR(VLOOKUP(TablaDiciembre[[#This Row],[BARRIO]],SECTOR!$A:$B,2,0),"")</f>
      </c>
      <c r="S466" s="89"/>
      <c r="T466" s="90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6"/>
      <c r="AZ466" s="120">
        <f>COUNTIF(U466:AY466,"A")</f>
      </c>
      <c r="BA466" s="121">
        <f>COUNTIF(U466:AY466,"F")</f>
      </c>
      <c r="BB466" s="119">
        <f>COUNTIF(U466:AY466,"E")</f>
      </c>
    </row>
    <row r="467" spans="1:54" x14ac:dyDescent="0.2">
      <c r="A467" s="84"/>
      <c r="B467" s="85"/>
      <c r="C467" s="85"/>
      <c r="D467" s="85"/>
      <c r="E467" s="86"/>
      <c r="F467" s="16">
        <f>IF(E467="","",DATEDIF(E467,$I$7,"Y"))</f>
      </c>
      <c r="G467" s="85"/>
      <c r="H467" s="85"/>
      <c r="I467" s="87"/>
      <c r="J467" s="85"/>
      <c r="K467" s="85"/>
      <c r="L467" s="10"/>
      <c r="M467" s="10"/>
      <c r="N467" s="10"/>
      <c r="O467" s="10"/>
      <c r="P467" s="85"/>
      <c r="Q467" s="88"/>
      <c r="R467" s="3">
        <f>IFERROR(VLOOKUP(TablaDiciembre[[#This Row],[BARRIO]],SECTOR!$A:$B,2,0),"")</f>
      </c>
      <c r="S467" s="89"/>
      <c r="T467" s="90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6"/>
      <c r="AZ467" s="120">
        <f>COUNTIF(U467:AY467,"A")</f>
      </c>
      <c r="BA467" s="121">
        <f>COUNTIF(U467:AY467,"F")</f>
      </c>
      <c r="BB467" s="119">
        <f>COUNTIF(U467:AY467,"E")</f>
      </c>
    </row>
    <row r="468" spans="1:54" x14ac:dyDescent="0.2">
      <c r="A468" s="84"/>
      <c r="B468" s="85"/>
      <c r="C468" s="85"/>
      <c r="D468" s="85"/>
      <c r="E468" s="86"/>
      <c r="F468" s="16">
        <f>IF(E468="","",DATEDIF(E468,$I$7,"Y"))</f>
      </c>
      <c r="G468" s="85"/>
      <c r="H468" s="85"/>
      <c r="I468" s="87"/>
      <c r="J468" s="85"/>
      <c r="K468" s="85"/>
      <c r="L468" s="10"/>
      <c r="M468" s="10"/>
      <c r="N468" s="10"/>
      <c r="O468" s="10"/>
      <c r="P468" s="85"/>
      <c r="Q468" s="88"/>
      <c r="R468" s="3">
        <f>IFERROR(VLOOKUP(TablaDiciembre[[#This Row],[BARRIO]],SECTOR!$A:$B,2,0),"")</f>
      </c>
      <c r="S468" s="89"/>
      <c r="T468" s="90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6"/>
      <c r="AZ468" s="120">
        <f>COUNTIF(U468:AY468,"A")</f>
      </c>
      <c r="BA468" s="121">
        <f>COUNTIF(U468:AY468,"F")</f>
      </c>
      <c r="BB468" s="119">
        <f>COUNTIF(U468:AY468,"E")</f>
      </c>
    </row>
    <row r="469" spans="1:54" x14ac:dyDescent="0.2">
      <c r="A469" s="84"/>
      <c r="B469" s="85"/>
      <c r="C469" s="85"/>
      <c r="D469" s="85"/>
      <c r="E469" s="86"/>
      <c r="F469" s="16">
        <f>IF(E469="","",DATEDIF(E469,$I$7,"Y"))</f>
      </c>
      <c r="G469" s="85"/>
      <c r="H469" s="85"/>
      <c r="I469" s="87"/>
      <c r="J469" s="85"/>
      <c r="K469" s="85"/>
      <c r="L469" s="10"/>
      <c r="M469" s="10"/>
      <c r="N469" s="10"/>
      <c r="O469" s="10"/>
      <c r="P469" s="85"/>
      <c r="Q469" s="88"/>
      <c r="R469" s="3">
        <f>IFERROR(VLOOKUP(TablaDiciembre[[#This Row],[BARRIO]],SECTOR!$A:$B,2,0),"")</f>
      </c>
      <c r="S469" s="89"/>
      <c r="T469" s="90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6"/>
      <c r="AZ469" s="120">
        <f>COUNTIF(U469:AY469,"A")</f>
      </c>
      <c r="BA469" s="121">
        <f>COUNTIF(U469:AY469,"F")</f>
      </c>
      <c r="BB469" s="119">
        <f>COUNTIF(U469:AY469,"E")</f>
      </c>
    </row>
    <row r="470" spans="1:54" x14ac:dyDescent="0.2">
      <c r="A470" s="84"/>
      <c r="B470" s="85"/>
      <c r="C470" s="85"/>
      <c r="D470" s="85"/>
      <c r="E470" s="86"/>
      <c r="F470" s="16">
        <f>IF(E470="","",DATEDIF(E470,$I$7,"Y"))</f>
      </c>
      <c r="G470" s="85"/>
      <c r="H470" s="85"/>
      <c r="I470" s="87"/>
      <c r="J470" s="85"/>
      <c r="K470" s="85"/>
      <c r="L470" s="10"/>
      <c r="M470" s="10"/>
      <c r="N470" s="10"/>
      <c r="O470" s="10"/>
      <c r="P470" s="85"/>
      <c r="Q470" s="88"/>
      <c r="R470" s="3">
        <f>IFERROR(VLOOKUP(TablaDiciembre[[#This Row],[BARRIO]],SECTOR!$A:$B,2,0),"")</f>
      </c>
      <c r="S470" s="89"/>
      <c r="T470" s="90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6"/>
      <c r="AZ470" s="120">
        <f>COUNTIF(U470:AY470,"A")</f>
      </c>
      <c r="BA470" s="121">
        <f>COUNTIF(U470:AY470,"F")</f>
      </c>
      <c r="BB470" s="119">
        <f>COUNTIF(U470:AY470,"E")</f>
      </c>
    </row>
    <row r="471" spans="1:54" x14ac:dyDescent="0.2">
      <c r="A471" s="84"/>
      <c r="B471" s="85"/>
      <c r="C471" s="85"/>
      <c r="D471" s="85"/>
      <c r="E471" s="86"/>
      <c r="F471" s="16">
        <f>IF(E471="","",DATEDIF(E471,$I$7,"Y"))</f>
      </c>
      <c r="G471" s="85"/>
      <c r="H471" s="85"/>
      <c r="I471" s="87"/>
      <c r="J471" s="85"/>
      <c r="K471" s="85"/>
      <c r="L471" s="10"/>
      <c r="M471" s="10"/>
      <c r="N471" s="10"/>
      <c r="O471" s="10"/>
      <c r="P471" s="85"/>
      <c r="Q471" s="88"/>
      <c r="R471" s="3">
        <f>IFERROR(VLOOKUP(TablaDiciembre[[#This Row],[BARRIO]],SECTOR!$A:$B,2,0),"")</f>
      </c>
      <c r="S471" s="89"/>
      <c r="T471" s="90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6"/>
      <c r="AZ471" s="120">
        <f>COUNTIF(U471:AY471,"A")</f>
      </c>
      <c r="BA471" s="121">
        <f>COUNTIF(U471:AY471,"F")</f>
      </c>
      <c r="BB471" s="119">
        <f>COUNTIF(U471:AY471,"E")</f>
      </c>
    </row>
    <row r="472" spans="1:54" x14ac:dyDescent="0.2">
      <c r="A472" s="84"/>
      <c r="B472" s="85"/>
      <c r="C472" s="85"/>
      <c r="D472" s="85"/>
      <c r="E472" s="86"/>
      <c r="F472" s="16">
        <f>IF(E472="","",DATEDIF(E472,$I$7,"Y"))</f>
      </c>
      <c r="G472" s="85"/>
      <c r="H472" s="85"/>
      <c r="I472" s="87"/>
      <c r="J472" s="85"/>
      <c r="K472" s="85"/>
      <c r="L472" s="10"/>
      <c r="M472" s="10"/>
      <c r="N472" s="10"/>
      <c r="O472" s="10"/>
      <c r="P472" s="85"/>
      <c r="Q472" s="88"/>
      <c r="R472" s="3">
        <f>IFERROR(VLOOKUP(TablaDiciembre[[#This Row],[BARRIO]],SECTOR!$A:$B,2,0),"")</f>
      </c>
      <c r="S472" s="89"/>
      <c r="T472" s="90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6"/>
      <c r="AZ472" s="120">
        <f>COUNTIF(U472:AY472,"A")</f>
      </c>
      <c r="BA472" s="121">
        <f>COUNTIF(U472:AY472,"F")</f>
      </c>
      <c r="BB472" s="119">
        <f>COUNTIF(U472:AY472,"E")</f>
      </c>
    </row>
    <row r="473" spans="1:54" x14ac:dyDescent="0.2">
      <c r="A473" s="84"/>
      <c r="B473" s="85"/>
      <c r="C473" s="85"/>
      <c r="D473" s="85"/>
      <c r="E473" s="86"/>
      <c r="F473" s="16">
        <f>IF(E473="","",DATEDIF(E473,$I$7,"Y"))</f>
      </c>
      <c r="G473" s="85"/>
      <c r="H473" s="85"/>
      <c r="I473" s="87"/>
      <c r="J473" s="85"/>
      <c r="K473" s="85"/>
      <c r="L473" s="10"/>
      <c r="M473" s="10"/>
      <c r="N473" s="10"/>
      <c r="O473" s="10"/>
      <c r="P473" s="85"/>
      <c r="Q473" s="88"/>
      <c r="R473" s="3">
        <f>IFERROR(VLOOKUP(TablaDiciembre[[#This Row],[BARRIO]],SECTOR!$A:$B,2,0),"")</f>
      </c>
      <c r="S473" s="89"/>
      <c r="T473" s="90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6"/>
      <c r="AZ473" s="120">
        <f>COUNTIF(U473:AY473,"A")</f>
      </c>
      <c r="BA473" s="121">
        <f>COUNTIF(U473:AY473,"F")</f>
      </c>
      <c r="BB473" s="119">
        <f>COUNTIF(U473:AY473,"E")</f>
      </c>
    </row>
    <row r="474" spans="1:54" x14ac:dyDescent="0.2">
      <c r="A474" s="84"/>
      <c r="B474" s="85"/>
      <c r="C474" s="85"/>
      <c r="D474" s="85"/>
      <c r="E474" s="86"/>
      <c r="F474" s="16">
        <f>IF(E474="","",DATEDIF(E474,$I$7,"Y"))</f>
      </c>
      <c r="G474" s="85"/>
      <c r="H474" s="85"/>
      <c r="I474" s="87"/>
      <c r="J474" s="85"/>
      <c r="K474" s="85"/>
      <c r="L474" s="10"/>
      <c r="M474" s="10"/>
      <c r="N474" s="10"/>
      <c r="O474" s="10"/>
      <c r="P474" s="85"/>
      <c r="Q474" s="88"/>
      <c r="R474" s="3">
        <f>IFERROR(VLOOKUP(TablaDiciembre[[#This Row],[BARRIO]],SECTOR!$A:$B,2,0),"")</f>
      </c>
      <c r="S474" s="89"/>
      <c r="T474" s="90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6"/>
      <c r="AZ474" s="120">
        <f>COUNTIF(U474:AY474,"A")</f>
      </c>
      <c r="BA474" s="121">
        <f>COUNTIF(U474:AY474,"F")</f>
      </c>
      <c r="BB474" s="119">
        <f>COUNTIF(U474:AY474,"E")</f>
      </c>
    </row>
    <row r="475" spans="1:54" x14ac:dyDescent="0.2">
      <c r="A475" s="84"/>
      <c r="B475" s="85"/>
      <c r="C475" s="85"/>
      <c r="D475" s="85"/>
      <c r="E475" s="86"/>
      <c r="F475" s="16">
        <f>IF(E475="","",DATEDIF(E475,$I$7,"Y"))</f>
      </c>
      <c r="G475" s="85"/>
      <c r="H475" s="85"/>
      <c r="I475" s="87"/>
      <c r="J475" s="85"/>
      <c r="K475" s="85"/>
      <c r="L475" s="10"/>
      <c r="M475" s="10"/>
      <c r="N475" s="10"/>
      <c r="O475" s="10"/>
      <c r="P475" s="85"/>
      <c r="Q475" s="88"/>
      <c r="R475" s="3">
        <f>IFERROR(VLOOKUP(TablaDiciembre[[#This Row],[BARRIO]],SECTOR!$A:$B,2,0),"")</f>
      </c>
      <c r="S475" s="89"/>
      <c r="T475" s="90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6"/>
      <c r="AZ475" s="120">
        <f>COUNTIF(U475:AY475,"A")</f>
      </c>
      <c r="BA475" s="121">
        <f>COUNTIF(U475:AY475,"F")</f>
      </c>
      <c r="BB475" s="119">
        <f>COUNTIF(U475:AY475,"E")</f>
      </c>
    </row>
    <row r="476" spans="1:54" x14ac:dyDescent="0.2">
      <c r="A476" s="84"/>
      <c r="B476" s="85"/>
      <c r="C476" s="85"/>
      <c r="D476" s="85"/>
      <c r="E476" s="86"/>
      <c r="F476" s="16">
        <f>IF(E476="","",DATEDIF(E476,$I$7,"Y"))</f>
      </c>
      <c r="G476" s="85"/>
      <c r="H476" s="85"/>
      <c r="I476" s="87"/>
      <c r="J476" s="85"/>
      <c r="K476" s="85"/>
      <c r="L476" s="10"/>
      <c r="M476" s="10"/>
      <c r="N476" s="10"/>
      <c r="O476" s="10"/>
      <c r="P476" s="85"/>
      <c r="Q476" s="88"/>
      <c r="R476" s="3">
        <f>IFERROR(VLOOKUP(TablaDiciembre[[#This Row],[BARRIO]],SECTOR!$A:$B,2,0),"")</f>
      </c>
      <c r="S476" s="89"/>
      <c r="T476" s="90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6"/>
      <c r="AZ476" s="120">
        <f>COUNTIF(U476:AY476,"A")</f>
      </c>
      <c r="BA476" s="121">
        <f>COUNTIF(U476:AY476,"F")</f>
      </c>
      <c r="BB476" s="119">
        <f>COUNTIF(U476:AY476,"E")</f>
      </c>
    </row>
    <row r="477" spans="1:54" x14ac:dyDescent="0.2">
      <c r="A477" s="84"/>
      <c r="B477" s="85"/>
      <c r="C477" s="85"/>
      <c r="D477" s="85"/>
      <c r="E477" s="86"/>
      <c r="F477" s="16">
        <f>IF(E477="","",DATEDIF(E477,$I$7,"Y"))</f>
      </c>
      <c r="G477" s="85"/>
      <c r="H477" s="85"/>
      <c r="I477" s="87"/>
      <c r="J477" s="85"/>
      <c r="K477" s="85"/>
      <c r="L477" s="10"/>
      <c r="M477" s="10"/>
      <c r="N477" s="10"/>
      <c r="O477" s="10"/>
      <c r="P477" s="85"/>
      <c r="Q477" s="88"/>
      <c r="R477" s="3">
        <f>IFERROR(VLOOKUP(TablaDiciembre[[#This Row],[BARRIO]],SECTOR!$A:$B,2,0),"")</f>
      </c>
      <c r="S477" s="89"/>
      <c r="T477" s="90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6"/>
      <c r="AZ477" s="120">
        <f>COUNTIF(U477:AY477,"A")</f>
      </c>
      <c r="BA477" s="121">
        <f>COUNTIF(U477:AY477,"F")</f>
      </c>
      <c r="BB477" s="119">
        <f>COUNTIF(U477:AY477,"E")</f>
      </c>
    </row>
    <row r="478" spans="1:54" x14ac:dyDescent="0.2">
      <c r="A478" s="84"/>
      <c r="B478" s="85"/>
      <c r="C478" s="85"/>
      <c r="D478" s="85"/>
      <c r="E478" s="86"/>
      <c r="F478" s="16">
        <f>IF(E478="","",DATEDIF(E478,$I$7,"Y"))</f>
      </c>
      <c r="G478" s="85"/>
      <c r="H478" s="85"/>
      <c r="I478" s="87"/>
      <c r="J478" s="85"/>
      <c r="K478" s="85"/>
      <c r="L478" s="10"/>
      <c r="M478" s="10"/>
      <c r="N478" s="10"/>
      <c r="O478" s="10"/>
      <c r="P478" s="85"/>
      <c r="Q478" s="88"/>
      <c r="R478" s="3">
        <f>IFERROR(VLOOKUP(TablaDiciembre[[#This Row],[BARRIO]],SECTOR!$A:$B,2,0),"")</f>
      </c>
      <c r="S478" s="89"/>
      <c r="T478" s="90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6"/>
      <c r="AZ478" s="120">
        <f>COUNTIF(U478:AY478,"A")</f>
      </c>
      <c r="BA478" s="121">
        <f>COUNTIF(U478:AY478,"F")</f>
      </c>
      <c r="BB478" s="119">
        <f>COUNTIF(U478:AY478,"E")</f>
      </c>
    </row>
    <row r="479" spans="1:54" x14ac:dyDescent="0.2">
      <c r="A479" s="84"/>
      <c r="B479" s="85"/>
      <c r="C479" s="85"/>
      <c r="D479" s="85"/>
      <c r="E479" s="86"/>
      <c r="F479" s="16">
        <f>IF(E479="","",DATEDIF(E479,$I$7,"Y"))</f>
      </c>
      <c r="G479" s="85"/>
      <c r="H479" s="85"/>
      <c r="I479" s="87"/>
      <c r="J479" s="85"/>
      <c r="K479" s="85"/>
      <c r="L479" s="10"/>
      <c r="M479" s="10"/>
      <c r="N479" s="10"/>
      <c r="O479" s="10"/>
      <c r="P479" s="85"/>
      <c r="Q479" s="88"/>
      <c r="R479" s="3">
        <f>IFERROR(VLOOKUP(TablaDiciembre[[#This Row],[BARRIO]],SECTOR!$A:$B,2,0),"")</f>
      </c>
      <c r="S479" s="89"/>
      <c r="T479" s="90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6"/>
      <c r="AZ479" s="120">
        <f>COUNTIF(U479:AY479,"A")</f>
      </c>
      <c r="BA479" s="121">
        <f>COUNTIF(U479:AY479,"F")</f>
      </c>
      <c r="BB479" s="119">
        <f>COUNTIF(U479:AY479,"E")</f>
      </c>
    </row>
    <row r="480" spans="1:54" x14ac:dyDescent="0.2">
      <c r="A480" s="84"/>
      <c r="B480" s="85"/>
      <c r="C480" s="85"/>
      <c r="D480" s="85"/>
      <c r="E480" s="86"/>
      <c r="F480" s="16">
        <f>IF(E480="","",DATEDIF(E480,$I$7,"Y"))</f>
      </c>
      <c r="G480" s="85"/>
      <c r="H480" s="85"/>
      <c r="I480" s="87"/>
      <c r="J480" s="85"/>
      <c r="K480" s="85"/>
      <c r="L480" s="10"/>
      <c r="M480" s="10"/>
      <c r="N480" s="10"/>
      <c r="O480" s="10"/>
      <c r="P480" s="85"/>
      <c r="Q480" s="88"/>
      <c r="R480" s="3">
        <f>IFERROR(VLOOKUP(TablaDiciembre[[#This Row],[BARRIO]],SECTOR!$A:$B,2,0),"")</f>
      </c>
      <c r="S480" s="89"/>
      <c r="T480" s="90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6"/>
      <c r="AZ480" s="120">
        <f>COUNTIF(U480:AY480,"A")</f>
      </c>
      <c r="BA480" s="121">
        <f>COUNTIF(U480:AY480,"F")</f>
      </c>
      <c r="BB480" s="119">
        <f>COUNTIF(U480:AY480,"E")</f>
      </c>
    </row>
    <row r="481" spans="1:54" x14ac:dyDescent="0.2">
      <c r="A481" s="84"/>
      <c r="B481" s="85"/>
      <c r="C481" s="85"/>
      <c r="D481" s="85"/>
      <c r="E481" s="86"/>
      <c r="F481" s="16">
        <f>IF(E481="","",DATEDIF(E481,$I$7,"Y"))</f>
      </c>
      <c r="G481" s="85"/>
      <c r="H481" s="85"/>
      <c r="I481" s="87"/>
      <c r="J481" s="85"/>
      <c r="K481" s="85"/>
      <c r="L481" s="10"/>
      <c r="M481" s="10"/>
      <c r="N481" s="10"/>
      <c r="O481" s="10"/>
      <c r="P481" s="85"/>
      <c r="Q481" s="88"/>
      <c r="R481" s="3">
        <f>IFERROR(VLOOKUP(TablaDiciembre[[#This Row],[BARRIO]],SECTOR!$A:$B,2,0),"")</f>
      </c>
      <c r="S481" s="89"/>
      <c r="T481" s="90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6"/>
      <c r="AZ481" s="120">
        <f>COUNTIF(U481:AY481,"A")</f>
      </c>
      <c r="BA481" s="121">
        <f>COUNTIF(U481:AY481,"F")</f>
      </c>
      <c r="BB481" s="119">
        <f>COUNTIF(U481:AY481,"E")</f>
      </c>
    </row>
    <row r="482" spans="1:54" x14ac:dyDescent="0.2">
      <c r="A482" s="84"/>
      <c r="B482" s="85"/>
      <c r="C482" s="85"/>
      <c r="D482" s="85"/>
      <c r="E482" s="86"/>
      <c r="F482" s="16">
        <f>IF(E482="","",DATEDIF(E482,$I$7,"Y"))</f>
      </c>
      <c r="G482" s="85"/>
      <c r="H482" s="85"/>
      <c r="I482" s="87"/>
      <c r="J482" s="85"/>
      <c r="K482" s="85"/>
      <c r="L482" s="10"/>
      <c r="M482" s="10"/>
      <c r="N482" s="10"/>
      <c r="O482" s="10"/>
      <c r="P482" s="85"/>
      <c r="Q482" s="88"/>
      <c r="R482" s="3">
        <f>IFERROR(VLOOKUP(TablaDiciembre[[#This Row],[BARRIO]],SECTOR!$A:$B,2,0),"")</f>
      </c>
      <c r="S482" s="89"/>
      <c r="T482" s="90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6"/>
      <c r="AZ482" s="120">
        <f>COUNTIF(U482:AY482,"A")</f>
      </c>
      <c r="BA482" s="121">
        <f>COUNTIF(U482:AY482,"F")</f>
      </c>
      <c r="BB482" s="119">
        <f>COUNTIF(U482:AY482,"E")</f>
      </c>
    </row>
    <row r="483" spans="1:54" x14ac:dyDescent="0.2">
      <c r="A483" s="84"/>
      <c r="B483" s="85"/>
      <c r="C483" s="85"/>
      <c r="D483" s="85"/>
      <c r="E483" s="86"/>
      <c r="F483" s="16">
        <f>IF(E483="","",DATEDIF(E483,$I$7,"Y"))</f>
      </c>
      <c r="G483" s="85"/>
      <c r="H483" s="85"/>
      <c r="I483" s="87"/>
      <c r="J483" s="85"/>
      <c r="K483" s="85"/>
      <c r="L483" s="10"/>
      <c r="M483" s="10"/>
      <c r="N483" s="10"/>
      <c r="O483" s="10"/>
      <c r="P483" s="85"/>
      <c r="Q483" s="88"/>
      <c r="R483" s="3">
        <f>IFERROR(VLOOKUP(TablaDiciembre[[#This Row],[BARRIO]],SECTOR!$A:$B,2,0),"")</f>
      </c>
      <c r="S483" s="89"/>
      <c r="T483" s="90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6"/>
      <c r="AZ483" s="120">
        <f>COUNTIF(U483:AY483,"A")</f>
      </c>
      <c r="BA483" s="121">
        <f>COUNTIF(U483:AY483,"F")</f>
      </c>
      <c r="BB483" s="119">
        <f>COUNTIF(U483:AY483,"E")</f>
      </c>
    </row>
    <row r="484" spans="1:54" x14ac:dyDescent="0.2">
      <c r="A484" s="84"/>
      <c r="B484" s="85"/>
      <c r="C484" s="85"/>
      <c r="D484" s="85"/>
      <c r="E484" s="86"/>
      <c r="F484" s="16">
        <f>IF(E484="","",DATEDIF(E484,$I$7,"Y"))</f>
      </c>
      <c r="G484" s="85"/>
      <c r="H484" s="85"/>
      <c r="I484" s="87"/>
      <c r="J484" s="85"/>
      <c r="K484" s="85"/>
      <c r="L484" s="10"/>
      <c r="M484" s="10"/>
      <c r="N484" s="10"/>
      <c r="O484" s="10"/>
      <c r="P484" s="85"/>
      <c r="Q484" s="88"/>
      <c r="R484" s="3">
        <f>IFERROR(VLOOKUP(TablaDiciembre[[#This Row],[BARRIO]],SECTOR!$A:$B,2,0),"")</f>
      </c>
      <c r="S484" s="89"/>
      <c r="T484" s="90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6"/>
      <c r="AZ484" s="120">
        <f>COUNTIF(U484:AY484,"A")</f>
      </c>
      <c r="BA484" s="121">
        <f>COUNTIF(U484:AY484,"F")</f>
      </c>
      <c r="BB484" s="119">
        <f>COUNTIF(U484:AY484,"E")</f>
      </c>
    </row>
    <row r="485" spans="1:54" x14ac:dyDescent="0.2">
      <c r="A485" s="84"/>
      <c r="B485" s="85"/>
      <c r="C485" s="85"/>
      <c r="D485" s="85"/>
      <c r="E485" s="86"/>
      <c r="F485" s="16">
        <f>IF(E485="","",DATEDIF(E485,$I$7,"Y"))</f>
      </c>
      <c r="G485" s="85"/>
      <c r="H485" s="85"/>
      <c r="I485" s="87"/>
      <c r="J485" s="85"/>
      <c r="K485" s="85"/>
      <c r="L485" s="10"/>
      <c r="M485" s="10"/>
      <c r="N485" s="10"/>
      <c r="O485" s="10"/>
      <c r="P485" s="85"/>
      <c r="Q485" s="88"/>
      <c r="R485" s="3">
        <f>IFERROR(VLOOKUP(TablaDiciembre[[#This Row],[BARRIO]],SECTOR!$A:$B,2,0),"")</f>
      </c>
      <c r="S485" s="89"/>
      <c r="T485" s="90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6"/>
      <c r="AZ485" s="120">
        <f>COUNTIF(U485:AY485,"A")</f>
      </c>
      <c r="BA485" s="121">
        <f>COUNTIF(U485:AY485,"F")</f>
      </c>
      <c r="BB485" s="119">
        <f>COUNTIF(U485:AY485,"E")</f>
      </c>
    </row>
    <row r="486" spans="1:54" x14ac:dyDescent="0.2">
      <c r="A486" s="84"/>
      <c r="B486" s="85"/>
      <c r="C486" s="85"/>
      <c r="D486" s="85"/>
      <c r="E486" s="86"/>
      <c r="F486" s="16">
        <f>IF(E486="","",DATEDIF(E486,$I$7,"Y"))</f>
      </c>
      <c r="G486" s="85"/>
      <c r="H486" s="85"/>
      <c r="I486" s="87"/>
      <c r="J486" s="85"/>
      <c r="K486" s="85"/>
      <c r="L486" s="10"/>
      <c r="M486" s="10"/>
      <c r="N486" s="10"/>
      <c r="O486" s="10"/>
      <c r="P486" s="85"/>
      <c r="Q486" s="88"/>
      <c r="R486" s="3">
        <f>IFERROR(VLOOKUP(TablaDiciembre[[#This Row],[BARRIO]],SECTOR!$A:$B,2,0),"")</f>
      </c>
      <c r="S486" s="89"/>
      <c r="T486" s="90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6"/>
      <c r="AZ486" s="120">
        <f>COUNTIF(U486:AY486,"A")</f>
      </c>
      <c r="BA486" s="121">
        <f>COUNTIF(U486:AY486,"F")</f>
      </c>
      <c r="BB486" s="119">
        <f>COUNTIF(U486:AY486,"E")</f>
      </c>
    </row>
    <row r="487" spans="1:54" x14ac:dyDescent="0.2">
      <c r="A487" s="84"/>
      <c r="B487" s="85"/>
      <c r="C487" s="85"/>
      <c r="D487" s="85"/>
      <c r="E487" s="86"/>
      <c r="F487" s="16">
        <f>IF(E487="","",DATEDIF(E487,$I$7,"Y"))</f>
      </c>
      <c r="G487" s="85"/>
      <c r="H487" s="85"/>
      <c r="I487" s="87"/>
      <c r="J487" s="85"/>
      <c r="K487" s="85"/>
      <c r="L487" s="10"/>
      <c r="M487" s="10"/>
      <c r="N487" s="10"/>
      <c r="O487" s="10"/>
      <c r="P487" s="85"/>
      <c r="Q487" s="88"/>
      <c r="R487" s="3">
        <f>IFERROR(VLOOKUP(TablaDiciembre[[#This Row],[BARRIO]],SECTOR!$A:$B,2,0),"")</f>
      </c>
      <c r="S487" s="89"/>
      <c r="T487" s="90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6"/>
      <c r="AZ487" s="120">
        <f>COUNTIF(U487:AY487,"A")</f>
      </c>
      <c r="BA487" s="121">
        <f>COUNTIF(U487:AY487,"F")</f>
      </c>
      <c r="BB487" s="119">
        <f>COUNTIF(U487:AY487,"E")</f>
      </c>
    </row>
    <row r="488" spans="1:54" x14ac:dyDescent="0.2">
      <c r="A488" s="84"/>
      <c r="B488" s="85"/>
      <c r="C488" s="85"/>
      <c r="D488" s="85"/>
      <c r="E488" s="86"/>
      <c r="F488" s="16">
        <f>IF(E488="","",DATEDIF(E488,$I$7,"Y"))</f>
      </c>
      <c r="G488" s="85"/>
      <c r="H488" s="85"/>
      <c r="I488" s="87"/>
      <c r="J488" s="85"/>
      <c r="K488" s="85"/>
      <c r="L488" s="10"/>
      <c r="M488" s="10"/>
      <c r="N488" s="10"/>
      <c r="O488" s="10"/>
      <c r="P488" s="85"/>
      <c r="Q488" s="88"/>
      <c r="R488" s="3">
        <f>IFERROR(VLOOKUP(TablaDiciembre[[#This Row],[BARRIO]],SECTOR!$A:$B,2,0),"")</f>
      </c>
      <c r="S488" s="89"/>
      <c r="T488" s="90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6"/>
      <c r="AZ488" s="120">
        <f>COUNTIF(U488:AY488,"A")</f>
      </c>
      <c r="BA488" s="121">
        <f>COUNTIF(U488:AY488,"F")</f>
      </c>
      <c r="BB488" s="119">
        <f>COUNTIF(U488:AY488,"E")</f>
      </c>
    </row>
    <row r="489" spans="1:54" x14ac:dyDescent="0.2">
      <c r="A489" s="84"/>
      <c r="B489" s="85"/>
      <c r="C489" s="85"/>
      <c r="D489" s="85"/>
      <c r="E489" s="86"/>
      <c r="F489" s="16">
        <f>IF(E489="","",DATEDIF(E489,$I$7,"Y"))</f>
      </c>
      <c r="G489" s="85"/>
      <c r="H489" s="85"/>
      <c r="I489" s="87"/>
      <c r="J489" s="85"/>
      <c r="K489" s="85"/>
      <c r="L489" s="10"/>
      <c r="M489" s="10"/>
      <c r="N489" s="10"/>
      <c r="O489" s="10"/>
      <c r="P489" s="85"/>
      <c r="Q489" s="88"/>
      <c r="R489" s="3">
        <f>IFERROR(VLOOKUP(TablaDiciembre[[#This Row],[BARRIO]],SECTOR!$A:$B,2,0),"")</f>
      </c>
      <c r="S489" s="89"/>
      <c r="T489" s="90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6"/>
      <c r="AZ489" s="120">
        <f>COUNTIF(U489:AY489,"A")</f>
      </c>
      <c r="BA489" s="121">
        <f>COUNTIF(U489:AY489,"F")</f>
      </c>
      <c r="BB489" s="119">
        <f>COUNTIF(U489:AY489,"E")</f>
      </c>
    </row>
    <row r="490" spans="1:54" x14ac:dyDescent="0.2">
      <c r="A490" s="84"/>
      <c r="B490" s="85"/>
      <c r="C490" s="85"/>
      <c r="D490" s="85"/>
      <c r="E490" s="86"/>
      <c r="F490" s="16">
        <f>IF(E490="","",DATEDIF(E490,$I$7,"Y"))</f>
      </c>
      <c r="G490" s="85"/>
      <c r="H490" s="85"/>
      <c r="I490" s="87"/>
      <c r="J490" s="85"/>
      <c r="K490" s="85"/>
      <c r="L490" s="10"/>
      <c r="M490" s="10"/>
      <c r="N490" s="10"/>
      <c r="O490" s="10"/>
      <c r="P490" s="85"/>
      <c r="Q490" s="88"/>
      <c r="R490" s="3">
        <f>IFERROR(VLOOKUP(TablaDiciembre[[#This Row],[BARRIO]],SECTOR!$A:$B,2,0),"")</f>
      </c>
      <c r="S490" s="89"/>
      <c r="T490" s="90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6"/>
      <c r="AZ490" s="120">
        <f>COUNTIF(U490:AY490,"A")</f>
      </c>
      <c r="BA490" s="121">
        <f>COUNTIF(U490:AY490,"F")</f>
      </c>
      <c r="BB490" s="119">
        <f>COUNTIF(U490:AY490,"E")</f>
      </c>
    </row>
    <row r="491" spans="1:54" x14ac:dyDescent="0.2">
      <c r="A491" s="84"/>
      <c r="B491" s="85"/>
      <c r="C491" s="85"/>
      <c r="D491" s="85"/>
      <c r="E491" s="86"/>
      <c r="F491" s="16">
        <f>IF(E491="","",DATEDIF(E491,$I$7,"Y"))</f>
      </c>
      <c r="G491" s="85"/>
      <c r="H491" s="85"/>
      <c r="I491" s="87"/>
      <c r="J491" s="85"/>
      <c r="K491" s="85"/>
      <c r="L491" s="10"/>
      <c r="M491" s="10"/>
      <c r="N491" s="10"/>
      <c r="O491" s="10"/>
      <c r="P491" s="85"/>
      <c r="Q491" s="88"/>
      <c r="R491" s="3">
        <f>IFERROR(VLOOKUP(TablaDiciembre[[#This Row],[BARRIO]],SECTOR!$A:$B,2,0),"")</f>
      </c>
      <c r="S491" s="89"/>
      <c r="T491" s="90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6"/>
      <c r="AZ491" s="120">
        <f>COUNTIF(U491:AY491,"A")</f>
      </c>
      <c r="BA491" s="121">
        <f>COUNTIF(U491:AY491,"F")</f>
      </c>
      <c r="BB491" s="119">
        <f>COUNTIF(U491:AY491,"E")</f>
      </c>
    </row>
    <row r="492" spans="1:54" x14ac:dyDescent="0.2">
      <c r="A492" s="84"/>
      <c r="B492" s="85"/>
      <c r="C492" s="85"/>
      <c r="D492" s="85"/>
      <c r="E492" s="86"/>
      <c r="F492" s="16">
        <f>IF(E492="","",DATEDIF(E492,$I$7,"Y"))</f>
      </c>
      <c r="G492" s="85"/>
      <c r="H492" s="85"/>
      <c r="I492" s="87"/>
      <c r="J492" s="85"/>
      <c r="K492" s="85"/>
      <c r="L492" s="10"/>
      <c r="M492" s="10"/>
      <c r="N492" s="10"/>
      <c r="O492" s="10"/>
      <c r="P492" s="85"/>
      <c r="Q492" s="88"/>
      <c r="R492" s="3">
        <f>IFERROR(VLOOKUP(TablaDiciembre[[#This Row],[BARRIO]],SECTOR!$A:$B,2,0),"")</f>
      </c>
      <c r="S492" s="89"/>
      <c r="T492" s="90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6"/>
      <c r="AZ492" s="120">
        <f>COUNTIF(U492:AY492,"A")</f>
      </c>
      <c r="BA492" s="121">
        <f>COUNTIF(U492:AY492,"F")</f>
      </c>
      <c r="BB492" s="119">
        <f>COUNTIF(U492:AY492,"E")</f>
      </c>
    </row>
    <row r="493" spans="1:54" x14ac:dyDescent="0.2">
      <c r="A493" s="84"/>
      <c r="B493" s="85"/>
      <c r="C493" s="85"/>
      <c r="D493" s="85"/>
      <c r="E493" s="86"/>
      <c r="F493" s="16">
        <f>IF(E493="","",DATEDIF(E493,$I$7,"Y"))</f>
      </c>
      <c r="G493" s="85"/>
      <c r="H493" s="85"/>
      <c r="I493" s="87"/>
      <c r="J493" s="85"/>
      <c r="K493" s="85"/>
      <c r="L493" s="10"/>
      <c r="M493" s="10"/>
      <c r="N493" s="10"/>
      <c r="O493" s="10"/>
      <c r="P493" s="85"/>
      <c r="Q493" s="88"/>
      <c r="R493" s="3">
        <f>IFERROR(VLOOKUP(TablaDiciembre[[#This Row],[BARRIO]],SECTOR!$A:$B,2,0),"")</f>
      </c>
      <c r="S493" s="89"/>
      <c r="T493" s="90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6"/>
      <c r="AZ493" s="120">
        <f>COUNTIF(U493:AY493,"A")</f>
      </c>
      <c r="BA493" s="121">
        <f>COUNTIF(U493:AY493,"F")</f>
      </c>
      <c r="BB493" s="119">
        <f>COUNTIF(U493:AY493,"E")</f>
      </c>
    </row>
    <row r="494" spans="1:54" x14ac:dyDescent="0.2">
      <c r="A494" s="84"/>
      <c r="B494" s="85"/>
      <c r="C494" s="85"/>
      <c r="D494" s="85"/>
      <c r="E494" s="86"/>
      <c r="F494" s="16">
        <f>IF(E494="","",DATEDIF(E494,$I$7,"Y"))</f>
      </c>
      <c r="G494" s="85"/>
      <c r="H494" s="85"/>
      <c r="I494" s="87"/>
      <c r="J494" s="85"/>
      <c r="K494" s="85"/>
      <c r="L494" s="10"/>
      <c r="M494" s="10"/>
      <c r="N494" s="10"/>
      <c r="O494" s="10"/>
      <c r="P494" s="85"/>
      <c r="Q494" s="88"/>
      <c r="R494" s="3">
        <f>IFERROR(VLOOKUP(TablaDiciembre[[#This Row],[BARRIO]],SECTOR!$A:$B,2,0),"")</f>
      </c>
      <c r="S494" s="89"/>
      <c r="T494" s="90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6"/>
      <c r="AZ494" s="120">
        <f>COUNTIF(U494:AY494,"A")</f>
      </c>
      <c r="BA494" s="121">
        <f>COUNTIF(U494:AY494,"F")</f>
      </c>
      <c r="BB494" s="119">
        <f>COUNTIF(U494:AY494,"E")</f>
      </c>
    </row>
    <row r="495" spans="1:54" x14ac:dyDescent="0.2">
      <c r="A495" s="84"/>
      <c r="B495" s="85"/>
      <c r="C495" s="85"/>
      <c r="D495" s="85"/>
      <c r="E495" s="86"/>
      <c r="F495" s="16">
        <f>IF(E495="","",DATEDIF(E495,$I$7,"Y"))</f>
      </c>
      <c r="G495" s="85"/>
      <c r="H495" s="85"/>
      <c r="I495" s="87"/>
      <c r="J495" s="85"/>
      <c r="K495" s="85"/>
      <c r="L495" s="10"/>
      <c r="M495" s="10"/>
      <c r="N495" s="10"/>
      <c r="O495" s="10"/>
      <c r="P495" s="85"/>
      <c r="Q495" s="88"/>
      <c r="R495" s="3">
        <f>IFERROR(VLOOKUP(TablaDiciembre[[#This Row],[BARRIO]],SECTOR!$A:$B,2,0),"")</f>
      </c>
      <c r="S495" s="89"/>
      <c r="T495" s="90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6"/>
      <c r="AZ495" s="120">
        <f>COUNTIF(U495:AY495,"A")</f>
      </c>
      <c r="BA495" s="121">
        <f>COUNTIF(U495:AY495,"F")</f>
      </c>
      <c r="BB495" s="119">
        <f>COUNTIF(U495:AY495,"E")</f>
      </c>
    </row>
    <row r="496" spans="1:54" x14ac:dyDescent="0.2">
      <c r="A496" s="84"/>
      <c r="B496" s="85"/>
      <c r="C496" s="85"/>
      <c r="D496" s="85"/>
      <c r="E496" s="86"/>
      <c r="F496" s="16">
        <f>IF(E496="","",DATEDIF(E496,$I$7,"Y"))</f>
      </c>
      <c r="G496" s="85"/>
      <c r="H496" s="85"/>
      <c r="I496" s="87"/>
      <c r="J496" s="85"/>
      <c r="K496" s="85"/>
      <c r="L496" s="10"/>
      <c r="M496" s="10"/>
      <c r="N496" s="10"/>
      <c r="O496" s="10"/>
      <c r="P496" s="85"/>
      <c r="Q496" s="88"/>
      <c r="R496" s="3">
        <f>IFERROR(VLOOKUP(TablaDiciembre[[#This Row],[BARRIO]],SECTOR!$A:$B,2,0),"")</f>
      </c>
      <c r="S496" s="89"/>
      <c r="T496" s="90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6"/>
      <c r="AZ496" s="120">
        <f>COUNTIF(U496:AY496,"A")</f>
      </c>
      <c r="BA496" s="121">
        <f>COUNTIF(U496:AY496,"F")</f>
      </c>
      <c r="BB496" s="119">
        <f>COUNTIF(U496:AY496,"E")</f>
      </c>
    </row>
    <row r="497" spans="1:54" x14ac:dyDescent="0.2">
      <c r="A497" s="84"/>
      <c r="B497" s="85"/>
      <c r="C497" s="85"/>
      <c r="D497" s="85"/>
      <c r="E497" s="86"/>
      <c r="F497" s="16">
        <f>IF(E497="","",DATEDIF(E497,$I$7,"Y"))</f>
      </c>
      <c r="G497" s="85"/>
      <c r="H497" s="85"/>
      <c r="I497" s="87"/>
      <c r="J497" s="85"/>
      <c r="K497" s="85"/>
      <c r="L497" s="10"/>
      <c r="M497" s="10"/>
      <c r="N497" s="10"/>
      <c r="O497" s="10"/>
      <c r="P497" s="85"/>
      <c r="Q497" s="88"/>
      <c r="R497" s="3">
        <f>IFERROR(VLOOKUP(TablaDiciembre[[#This Row],[BARRIO]],SECTOR!$A:$B,2,0),"")</f>
      </c>
      <c r="S497" s="89"/>
      <c r="T497" s="90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6"/>
      <c r="AZ497" s="120">
        <f>COUNTIF(U497:AY497,"A")</f>
      </c>
      <c r="BA497" s="121">
        <f>COUNTIF(U497:AY497,"F")</f>
      </c>
      <c r="BB497" s="119">
        <f>COUNTIF(U497:AY497,"E")</f>
      </c>
    </row>
    <row r="498" spans="1:54" x14ac:dyDescent="0.2">
      <c r="A498" s="84"/>
      <c r="B498" s="85"/>
      <c r="C498" s="85"/>
      <c r="D498" s="85"/>
      <c r="E498" s="86"/>
      <c r="F498" s="16">
        <f>IF(E498="","",DATEDIF(E498,$I$7,"Y"))</f>
      </c>
      <c r="G498" s="85"/>
      <c r="H498" s="85"/>
      <c r="I498" s="87"/>
      <c r="J498" s="85"/>
      <c r="K498" s="85"/>
      <c r="L498" s="10"/>
      <c r="M498" s="10"/>
      <c r="N498" s="10"/>
      <c r="O498" s="10"/>
      <c r="P498" s="85"/>
      <c r="Q498" s="88"/>
      <c r="R498" s="3">
        <f>IFERROR(VLOOKUP(TablaDiciembre[[#This Row],[BARRIO]],SECTOR!$A:$B,2,0),"")</f>
      </c>
      <c r="S498" s="89"/>
      <c r="T498" s="90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6"/>
      <c r="AZ498" s="120">
        <f>COUNTIF(U498:AY498,"A")</f>
      </c>
      <c r="BA498" s="121">
        <f>COUNTIF(U498:AY498,"F")</f>
      </c>
      <c r="BB498" s="119">
        <f>COUNTIF(U498:AY498,"E")</f>
      </c>
    </row>
    <row r="499" spans="1:54" x14ac:dyDescent="0.2">
      <c r="A499" s="84"/>
      <c r="B499" s="85"/>
      <c r="C499" s="85"/>
      <c r="D499" s="85"/>
      <c r="E499" s="86"/>
      <c r="F499" s="16">
        <f>IF(E499="","",DATEDIF(E499,$I$7,"Y"))</f>
      </c>
      <c r="G499" s="85"/>
      <c r="H499" s="85"/>
      <c r="I499" s="87"/>
      <c r="J499" s="85"/>
      <c r="K499" s="85"/>
      <c r="L499" s="10"/>
      <c r="M499" s="10"/>
      <c r="N499" s="10"/>
      <c r="O499" s="10"/>
      <c r="P499" s="85"/>
      <c r="Q499" s="88"/>
      <c r="R499" s="3">
        <f>IFERROR(VLOOKUP(TablaDiciembre[[#This Row],[BARRIO]],SECTOR!$A:$B,2,0),"")</f>
      </c>
      <c r="S499" s="89"/>
      <c r="T499" s="90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6"/>
      <c r="AZ499" s="120">
        <f>COUNTIF(U499:AY499,"A")</f>
      </c>
      <c r="BA499" s="121">
        <f>COUNTIF(U499:AY499,"F")</f>
      </c>
      <c r="BB499" s="119">
        <f>COUNTIF(U499:AY499,"E")</f>
      </c>
    </row>
    <row r="500" spans="1:54" x14ac:dyDescent="0.2">
      <c r="A500" s="84"/>
      <c r="B500" s="85"/>
      <c r="C500" s="85"/>
      <c r="D500" s="85"/>
      <c r="E500" s="86"/>
      <c r="F500" s="16">
        <f>IF(E500="","",DATEDIF(E500,$I$7,"Y"))</f>
      </c>
      <c r="G500" s="85"/>
      <c r="H500" s="85"/>
      <c r="I500" s="87"/>
      <c r="J500" s="85"/>
      <c r="K500" s="85"/>
      <c r="L500" s="10"/>
      <c r="M500" s="10"/>
      <c r="N500" s="10"/>
      <c r="O500" s="10"/>
      <c r="P500" s="85"/>
      <c r="Q500" s="88"/>
      <c r="R500" s="3">
        <f>IFERROR(VLOOKUP(TablaDiciembre[[#This Row],[BARRIO]],SECTOR!$A:$B,2,0),"")</f>
      </c>
      <c r="S500" s="89"/>
      <c r="T500" s="90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6"/>
      <c r="AZ500" s="120">
        <f>COUNTIF(U500:AY500,"A")</f>
      </c>
      <c r="BA500" s="121">
        <f>COUNTIF(U500:AY500,"F")</f>
      </c>
      <c r="BB500" s="119">
        <f>COUNTIF(U500:AY500,"E")</f>
      </c>
    </row>
    <row r="501" spans="1:54" x14ac:dyDescent="0.2">
      <c r="A501" s="84"/>
      <c r="B501" s="85"/>
      <c r="C501" s="85"/>
      <c r="D501" s="85"/>
      <c r="E501" s="86"/>
      <c r="F501" s="16">
        <f>IF(E501="","",DATEDIF(E501,$I$7,"Y"))</f>
      </c>
      <c r="G501" s="85"/>
      <c r="H501" s="85"/>
      <c r="I501" s="87"/>
      <c r="J501" s="85"/>
      <c r="K501" s="85"/>
      <c r="L501" s="10"/>
      <c r="M501" s="10"/>
      <c r="N501" s="10"/>
      <c r="O501" s="10"/>
      <c r="P501" s="85"/>
      <c r="Q501" s="88"/>
      <c r="R501" s="3">
        <f>IFERROR(VLOOKUP(TablaDiciembre[[#This Row],[BARRIO]],SECTOR!$A:$B,2,0),"")</f>
      </c>
      <c r="S501" s="89"/>
      <c r="T501" s="90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6"/>
      <c r="AZ501" s="120">
        <f>COUNTIF(U501:AY501,"A")</f>
      </c>
      <c r="BA501" s="121">
        <f>COUNTIF(U501:AY501,"F")</f>
      </c>
      <c r="BB501" s="119">
        <f>COUNTIF(U501:AY501,"E")</f>
      </c>
    </row>
    <row r="502" spans="1:54" x14ac:dyDescent="0.2">
      <c r="A502" s="84"/>
      <c r="B502" s="85"/>
      <c r="C502" s="85"/>
      <c r="D502" s="85"/>
      <c r="E502" s="86"/>
      <c r="F502" s="16">
        <f>IF(E502="","",DATEDIF(E502,$I$7,"Y"))</f>
      </c>
      <c r="G502" s="85"/>
      <c r="H502" s="85"/>
      <c r="I502" s="87"/>
      <c r="J502" s="85"/>
      <c r="K502" s="85"/>
      <c r="L502" s="10"/>
      <c r="M502" s="10"/>
      <c r="N502" s="10"/>
      <c r="O502" s="10"/>
      <c r="P502" s="85"/>
      <c r="Q502" s="88"/>
      <c r="R502" s="3">
        <f>IFERROR(VLOOKUP(TablaDiciembre[[#This Row],[BARRIO]],SECTOR!$A:$B,2,0),"")</f>
      </c>
      <c r="S502" s="89"/>
      <c r="T502" s="90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6"/>
      <c r="AZ502" s="120">
        <f>COUNTIF(U502:AY502,"A")</f>
      </c>
      <c r="BA502" s="121">
        <f>COUNTIF(U502:AY502,"F")</f>
      </c>
      <c r="BB502" s="119">
        <f>COUNTIF(U502:AY502,"E")</f>
      </c>
    </row>
    <row r="503" spans="1:54" x14ac:dyDescent="0.2">
      <c r="A503" s="84"/>
      <c r="B503" s="85"/>
      <c r="C503" s="85"/>
      <c r="D503" s="85"/>
      <c r="E503" s="86"/>
      <c r="F503" s="16">
        <f>IF(E503="","",DATEDIF(E503,$I$7,"Y"))</f>
      </c>
      <c r="G503" s="85"/>
      <c r="H503" s="85"/>
      <c r="I503" s="87"/>
      <c r="J503" s="85"/>
      <c r="K503" s="85"/>
      <c r="L503" s="10"/>
      <c r="M503" s="10"/>
      <c r="N503" s="10"/>
      <c r="O503" s="10"/>
      <c r="P503" s="85"/>
      <c r="Q503" s="88"/>
      <c r="R503" s="3">
        <f>IFERROR(VLOOKUP(TablaDiciembre[[#This Row],[BARRIO]],SECTOR!$A:$B,2,0),"")</f>
      </c>
      <c r="S503" s="89"/>
      <c r="T503" s="90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6"/>
      <c r="AZ503" s="120">
        <f>COUNTIF(U503:AY503,"A")</f>
      </c>
      <c r="BA503" s="121">
        <f>COUNTIF(U503:AY503,"F")</f>
      </c>
      <c r="BB503" s="119">
        <f>COUNTIF(U503:AY503,"E")</f>
      </c>
    </row>
    <row r="504" spans="1:54" x14ac:dyDescent="0.2">
      <c r="A504" s="100"/>
      <c r="B504" s="101"/>
      <c r="C504" s="101"/>
      <c r="D504" s="101"/>
      <c r="E504" s="102"/>
      <c r="F504" s="31">
        <f>IF(E504="","",DATEDIF(E504,$I$7,"Y"))</f>
      </c>
      <c r="G504" s="101"/>
      <c r="H504" s="101"/>
      <c r="I504" s="103"/>
      <c r="J504" s="101"/>
      <c r="K504" s="101"/>
      <c r="L504" s="10"/>
      <c r="M504" s="10"/>
      <c r="N504" s="10"/>
      <c r="O504" s="10"/>
      <c r="P504" s="101"/>
      <c r="Q504" s="91"/>
      <c r="R504" s="14">
        <f>IFERROR(VLOOKUP(TablaDiciembre[[#This Row],[BARRIO]],SECTOR!$A:$B,2,0),"")</f>
      </c>
      <c r="S504" s="104"/>
      <c r="T504" s="10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7"/>
      <c r="AZ504" s="120">
        <f>COUNTIF(U504:AY504,"A")</f>
      </c>
      <c r="BA504" s="121">
        <f>COUNTIF(U504:AY504,"F")</f>
      </c>
      <c r="BB504" s="118">
        <f>COUNTIF(U504:AY504,"E")</f>
      </c>
    </row>
  </sheetData>
  <sheetProtection sheet="1" objects="1" scenarios="1" autoFilter="0"/>
  <mergeCells count="137">
    <mergeCell ref="B2:B5"/>
    <mergeCell ref="C2:I2"/>
    <mergeCell ref="C3:G3"/>
    <mergeCell ref="C4:G4"/>
    <mergeCell ref="C5:G5"/>
    <mergeCell ref="B7:C7"/>
    <mergeCell ref="D7:G7"/>
    <mergeCell ref="W7:AE7"/>
    <mergeCell ref="AG7:AH7"/>
    <mergeCell ref="AI7:AM7"/>
    <mergeCell ref="AO7:AQ7"/>
    <mergeCell ref="B8:C8"/>
    <mergeCell ref="D8:G8"/>
    <mergeCell ref="S8:T8"/>
    <mergeCell ref="W8:AA8"/>
    <mergeCell ref="AB8:AC8"/>
    <mergeCell ref="AD8:AH8"/>
    <mergeCell ref="AK8:AR8"/>
    <mergeCell ref="AS8:BB8"/>
    <mergeCell ref="B9:C9"/>
    <mergeCell ref="D9:G9"/>
    <mergeCell ref="W9:Y9"/>
    <mergeCell ref="Z9:AA9"/>
    <mergeCell ref="AD9:AF9"/>
    <mergeCell ref="AG9:AH9"/>
    <mergeCell ref="AK9:AL9"/>
    <mergeCell ref="AM9:AN9"/>
    <mergeCell ref="AO9:AP9"/>
    <mergeCell ref="AQ9:AR9"/>
    <mergeCell ref="AS9:BB9"/>
    <mergeCell ref="B10:C10"/>
    <mergeCell ref="D10:G10"/>
    <mergeCell ref="W10:Y10"/>
    <mergeCell ref="Z10:AA10"/>
    <mergeCell ref="AD10:AF10"/>
    <mergeCell ref="AG10:AH10"/>
    <mergeCell ref="AK10:AL10"/>
    <mergeCell ref="AM10:AN10"/>
    <mergeCell ref="AO10:AP10"/>
    <mergeCell ref="AQ10:AR10"/>
    <mergeCell ref="AS10:BB10"/>
    <mergeCell ref="W11:Y11"/>
    <mergeCell ref="Z11:AA11"/>
    <mergeCell ref="AD11:AF11"/>
    <mergeCell ref="AG11:AH11"/>
    <mergeCell ref="AK11:AL11"/>
    <mergeCell ref="AM11:AN11"/>
    <mergeCell ref="AO11:AP11"/>
    <mergeCell ref="AQ11:AR11"/>
    <mergeCell ref="AS11:BB13"/>
    <mergeCell ref="AQ12:AR12"/>
    <mergeCell ref="AQ13:AR13"/>
    <mergeCell ref="B12:B18"/>
    <mergeCell ref="C12:I12"/>
    <mergeCell ref="W12:Y12"/>
    <mergeCell ref="Z12:AA12"/>
    <mergeCell ref="AD12:AF12"/>
    <mergeCell ref="AG12:AH12"/>
    <mergeCell ref="AK12:AL12"/>
    <mergeCell ref="AM12:AN12"/>
    <mergeCell ref="AO12:AP12"/>
    <mergeCell ref="F13:G13"/>
    <mergeCell ref="O13:Q13"/>
    <mergeCell ref="W13:Y13"/>
    <mergeCell ref="Z13:AA13"/>
    <mergeCell ref="AD13:AF13"/>
    <mergeCell ref="AG13:AH13"/>
    <mergeCell ref="AK13:AL13"/>
    <mergeCell ref="AM13:AN13"/>
    <mergeCell ref="AO13:AP13"/>
    <mergeCell ref="C14:C15"/>
    <mergeCell ref="D14:D15"/>
    <mergeCell ref="F14:G15"/>
    <mergeCell ref="H14:H15"/>
    <mergeCell ref="I14:I15"/>
    <mergeCell ref="K14:K15"/>
    <mergeCell ref="L14:L15"/>
    <mergeCell ref="AX15:BA16"/>
    <mergeCell ref="C16:I16"/>
    <mergeCell ref="K16:K17"/>
    <mergeCell ref="L16:L17"/>
    <mergeCell ref="O16:P16"/>
    <mergeCell ref="W16:Y16"/>
    <mergeCell ref="AM14:AN14"/>
    <mergeCell ref="AO14:AP14"/>
    <mergeCell ref="AQ14:AR14"/>
    <mergeCell ref="AV14:AW14"/>
    <mergeCell ref="O15:P15"/>
    <mergeCell ref="W15:Y15"/>
    <mergeCell ref="Z15:AA15"/>
    <mergeCell ref="AD15:AF15"/>
    <mergeCell ref="AG15:AH15"/>
    <mergeCell ref="AK15:AL15"/>
    <mergeCell ref="O14:P14"/>
    <mergeCell ref="W14:Y14"/>
    <mergeCell ref="Z14:AA14"/>
    <mergeCell ref="AD14:AF14"/>
    <mergeCell ref="AG14:AH14"/>
    <mergeCell ref="AK14:AL14"/>
    <mergeCell ref="Z16:AA16"/>
    <mergeCell ref="AD16:AF16"/>
    <mergeCell ref="AG16:AH16"/>
    <mergeCell ref="AK16:AL16"/>
    <mergeCell ref="AM16:AN16"/>
    <mergeCell ref="AV16:AW16"/>
    <mergeCell ref="AM15:AN15"/>
    <mergeCell ref="AO15:AP15"/>
    <mergeCell ref="AQ15:AR15"/>
    <mergeCell ref="AV15:AW15"/>
    <mergeCell ref="AD17:AF17"/>
    <mergeCell ref="AG17:AH17"/>
    <mergeCell ref="AN17:AP17"/>
    <mergeCell ref="AV17:AW17"/>
    <mergeCell ref="AX17:AZ17"/>
    <mergeCell ref="C18:D18"/>
    <mergeCell ref="E18:G18"/>
    <mergeCell ref="H18:I18"/>
    <mergeCell ref="O18:P18"/>
    <mergeCell ref="W18:Y18"/>
    <mergeCell ref="C17:D17"/>
    <mergeCell ref="E17:G17"/>
    <mergeCell ref="H17:I17"/>
    <mergeCell ref="O17:P17"/>
    <mergeCell ref="W17:Y17"/>
    <mergeCell ref="Z17:AA17"/>
    <mergeCell ref="U21:AY22"/>
    <mergeCell ref="AZ21:BB22"/>
    <mergeCell ref="Z18:AA18"/>
    <mergeCell ref="AN18:AP18"/>
    <mergeCell ref="AV18:AW18"/>
    <mergeCell ref="AX18:AZ18"/>
    <mergeCell ref="K19:L19"/>
    <mergeCell ref="O19:P19"/>
    <mergeCell ref="W19:Y19"/>
    <mergeCell ref="Z19:AA19"/>
    <mergeCell ref="AV19:AW19"/>
    <mergeCell ref="AX19:AZ19"/>
  </mergeCells>
  <dataValidations count="12">
    <dataValidation type="custom" allowBlank="1" showInputMessage="1" showErrorMessage="1" errorTitle="SÓLO MAYÚSCULA" sqref="S24:S504">
      <formula1>EXACT(S24, UPPER(S24))</formula1>
    </dataValidation>
    <dataValidation type="custom" allowBlank="1" showInputMessage="1" showErrorMessage="1" errorTitle="SÓLO MAÚSCULA" sqref="P24:P504">
      <formula1>EXACT(P24, UPPER(P24))</formula1>
    </dataValidation>
    <dataValidation type="custom" allowBlank="1" showInputMessage="1" showErrorMessage="1" errorTitle="ERROR" error="SÓLO MAYÚSCULAS" sqref="B24:D504 J24:J504">
      <formula1>EXACT(B24, UPPER(B24))</formula1>
    </dataValidation>
    <dataValidation type="list" allowBlank="1" showInputMessage="1" showErrorMessage="1" sqref="N24:N504">
      <formula1>"SI, NO"</formula1>
    </dataValidation>
    <dataValidation type="list" allowBlank="1" showInputMessage="1" showErrorMessage="1" sqref="G24:G504">
      <formula1>"R.C, T.I, C.C, C.E, PPT, PEP, NES"</formula1>
    </dataValidation>
    <dataValidation type="list" allowBlank="1" showInputMessage="1" showErrorMessage="1" sqref="I24:I504">
      <formula1>"HOMBRE, MUJER"</formula1>
    </dataValidation>
    <dataValidation type="list" allowBlank="1" showInputMessage="1" showErrorMessage="1" sqref="L24:L504">
      <formula1>"OLFATIVA Y TACTO, MENTAL, MOVILIDAD, MULTIPLE, ORAL, PSICOSOCIAL, VISUAL, VOZ Y HABLA, NO SABE NOMBRARLA, N/A"</formula1>
    </dataValidation>
    <dataValidation type="list" allowBlank="1" showInputMessage="1" showErrorMessage="1" sqref="M24:M504">
      <formula1>"HETEROSEXUAL, LESBIANA, ASEXUAL, BISEXUAL, GAY, INTERSEXUAL, NO BINARIO, PANSEXUAL, QUEER, TRANSEXUAL O TRANSGÉNERO, OTRO"</formula1>
    </dataValidation>
    <dataValidation type="list" allowBlank="1" showInputMessage="1" showErrorMessage="1" sqref="O24:O504">
      <formula1>"AFROCOLOMBIANO, INDÍGENA, MESTIZO, MULATO, NO SABE NO RESPONDE, OTRO, PALENQUERO, RAIZAL, ROM GITANO"</formula1>
    </dataValidation>
    <dataValidation type="list" allowBlank="1" showInputMessage="1" showErrorMessage="1" sqref="O23">
      <formula1>"AFRO, INDIGENA, MESTIZA"</formula1>
    </dataValidation>
    <dataValidation type="list" allowBlank="1" showErrorMessage="1" sqref="AI7">
      <formula1>$BH$11:$BH$23</formula1>
    </dataValidation>
    <dataValidation type="list" allowBlank="1" showInputMessage="1" showErrorMessage="1" sqref="Q24:Q504">
      <formula1>SECTOR!$A$2:$A$83</formula1>
    </dataValidation>
  </dataValidations>
  <pageMargins left="0.7" right="0.7" top="0.75" bottom="0.75" header="0.3" footer="0.3"/>
  <pageSetup orientation="portrait"/>
  <ignoredErrors>
    <ignoredError sqref="O23" listDataValidation="1"/>
  </ignoredErrors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83"/>
  <sheetViews>
    <sheetView showGridLines="0" workbookViewId="0"/>
  </sheetViews>
  <sheetFormatPr defaultColWidth="11.43359375" defaultRowHeight="15" x14ac:dyDescent="0.2"/>
  <cols>
    <col min="1" max="1" width="32.1484375" bestFit="1" customWidth="1"/>
    <col min="2" max="2" width="17.21875" style="15" customWidth="1"/>
  </cols>
  <sheetData>
    <row r="1" spans="1:2" ht="33" customHeight="1" thickBot="1" x14ac:dyDescent="0.25">
      <c r="A1" t="s" s="20">
        <v>145</v>
      </c>
      <c r="B1" t="s" s="21">
        <v>146</v>
      </c>
    </row>
    <row r="2" spans="1:2" ht="15.75" thickBot="1" x14ac:dyDescent="0.25">
      <c r="A2" t="s" s="22">
        <v>147</v>
      </c>
      <c r="B2" s="23" t="s">
        <v>148</v>
      </c>
    </row>
    <row r="3" spans="1:2" ht="15.75" thickBot="1" x14ac:dyDescent="0.25">
      <c r="A3" t="s" s="22">
        <v>149</v>
      </c>
      <c r="B3" s="23">
        <v>1</v>
      </c>
    </row>
    <row r="4" spans="1:2" ht="15.75" thickBot="1" x14ac:dyDescent="0.25">
      <c r="A4" t="s" s="22">
        <v>150</v>
      </c>
      <c r="B4" s="23" t="s">
        <v>148</v>
      </c>
    </row>
    <row r="5" spans="1:2" ht="15.75" thickBot="1" x14ac:dyDescent="0.25">
      <c r="A5" t="s" s="22">
        <v>151</v>
      </c>
      <c r="B5" s="23" t="s">
        <v>148</v>
      </c>
    </row>
    <row r="6" spans="1:2" ht="15.75" thickBot="1" x14ac:dyDescent="0.25">
      <c r="A6" t="s" s="22">
        <v>152</v>
      </c>
      <c r="B6" s="23" t="s">
        <v>153</v>
      </c>
    </row>
    <row r="7" spans="1:2" ht="15.75" thickBot="1" x14ac:dyDescent="0.25">
      <c r="A7" t="s" s="22">
        <v>154</v>
      </c>
      <c r="B7" s="23">
        <v>3</v>
      </c>
    </row>
    <row r="8" spans="1:2" ht="15.75" thickBot="1" x14ac:dyDescent="0.25">
      <c r="A8" t="s" s="22">
        <v>155</v>
      </c>
      <c r="B8" s="23">
        <v>2</v>
      </c>
    </row>
    <row r="9" spans="1:2" ht="15.75" thickBot="1" x14ac:dyDescent="0.25">
      <c r="A9" t="s" s="22">
        <v>156</v>
      </c>
      <c r="B9" s="23">
        <v>4</v>
      </c>
    </row>
    <row r="10" spans="1:2" ht="15.75" thickBot="1" x14ac:dyDescent="0.25">
      <c r="A10" t="s" s="22">
        <v>157</v>
      </c>
      <c r="B10" s="23">
        <v>2</v>
      </c>
    </row>
    <row r="11" spans="1:2" ht="15.75" thickBot="1" x14ac:dyDescent="0.25">
      <c r="A11" t="s" s="22">
        <v>158</v>
      </c>
      <c r="B11" s="23">
        <v>4</v>
      </c>
    </row>
    <row r="12" spans="1:2" ht="15.75" thickBot="1" x14ac:dyDescent="0.25">
      <c r="A12" t="s" s="22">
        <v>159</v>
      </c>
      <c r="B12" s="23">
        <v>3</v>
      </c>
    </row>
    <row r="13" spans="1:2" ht="15.75" thickBot="1" x14ac:dyDescent="0.25">
      <c r="A13" t="s" s="22">
        <v>160</v>
      </c>
      <c r="B13" s="23">
        <v>4</v>
      </c>
    </row>
    <row r="14" spans="1:2" ht="15.75" thickBot="1" x14ac:dyDescent="0.25">
      <c r="A14" t="s" s="22">
        <v>161</v>
      </c>
      <c r="B14" s="23">
        <v>4</v>
      </c>
    </row>
    <row r="15" spans="1:2" ht="15.75" thickBot="1" x14ac:dyDescent="0.25">
      <c r="A15" t="s" s="22">
        <v>162</v>
      </c>
      <c r="B15" s="23" t="s">
        <v>153</v>
      </c>
    </row>
    <row r="16" spans="1:2" ht="15.75" thickBot="1" x14ac:dyDescent="0.25">
      <c r="A16" t="s" s="22">
        <v>163</v>
      </c>
      <c r="B16" s="23">
        <v>2</v>
      </c>
    </row>
    <row r="17" spans="1:2" ht="15.75" thickBot="1" x14ac:dyDescent="0.25">
      <c r="A17" t="s" s="22">
        <v>164</v>
      </c>
      <c r="B17" s="23">
        <v>1</v>
      </c>
    </row>
    <row r="18" spans="1:2" ht="15.75" thickBot="1" x14ac:dyDescent="0.25">
      <c r="A18" t="s" s="22">
        <v>165</v>
      </c>
      <c r="B18" s="23">
        <v>4</v>
      </c>
    </row>
    <row r="19" spans="1:2" ht="15.75" thickBot="1" x14ac:dyDescent="0.25">
      <c r="A19" t="s" s="22">
        <v>166</v>
      </c>
      <c r="B19" s="23">
        <v>3</v>
      </c>
    </row>
    <row r="20" spans="1:2" ht="15.75" thickBot="1" x14ac:dyDescent="0.25">
      <c r="A20" t="s" s="22">
        <v>167</v>
      </c>
      <c r="B20" s="23" t="s">
        <v>148</v>
      </c>
    </row>
    <row r="21" spans="1:2" ht="15.75" thickBot="1" x14ac:dyDescent="0.25">
      <c r="A21" t="s" s="22">
        <v>168</v>
      </c>
      <c r="B21" s="23">
        <v>4</v>
      </c>
    </row>
    <row r="22" spans="1:2" ht="15.75" thickBot="1" x14ac:dyDescent="0.25">
      <c r="A22" t="s" s="22">
        <v>169</v>
      </c>
      <c r="B22" s="23" t="s">
        <v>170</v>
      </c>
    </row>
    <row r="23" spans="1:2" ht="15.75" thickBot="1" x14ac:dyDescent="0.25">
      <c r="A23" t="s" s="22">
        <v>171</v>
      </c>
      <c r="B23" s="23" t="s">
        <v>153</v>
      </c>
    </row>
    <row r="24" spans="1:2" ht="15.75" thickBot="1" x14ac:dyDescent="0.25">
      <c r="A24" t="s" s="22">
        <v>172</v>
      </c>
      <c r="B24" s="23" t="s">
        <v>148</v>
      </c>
    </row>
    <row r="25" spans="1:2" ht="15.75" thickBot="1" x14ac:dyDescent="0.25">
      <c r="A25" t="s" s="22">
        <v>173</v>
      </c>
      <c r="B25" s="23" t="s">
        <v>170</v>
      </c>
    </row>
    <row r="26" spans="1:2" ht="15.75" thickBot="1" x14ac:dyDescent="0.25">
      <c r="A26" t="s" s="22">
        <v>174</v>
      </c>
      <c r="B26" s="23" t="s">
        <v>148</v>
      </c>
    </row>
    <row r="27" spans="1:2" ht="15.75" thickBot="1" x14ac:dyDescent="0.25">
      <c r="A27" t="s" s="22">
        <v>175</v>
      </c>
      <c r="B27" s="23">
        <v>3</v>
      </c>
    </row>
    <row r="28" spans="1:2" ht="15.75" thickBot="1" x14ac:dyDescent="0.25">
      <c r="A28" t="s" s="22">
        <v>176</v>
      </c>
      <c r="B28" s="23">
        <v>4</v>
      </c>
    </row>
    <row r="29" spans="1:2" ht="15.75" thickBot="1" x14ac:dyDescent="0.25">
      <c r="A29" t="s" s="22">
        <v>177</v>
      </c>
      <c r="B29" s="23">
        <v>2</v>
      </c>
    </row>
    <row r="30" spans="1:2" ht="15.75" thickBot="1" x14ac:dyDescent="0.25">
      <c r="A30" t="s" s="22">
        <v>178</v>
      </c>
      <c r="B30" s="23">
        <v>1</v>
      </c>
    </row>
    <row r="31" spans="1:2" ht="15.75" thickBot="1" x14ac:dyDescent="0.25">
      <c r="A31" t="s" s="22">
        <v>179</v>
      </c>
      <c r="B31" s="23">
        <v>4</v>
      </c>
    </row>
    <row r="32" spans="1:2" ht="15.75" thickBot="1" x14ac:dyDescent="0.25">
      <c r="A32" t="s" s="22">
        <v>180</v>
      </c>
      <c r="B32" s="23">
        <v>1</v>
      </c>
    </row>
    <row r="33" spans="1:2" ht="15.75" thickBot="1" x14ac:dyDescent="0.25">
      <c r="A33" t="s" s="22">
        <v>181</v>
      </c>
      <c r="B33" s="23">
        <v>1</v>
      </c>
    </row>
    <row r="34" spans="1:2" ht="15.75" thickBot="1" x14ac:dyDescent="0.25">
      <c r="A34" t="s" s="22">
        <v>182</v>
      </c>
      <c r="B34" s="23">
        <v>4</v>
      </c>
    </row>
    <row r="35" spans="1:2" ht="15.75" thickBot="1" x14ac:dyDescent="0.25">
      <c r="A35" t="s" s="22">
        <v>183</v>
      </c>
      <c r="B35" s="23">
        <v>1</v>
      </c>
    </row>
    <row r="36" spans="1:2" ht="15.75" thickBot="1" x14ac:dyDescent="0.25">
      <c r="A36" t="s" s="22">
        <v>184</v>
      </c>
      <c r="B36" s="23" t="s">
        <v>170</v>
      </c>
    </row>
    <row r="37" spans="1:2" ht="15.75" thickBot="1" x14ac:dyDescent="0.25">
      <c r="A37" t="s" s="22">
        <v>185</v>
      </c>
      <c r="B37" s="23">
        <v>4</v>
      </c>
    </row>
    <row r="38" spans="1:2" ht="15.75" thickBot="1" x14ac:dyDescent="0.25">
      <c r="A38" t="s" s="22">
        <v>186</v>
      </c>
      <c r="B38" s="23">
        <v>1</v>
      </c>
    </row>
    <row r="39" spans="1:2" ht="15.75" thickBot="1" x14ac:dyDescent="0.25">
      <c r="A39" t="s" s="22">
        <v>187</v>
      </c>
      <c r="B39" s="23">
        <v>1</v>
      </c>
    </row>
    <row r="40" spans="1:2" ht="15.75" thickBot="1" x14ac:dyDescent="0.25">
      <c r="A40" t="s" s="22">
        <v>188</v>
      </c>
      <c r="B40" s="23" t="s">
        <v>148</v>
      </c>
    </row>
    <row r="41" spans="1:2" ht="15.75" thickBot="1" x14ac:dyDescent="0.25">
      <c r="A41" t="s" s="22">
        <v>189</v>
      </c>
      <c r="B41" s="23">
        <v>4</v>
      </c>
    </row>
    <row r="42" spans="1:2" ht="15.75" thickBot="1" x14ac:dyDescent="0.25">
      <c r="A42" t="s" s="22">
        <v>190</v>
      </c>
      <c r="B42" s="23" t="s">
        <v>148</v>
      </c>
    </row>
    <row r="43" spans="1:2" ht="15.75" thickBot="1" x14ac:dyDescent="0.25">
      <c r="A43" t="s" s="22">
        <v>191</v>
      </c>
      <c r="B43" s="23">
        <v>1</v>
      </c>
    </row>
    <row r="44" spans="1:2" ht="15.75" thickBot="1" x14ac:dyDescent="0.25">
      <c r="A44" t="s" s="22">
        <v>192</v>
      </c>
      <c r="B44" s="23">
        <v>3</v>
      </c>
    </row>
    <row r="45" spans="1:2" ht="15.75" thickBot="1" x14ac:dyDescent="0.25">
      <c r="A45" t="s" s="22">
        <v>193</v>
      </c>
      <c r="B45" s="23">
        <v>4</v>
      </c>
    </row>
    <row r="46" spans="1:2" ht="15.75" thickBot="1" x14ac:dyDescent="0.25">
      <c r="A46" t="s" s="22">
        <v>194</v>
      </c>
      <c r="B46" s="23">
        <v>4</v>
      </c>
    </row>
    <row r="47" spans="1:2" ht="15.75" thickBot="1" x14ac:dyDescent="0.25">
      <c r="A47" t="s" s="22">
        <v>195</v>
      </c>
      <c r="B47" s="23">
        <v>4</v>
      </c>
    </row>
    <row r="48" spans="1:2" ht="15.75" thickBot="1" x14ac:dyDescent="0.25">
      <c r="A48" t="s" s="22">
        <v>196</v>
      </c>
      <c r="B48" s="23" t="s">
        <v>153</v>
      </c>
    </row>
    <row r="49" spans="1:2" ht="15.75" thickBot="1" x14ac:dyDescent="0.25">
      <c r="A49" t="s" s="22">
        <v>197</v>
      </c>
      <c r="B49" s="23" t="s">
        <v>148</v>
      </c>
    </row>
    <row r="50" spans="1:2" ht="15.75" thickBot="1" x14ac:dyDescent="0.25">
      <c r="A50" t="s" s="22">
        <v>198</v>
      </c>
      <c r="B50" s="23" t="s">
        <v>148</v>
      </c>
    </row>
    <row r="51" spans="1:2" ht="15.75" thickBot="1" x14ac:dyDescent="0.25">
      <c r="A51" t="s" s="22">
        <v>199</v>
      </c>
      <c r="B51" s="23" t="s">
        <v>148</v>
      </c>
    </row>
    <row r="52" spans="1:2" ht="15.75" thickBot="1" x14ac:dyDescent="0.25">
      <c r="A52" t="s" s="22">
        <v>200</v>
      </c>
      <c r="B52" s="23" t="s">
        <v>153</v>
      </c>
    </row>
    <row r="53" spans="1:2" ht="15.75" thickBot="1" x14ac:dyDescent="0.25">
      <c r="A53" t="s" s="22">
        <v>201</v>
      </c>
      <c r="B53" s="23" t="s">
        <v>170</v>
      </c>
    </row>
    <row r="54" spans="1:2" ht="15.75" thickBot="1" x14ac:dyDescent="0.25">
      <c r="A54" t="s" s="22">
        <v>202</v>
      </c>
      <c r="B54" s="23" t="s">
        <v>153</v>
      </c>
    </row>
    <row r="55" spans="1:2" ht="15.75" thickBot="1" x14ac:dyDescent="0.25">
      <c r="A55" t="s" s="22">
        <v>203</v>
      </c>
      <c r="B55" s="23">
        <v>4</v>
      </c>
    </row>
    <row r="56" spans="1:2" ht="15.75" thickBot="1" x14ac:dyDescent="0.25">
      <c r="A56" t="s" s="22">
        <v>204</v>
      </c>
      <c r="B56" s="23">
        <v>4</v>
      </c>
    </row>
    <row r="57" spans="1:2" ht="15.75" thickBot="1" x14ac:dyDescent="0.25">
      <c r="A57" t="s" s="22">
        <v>205</v>
      </c>
      <c r="B57" s="23">
        <v>3</v>
      </c>
    </row>
    <row r="58" spans="1:2" ht="15.75" thickBot="1" x14ac:dyDescent="0.25">
      <c r="A58" t="s" s="22">
        <v>206</v>
      </c>
      <c r="B58" s="23">
        <v>1</v>
      </c>
    </row>
    <row r="59" spans="1:2" ht="15.75" thickBot="1" x14ac:dyDescent="0.25">
      <c r="A59" t="s" s="22">
        <v>207</v>
      </c>
      <c r="B59" s="23">
        <v>1</v>
      </c>
    </row>
    <row r="60" spans="1:2" ht="15.75" thickBot="1" x14ac:dyDescent="0.25">
      <c r="A60" t="s" s="22">
        <v>208</v>
      </c>
      <c r="B60" s="23" t="s">
        <v>153</v>
      </c>
    </row>
    <row r="61" spans="1:2" ht="15.75" thickBot="1" x14ac:dyDescent="0.25">
      <c r="A61" t="s" s="22">
        <v>209</v>
      </c>
      <c r="B61" s="23">
        <v>3</v>
      </c>
    </row>
    <row r="62" spans="1:2" ht="15.75" thickBot="1" x14ac:dyDescent="0.25">
      <c r="A62" t="s" s="22">
        <v>210</v>
      </c>
      <c r="B62" s="23">
        <v>3</v>
      </c>
    </row>
    <row r="63" spans="1:2" ht="15.75" thickBot="1" x14ac:dyDescent="0.25">
      <c r="A63" t="s" s="22">
        <v>211</v>
      </c>
      <c r="B63" s="23" t="s">
        <v>148</v>
      </c>
    </row>
    <row r="64" spans="1:2" ht="15.75" thickBot="1" x14ac:dyDescent="0.25">
      <c r="A64" t="s" s="22">
        <v>212</v>
      </c>
      <c r="B64" s="23" t="s">
        <v>170</v>
      </c>
    </row>
    <row r="65" spans="1:2" ht="15.75" thickBot="1" x14ac:dyDescent="0.25">
      <c r="A65" t="s" s="22">
        <v>213</v>
      </c>
      <c r="B65" s="23" t="s">
        <v>153</v>
      </c>
    </row>
    <row r="66" spans="1:2" ht="15.75" thickBot="1" x14ac:dyDescent="0.25">
      <c r="A66" t="s" s="22">
        <v>214</v>
      </c>
      <c r="B66" s="23">
        <v>4</v>
      </c>
    </row>
    <row r="67" spans="1:2" ht="15.75" thickBot="1" x14ac:dyDescent="0.25">
      <c r="A67" t="s" s="22">
        <v>215</v>
      </c>
      <c r="B67" s="23">
        <v>1</v>
      </c>
    </row>
    <row r="68" spans="1:2" ht="15.75" thickBot="1" x14ac:dyDescent="0.25">
      <c r="A68" t="s" s="22">
        <v>216</v>
      </c>
      <c r="B68" s="23" t="s">
        <v>170</v>
      </c>
    </row>
    <row r="69" spans="1:2" ht="15.75" thickBot="1" x14ac:dyDescent="0.25">
      <c r="A69" t="s" s="22">
        <v>217</v>
      </c>
      <c r="B69" s="23" t="s">
        <v>148</v>
      </c>
    </row>
    <row r="70" spans="1:2" ht="15.75" thickBot="1" x14ac:dyDescent="0.25">
      <c r="A70" t="s" s="22">
        <v>218</v>
      </c>
      <c r="B70" s="23">
        <v>3</v>
      </c>
    </row>
    <row r="71" spans="1:2" ht="15.75" thickBot="1" x14ac:dyDescent="0.25">
      <c r="A71" t="s" s="22">
        <v>219</v>
      </c>
      <c r="B71" s="23" t="s">
        <v>170</v>
      </c>
    </row>
    <row r="72" spans="1:2" ht="15.75" thickBot="1" x14ac:dyDescent="0.25">
      <c r="A72" t="s" s="22">
        <v>220</v>
      </c>
      <c r="B72" s="23">
        <v>3</v>
      </c>
    </row>
    <row r="73" spans="1:2" ht="15.75" thickBot="1" x14ac:dyDescent="0.25">
      <c r="A73" t="s" s="22">
        <v>221</v>
      </c>
      <c r="B73" s="23">
        <v>1</v>
      </c>
    </row>
    <row r="74" spans="1:2" ht="15.75" thickBot="1" x14ac:dyDescent="0.25">
      <c r="A74" t="s" s="22">
        <v>222</v>
      </c>
      <c r="B74" s="23" t="s">
        <v>170</v>
      </c>
    </row>
    <row r="75" spans="1:2" ht="15.75" thickBot="1" x14ac:dyDescent="0.25">
      <c r="A75" t="s" s="22">
        <v>223</v>
      </c>
      <c r="B75" s="23" t="s">
        <v>153</v>
      </c>
    </row>
    <row r="76" spans="1:2" ht="15.75" thickBot="1" x14ac:dyDescent="0.25">
      <c r="A76" t="s" s="22">
        <v>224</v>
      </c>
      <c r="B76" s="23" t="s">
        <v>170</v>
      </c>
    </row>
    <row r="77" spans="1:2" ht="15.75" thickBot="1" x14ac:dyDescent="0.25">
      <c r="A77" t="s" s="22">
        <v>225</v>
      </c>
      <c r="B77" s="23" t="s">
        <v>170</v>
      </c>
    </row>
    <row r="78" spans="1:2" ht="15.75" thickBot="1" x14ac:dyDescent="0.25">
      <c r="A78" t="s" s="22">
        <v>226</v>
      </c>
      <c r="B78" s="23">
        <v>3</v>
      </c>
    </row>
    <row r="79" spans="1:2" ht="15.75" thickBot="1" x14ac:dyDescent="0.25">
      <c r="A79" t="s" s="22">
        <v>227</v>
      </c>
      <c r="B79" s="23">
        <v>3</v>
      </c>
    </row>
    <row r="80" spans="1:2" ht="15.75" thickBot="1" x14ac:dyDescent="0.25">
      <c r="A80" t="s" s="22">
        <v>228</v>
      </c>
      <c r="B80" s="23">
        <v>4</v>
      </c>
    </row>
    <row r="81" spans="1:2" ht="15.75" thickBot="1" x14ac:dyDescent="0.25">
      <c r="A81" t="s" s="22">
        <v>229</v>
      </c>
      <c r="B81" s="23">
        <v>2</v>
      </c>
    </row>
    <row r="82" spans="1:2" ht="15.75" thickBot="1" x14ac:dyDescent="0.25">
      <c r="A82" t="s" s="22">
        <v>230</v>
      </c>
      <c r="B82" s="23" t="s">
        <v>148</v>
      </c>
    </row>
    <row r="83" spans="1:2" ht="15.75" thickBot="1" x14ac:dyDescent="0.25">
      <c r="A83" t="s" s="22">
        <v>231</v>
      </c>
      <c r="B83" s="23" t="s">
        <v>170</v>
      </c>
    </row>
  </sheetData>
  <phoneticPr fontId="25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FO-GDD-057 v006 - Planilla de asistencia</dc:title>
  <dc:creator/>
  <cp:lastModifiedBy/>
  <dcterms:created xsi:type="dcterms:W3CDTF">2015-06-05T18:19:34Z</dcterms:created>
  <dcterms:modified xsi:type="dcterms:W3CDTF">2026-09-28T00:00:00Z</dcterms:modified>
</cp:coreProperties>
</file>